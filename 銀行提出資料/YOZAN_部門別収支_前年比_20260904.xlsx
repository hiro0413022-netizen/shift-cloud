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①部門別収支_会計" sheetId="2" state="visible" r:id="rId4"/>
    <sheet name="②GW_総額と入金" sheetId="3" state="visible" r:id="rId5"/>
    <sheet name="③会員数推移" sheetId="4" state="visible" r:id="rId6"/>
    <sheet name="④物販売上推移" sheetId="5" state="visible" r:id="rId7"/>
    <sheet name="⑤キャディ派遣" sheetId="6" state="visible" r:id="rId8"/>
    <sheet name="出典と注記"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<sst xmlns="http://schemas.openxmlformats.org/spreadsheetml/2006/main" count="250" uniqueCount="189">
  <si>
    <r>
      <rPr>
        <b val="true"/>
        <sz val="14"/>
        <rFont val="Noto Sans CJK SC"/>
        <family val="2"/>
      </rPr>
      <t xml:space="preserve">株式会社</t>
    </r>
    <r>
      <rPr>
        <b val="true"/>
        <sz val="14"/>
        <rFont val="Arial"/>
        <family val="0"/>
        <charset val="1"/>
      </rPr>
      <t xml:space="preserve">YOZAN</t>
    </r>
    <r>
      <rPr>
        <b val="true"/>
        <sz val="14"/>
        <rFont val="Noto Sans CJK SC"/>
        <family val="2"/>
      </rPr>
      <t xml:space="preserve">　部門別収支と前年比（当期 </t>
    </r>
    <r>
      <rPr>
        <b val="true"/>
        <sz val="14"/>
        <rFont val="Arial"/>
        <family val="0"/>
        <charset val="1"/>
      </rPr>
      <t xml:space="preserve">2025</t>
    </r>
    <r>
      <rPr>
        <b val="true"/>
        <sz val="14"/>
        <rFont val="Noto Sans CJK SC"/>
        <family val="2"/>
      </rPr>
      <t xml:space="preserve">年</t>
    </r>
    <r>
      <rPr>
        <b val="true"/>
        <sz val="14"/>
        <rFont val="Arial"/>
        <family val="0"/>
        <charset val="1"/>
      </rPr>
      <t xml:space="preserve">9</t>
    </r>
    <r>
      <rPr>
        <b val="true"/>
        <sz val="14"/>
        <rFont val="Noto Sans CJK SC"/>
        <family val="2"/>
      </rPr>
      <t xml:space="preserve">月〜</t>
    </r>
    <r>
      <rPr>
        <b val="true"/>
        <sz val="14"/>
        <rFont val="Arial"/>
        <family val="0"/>
        <charset val="1"/>
      </rPr>
      <t xml:space="preserve">2026</t>
    </r>
    <r>
      <rPr>
        <b val="true"/>
        <sz val="14"/>
        <rFont val="Noto Sans CJK SC"/>
        <family val="2"/>
      </rPr>
      <t xml:space="preserve">年</t>
    </r>
    <r>
      <rPr>
        <b val="true"/>
        <sz val="14"/>
        <rFont val="Arial"/>
        <family val="0"/>
        <charset val="1"/>
      </rPr>
      <t xml:space="preserve">8</t>
    </r>
    <r>
      <rPr>
        <b val="true"/>
        <sz val="14"/>
        <rFont val="Noto Sans CJK SC"/>
        <family val="2"/>
      </rPr>
      <t xml:space="preserve">月）</t>
    </r>
  </si>
  <si>
    <r>
      <rPr>
        <sz val="9"/>
        <color rgb="FF555555"/>
        <rFont val="Noto Sans CJK SC"/>
        <family val="2"/>
      </rPr>
      <t xml:space="preserve">作成日 </t>
    </r>
    <r>
      <rPr>
        <sz val="9"/>
        <color rgb="FF555555"/>
        <rFont val="Arial"/>
        <family val="0"/>
        <charset val="1"/>
      </rPr>
      <t xml:space="preserve">2026</t>
    </r>
    <r>
      <rPr>
        <sz val="9"/>
        <color rgb="FF555555"/>
        <rFont val="Noto Sans CJK SC"/>
        <family val="2"/>
      </rPr>
      <t xml:space="preserve">年</t>
    </r>
    <r>
      <rPr>
        <sz val="9"/>
        <color rgb="FF555555"/>
        <rFont val="Arial"/>
        <family val="0"/>
        <charset val="1"/>
      </rPr>
      <t xml:space="preserve">9</t>
    </r>
    <r>
      <rPr>
        <sz val="9"/>
        <color rgb="FF555555"/>
        <rFont val="Noto Sans CJK SC"/>
        <family val="2"/>
      </rPr>
      <t xml:space="preserve">月</t>
    </r>
    <r>
      <rPr>
        <sz val="9"/>
        <color rgb="FF555555"/>
        <rFont val="Arial"/>
        <family val="0"/>
        <charset val="1"/>
      </rPr>
      <t xml:space="preserve">4</t>
    </r>
    <r>
      <rPr>
        <sz val="9"/>
        <color rgb="FF555555"/>
        <rFont val="Noto Sans CJK SC"/>
        <family val="2"/>
      </rPr>
      <t xml:space="preserve">日／数値は実データ（残高試算表・</t>
    </r>
    <r>
      <rPr>
        <sz val="9"/>
        <color rgb="FF555555"/>
        <rFont val="Arial"/>
        <family val="0"/>
        <charset val="1"/>
      </rPr>
      <t xml:space="preserve">Supabase</t>
    </r>
    <r>
      <rPr>
        <sz val="9"/>
        <color rgb="FF555555"/>
        <rFont val="Noto Sans CJK SC"/>
        <family val="2"/>
      </rPr>
      <t xml:space="preserve">・通帳）から集計。出典は各シートに明記。</t>
    </r>
  </si>
  <si>
    <r>
      <rPr>
        <b val="true"/>
        <sz val="10"/>
        <rFont val="Noto Sans CJK SC"/>
        <family val="2"/>
      </rPr>
      <t xml:space="preserve">【</t>
    </r>
    <r>
      <rPr>
        <b val="true"/>
        <sz val="10"/>
        <rFont val="Arial"/>
        <family val="0"/>
        <charset val="1"/>
      </rPr>
      <t xml:space="preserve">1</t>
    </r>
    <r>
      <rPr>
        <b val="true"/>
        <sz val="10"/>
        <rFont val="Noto Sans CJK SC"/>
        <family val="2"/>
      </rPr>
      <t xml:space="preserve">】全社の売上高（会計・残高試算表ベース）</t>
    </r>
  </si>
  <si>
    <t xml:space="preserve">区分</t>
  </si>
  <si>
    <r>
      <rPr>
        <b val="true"/>
        <sz val="11"/>
        <color rgb="FFFFFFFF"/>
        <rFont val="Noto Sans CJK SC"/>
        <family val="2"/>
      </rPr>
      <t xml:space="preserve">前期 </t>
    </r>
    <r>
      <rPr>
        <b val="true"/>
        <sz val="11"/>
        <color rgb="FFFFFFFF"/>
        <rFont val="Arial"/>
        <family val="0"/>
        <charset val="1"/>
      </rPr>
      <t xml:space="preserve">2024/9</t>
    </r>
    <r>
      <rPr>
        <b val="true"/>
        <sz val="11"/>
        <color rgb="FFFFFFFF"/>
        <rFont val="Noto Sans CJK SC"/>
        <family val="2"/>
      </rPr>
      <t xml:space="preserve">〜</t>
    </r>
    <r>
      <rPr>
        <b val="true"/>
        <sz val="11"/>
        <color rgb="FFFFFFFF"/>
        <rFont val="Arial"/>
        <family val="0"/>
        <charset val="1"/>
      </rPr>
      <t xml:space="preserve">2025/8</t>
    </r>
  </si>
  <si>
    <r>
      <rPr>
        <b val="true"/>
        <sz val="11"/>
        <color rgb="FFFFFFFF"/>
        <rFont val="Noto Sans CJK SC"/>
        <family val="2"/>
      </rPr>
      <t xml:space="preserve">当期 </t>
    </r>
    <r>
      <rPr>
        <b val="true"/>
        <sz val="11"/>
        <color rgb="FFFFFFFF"/>
        <rFont val="Arial"/>
        <family val="0"/>
        <charset val="1"/>
      </rPr>
      <t xml:space="preserve">2025/9</t>
    </r>
    <r>
      <rPr>
        <b val="true"/>
        <sz val="11"/>
        <color rgb="FFFFFFFF"/>
        <rFont val="Noto Sans CJK SC"/>
        <family val="2"/>
      </rPr>
      <t xml:space="preserve">〜</t>
    </r>
    <r>
      <rPr>
        <b val="true"/>
        <sz val="11"/>
        <color rgb="FFFFFFFF"/>
        <rFont val="Arial"/>
        <family val="0"/>
        <charset val="1"/>
      </rPr>
      <t xml:space="preserve">2026/7</t>
    </r>
  </si>
  <si>
    <t xml:space="preserve">前期比</t>
  </si>
  <si>
    <t xml:space="preserve">備考</t>
  </si>
  <si>
    <t xml:space="preserve">売上高（期間合計）</t>
  </si>
  <si>
    <r>
      <rPr>
        <sz val="9"/>
        <color rgb="FF555555"/>
        <rFont val="Noto Sans CJK SC"/>
        <family val="2"/>
      </rPr>
      <t xml:space="preserve">前期</t>
    </r>
    <r>
      <rPr>
        <sz val="9"/>
        <color rgb="FF555555"/>
        <rFont val="Arial"/>
        <family val="0"/>
        <charset val="1"/>
      </rPr>
      <t xml:space="preserve">12</t>
    </r>
    <r>
      <rPr>
        <sz val="9"/>
        <color rgb="FF555555"/>
        <rFont val="Noto Sans CJK SC"/>
        <family val="2"/>
      </rPr>
      <t xml:space="preserve">か月／当期</t>
    </r>
    <r>
      <rPr>
        <sz val="9"/>
        <color rgb="FF555555"/>
        <rFont val="Arial"/>
        <family val="0"/>
        <charset val="1"/>
      </rPr>
      <t xml:space="preserve">11</t>
    </r>
    <r>
      <rPr>
        <sz val="9"/>
        <color rgb="FF555555"/>
        <rFont val="Noto Sans CJK SC"/>
        <family val="2"/>
      </rPr>
      <t xml:space="preserve">か月（試算表の対象期間）</t>
    </r>
  </si>
  <si>
    <t xml:space="preserve">　月商換算</t>
  </si>
  <si>
    <t xml:space="preserve">期間の長さを揃えた比較</t>
  </si>
  <si>
    <t xml:space="preserve">営業損益</t>
  </si>
  <si>
    <r>
      <rPr>
        <sz val="9"/>
        <color rgb="FF555555"/>
        <rFont val="Noto Sans CJK SC"/>
        <family val="2"/>
      </rPr>
      <t xml:space="preserve">当期</t>
    </r>
    <r>
      <rPr>
        <sz val="9"/>
        <color rgb="FF555555"/>
        <rFont val="Arial"/>
        <family val="0"/>
        <charset val="1"/>
      </rPr>
      <t xml:space="preserve">11</t>
    </r>
    <r>
      <rPr>
        <sz val="9"/>
        <color rgb="FF555555"/>
        <rFont val="Noto Sans CJK SC"/>
        <family val="2"/>
      </rPr>
      <t xml:space="preserve">か月</t>
    </r>
  </si>
  <si>
    <t xml:space="preserve">当期純損益</t>
  </si>
  <si>
    <t xml:space="preserve">純資産の期中増減から導出</t>
  </si>
  <si>
    <r>
      <rPr>
        <b val="true"/>
        <sz val="10"/>
        <rFont val="Noto Sans CJK SC"/>
        <family val="2"/>
      </rPr>
      <t xml:space="preserve">【</t>
    </r>
    <r>
      <rPr>
        <b val="true"/>
        <sz val="10"/>
        <rFont val="Arial"/>
        <family val="0"/>
        <charset val="1"/>
      </rPr>
      <t xml:space="preserve">2</t>
    </r>
    <r>
      <rPr>
        <b val="true"/>
        <sz val="10"/>
        <rFont val="Noto Sans CJK SC"/>
        <family val="2"/>
      </rPr>
      <t xml:space="preserve">】部門別収支（会計ベース・月次平均）</t>
    </r>
  </si>
  <si>
    <r>
      <rPr>
        <sz val="9"/>
        <color rgb="FF555555"/>
        <rFont val="Noto Sans CJK SC"/>
        <family val="2"/>
      </rPr>
      <t xml:space="preserve">出典</t>
    </r>
    <r>
      <rPr>
        <sz val="9"/>
        <color rgb="FF555555"/>
        <rFont val="Arial"/>
        <family val="0"/>
        <charset val="1"/>
      </rPr>
      <t xml:space="preserve">: YOZAN_</t>
    </r>
    <r>
      <rPr>
        <sz val="9"/>
        <color rgb="FF555555"/>
        <rFont val="Noto Sans CJK SC"/>
        <family val="2"/>
      </rPr>
      <t xml:space="preserve">全社資金繰り表</t>
    </r>
    <r>
      <rPr>
        <sz val="9"/>
        <color rgb="FF555555"/>
        <rFont val="Arial"/>
        <family val="0"/>
        <charset val="1"/>
      </rPr>
      <t xml:space="preserve">_20260817.xlsx</t>
    </r>
    <r>
      <rPr>
        <sz val="9"/>
        <color rgb="FF555555"/>
        <rFont val="Noto Sans CJK SC"/>
        <family val="2"/>
      </rPr>
      <t xml:space="preserve">「</t>
    </r>
    <r>
      <rPr>
        <sz val="9"/>
        <color rgb="FF555555"/>
        <rFont val="Arial"/>
        <family val="0"/>
        <charset val="1"/>
      </rPr>
      <t xml:space="preserve">4</t>
    </r>
    <r>
      <rPr>
        <sz val="9"/>
        <color rgb="FF555555"/>
        <rFont val="Noto Sans CJK SC"/>
        <family val="2"/>
      </rPr>
      <t xml:space="preserve">区分の収支」（合計が残高試算表と整合）</t>
    </r>
  </si>
  <si>
    <t xml:space="preserve">部門</t>
  </si>
  <si>
    <t xml:space="preserve">月次平均 営業損益</t>
  </si>
  <si>
    <t xml:space="preserve">内容</t>
  </si>
  <si>
    <t xml:space="preserve">キャディ派遣</t>
  </si>
  <si>
    <r>
      <rPr>
        <sz val="9"/>
        <color rgb="FF555555"/>
        <rFont val="Noto Sans CJK SC"/>
        <family val="2"/>
      </rPr>
      <t xml:space="preserve">粗利</t>
    </r>
    <r>
      <rPr>
        <sz val="9"/>
        <color rgb="FF555555"/>
        <rFont val="Arial"/>
        <family val="0"/>
        <charset val="1"/>
      </rPr>
      <t xml:space="preserve">52.1%</t>
    </r>
    <r>
      <rPr>
        <sz val="9"/>
        <color rgb="FF555555"/>
        <rFont val="Noto Sans CJK SC"/>
        <family val="2"/>
      </rPr>
      <t xml:space="preserve">。台帳</t>
    </r>
    <r>
      <rPr>
        <sz val="9"/>
        <color rgb="FF555555"/>
        <rFont val="Arial"/>
        <family val="0"/>
        <charset val="1"/>
      </rPr>
      <t xml:space="preserve">(caddy_os)</t>
    </r>
    <r>
      <rPr>
        <sz val="9"/>
        <color rgb="FF555555"/>
        <rFont val="Noto Sans CJK SC"/>
        <family val="2"/>
      </rPr>
      <t xml:space="preserve">ベース</t>
    </r>
  </si>
  <si>
    <r>
      <rPr>
        <sz val="10"/>
        <rFont val="Arial"/>
        <family val="0"/>
        <charset val="1"/>
      </rPr>
      <t xml:space="preserve">GOLF WING </t>
    </r>
    <r>
      <rPr>
        <sz val="10"/>
        <rFont val="Noto Sans CJK SC"/>
        <family val="2"/>
      </rPr>
      <t xml:space="preserve">宝塚</t>
    </r>
  </si>
  <si>
    <t xml:space="preserve">ファイン精算後の入金ベース</t>
  </si>
  <si>
    <r>
      <rPr>
        <sz val="10"/>
        <rFont val="Arial"/>
        <family val="0"/>
        <charset val="1"/>
      </rPr>
      <t xml:space="preserve">FRANK GOLF </t>
    </r>
    <r>
      <rPr>
        <sz val="10"/>
        <rFont val="Noto Sans CJK SC"/>
        <family val="2"/>
      </rPr>
      <t xml:space="preserve">姫路</t>
    </r>
  </si>
  <si>
    <r>
      <rPr>
        <sz val="9"/>
        <color rgb="FF555555"/>
        <rFont val="Arial"/>
        <family val="0"/>
        <charset val="1"/>
      </rPr>
      <t xml:space="preserve">2026/9/2</t>
    </r>
    <r>
      <rPr>
        <sz val="9"/>
        <color rgb="FF555555"/>
        <rFont val="Noto Sans CJK SC"/>
        <family val="2"/>
      </rPr>
      <t xml:space="preserve">開業。当期は契約時費用のみ</t>
    </r>
  </si>
  <si>
    <t xml:space="preserve">本社・共通</t>
  </si>
  <si>
    <t xml:space="preserve">役員報酬・システム・本部経費</t>
  </si>
  <si>
    <t xml:space="preserve">合計（月次平均）</t>
  </si>
  <si>
    <r>
      <rPr>
        <sz val="9"/>
        <color rgb="FF555555"/>
        <rFont val="Noto Sans CJK SC"/>
        <family val="2"/>
      </rPr>
      <t xml:space="preserve">事業</t>
    </r>
    <r>
      <rPr>
        <sz val="9"/>
        <color rgb="FF555555"/>
        <rFont val="Arial"/>
        <family val="0"/>
        <charset val="1"/>
      </rPr>
      <t xml:space="preserve">3</t>
    </r>
    <r>
      <rPr>
        <sz val="9"/>
        <color rgb="FF555555"/>
        <rFont val="Noto Sans CJK SC"/>
        <family val="2"/>
      </rPr>
      <t xml:space="preserve">部門は月</t>
    </r>
    <r>
      <rPr>
        <sz val="9"/>
        <color rgb="FF555555"/>
        <rFont val="Arial"/>
        <family val="0"/>
        <charset val="1"/>
      </rPr>
      <t xml:space="preserve">+90</t>
    </r>
    <r>
      <rPr>
        <sz val="9"/>
        <color rgb="FF555555"/>
        <rFont val="Noto Sans CJK SC"/>
        <family val="2"/>
      </rPr>
      <t xml:space="preserve">万円台を稼ぎ、本社共通が食い切る構図</t>
    </r>
  </si>
  <si>
    <r>
      <rPr>
        <b val="true"/>
        <sz val="10"/>
        <rFont val="Noto Sans CJK SC"/>
        <family val="2"/>
      </rPr>
      <t xml:space="preserve">【</t>
    </r>
    <r>
      <rPr>
        <b val="true"/>
        <sz val="10"/>
        <rFont val="Arial"/>
        <family val="0"/>
        <charset val="1"/>
      </rPr>
      <t xml:space="preserve">3</t>
    </r>
    <r>
      <rPr>
        <b val="true"/>
        <sz val="10"/>
        <rFont val="Noto Sans CJK SC"/>
        <family val="2"/>
      </rPr>
      <t xml:space="preserve">】売上高が計画より低く見える最大の理由＝</t>
    </r>
    <r>
      <rPr>
        <b val="true"/>
        <sz val="10"/>
        <rFont val="Arial"/>
        <family val="0"/>
        <charset val="1"/>
      </rPr>
      <t xml:space="preserve">GOLF WING</t>
    </r>
    <r>
      <rPr>
        <b val="true"/>
        <sz val="10"/>
        <rFont val="Noto Sans CJK SC"/>
        <family val="2"/>
      </rPr>
      <t xml:space="preserve">は「純額」で計上されている</t>
    </r>
  </si>
  <si>
    <t xml:space="preserve">項目</t>
  </si>
  <si>
    <t xml:space="preserve">金額</t>
  </si>
  <si>
    <t xml:space="preserve">年換算</t>
  </si>
  <si>
    <t xml:space="preserve">説明</t>
  </si>
  <si>
    <t xml:space="preserve">① お客様がお支払いになった総額（総取扱高）</t>
  </si>
  <si>
    <r>
      <rPr>
        <sz val="9"/>
        <color rgb="FF555555"/>
        <rFont val="Noto Sans CJK SC"/>
        <family val="2"/>
      </rPr>
      <t xml:space="preserve">月平均・</t>
    </r>
    <r>
      <rPr>
        <sz val="9"/>
        <color rgb="FF555555"/>
        <rFont val="Arial"/>
        <family val="0"/>
        <charset val="1"/>
      </rPr>
      <t xml:space="preserve">2026/1</t>
    </r>
    <r>
      <rPr>
        <sz val="9"/>
        <color rgb="FF555555"/>
        <rFont val="Noto Sans CJK SC"/>
        <family val="2"/>
      </rPr>
      <t xml:space="preserve">〜</t>
    </r>
    <r>
      <rPr>
        <sz val="9"/>
        <color rgb="FF555555"/>
        <rFont val="Arial"/>
        <family val="0"/>
        <charset val="1"/>
      </rPr>
      <t xml:space="preserve">6</t>
    </r>
    <r>
      <rPr>
        <sz val="9"/>
        <color rgb="FF555555"/>
        <rFont val="Noto Sans CJK SC"/>
        <family val="2"/>
      </rPr>
      <t xml:space="preserve">の実績（売上台帳・税抜）</t>
    </r>
  </si>
  <si>
    <t xml:space="preserve">② うちファインが差し引く必要経費・ロイヤリティ</t>
  </si>
  <si>
    <t xml:space="preserve">店舗運営経費（家賃・仕入・光熱ほか）＋ロイヤリティ</t>
  </si>
  <si>
    <t xml:space="preserve">③ 当社に入金され売上高に計上される額</t>
  </si>
  <si>
    <r>
      <rPr>
        <sz val="9"/>
        <color rgb="FF555555"/>
        <rFont val="Noto Sans CJK SC"/>
        <family val="2"/>
      </rPr>
      <t xml:space="preserve">月平均・</t>
    </r>
    <r>
      <rPr>
        <sz val="9"/>
        <color rgb="FF555555"/>
        <rFont val="Arial"/>
        <family val="0"/>
        <charset val="1"/>
      </rPr>
      <t xml:space="preserve">2026/2</t>
    </r>
    <r>
      <rPr>
        <sz val="9"/>
        <color rgb="FF555555"/>
        <rFont val="Noto Sans CJK SC"/>
        <family val="2"/>
      </rPr>
      <t xml:space="preserve">〜</t>
    </r>
    <r>
      <rPr>
        <sz val="9"/>
        <color rgb="FF555555"/>
        <rFont val="Arial"/>
        <family val="0"/>
        <charset val="1"/>
      </rPr>
      <t xml:space="preserve">7</t>
    </r>
    <r>
      <rPr>
        <sz val="9"/>
        <color rgb="FF555555"/>
        <rFont val="Noto Sans CJK SC"/>
        <family val="2"/>
      </rPr>
      <t xml:space="preserve">の通帳実績</t>
    </r>
  </si>
  <si>
    <r>
      <rPr>
        <b val="true"/>
        <sz val="10"/>
        <rFont val="Noto Sans CJK SC"/>
        <family val="2"/>
      </rPr>
      <t xml:space="preserve">　純額率（③</t>
    </r>
    <r>
      <rPr>
        <b val="true"/>
        <sz val="10"/>
        <rFont val="Arial"/>
        <family val="0"/>
        <charset val="1"/>
      </rPr>
      <t xml:space="preserve">÷①</t>
    </r>
    <r>
      <rPr>
        <b val="true"/>
        <sz val="10"/>
        <rFont val="Noto Sans CJK SC"/>
        <family val="2"/>
      </rPr>
      <t xml:space="preserve">）</t>
    </r>
  </si>
  <si>
    <r>
      <rPr>
        <sz val="9"/>
        <color rgb="FF555555"/>
        <rFont val="Noto Sans CJK SC"/>
        <family val="2"/>
      </rPr>
      <t xml:space="preserve">お客様の</t>
    </r>
    <r>
      <rPr>
        <sz val="9"/>
        <color rgb="FF555555"/>
        <rFont val="Arial"/>
        <family val="0"/>
        <charset val="1"/>
      </rPr>
      <t xml:space="preserve">100</t>
    </r>
    <r>
      <rPr>
        <sz val="9"/>
        <color rgb="FF555555"/>
        <rFont val="Noto Sans CJK SC"/>
        <family val="2"/>
      </rPr>
      <t xml:space="preserve">円のうち売上高に立つのは約</t>
    </r>
    <r>
      <rPr>
        <sz val="9"/>
        <color rgb="FF555555"/>
        <rFont val="Arial"/>
        <family val="0"/>
        <charset val="1"/>
      </rPr>
      <t xml:space="preserve">44</t>
    </r>
    <r>
      <rPr>
        <sz val="9"/>
        <color rgb="FF555555"/>
        <rFont val="Noto Sans CJK SC"/>
        <family val="2"/>
      </rPr>
      <t xml:space="preserve">円</t>
    </r>
  </si>
  <si>
    <r>
      <rPr>
        <sz val="9"/>
        <color rgb="FF555555"/>
        <rFont val="Noto Sans CJK SC"/>
        <family val="2"/>
      </rPr>
      <t xml:space="preserve">　検算：</t>
    </r>
    <r>
      <rPr>
        <sz val="9"/>
        <color rgb="FF555555"/>
        <rFont val="Arial"/>
        <family val="0"/>
        <charset val="1"/>
      </rPr>
      <t xml:space="preserve">2026/1</t>
    </r>
    <r>
      <rPr>
        <sz val="9"/>
        <color rgb="FF555555"/>
        <rFont val="Noto Sans CJK SC"/>
        <family val="2"/>
      </rPr>
      <t xml:space="preserve">〜</t>
    </r>
    <r>
      <rPr>
        <sz val="9"/>
        <color rgb="FF555555"/>
        <rFont val="Arial"/>
        <family val="0"/>
        <charset val="1"/>
      </rPr>
      <t xml:space="preserve">4</t>
    </r>
    <r>
      <rPr>
        <sz val="9"/>
        <color rgb="FF555555"/>
        <rFont val="Noto Sans CJK SC"/>
        <family val="2"/>
      </rPr>
      <t xml:space="preserve">月分の総取扱高／同月分のファイン入金</t>
    </r>
  </si>
  <si>
    <r>
      <rPr>
        <sz val="9"/>
        <color rgb="FF555555"/>
        <rFont val="Arial"/>
        <family val="0"/>
        <charset val="1"/>
      </rPr>
      <t xml:space="preserve">1</t>
    </r>
    <r>
      <rPr>
        <sz val="9"/>
        <color rgb="FF555555"/>
        <rFont val="Noto Sans CJK SC"/>
        <family val="2"/>
      </rPr>
      <t xml:space="preserve">か月遅れで翌月末入金。詳細は②シート</t>
    </r>
  </si>
  <si>
    <r>
      <rPr>
        <b val="true"/>
        <sz val="10"/>
        <rFont val="Noto Sans CJK SC"/>
        <family val="2"/>
      </rPr>
      <t xml:space="preserve">【</t>
    </r>
    <r>
      <rPr>
        <b val="true"/>
        <sz val="10"/>
        <rFont val="Arial"/>
        <family val="0"/>
        <charset val="1"/>
      </rPr>
      <t xml:space="preserve">4</t>
    </r>
    <r>
      <rPr>
        <b val="true"/>
        <sz val="10"/>
        <rFont val="Noto Sans CJK SC"/>
        <family val="2"/>
      </rPr>
      <t xml:space="preserve">】事業規模を示す実データの前年比</t>
    </r>
  </si>
  <si>
    <t xml:space="preserve">指標</t>
  </si>
  <si>
    <r>
      <rPr>
        <b val="true"/>
        <sz val="11"/>
        <color rgb="FFFFFFFF"/>
        <rFont val="Noto Sans CJK SC"/>
        <family val="2"/>
      </rPr>
      <t xml:space="preserve">当期 </t>
    </r>
    <r>
      <rPr>
        <b val="true"/>
        <sz val="11"/>
        <color rgb="FFFFFFFF"/>
        <rFont val="Arial"/>
        <family val="0"/>
        <charset val="1"/>
      </rPr>
      <t xml:space="preserve">2025/9</t>
    </r>
    <r>
      <rPr>
        <b val="true"/>
        <sz val="11"/>
        <color rgb="FFFFFFFF"/>
        <rFont val="Noto Sans CJK SC"/>
        <family val="2"/>
      </rPr>
      <t xml:space="preserve">〜</t>
    </r>
    <r>
      <rPr>
        <b val="true"/>
        <sz val="11"/>
        <color rgb="FFFFFFFF"/>
        <rFont val="Arial"/>
        <family val="0"/>
        <charset val="1"/>
      </rPr>
      <t xml:space="preserve">2026/8</t>
    </r>
  </si>
  <si>
    <t xml:space="preserve">出典</t>
  </si>
  <si>
    <t xml:space="preserve">課金会員数（期末）</t>
  </si>
  <si>
    <r>
      <rPr>
        <sz val="9"/>
        <color rgb="FF555555"/>
        <rFont val="Arial"/>
        <family val="0"/>
        <charset val="1"/>
      </rPr>
      <t xml:space="preserve">rpt_member_snapshots</t>
    </r>
    <r>
      <rPr>
        <sz val="9"/>
        <color rgb="FF555555"/>
        <rFont val="Noto Sans CJK SC"/>
        <family val="2"/>
      </rPr>
      <t xml:space="preserve">（③シート）</t>
    </r>
  </si>
  <si>
    <t xml:space="preserve">　期中の純増</t>
  </si>
  <si>
    <t xml:space="preserve">同上</t>
  </si>
  <si>
    <t xml:space="preserve">新規入会（期間合計）</t>
  </si>
  <si>
    <r>
      <rPr>
        <sz val="9"/>
        <color rgb="FF555555"/>
        <rFont val="Arial"/>
        <family val="0"/>
        <charset val="1"/>
      </rPr>
      <t xml:space="preserve">2024/11</t>
    </r>
    <r>
      <rPr>
        <sz val="9"/>
        <color rgb="FF555555"/>
        <rFont val="Noto Sans CJK SC"/>
        <family val="2"/>
      </rPr>
      <t xml:space="preserve">はスタッフ登録</t>
    </r>
    <r>
      <rPr>
        <sz val="9"/>
        <color rgb="FF555555"/>
        <rFont val="Arial"/>
        <family val="0"/>
        <charset val="1"/>
      </rPr>
      <t xml:space="preserve">10</t>
    </r>
    <r>
      <rPr>
        <sz val="9"/>
        <color rgb="FF555555"/>
        <rFont val="Noto Sans CJK SC"/>
        <family val="2"/>
      </rPr>
      <t xml:space="preserve">名を含む（③シート注記）</t>
    </r>
  </si>
  <si>
    <t xml:space="preserve">物販売上（税抜・宝塚）</t>
  </si>
  <si>
    <r>
      <rPr>
        <sz val="9"/>
        <color rgb="FF555555"/>
        <rFont val="Arial"/>
        <family val="0"/>
        <charset val="1"/>
      </rPr>
      <t xml:space="preserve">rpt_retail_sales</t>
    </r>
    <r>
      <rPr>
        <sz val="9"/>
        <color rgb="FF555555"/>
        <rFont val="Noto Sans CJK SC"/>
        <family val="2"/>
      </rPr>
      <t xml:space="preserve">（④シート）</t>
    </r>
  </si>
  <si>
    <t xml:space="preserve">キャディ派遣 売上</t>
  </si>
  <si>
    <t xml:space="preserve">前期はデータ未整備（⑤シート）</t>
  </si>
  <si>
    <t xml:space="preserve">■ 保証協会へのご説明の骨子</t>
  </si>
  <si>
    <r>
      <rPr>
        <sz val="10"/>
        <rFont val="Arial"/>
        <family val="0"/>
        <charset val="1"/>
      </rPr>
      <t xml:space="preserve">1. </t>
    </r>
    <r>
      <rPr>
        <sz val="10"/>
        <rFont val="Noto Sans CJK SC"/>
        <family val="2"/>
      </rPr>
      <t xml:space="preserve">売上高は前期比</t>
    </r>
    <r>
      <rPr>
        <sz val="10"/>
        <rFont val="Arial"/>
        <family val="0"/>
        <charset val="1"/>
      </rPr>
      <t xml:space="preserve">3.15</t>
    </r>
    <r>
      <rPr>
        <sz val="10"/>
        <rFont val="Noto Sans CJK SC"/>
        <family val="2"/>
      </rPr>
      <t xml:space="preserve">倍（月商換算</t>
    </r>
    <r>
      <rPr>
        <sz val="10"/>
        <rFont val="Arial"/>
        <family val="0"/>
        <charset val="1"/>
      </rPr>
      <t xml:space="preserve">+243.7%</t>
    </r>
    <r>
      <rPr>
        <sz val="10"/>
        <rFont val="Noto Sans CJK SC"/>
        <family val="2"/>
      </rPr>
      <t xml:space="preserve">）に伸びている。計画を下回っているのは事業の縮小ではない。</t>
    </r>
  </si>
  <si>
    <r>
      <rPr>
        <sz val="10"/>
        <rFont val="Arial"/>
        <family val="0"/>
        <charset val="1"/>
      </rPr>
      <t xml:space="preserve">2. GOLF WING </t>
    </r>
    <r>
      <rPr>
        <sz val="10"/>
        <rFont val="Noto Sans CJK SC"/>
        <family val="2"/>
      </rPr>
      <t xml:space="preserve">宝塚は、お客様のお支払い総額（月平均約</t>
    </r>
    <r>
      <rPr>
        <sz val="10"/>
        <rFont val="Arial"/>
        <family val="0"/>
        <charset val="1"/>
      </rPr>
      <t xml:space="preserve">457</t>
    </r>
    <r>
      <rPr>
        <sz val="10"/>
        <rFont val="Noto Sans CJK SC"/>
        <family val="2"/>
      </rPr>
      <t xml:space="preserve">万円）から、ファインが店舗の必要経費とロイヤリティを差し引いた</t>
    </r>
  </si>
  <si>
    <r>
      <rPr>
        <sz val="10"/>
        <rFont val="Noto Sans CJK SC"/>
        <family val="2"/>
      </rPr>
      <t xml:space="preserve">　　残額（月平均約</t>
    </r>
    <r>
      <rPr>
        <sz val="10"/>
        <rFont val="Arial"/>
        <family val="0"/>
        <charset val="1"/>
      </rPr>
      <t xml:space="preserve">202</t>
    </r>
    <r>
      <rPr>
        <sz val="10"/>
        <rFont val="Noto Sans CJK SC"/>
        <family val="2"/>
      </rPr>
      <t xml:space="preserve">万円）が当社に入金され、それだけが売上高に計上される。純額率は約</t>
    </r>
    <r>
      <rPr>
        <sz val="10"/>
        <rFont val="Arial"/>
        <family val="0"/>
        <charset val="1"/>
      </rPr>
      <t xml:space="preserve">44%</t>
    </r>
    <r>
      <rPr>
        <sz val="10"/>
        <rFont val="Noto Sans CJK SC"/>
        <family val="2"/>
      </rPr>
      <t xml:space="preserve">（月次では</t>
    </r>
    <r>
      <rPr>
        <sz val="10"/>
        <rFont val="Arial"/>
        <family val="0"/>
        <charset val="1"/>
      </rPr>
      <t xml:space="preserve">35</t>
    </r>
    <r>
      <rPr>
        <sz val="10"/>
        <rFont val="Noto Sans CJK SC"/>
        <family val="2"/>
      </rPr>
      <t xml:space="preserve">〜</t>
    </r>
    <r>
      <rPr>
        <sz val="10"/>
        <rFont val="Arial"/>
        <family val="0"/>
        <charset val="1"/>
      </rPr>
      <t xml:space="preserve">50%</t>
    </r>
    <r>
      <rPr>
        <sz val="10"/>
        <rFont val="Noto Sans CJK SC"/>
        <family val="2"/>
      </rPr>
      <t xml:space="preserve">）。</t>
    </r>
  </si>
  <si>
    <r>
      <rPr>
        <sz val="10"/>
        <rFont val="Noto Sans CJK SC"/>
        <family val="2"/>
      </rPr>
      <t xml:space="preserve">　　総額ベースなら年商約</t>
    </r>
    <r>
      <rPr>
        <sz val="10"/>
        <rFont val="Arial"/>
        <family val="0"/>
        <charset val="1"/>
      </rPr>
      <t xml:space="preserve">5,486</t>
    </r>
    <r>
      <rPr>
        <sz val="10"/>
        <rFont val="Noto Sans CJK SC"/>
        <family val="2"/>
      </rPr>
      <t xml:space="preserve">万円の規模だが、会計上は約</t>
    </r>
    <r>
      <rPr>
        <sz val="10"/>
        <rFont val="Arial"/>
        <family val="0"/>
        <charset val="1"/>
      </rPr>
      <t xml:space="preserve">2,418</t>
    </r>
    <r>
      <rPr>
        <sz val="10"/>
        <rFont val="Noto Sans CJK SC"/>
        <family val="2"/>
      </rPr>
      <t xml:space="preserve">万円としか表示されない（年約</t>
    </r>
    <r>
      <rPr>
        <sz val="10"/>
        <rFont val="Arial"/>
        <family val="0"/>
        <charset val="1"/>
      </rPr>
      <t xml:space="preserve">3,067</t>
    </r>
    <r>
      <rPr>
        <sz val="10"/>
        <rFont val="Noto Sans CJK SC"/>
        <family val="2"/>
      </rPr>
      <t xml:space="preserve">万円の差）。</t>
    </r>
  </si>
  <si>
    <r>
      <rPr>
        <sz val="10"/>
        <rFont val="Arial"/>
        <family val="0"/>
        <charset val="1"/>
      </rPr>
      <t xml:space="preserve">3. 2</t>
    </r>
    <r>
      <rPr>
        <sz val="10"/>
        <rFont val="Noto Sans CJK SC"/>
        <family val="2"/>
      </rPr>
      <t xml:space="preserve">号店 </t>
    </r>
    <r>
      <rPr>
        <sz val="10"/>
        <rFont val="Arial"/>
        <family val="0"/>
        <charset val="1"/>
      </rPr>
      <t xml:space="preserve">FRANK GOLF </t>
    </r>
    <r>
      <rPr>
        <sz val="10"/>
        <rFont val="Noto Sans CJK SC"/>
        <family val="2"/>
      </rPr>
      <t xml:space="preserve">姫路は</t>
    </r>
    <r>
      <rPr>
        <sz val="10"/>
        <rFont val="Arial"/>
        <family val="0"/>
        <charset val="1"/>
      </rPr>
      <t xml:space="preserve">2026</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2</t>
    </r>
    <r>
      <rPr>
        <sz val="10"/>
        <rFont val="Noto Sans CJK SC"/>
        <family val="2"/>
      </rPr>
      <t xml:space="preserve">日開業のため、当期の売上貢献はゼロ。当期は先行費用のみが計上されている。</t>
    </r>
  </si>
  <si>
    <r>
      <rPr>
        <sz val="10"/>
        <rFont val="Arial"/>
        <family val="0"/>
        <charset val="1"/>
      </rPr>
      <t xml:space="preserve">4. </t>
    </r>
    <r>
      <rPr>
        <sz val="10"/>
        <rFont val="Noto Sans CJK SC"/>
        <family val="2"/>
      </rPr>
      <t xml:space="preserve">事業規模の実態を示す会員数は、計画</t>
    </r>
    <r>
      <rPr>
        <sz val="10"/>
        <rFont val="Arial"/>
        <family val="0"/>
        <charset val="1"/>
      </rPr>
      <t xml:space="preserve">200</t>
    </r>
    <r>
      <rPr>
        <sz val="10"/>
        <rFont val="Noto Sans CJK SC"/>
        <family val="2"/>
      </rPr>
      <t xml:space="preserve">名に対し当期末</t>
    </r>
    <r>
      <rPr>
        <sz val="10"/>
        <rFont val="Arial"/>
        <family val="0"/>
        <charset val="1"/>
      </rPr>
      <t xml:space="preserve">218</t>
    </r>
    <r>
      <rPr>
        <sz val="10"/>
        <rFont val="Noto Sans CJK SC"/>
        <family val="2"/>
      </rPr>
      <t xml:space="preserve">名（達成率</t>
    </r>
    <r>
      <rPr>
        <sz val="10"/>
        <rFont val="Arial"/>
        <family val="0"/>
        <charset val="1"/>
      </rPr>
      <t xml:space="preserve">109%</t>
    </r>
    <r>
      <rPr>
        <sz val="10"/>
        <rFont val="Noto Sans CJK SC"/>
        <family val="2"/>
      </rPr>
      <t xml:space="preserve">）、前年同月比</t>
    </r>
    <r>
      <rPr>
        <sz val="10"/>
        <rFont val="Arial"/>
        <family val="0"/>
        <charset val="1"/>
      </rPr>
      <t xml:space="preserve">+51.4%</t>
    </r>
    <r>
      <rPr>
        <sz val="10"/>
        <rFont val="Noto Sans CJK SC"/>
        <family val="2"/>
      </rPr>
      <t xml:space="preserve">。</t>
    </r>
  </si>
  <si>
    <t xml:space="preserve">① 部門別収支（会計ベース）</t>
  </si>
  <si>
    <r>
      <rPr>
        <sz val="9"/>
        <color rgb="FF555555"/>
        <rFont val="Noto Sans CJK SC"/>
        <family val="2"/>
      </rPr>
      <t xml:space="preserve">出典</t>
    </r>
    <r>
      <rPr>
        <sz val="9"/>
        <color rgb="FF555555"/>
        <rFont val="Arial"/>
        <family val="0"/>
        <charset val="1"/>
      </rPr>
      <t xml:space="preserve">: YOZAN_</t>
    </r>
    <r>
      <rPr>
        <sz val="9"/>
        <color rgb="FF555555"/>
        <rFont val="Noto Sans CJK SC"/>
        <family val="2"/>
      </rPr>
      <t xml:space="preserve">全社資金繰り表</t>
    </r>
    <r>
      <rPr>
        <sz val="9"/>
        <color rgb="FF555555"/>
        <rFont val="Arial"/>
        <family val="0"/>
        <charset val="1"/>
      </rPr>
      <t xml:space="preserve">_20260817.xlsx</t>
    </r>
    <r>
      <rPr>
        <sz val="9"/>
        <color rgb="FF555555"/>
        <rFont val="Noto Sans CJK SC"/>
        <family val="2"/>
      </rPr>
      <t xml:space="preserve">「</t>
    </r>
    <r>
      <rPr>
        <sz val="9"/>
        <color rgb="FF555555"/>
        <rFont val="Arial"/>
        <family val="0"/>
        <charset val="1"/>
      </rPr>
      <t xml:space="preserve">4</t>
    </r>
    <r>
      <rPr>
        <sz val="9"/>
        <color rgb="FF555555"/>
        <rFont val="Noto Sans CJK SC"/>
        <family val="2"/>
      </rPr>
      <t xml:space="preserve">区分の収支」シート（対象 </t>
    </r>
    <r>
      <rPr>
        <sz val="9"/>
        <color rgb="FF555555"/>
        <rFont val="Arial"/>
        <family val="0"/>
        <charset val="1"/>
      </rPr>
      <t xml:space="preserve">2025/9/1</t>
    </r>
    <r>
      <rPr>
        <sz val="9"/>
        <color rgb="FF555555"/>
        <rFont val="Noto Sans CJK SC"/>
        <family val="2"/>
      </rPr>
      <t xml:space="preserve">〜</t>
    </r>
    <r>
      <rPr>
        <sz val="9"/>
        <color rgb="FF555555"/>
        <rFont val="Arial"/>
        <family val="0"/>
        <charset val="1"/>
      </rPr>
      <t xml:space="preserve">2026/7/31</t>
    </r>
    <r>
      <rPr>
        <sz val="9"/>
        <color rgb="FF555555"/>
        <rFont val="Noto Sans CJK SC"/>
        <family val="2"/>
      </rPr>
      <t xml:space="preserve">・</t>
    </r>
    <r>
      <rPr>
        <sz val="9"/>
        <color rgb="FF555555"/>
        <rFont val="Arial"/>
        <family val="0"/>
        <charset val="1"/>
      </rPr>
      <t xml:space="preserve">11</t>
    </r>
    <r>
      <rPr>
        <sz val="9"/>
        <color rgb="FF555555"/>
        <rFont val="Noto Sans CJK SC"/>
        <family val="2"/>
      </rPr>
      <t xml:space="preserve">か月／合計は残高試算表と整合）</t>
    </r>
  </si>
  <si>
    <t xml:space="preserve">※ 月次平均で作成された資料のため、ここでは月次平均のまま掲載する。期間合計は月数の取り方で変わるため税理士確認後に確定させること。</t>
  </si>
  <si>
    <r>
      <rPr>
        <b val="true"/>
        <sz val="11"/>
        <color rgb="FFFFFFFF"/>
        <rFont val="Noto Sans CJK SC"/>
        <family val="2"/>
      </rPr>
      <t xml:space="preserve">年換算（</t>
    </r>
    <r>
      <rPr>
        <b val="true"/>
        <sz val="11"/>
        <color rgb="FFFFFFFF"/>
        <rFont val="Arial"/>
        <family val="0"/>
        <charset val="1"/>
      </rPr>
      <t xml:space="preserve">×12</t>
    </r>
    <r>
      <rPr>
        <b val="true"/>
        <sz val="11"/>
        <color rgb="FFFFFFFF"/>
        <rFont val="Noto Sans CJK SC"/>
        <family val="2"/>
      </rPr>
      <t xml:space="preserve">）</t>
    </r>
  </si>
  <si>
    <t xml:space="preserve">構成</t>
  </si>
  <si>
    <t xml:space="preserve">内容・注記</t>
  </si>
  <si>
    <r>
      <rPr>
        <b val="true"/>
        <sz val="10"/>
        <rFont val="Noto Sans CJK SC"/>
        <family val="2"/>
      </rPr>
      <t xml:space="preserve">事業</t>
    </r>
    <r>
      <rPr>
        <b val="true"/>
        <sz val="10"/>
        <rFont val="Arial"/>
        <family val="0"/>
        <charset val="1"/>
      </rPr>
      <t xml:space="preserve">3</t>
    </r>
    <r>
      <rPr>
        <b val="true"/>
        <sz val="10"/>
        <rFont val="Noto Sans CJK SC"/>
        <family val="2"/>
      </rPr>
      <t xml:space="preserve">部門 小計</t>
    </r>
  </si>
  <si>
    <r>
      <rPr>
        <sz val="9"/>
        <color rgb="FF555555"/>
        <rFont val="Noto Sans CJK SC"/>
        <family val="2"/>
      </rPr>
      <t xml:space="preserve">キャディ＋</t>
    </r>
    <r>
      <rPr>
        <sz val="9"/>
        <color rgb="FF555555"/>
        <rFont val="Arial"/>
        <family val="0"/>
        <charset val="1"/>
      </rPr>
      <t xml:space="preserve">GOLF WING</t>
    </r>
    <r>
      <rPr>
        <sz val="9"/>
        <color rgb="FF555555"/>
        <rFont val="Noto Sans CJK SC"/>
        <family val="2"/>
      </rPr>
      <t xml:space="preserve">＋</t>
    </r>
    <r>
      <rPr>
        <sz val="9"/>
        <color rgb="FF555555"/>
        <rFont val="Arial"/>
        <family val="0"/>
        <charset val="1"/>
      </rPr>
      <t xml:space="preserve">FRANK</t>
    </r>
  </si>
  <si>
    <t xml:space="preserve">合計</t>
  </si>
  <si>
    <t xml:space="preserve">本社共通を含む</t>
  </si>
  <si>
    <t xml:space="preserve">■ 読み方</t>
  </si>
  <si>
    <r>
      <rPr>
        <sz val="10"/>
        <rFont val="Noto Sans CJK SC"/>
        <family val="2"/>
      </rPr>
      <t xml:space="preserve">・事業</t>
    </r>
    <r>
      <rPr>
        <sz val="10"/>
        <rFont val="Arial"/>
        <family val="0"/>
        <charset val="1"/>
      </rPr>
      <t xml:space="preserve">3</t>
    </r>
    <r>
      <rPr>
        <sz val="10"/>
        <rFont val="Noto Sans CJK SC"/>
        <family val="2"/>
      </rPr>
      <t xml:space="preserve">部門は合計で月</t>
    </r>
    <r>
      <rPr>
        <sz val="10"/>
        <rFont val="Arial"/>
        <family val="0"/>
        <charset val="1"/>
      </rPr>
      <t xml:space="preserve">90</t>
    </r>
    <r>
      <rPr>
        <sz val="10"/>
        <rFont val="Noto Sans CJK SC"/>
        <family val="2"/>
      </rPr>
      <t xml:space="preserve">万円台の営業利益を出している。赤字の発生源は本社・共通（役員報酬・システム内製化・本部経費）。</t>
    </r>
  </si>
  <si>
    <r>
      <rPr>
        <sz val="10"/>
        <rFont val="Noto Sans CJK SC"/>
        <family val="2"/>
      </rPr>
      <t xml:space="preserve">・</t>
    </r>
    <r>
      <rPr>
        <sz val="10"/>
        <rFont val="Arial"/>
        <family val="0"/>
        <charset val="1"/>
      </rPr>
      <t xml:space="preserve">GOLF WING </t>
    </r>
    <r>
      <rPr>
        <sz val="10"/>
        <rFont val="Noto Sans CJK SC"/>
        <family val="2"/>
      </rPr>
      <t xml:space="preserve">の「月次平均 </t>
    </r>
    <r>
      <rPr>
        <sz val="10"/>
        <rFont val="Arial"/>
        <family val="0"/>
        <charset val="1"/>
      </rPr>
      <t xml:space="preserve">484,318</t>
    </r>
    <r>
      <rPr>
        <sz val="10"/>
        <rFont val="Noto Sans CJK SC"/>
        <family val="2"/>
      </rPr>
      <t xml:space="preserve">円」は、ファイン精算後の入金から当社負担の人件費等を引いた後の数字である（②シート参照）。</t>
    </r>
  </si>
  <si>
    <r>
      <rPr>
        <sz val="10"/>
        <rFont val="Noto Sans CJK SC"/>
        <family val="2"/>
      </rPr>
      <t xml:space="preserve">・</t>
    </r>
    <r>
      <rPr>
        <sz val="10"/>
        <rFont val="Arial"/>
        <family val="0"/>
        <charset val="1"/>
      </rPr>
      <t xml:space="preserve">FRANK GOLF </t>
    </r>
    <r>
      <rPr>
        <sz val="10"/>
        <rFont val="Noto Sans CJK SC"/>
        <family val="2"/>
      </rPr>
      <t xml:space="preserve">は当期売上ゼロ・先行費用のみ。</t>
    </r>
    <r>
      <rPr>
        <sz val="10"/>
        <rFont val="Arial"/>
        <family val="0"/>
        <charset val="1"/>
      </rPr>
      <t xml:space="preserve">2026</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2</t>
    </r>
    <r>
      <rPr>
        <sz val="10"/>
        <rFont val="Noto Sans CJK SC"/>
        <family val="2"/>
      </rPr>
      <t xml:space="preserve">日開業のため、収益貢献は翌期から。</t>
    </r>
  </si>
  <si>
    <r>
      <rPr>
        <sz val="10"/>
        <rFont val="Noto Sans CJK SC"/>
        <family val="2"/>
      </rPr>
      <t xml:space="preserve">・地代家賃 </t>
    </r>
    <r>
      <rPr>
        <sz val="10"/>
        <rFont val="Arial"/>
        <family val="0"/>
        <charset val="1"/>
      </rPr>
      <t xml:space="preserve">440,000</t>
    </r>
    <r>
      <rPr>
        <sz val="10"/>
        <rFont val="Noto Sans CJK SC"/>
        <family val="2"/>
      </rPr>
      <t xml:space="preserve">円</t>
    </r>
    <r>
      <rPr>
        <sz val="10"/>
        <rFont val="Arial"/>
        <family val="0"/>
        <charset val="1"/>
      </rPr>
      <t xml:space="preserve">/</t>
    </r>
    <r>
      <rPr>
        <sz val="10"/>
        <rFont val="Noto Sans CJK SC"/>
        <family val="2"/>
      </rPr>
      <t xml:space="preserve">月（</t>
    </r>
    <r>
      <rPr>
        <sz val="10"/>
        <rFont val="Arial"/>
        <family val="0"/>
        <charset val="1"/>
      </rPr>
      <t xml:space="preserve">2026</t>
    </r>
    <r>
      <rPr>
        <sz val="10"/>
        <rFont val="Noto Sans CJK SC"/>
        <family val="2"/>
      </rPr>
      <t xml:space="preserve">年</t>
    </r>
    <r>
      <rPr>
        <sz val="10"/>
        <rFont val="Arial"/>
        <family val="0"/>
        <charset val="1"/>
      </rPr>
      <t xml:space="preserve">6</t>
    </r>
    <r>
      <rPr>
        <sz val="10"/>
        <rFont val="Noto Sans CJK SC"/>
        <family val="2"/>
      </rPr>
      <t xml:space="preserve">月計上開始）＝</t>
    </r>
    <r>
      <rPr>
        <sz val="10"/>
        <rFont val="Arial"/>
        <family val="0"/>
        <charset val="1"/>
      </rPr>
      <t xml:space="preserve">FRANK GOLF </t>
    </r>
    <r>
      <rPr>
        <sz val="10"/>
        <rFont val="Noto Sans CJK SC"/>
        <family val="2"/>
      </rPr>
      <t xml:space="preserve">姫路の家賃。当期は</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月の</t>
    </r>
    <r>
      <rPr>
        <sz val="10"/>
        <rFont val="Arial"/>
        <family val="0"/>
        <charset val="1"/>
      </rPr>
      <t xml:space="preserve">2</t>
    </r>
    <r>
      <rPr>
        <sz val="10"/>
        <rFont val="Noto Sans CJK SC"/>
        <family val="2"/>
      </rPr>
      <t xml:space="preserve">か月分▲</t>
    </r>
    <r>
      <rPr>
        <sz val="10"/>
        <rFont val="Arial"/>
        <family val="0"/>
        <charset val="1"/>
      </rPr>
      <t xml:space="preserve">880,000</t>
    </r>
    <r>
      <rPr>
        <sz val="10"/>
        <rFont val="Noto Sans CJK SC"/>
        <family val="2"/>
      </rPr>
      <t xml:space="preserve">円を計上。</t>
    </r>
  </si>
  <si>
    <r>
      <rPr>
        <b val="true"/>
        <sz val="14"/>
        <rFont val="Arial"/>
        <family val="0"/>
        <charset val="1"/>
      </rPr>
      <t xml:space="preserve">② GOLF WING </t>
    </r>
    <r>
      <rPr>
        <b val="true"/>
        <sz val="14"/>
        <rFont val="Noto Sans CJK SC"/>
        <family val="2"/>
      </rPr>
      <t xml:space="preserve">宝塚：お客様のお支払い総額 と 当社への入金</t>
    </r>
  </si>
  <si>
    <r>
      <rPr>
        <sz val="9"/>
        <color rgb="FF555555"/>
        <rFont val="Noto Sans CJK SC"/>
        <family val="2"/>
      </rPr>
      <t xml:space="preserve">出典</t>
    </r>
    <r>
      <rPr>
        <sz val="9"/>
        <color rgb="FF555555"/>
        <rFont val="Arial"/>
        <family val="0"/>
        <charset val="1"/>
      </rPr>
      <t xml:space="preserve">: Supabase mon_sales</t>
    </r>
    <r>
      <rPr>
        <sz val="9"/>
        <color rgb="FF555555"/>
        <rFont val="Noto Sans CJK SC"/>
        <family val="2"/>
      </rPr>
      <t xml:space="preserve">（売上台帳・税抜） </t>
    </r>
    <r>
      <rPr>
        <sz val="9"/>
        <color rgb="FF555555"/>
        <rFont val="Arial"/>
        <family val="0"/>
        <charset val="1"/>
      </rPr>
      <t xml:space="preserve">/ mon_bank_txn</t>
    </r>
    <r>
      <rPr>
        <sz val="9"/>
        <color rgb="FF555555"/>
        <rFont val="Noto Sans CJK SC"/>
        <family val="2"/>
      </rPr>
      <t xml:space="preserve">（尼崎信金 鴻池支店 通帳）</t>
    </r>
  </si>
  <si>
    <r>
      <rPr>
        <sz val="9"/>
        <color rgb="FF555555"/>
        <rFont val="Arial"/>
        <family val="0"/>
        <charset val="1"/>
      </rPr>
      <t xml:space="preserve">2026/1</t>
    </r>
    <r>
      <rPr>
        <sz val="9"/>
        <color rgb="FF555555"/>
        <rFont val="Noto Sans CJK SC"/>
        <family val="2"/>
      </rPr>
      <t xml:space="preserve">〜</t>
    </r>
    <r>
      <rPr>
        <sz val="9"/>
        <color rgb="FF555555"/>
        <rFont val="Arial"/>
        <family val="0"/>
        <charset val="1"/>
      </rPr>
      <t xml:space="preserve">6</t>
    </r>
    <r>
      <rPr>
        <sz val="9"/>
        <color rgb="FF555555"/>
        <rFont val="Noto Sans CJK SC"/>
        <family val="2"/>
      </rPr>
      <t xml:space="preserve">の</t>
    </r>
    <r>
      <rPr>
        <sz val="9"/>
        <color rgb="FF555555"/>
        <rFont val="Arial"/>
        <family val="0"/>
        <charset val="1"/>
      </rPr>
      <t xml:space="preserve">6</t>
    </r>
    <r>
      <rPr>
        <sz val="9"/>
        <color rgb="FF555555"/>
        <rFont val="Noto Sans CJK SC"/>
        <family val="2"/>
      </rPr>
      <t xml:space="preserve">か月＝月会費が台帳に揃っている確定期間。</t>
    </r>
    <r>
      <rPr>
        <sz val="9"/>
        <color rgb="FF555555"/>
        <rFont val="Arial"/>
        <family val="0"/>
        <charset val="1"/>
      </rPr>
      <t xml:space="preserve">2026/7</t>
    </r>
    <r>
      <rPr>
        <sz val="9"/>
        <color rgb="FF555555"/>
        <rFont val="Noto Sans CJK SC"/>
        <family val="2"/>
      </rPr>
      <t xml:space="preserve">以降は月会費が</t>
    </r>
    <r>
      <rPr>
        <sz val="9"/>
        <color rgb="FF555555"/>
        <rFont val="Arial"/>
        <family val="0"/>
        <charset val="1"/>
      </rPr>
      <t xml:space="preserve">Money OS</t>
    </r>
    <r>
      <rPr>
        <sz val="9"/>
        <color rgb="FF555555"/>
        <rFont val="Noto Sans CJK SC"/>
        <family val="2"/>
      </rPr>
      <t xml:space="preserve">未取込のため除外</t>
    </r>
  </si>
  <si>
    <t xml:space="preserve">対象月</t>
  </si>
  <si>
    <t xml:space="preserve">月会費</t>
  </si>
  <si>
    <t xml:space="preserve">物販</t>
  </si>
  <si>
    <t xml:space="preserve">打席利用料</t>
  </si>
  <si>
    <t xml:space="preserve">その他</t>
  </si>
  <si>
    <t xml:space="preserve">総取扱高 ①</t>
  </si>
  <si>
    <t xml:space="preserve">入金月</t>
  </si>
  <si>
    <t xml:space="preserve">ファイン入金 ②</t>
  </si>
  <si>
    <t xml:space="preserve">2026-01</t>
  </si>
  <si>
    <t xml:space="preserve">2026-02-27</t>
  </si>
  <si>
    <t xml:space="preserve">2026-02</t>
  </si>
  <si>
    <t xml:space="preserve">2026-03-31</t>
  </si>
  <si>
    <t xml:space="preserve">2026-03</t>
  </si>
  <si>
    <t xml:space="preserve">2026-04-30</t>
  </si>
  <si>
    <t xml:space="preserve">2026-04</t>
  </si>
  <si>
    <t xml:space="preserve">2026-05-29</t>
  </si>
  <si>
    <t xml:space="preserve">2026-05</t>
  </si>
  <si>
    <t xml:space="preserve">（未取込）</t>
  </si>
  <si>
    <t xml:space="preserve">2026-06</t>
  </si>
  <si>
    <r>
      <rPr>
        <b val="true"/>
        <sz val="10"/>
        <rFont val="Noto Sans CJK SC"/>
        <family val="2"/>
      </rPr>
      <t xml:space="preserve">■ 対応する月どうしの比較（</t>
    </r>
    <r>
      <rPr>
        <b val="true"/>
        <sz val="10"/>
        <rFont val="Arial"/>
        <family val="0"/>
        <charset val="1"/>
      </rPr>
      <t xml:space="preserve">2026</t>
    </r>
    <r>
      <rPr>
        <b val="true"/>
        <sz val="10"/>
        <rFont val="Noto Sans CJK SC"/>
        <family val="2"/>
      </rPr>
      <t xml:space="preserve">年</t>
    </r>
    <r>
      <rPr>
        <b val="true"/>
        <sz val="10"/>
        <rFont val="Arial"/>
        <family val="0"/>
        <charset val="1"/>
      </rPr>
      <t xml:space="preserve">1</t>
    </r>
    <r>
      <rPr>
        <b val="true"/>
        <sz val="10"/>
        <rFont val="Noto Sans CJK SC"/>
        <family val="2"/>
      </rPr>
      <t xml:space="preserve">〜</t>
    </r>
    <r>
      <rPr>
        <b val="true"/>
        <sz val="10"/>
        <rFont val="Arial"/>
        <family val="0"/>
        <charset val="1"/>
      </rPr>
      <t xml:space="preserve">4</t>
    </r>
    <r>
      <rPr>
        <b val="true"/>
        <sz val="10"/>
        <rFont val="Noto Sans CJK SC"/>
        <family val="2"/>
      </rPr>
      <t xml:space="preserve">月分）</t>
    </r>
  </si>
  <si>
    <r>
      <rPr>
        <sz val="10"/>
        <rFont val="Noto Sans CJK SC"/>
        <family val="2"/>
      </rPr>
      <t xml:space="preserve">総取扱高（</t>
    </r>
    <r>
      <rPr>
        <sz val="10"/>
        <rFont val="Arial"/>
        <family val="0"/>
        <charset val="1"/>
      </rPr>
      <t xml:space="preserve">1</t>
    </r>
    <r>
      <rPr>
        <sz val="10"/>
        <rFont val="Noto Sans CJK SC"/>
        <family val="2"/>
      </rPr>
      <t xml:space="preserve">〜</t>
    </r>
    <r>
      <rPr>
        <sz val="10"/>
        <rFont val="Arial"/>
        <family val="0"/>
        <charset val="1"/>
      </rPr>
      <t xml:space="preserve">4</t>
    </r>
    <r>
      <rPr>
        <sz val="10"/>
        <rFont val="Noto Sans CJK SC"/>
        <family val="2"/>
      </rPr>
      <t xml:space="preserve">月分）</t>
    </r>
  </si>
  <si>
    <r>
      <rPr>
        <sz val="10"/>
        <rFont val="Noto Sans CJK SC"/>
        <family val="2"/>
      </rPr>
      <t xml:space="preserve">ファイン入金（同 </t>
    </r>
    <r>
      <rPr>
        <sz val="10"/>
        <rFont val="Arial"/>
        <family val="0"/>
        <charset val="1"/>
      </rPr>
      <t xml:space="preserve">1</t>
    </r>
    <r>
      <rPr>
        <sz val="10"/>
        <rFont val="Noto Sans CJK SC"/>
        <family val="2"/>
      </rPr>
      <t xml:space="preserve">〜</t>
    </r>
    <r>
      <rPr>
        <sz val="10"/>
        <rFont val="Arial"/>
        <family val="0"/>
        <charset val="1"/>
      </rPr>
      <t xml:space="preserve">4</t>
    </r>
    <r>
      <rPr>
        <sz val="10"/>
        <rFont val="Noto Sans CJK SC"/>
        <family val="2"/>
      </rPr>
      <t xml:space="preserve">月分）</t>
    </r>
  </si>
  <si>
    <t xml:space="preserve">差引＝ファインが控除した額</t>
  </si>
  <si>
    <r>
      <rPr>
        <b val="true"/>
        <sz val="10"/>
        <rFont val="Noto Sans CJK SC"/>
        <family val="2"/>
      </rPr>
      <t xml:space="preserve">純額率（入金</t>
    </r>
    <r>
      <rPr>
        <b val="true"/>
        <sz val="10"/>
        <rFont val="Arial"/>
        <family val="0"/>
        <charset val="1"/>
      </rPr>
      <t xml:space="preserve">÷</t>
    </r>
    <r>
      <rPr>
        <b val="true"/>
        <sz val="10"/>
        <rFont val="Noto Sans CJK SC"/>
        <family val="2"/>
      </rPr>
      <t xml:space="preserve">総取扱高）</t>
    </r>
  </si>
  <si>
    <t xml:space="preserve">控除率</t>
  </si>
  <si>
    <r>
      <rPr>
        <b val="true"/>
        <sz val="10"/>
        <rFont val="Noto Sans CJK SC"/>
        <family val="2"/>
      </rPr>
      <t xml:space="preserve">■ 控除の中身（</t>
    </r>
    <r>
      <rPr>
        <b val="true"/>
        <sz val="10"/>
        <rFont val="Arial"/>
        <family val="0"/>
        <charset val="1"/>
      </rPr>
      <t xml:space="preserve">2026</t>
    </r>
    <r>
      <rPr>
        <b val="true"/>
        <sz val="10"/>
        <rFont val="Noto Sans CJK SC"/>
        <family val="2"/>
      </rPr>
      <t xml:space="preserve">年</t>
    </r>
    <r>
      <rPr>
        <b val="true"/>
        <sz val="10"/>
        <rFont val="Arial"/>
        <family val="0"/>
        <charset val="1"/>
      </rPr>
      <t xml:space="preserve">5</t>
    </r>
    <r>
      <rPr>
        <b val="true"/>
        <sz val="10"/>
        <rFont val="Noto Sans CJK SC"/>
        <family val="2"/>
      </rPr>
      <t xml:space="preserve">月にファインから受領した経費明細＝</t>
    </r>
    <r>
      <rPr>
        <b val="true"/>
        <sz val="10"/>
        <rFont val="Arial"/>
        <family val="0"/>
        <charset val="1"/>
      </rPr>
      <t xml:space="preserve">4</t>
    </r>
    <r>
      <rPr>
        <b val="true"/>
        <sz val="10"/>
        <rFont val="Noto Sans CJK SC"/>
        <family val="2"/>
      </rPr>
      <t xml:space="preserve">月分確定）</t>
    </r>
  </si>
  <si>
    <t xml:space="preserve">科目</t>
  </si>
  <si>
    <t xml:space="preserve">売上原価（仕入）</t>
  </si>
  <si>
    <t xml:space="preserve">地代家賃</t>
  </si>
  <si>
    <t xml:space="preserve">水道光熱費</t>
  </si>
  <si>
    <t xml:space="preserve">広告宣伝費</t>
  </si>
  <si>
    <t xml:space="preserve">消耗品・備品</t>
  </si>
  <si>
    <t xml:space="preserve">その他経費</t>
  </si>
  <si>
    <t xml:space="preserve">経費明細 合計</t>
  </si>
  <si>
    <r>
      <rPr>
        <sz val="9"/>
        <color rgb="FF555555"/>
        <rFont val="Noto Sans CJK SC"/>
        <family val="2"/>
      </rPr>
      <t xml:space="preserve">（参考）</t>
    </r>
    <r>
      <rPr>
        <sz val="9"/>
        <color rgb="FF555555"/>
        <rFont val="Arial"/>
        <family val="0"/>
        <charset val="1"/>
      </rPr>
      <t xml:space="preserve">4</t>
    </r>
    <r>
      <rPr>
        <sz val="9"/>
        <color rgb="FF555555"/>
        <rFont val="Noto Sans CJK SC"/>
        <family val="2"/>
      </rPr>
      <t xml:space="preserve">月分の総取扱高</t>
    </r>
  </si>
  <si>
    <r>
      <rPr>
        <sz val="9"/>
        <color rgb="FF555555"/>
        <rFont val="Noto Sans CJK SC"/>
        <family val="2"/>
      </rPr>
      <t xml:space="preserve">（参考）</t>
    </r>
    <r>
      <rPr>
        <sz val="9"/>
        <color rgb="FF555555"/>
        <rFont val="Arial"/>
        <family val="0"/>
        <charset val="1"/>
      </rPr>
      <t xml:space="preserve">4</t>
    </r>
    <r>
      <rPr>
        <sz val="9"/>
        <color rgb="FF555555"/>
        <rFont val="Noto Sans CJK SC"/>
        <family val="2"/>
      </rPr>
      <t xml:space="preserve">月分の入金（</t>
    </r>
    <r>
      <rPr>
        <sz val="9"/>
        <color rgb="FF555555"/>
        <rFont val="Arial"/>
        <family val="0"/>
        <charset val="1"/>
      </rPr>
      <t xml:space="preserve">5/29</t>
    </r>
    <r>
      <rPr>
        <sz val="9"/>
        <color rgb="FF555555"/>
        <rFont val="Noto Sans CJK SC"/>
        <family val="2"/>
      </rPr>
      <t xml:space="preserve">）</t>
    </r>
  </si>
  <si>
    <t xml:space="preserve">差額のうち経費明細以外＝人件費・ロイヤリティ等</t>
  </si>
  <si>
    <r>
      <rPr>
        <sz val="9"/>
        <color rgb="FF555555"/>
        <rFont val="Noto Sans CJK SC"/>
        <family val="2"/>
      </rPr>
      <t xml:space="preserve">※ 入金は当月分を翌月末に受領（</t>
    </r>
    <r>
      <rPr>
        <sz val="9"/>
        <color rgb="FF555555"/>
        <rFont val="Arial"/>
        <family val="0"/>
        <charset val="1"/>
      </rPr>
      <t xml:space="preserve">1</t>
    </r>
    <r>
      <rPr>
        <sz val="9"/>
        <color rgb="FF555555"/>
        <rFont val="Noto Sans CJK SC"/>
        <family val="2"/>
      </rPr>
      <t xml:space="preserve">月分→</t>
    </r>
    <r>
      <rPr>
        <sz val="9"/>
        <color rgb="FF555555"/>
        <rFont val="Arial"/>
        <family val="0"/>
        <charset val="1"/>
      </rPr>
      <t xml:space="preserve">2/27</t>
    </r>
    <r>
      <rPr>
        <sz val="9"/>
        <color rgb="FF555555"/>
        <rFont val="Noto Sans CJK SC"/>
        <family val="2"/>
      </rPr>
      <t xml:space="preserve">、</t>
    </r>
    <r>
      <rPr>
        <sz val="9"/>
        <color rgb="FF555555"/>
        <rFont val="Arial"/>
        <family val="0"/>
        <charset val="1"/>
      </rPr>
      <t xml:space="preserve">2</t>
    </r>
    <r>
      <rPr>
        <sz val="9"/>
        <color rgb="FF555555"/>
        <rFont val="Noto Sans CJK SC"/>
        <family val="2"/>
      </rPr>
      <t xml:space="preserve">月分→</t>
    </r>
    <r>
      <rPr>
        <sz val="9"/>
        <color rgb="FF555555"/>
        <rFont val="Arial"/>
        <family val="0"/>
        <charset val="1"/>
      </rPr>
      <t xml:space="preserve">3/31</t>
    </r>
    <r>
      <rPr>
        <sz val="9"/>
        <color rgb="FF555555"/>
        <rFont val="Noto Sans CJK SC"/>
        <family val="2"/>
      </rPr>
      <t xml:space="preserve">、</t>
    </r>
    <r>
      <rPr>
        <sz val="9"/>
        <color rgb="FF555555"/>
        <rFont val="Arial"/>
        <family val="0"/>
        <charset val="1"/>
      </rPr>
      <t xml:space="preserve">3</t>
    </r>
    <r>
      <rPr>
        <sz val="9"/>
        <color rgb="FF555555"/>
        <rFont val="Noto Sans CJK SC"/>
        <family val="2"/>
      </rPr>
      <t xml:space="preserve">月分→</t>
    </r>
    <r>
      <rPr>
        <sz val="9"/>
        <color rgb="FF555555"/>
        <rFont val="Arial"/>
        <family val="0"/>
        <charset val="1"/>
      </rPr>
      <t xml:space="preserve">4/30</t>
    </r>
    <r>
      <rPr>
        <sz val="9"/>
        <color rgb="FF555555"/>
        <rFont val="Noto Sans CJK SC"/>
        <family val="2"/>
      </rPr>
      <t xml:space="preserve">、</t>
    </r>
    <r>
      <rPr>
        <sz val="9"/>
        <color rgb="FF555555"/>
        <rFont val="Arial"/>
        <family val="0"/>
        <charset val="1"/>
      </rPr>
      <t xml:space="preserve">4</t>
    </r>
    <r>
      <rPr>
        <sz val="9"/>
        <color rgb="FF555555"/>
        <rFont val="Noto Sans CJK SC"/>
        <family val="2"/>
      </rPr>
      <t xml:space="preserve">月分→</t>
    </r>
    <r>
      <rPr>
        <sz val="9"/>
        <color rgb="FF555555"/>
        <rFont val="Arial"/>
        <family val="0"/>
        <charset val="1"/>
      </rPr>
      <t xml:space="preserve">5/29</t>
    </r>
    <r>
      <rPr>
        <sz val="9"/>
        <color rgb="FF555555"/>
        <rFont val="Noto Sans CJK SC"/>
        <family val="2"/>
      </rPr>
      <t xml:space="preserve">）。</t>
    </r>
  </si>
  <si>
    <r>
      <rPr>
        <sz val="9"/>
        <color rgb="FF555555"/>
        <rFont val="Arial"/>
        <family val="0"/>
        <charset val="1"/>
      </rPr>
      <t xml:space="preserve">※ mon_bank_txn </t>
    </r>
    <r>
      <rPr>
        <sz val="9"/>
        <color rgb="FF555555"/>
        <rFont val="Noto Sans CJK SC"/>
        <family val="2"/>
      </rPr>
      <t xml:space="preserve">は</t>
    </r>
    <r>
      <rPr>
        <sz val="9"/>
        <color rgb="FF555555"/>
        <rFont val="Arial"/>
        <family val="0"/>
        <charset val="1"/>
      </rPr>
      <t xml:space="preserve">2026</t>
    </r>
    <r>
      <rPr>
        <sz val="9"/>
        <color rgb="FF555555"/>
        <rFont val="Noto Sans CJK SC"/>
        <family val="2"/>
      </rPr>
      <t xml:space="preserve">年</t>
    </r>
    <r>
      <rPr>
        <sz val="9"/>
        <color rgb="FF555555"/>
        <rFont val="Arial"/>
        <family val="0"/>
        <charset val="1"/>
      </rPr>
      <t xml:space="preserve">6</t>
    </r>
    <r>
      <rPr>
        <sz val="9"/>
        <color rgb="FF555555"/>
        <rFont val="Noto Sans CJK SC"/>
        <family val="2"/>
      </rPr>
      <t xml:space="preserve">月</t>
    </r>
    <r>
      <rPr>
        <sz val="9"/>
        <color rgb="FF555555"/>
        <rFont val="Arial"/>
        <family val="0"/>
        <charset val="1"/>
      </rPr>
      <t xml:space="preserve">2</t>
    </r>
    <r>
      <rPr>
        <sz val="9"/>
        <color rgb="FF555555"/>
        <rFont val="Noto Sans CJK SC"/>
        <family val="2"/>
      </rPr>
      <t xml:space="preserve">日までの取込。</t>
    </r>
    <r>
      <rPr>
        <sz val="9"/>
        <color rgb="FF555555"/>
        <rFont val="Arial"/>
        <family val="0"/>
        <charset val="1"/>
      </rPr>
      <t xml:space="preserve">5</t>
    </r>
    <r>
      <rPr>
        <sz val="9"/>
        <color rgb="FF555555"/>
        <rFont val="Noto Sans CJK SC"/>
        <family val="2"/>
      </rPr>
      <t xml:space="preserve">月分以降の入金は通帳から追加取込が必要。</t>
    </r>
  </si>
  <si>
    <r>
      <rPr>
        <b val="true"/>
        <sz val="14"/>
        <rFont val="Noto Sans CJK SC"/>
        <family val="2"/>
      </rPr>
      <t xml:space="preserve">③ 課金会員数の推移（</t>
    </r>
    <r>
      <rPr>
        <b val="true"/>
        <sz val="14"/>
        <rFont val="Arial"/>
        <family val="0"/>
        <charset val="1"/>
      </rPr>
      <t xml:space="preserve">GOLF WING </t>
    </r>
    <r>
      <rPr>
        <b val="true"/>
        <sz val="14"/>
        <rFont val="Noto Sans CJK SC"/>
        <family val="2"/>
      </rPr>
      <t xml:space="preserve">宝塚）</t>
    </r>
  </si>
  <si>
    <r>
      <rPr>
        <sz val="9"/>
        <color rgb="FF555555"/>
        <rFont val="Noto Sans CJK SC"/>
        <family val="2"/>
      </rPr>
      <t xml:space="preserve">出典</t>
    </r>
    <r>
      <rPr>
        <sz val="9"/>
        <color rgb="FF555555"/>
        <rFont val="Arial"/>
        <family val="0"/>
        <charset val="1"/>
      </rPr>
      <t xml:space="preserve">: Supabase rpt_member_snapshots </t>
    </r>
    <r>
      <rPr>
        <sz val="9"/>
        <color rgb="FF555555"/>
        <rFont val="Noto Sans CJK SC"/>
        <family val="2"/>
      </rPr>
      <t xml:space="preserve">／ 定義＝在籍 − スタッフ − モニター会員 − 法人会員</t>
    </r>
    <r>
      <rPr>
        <sz val="9"/>
        <color rgb="FF555555"/>
        <rFont val="Arial"/>
        <family val="0"/>
        <charset val="1"/>
      </rPr>
      <t xml:space="preserve">2</t>
    </r>
    <r>
      <rPr>
        <sz val="9"/>
        <color rgb="FF555555"/>
        <rFont val="Noto Sans CJK SC"/>
        <family val="2"/>
      </rPr>
      <t xml:space="preserve">枚目</t>
    </r>
  </si>
  <si>
    <t xml:space="preserve">月</t>
  </si>
  <si>
    <t xml:space="preserve">当期 会員数</t>
  </si>
  <si>
    <t xml:space="preserve">前年同月</t>
  </si>
  <si>
    <t xml:space="preserve">前年同月比</t>
  </si>
  <si>
    <t xml:space="preserve">当期 新規入会</t>
  </si>
  <si>
    <t xml:space="preserve">前年 新規入会</t>
  </si>
  <si>
    <t xml:space="preserve">2025-09</t>
  </si>
  <si>
    <t xml:space="preserve">2025-10</t>
  </si>
  <si>
    <t xml:space="preserve">2025-11</t>
  </si>
  <si>
    <t xml:space="preserve">2025-12</t>
  </si>
  <si>
    <t xml:space="preserve">2026-07</t>
  </si>
  <si>
    <t xml:space="preserve">2026-08</t>
  </si>
  <si>
    <t xml:space="preserve">期末／合計</t>
  </si>
  <si>
    <r>
      <rPr>
        <sz val="9"/>
        <color rgb="FF555555"/>
        <rFont val="Arial"/>
        <family val="0"/>
        <charset val="1"/>
      </rPr>
      <t xml:space="preserve">※ 2026-08 </t>
    </r>
    <r>
      <rPr>
        <sz val="9"/>
        <color rgb="FF555555"/>
        <rFont val="Noto Sans CJK SC"/>
        <family val="2"/>
      </rPr>
      <t xml:space="preserve">の</t>
    </r>
    <r>
      <rPr>
        <sz val="9"/>
        <color rgb="FF555555"/>
        <rFont val="Arial"/>
        <family val="0"/>
        <charset val="1"/>
      </rPr>
      <t xml:space="preserve">218</t>
    </r>
    <r>
      <rPr>
        <sz val="9"/>
        <color rgb="FF555555"/>
        <rFont val="Noto Sans CJK SC"/>
        <family val="2"/>
      </rPr>
      <t xml:space="preserve">名は</t>
    </r>
    <r>
      <rPr>
        <sz val="9"/>
        <color rgb="FF555555"/>
        <rFont val="Arial"/>
        <family val="0"/>
        <charset val="1"/>
      </rPr>
      <t xml:space="preserve">DB</t>
    </r>
    <r>
      <rPr>
        <sz val="9"/>
        <color rgb="FF555555"/>
        <rFont val="Noto Sans CJK SC"/>
        <family val="2"/>
      </rPr>
      <t xml:space="preserve">確定値。</t>
    </r>
    <r>
      <rPr>
        <sz val="9"/>
        <color rgb="FF555555"/>
        <rFont val="Arial"/>
        <family val="0"/>
        <charset val="1"/>
      </rPr>
      <t xml:space="preserve">8/31</t>
    </r>
    <r>
      <rPr>
        <sz val="9"/>
        <color rgb="FF555555"/>
        <rFont val="Noto Sans CJK SC"/>
        <family val="2"/>
      </rPr>
      <t xml:space="preserve">時点の速報では</t>
    </r>
    <r>
      <rPr>
        <sz val="9"/>
        <color rgb="FF555555"/>
        <rFont val="Arial"/>
        <family val="0"/>
        <charset val="1"/>
      </rPr>
      <t xml:space="preserve">219</t>
    </r>
    <r>
      <rPr>
        <sz val="9"/>
        <color rgb="FF555555"/>
        <rFont val="Noto Sans CJK SC"/>
        <family val="2"/>
      </rPr>
      <t xml:space="preserve">名として銀行提出資料に記載済み（差</t>
    </r>
    <r>
      <rPr>
        <sz val="9"/>
        <color rgb="FF555555"/>
        <rFont val="Arial"/>
        <family val="0"/>
        <charset val="1"/>
      </rPr>
      <t xml:space="preserve">1</t>
    </r>
    <r>
      <rPr>
        <sz val="9"/>
        <color rgb="FF555555"/>
        <rFont val="Noto Sans CJK SC"/>
        <family val="2"/>
      </rPr>
      <t xml:space="preserve">名）。</t>
    </r>
  </si>
  <si>
    <r>
      <rPr>
        <sz val="9"/>
        <color rgb="FF555555"/>
        <rFont val="Arial"/>
        <family val="0"/>
        <charset val="1"/>
      </rPr>
      <t xml:space="preserve">※ 2024-11</t>
    </r>
    <r>
      <rPr>
        <sz val="9"/>
        <color rgb="FF555555"/>
        <rFont val="Noto Sans CJK SC"/>
        <family val="2"/>
      </rPr>
      <t xml:space="preserve">の新規入会</t>
    </r>
    <r>
      <rPr>
        <sz val="9"/>
        <color rgb="FF555555"/>
        <rFont val="Arial"/>
        <family val="0"/>
        <charset val="1"/>
      </rPr>
      <t xml:space="preserve">11</t>
    </r>
    <r>
      <rPr>
        <sz val="9"/>
        <color rgb="FF555555"/>
        <rFont val="Noto Sans CJK SC"/>
        <family val="2"/>
      </rPr>
      <t xml:space="preserve">名にはスタッフ登録</t>
    </r>
    <r>
      <rPr>
        <sz val="9"/>
        <color rgb="FF555555"/>
        <rFont val="Arial"/>
        <family val="0"/>
        <charset val="1"/>
      </rPr>
      <t xml:space="preserve">10</t>
    </r>
    <r>
      <rPr>
        <sz val="9"/>
        <color rgb="FF555555"/>
        <rFont val="Noto Sans CJK SC"/>
        <family val="2"/>
      </rPr>
      <t xml:space="preserve">名が含まれる（会員としての純増は</t>
    </r>
    <r>
      <rPr>
        <sz val="9"/>
        <color rgb="FF555555"/>
        <rFont val="Arial"/>
        <family val="0"/>
        <charset val="1"/>
      </rPr>
      <t xml:space="preserve">1</t>
    </r>
    <r>
      <rPr>
        <sz val="9"/>
        <color rgb="FF555555"/>
        <rFont val="Noto Sans CJK SC"/>
        <family val="2"/>
      </rPr>
      <t xml:space="preserve">名）。会員数の列は除外済みのため影響しない。</t>
    </r>
  </si>
  <si>
    <r>
      <rPr>
        <sz val="9"/>
        <color rgb="FF555555"/>
        <rFont val="Noto Sans CJK SC"/>
        <family val="2"/>
      </rPr>
      <t xml:space="preserve">※ 計画</t>
    </r>
    <r>
      <rPr>
        <sz val="9"/>
        <color rgb="FF555555"/>
        <rFont val="Arial"/>
        <family val="0"/>
        <charset val="1"/>
      </rPr>
      <t xml:space="preserve">200</t>
    </r>
    <r>
      <rPr>
        <sz val="9"/>
        <color rgb="FF555555"/>
        <rFont val="Noto Sans CJK SC"/>
        <family val="2"/>
      </rPr>
      <t xml:space="preserve">名に対し当期末</t>
    </r>
    <r>
      <rPr>
        <sz val="9"/>
        <color rgb="FF555555"/>
        <rFont val="Arial"/>
        <family val="0"/>
        <charset val="1"/>
      </rPr>
      <t xml:space="preserve">218</t>
    </r>
    <r>
      <rPr>
        <sz val="9"/>
        <color rgb="FF555555"/>
        <rFont val="Noto Sans CJK SC"/>
        <family val="2"/>
      </rPr>
      <t xml:space="preserve">名＝達成率</t>
    </r>
    <r>
      <rPr>
        <sz val="9"/>
        <color rgb="FF555555"/>
        <rFont val="Arial"/>
        <family val="0"/>
        <charset val="1"/>
      </rPr>
      <t xml:space="preserve">109.0%</t>
    </r>
    <r>
      <rPr>
        <sz val="9"/>
        <color rgb="FF555555"/>
        <rFont val="Noto Sans CJK SC"/>
        <family val="2"/>
      </rPr>
      <t xml:space="preserve">。</t>
    </r>
  </si>
  <si>
    <r>
      <rPr>
        <b val="true"/>
        <sz val="14"/>
        <rFont val="Noto Sans CJK SC"/>
        <family val="2"/>
      </rPr>
      <t xml:space="preserve">④ 物販売上の推移（</t>
    </r>
    <r>
      <rPr>
        <b val="true"/>
        <sz val="14"/>
        <rFont val="Arial"/>
        <family val="0"/>
        <charset val="1"/>
      </rPr>
      <t xml:space="preserve">GOLF WING </t>
    </r>
    <r>
      <rPr>
        <b val="true"/>
        <sz val="14"/>
        <rFont val="Noto Sans CJK SC"/>
        <family val="2"/>
      </rPr>
      <t xml:space="preserve">宝塚・税抜）</t>
    </r>
  </si>
  <si>
    <r>
      <rPr>
        <sz val="9"/>
        <color rgb="FF555555"/>
        <rFont val="Noto Sans CJK SC"/>
        <family val="2"/>
      </rPr>
      <t xml:space="preserve">出典</t>
    </r>
    <r>
      <rPr>
        <sz val="9"/>
        <color rgb="FF555555"/>
        <rFont val="Arial"/>
        <family val="0"/>
        <charset val="1"/>
      </rPr>
      <t xml:space="preserve">: Supabase rpt_retail_sales</t>
    </r>
    <r>
      <rPr>
        <sz val="9"/>
        <color rgb="FF555555"/>
        <rFont val="Noto Sans CJK SC"/>
        <family val="2"/>
      </rPr>
      <t xml:space="preserve">（売上台帳 </t>
    </r>
    <r>
      <rPr>
        <sz val="9"/>
        <color rgb="FF555555"/>
        <rFont val="Arial"/>
        <family val="0"/>
        <charset val="1"/>
      </rPr>
      <t xml:space="preserve">mon_sales_lines </t>
    </r>
    <r>
      <rPr>
        <sz val="9"/>
        <color rgb="FF555555"/>
        <rFont val="Noto Sans CJK SC"/>
        <family val="2"/>
      </rPr>
      <t xml:space="preserve">より集計。</t>
    </r>
    <r>
      <rPr>
        <sz val="9"/>
        <color rgb="FF555555"/>
        <rFont val="Arial"/>
        <family val="0"/>
        <charset val="1"/>
      </rPr>
      <t xml:space="preserve">2026-08</t>
    </r>
    <r>
      <rPr>
        <sz val="9"/>
        <color rgb="FF555555"/>
        <rFont val="Noto Sans CJK SC"/>
        <family val="2"/>
      </rPr>
      <t xml:space="preserve">は</t>
    </r>
    <r>
      <rPr>
        <sz val="9"/>
        <color rgb="FF555555"/>
        <rFont val="Arial"/>
        <family val="0"/>
        <charset val="1"/>
      </rPr>
      <t xml:space="preserve">Money OS</t>
    </r>
    <r>
      <rPr>
        <sz val="9"/>
        <color rgb="FF555555"/>
        <rFont val="Noto Sans CJK SC"/>
        <family val="2"/>
      </rPr>
      <t xml:space="preserve">アプリ入力）</t>
    </r>
  </si>
  <si>
    <t xml:space="preserve">当期</t>
  </si>
  <si>
    <t xml:space="preserve">※ 物販はお客様のお支払い総額（総取扱高）の一部であり、ファイン精算の対象。会計上の売上高には純額でしか反映されない。</t>
  </si>
  <si>
    <r>
      <rPr>
        <sz val="9"/>
        <color rgb="FF555555"/>
        <rFont val="Noto Sans CJK SC"/>
        <family val="2"/>
      </rPr>
      <t xml:space="preserve">※ 当期は前期比で減少。会員数が増える一方で</t>
    </r>
    <r>
      <rPr>
        <sz val="9"/>
        <color rgb="FF555555"/>
        <rFont val="Arial"/>
        <family val="0"/>
        <charset val="1"/>
      </rPr>
      <t xml:space="preserve">1</t>
    </r>
    <r>
      <rPr>
        <sz val="9"/>
        <color rgb="FF555555"/>
        <rFont val="Noto Sans CJK SC"/>
        <family val="2"/>
      </rPr>
      <t xml:space="preserve">人あたり物販単価が下がっている（客数増より単価減が勝っている）。</t>
    </r>
  </si>
  <si>
    <r>
      <rPr>
        <b val="true"/>
        <sz val="14"/>
        <rFont val="Noto Sans CJK SC"/>
        <family val="2"/>
      </rPr>
      <t xml:space="preserve">⑤ キャディ派遣事業（当期 </t>
    </r>
    <r>
      <rPr>
        <b val="true"/>
        <sz val="14"/>
        <rFont val="Arial"/>
        <family val="0"/>
        <charset val="1"/>
      </rPr>
      <t xml:space="preserve">2025</t>
    </r>
    <r>
      <rPr>
        <b val="true"/>
        <sz val="14"/>
        <rFont val="Noto Sans CJK SC"/>
        <family val="2"/>
      </rPr>
      <t xml:space="preserve">年</t>
    </r>
    <r>
      <rPr>
        <b val="true"/>
        <sz val="14"/>
        <rFont val="Arial"/>
        <family val="0"/>
        <charset val="1"/>
      </rPr>
      <t xml:space="preserve">9</t>
    </r>
    <r>
      <rPr>
        <b val="true"/>
        <sz val="14"/>
        <rFont val="Noto Sans CJK SC"/>
        <family val="2"/>
      </rPr>
      <t xml:space="preserve">月〜</t>
    </r>
    <r>
      <rPr>
        <b val="true"/>
        <sz val="14"/>
        <rFont val="Arial"/>
        <family val="0"/>
        <charset val="1"/>
      </rPr>
      <t xml:space="preserve">2026</t>
    </r>
    <r>
      <rPr>
        <b val="true"/>
        <sz val="14"/>
        <rFont val="Noto Sans CJK SC"/>
        <family val="2"/>
      </rPr>
      <t xml:space="preserve">年</t>
    </r>
    <r>
      <rPr>
        <b val="true"/>
        <sz val="14"/>
        <rFont val="Arial"/>
        <family val="0"/>
        <charset val="1"/>
      </rPr>
      <t xml:space="preserve">8</t>
    </r>
    <r>
      <rPr>
        <b val="true"/>
        <sz val="14"/>
        <rFont val="Noto Sans CJK SC"/>
        <family val="2"/>
      </rPr>
      <t xml:space="preserve">月）</t>
    </r>
  </si>
  <si>
    <r>
      <rPr>
        <sz val="9"/>
        <color rgb="FF555555"/>
        <rFont val="Noto Sans CJK SC"/>
        <family val="2"/>
      </rPr>
      <t xml:space="preserve">出典</t>
    </r>
    <r>
      <rPr>
        <sz val="9"/>
        <color rgb="FF555555"/>
        <rFont val="Arial"/>
        <family val="0"/>
        <charset val="1"/>
      </rPr>
      <t xml:space="preserve">: Supabase fin_entries / cad_dispatches</t>
    </r>
    <r>
      <rPr>
        <sz val="9"/>
        <color rgb="FF555555"/>
        <rFont val="Noto Sans CJK SC"/>
        <family val="2"/>
      </rPr>
      <t xml:space="preserve">（</t>
    </r>
    <r>
      <rPr>
        <sz val="9"/>
        <color rgb="FF555555"/>
        <rFont val="Arial"/>
        <family val="0"/>
        <charset val="1"/>
      </rPr>
      <t xml:space="preserve">Caddy OS </t>
    </r>
    <r>
      <rPr>
        <sz val="9"/>
        <color rgb="FF555555"/>
        <rFont val="Noto Sans CJK SC"/>
        <family val="2"/>
      </rPr>
      <t xml:space="preserve">台帳）</t>
    </r>
  </si>
  <si>
    <t xml:space="preserve">売上</t>
  </si>
  <si>
    <t xml:space="preserve">原価（委託料・人件費）</t>
  </si>
  <si>
    <t xml:space="preserve">粗利</t>
  </si>
  <si>
    <t xml:space="preserve">粗利率</t>
  </si>
  <si>
    <t xml:space="preserve">集計の基準</t>
  </si>
  <si>
    <r>
      <rPr>
        <sz val="9"/>
        <color rgb="FF555555"/>
        <rFont val="Noto Sans CJK SC"/>
        <family val="2"/>
      </rPr>
      <t xml:space="preserve">入金ベース</t>
    </r>
    <r>
      <rPr>
        <sz val="9"/>
        <color rgb="FF555555"/>
        <rFont val="Arial"/>
        <family val="0"/>
        <charset val="1"/>
      </rPr>
      <t xml:space="preserve">(Money OS </t>
    </r>
    <r>
      <rPr>
        <sz val="9"/>
        <color rgb="FF555555"/>
        <rFont val="Noto Sans CJK SC"/>
        <family val="2"/>
      </rPr>
      <t xml:space="preserve">銀行取込</t>
    </r>
    <r>
      <rPr>
        <sz val="9"/>
        <color rgb="FF555555"/>
        <rFont val="Arial"/>
        <family val="0"/>
        <charset val="1"/>
      </rPr>
      <t xml:space="preserve">)</t>
    </r>
  </si>
  <si>
    <r>
      <rPr>
        <sz val="9"/>
        <color rgb="FF555555"/>
        <rFont val="Noto Sans CJK SC"/>
        <family val="2"/>
      </rPr>
      <t xml:space="preserve">台帳ベース</t>
    </r>
    <r>
      <rPr>
        <sz val="9"/>
        <color rgb="FF555555"/>
        <rFont val="Arial"/>
        <family val="0"/>
        <charset val="1"/>
      </rPr>
      <t xml:space="preserve">(Caddy OS)</t>
    </r>
  </si>
  <si>
    <r>
      <rPr>
        <sz val="9"/>
        <color rgb="FF555555"/>
        <rFont val="Noto Sans CJK SC"/>
        <family val="2"/>
      </rPr>
      <t xml:space="preserve">台帳ベース</t>
    </r>
    <r>
      <rPr>
        <sz val="9"/>
        <color rgb="FF555555"/>
        <rFont val="Arial"/>
        <family val="0"/>
        <charset val="1"/>
      </rPr>
      <t xml:space="preserve">(Caddy OS)※</t>
    </r>
    <r>
      <rPr>
        <sz val="9"/>
        <color rgb="FF555555"/>
        <rFont val="Noto Sans CJK SC"/>
        <family val="2"/>
      </rPr>
      <t xml:space="preserve">人件費未計上</t>
    </r>
  </si>
  <si>
    <r>
      <rPr>
        <sz val="9"/>
        <color rgb="FF555555"/>
        <rFont val="Arial"/>
        <family val="0"/>
        <charset val="1"/>
      </rPr>
      <t xml:space="preserve">※ 2025</t>
    </r>
    <r>
      <rPr>
        <sz val="9"/>
        <color rgb="FF555555"/>
        <rFont val="Noto Sans CJK SC"/>
        <family val="2"/>
      </rPr>
      <t xml:space="preserve">年</t>
    </r>
    <r>
      <rPr>
        <sz val="9"/>
        <color rgb="FF555555"/>
        <rFont val="Arial"/>
        <family val="0"/>
        <charset val="1"/>
      </rPr>
      <t xml:space="preserve">9</t>
    </r>
    <r>
      <rPr>
        <sz val="9"/>
        <color rgb="FF555555"/>
        <rFont val="Noto Sans CJK SC"/>
        <family val="2"/>
      </rPr>
      <t xml:space="preserve">〜</t>
    </r>
    <r>
      <rPr>
        <sz val="9"/>
        <color rgb="FF555555"/>
        <rFont val="Arial"/>
        <family val="0"/>
        <charset val="1"/>
      </rPr>
      <t xml:space="preserve">12</t>
    </r>
    <r>
      <rPr>
        <sz val="9"/>
        <color rgb="FF555555"/>
        <rFont val="Noto Sans CJK SC"/>
        <family val="2"/>
      </rPr>
      <t xml:space="preserve">月は銀行入金ベース。締め日と振込日のズレで発生月と一致しないため、月ごとの粗利率は参考値。</t>
    </r>
  </si>
  <si>
    <r>
      <rPr>
        <sz val="9"/>
        <color rgb="FF555555"/>
        <rFont val="Arial"/>
        <family val="0"/>
        <charset val="1"/>
      </rPr>
      <t xml:space="preserve">※ 2026</t>
    </r>
    <r>
      <rPr>
        <sz val="9"/>
        <color rgb="FF555555"/>
        <rFont val="Noto Sans CJK SC"/>
        <family val="2"/>
      </rPr>
      <t xml:space="preserve">年</t>
    </r>
    <r>
      <rPr>
        <sz val="9"/>
        <color rgb="FF555555"/>
        <rFont val="Arial"/>
        <family val="0"/>
        <charset val="1"/>
      </rPr>
      <t xml:space="preserve">1</t>
    </r>
    <r>
      <rPr>
        <sz val="9"/>
        <color rgb="FF555555"/>
        <rFont val="Noto Sans CJK SC"/>
        <family val="2"/>
      </rPr>
      <t xml:space="preserve">月以降は</t>
    </r>
    <r>
      <rPr>
        <sz val="9"/>
        <color rgb="FF555555"/>
        <rFont val="Arial"/>
        <family val="0"/>
        <charset val="1"/>
      </rPr>
      <t xml:space="preserve">Caddy OS</t>
    </r>
    <r>
      <rPr>
        <sz val="9"/>
        <color rgb="FF555555"/>
        <rFont val="Noto Sans CJK SC"/>
        <family val="2"/>
      </rPr>
      <t xml:space="preserve">台帳（発生ベース）。原価は林さん以外の委託料＋交通費＋特別手当＋林さんの固定給。</t>
    </r>
  </si>
  <si>
    <r>
      <rPr>
        <sz val="9"/>
        <color rgb="FF555555"/>
        <rFont val="Arial"/>
        <family val="0"/>
        <charset val="1"/>
      </rPr>
      <t xml:space="preserve">※ 2026</t>
    </r>
    <r>
      <rPr>
        <sz val="9"/>
        <color rgb="FF555555"/>
        <rFont val="Noto Sans CJK SC"/>
        <family val="2"/>
      </rPr>
      <t xml:space="preserve">年</t>
    </r>
    <r>
      <rPr>
        <sz val="9"/>
        <color rgb="FF555555"/>
        <rFont val="Arial"/>
        <family val="0"/>
        <charset val="1"/>
      </rPr>
      <t xml:space="preserve">8</t>
    </r>
    <r>
      <rPr>
        <sz val="9"/>
        <color rgb="FF555555"/>
        <rFont val="Noto Sans CJK SC"/>
        <family val="2"/>
      </rPr>
      <t xml:space="preserve">月は人件費（林さん固定給）が未計上のため粗利が過大に出ている。</t>
    </r>
  </si>
  <si>
    <r>
      <rPr>
        <sz val="9"/>
        <color rgb="FF555555"/>
        <rFont val="Noto Sans CJK SC"/>
        <family val="2"/>
      </rPr>
      <t xml:space="preserve">※ 林さんの固定給</t>
    </r>
    <r>
      <rPr>
        <sz val="9"/>
        <color rgb="FF555555"/>
        <rFont val="Arial"/>
        <family val="0"/>
        <charset val="1"/>
      </rPr>
      <t xml:space="preserve">27</t>
    </r>
    <r>
      <rPr>
        <sz val="9"/>
        <color rgb="FF555555"/>
        <rFont val="Noto Sans CJK SC"/>
        <family val="2"/>
      </rPr>
      <t xml:space="preserve">万円が損益分岐点を決める。月商</t>
    </r>
    <r>
      <rPr>
        <sz val="9"/>
        <color rgb="FF555555"/>
        <rFont val="Arial"/>
        <family val="0"/>
        <charset val="1"/>
      </rPr>
      <t xml:space="preserve">80</t>
    </r>
    <r>
      <rPr>
        <sz val="9"/>
        <color rgb="FF555555"/>
        <rFont val="Noto Sans CJK SC"/>
        <family val="2"/>
      </rPr>
      <t xml:space="preserve">万円を切ると赤字圏。</t>
    </r>
  </si>
  <si>
    <t xml:space="preserve">出典と注記</t>
  </si>
  <si>
    <t xml:space="preserve">会計データ</t>
  </si>
  <si>
    <r>
      <rPr>
        <sz val="10"/>
        <rFont val="Noto Sans CJK SC"/>
        <family val="2"/>
      </rPr>
      <t xml:space="preserve">税理士作成 残高試算表（令和</t>
    </r>
    <r>
      <rPr>
        <sz val="10"/>
        <rFont val="Arial"/>
        <family val="0"/>
        <charset val="1"/>
      </rPr>
      <t xml:space="preserve">8</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31</t>
    </r>
    <r>
      <rPr>
        <sz val="10"/>
        <rFont val="Noto Sans CJK SC"/>
        <family val="2"/>
      </rPr>
      <t xml:space="preserve">日）。当期＝</t>
    </r>
    <r>
      <rPr>
        <sz val="10"/>
        <rFont val="Arial"/>
        <family val="0"/>
        <charset val="1"/>
      </rPr>
      <t xml:space="preserve">2025/9/1</t>
    </r>
    <r>
      <rPr>
        <sz val="10"/>
        <rFont val="Noto Sans CJK SC"/>
        <family val="2"/>
      </rPr>
      <t xml:space="preserve">〜</t>
    </r>
    <r>
      <rPr>
        <sz val="10"/>
        <rFont val="Arial"/>
        <family val="0"/>
        <charset val="1"/>
      </rPr>
      <t xml:space="preserve">2026/7/31</t>
    </r>
    <r>
      <rPr>
        <sz val="10"/>
        <rFont val="Noto Sans CJK SC"/>
        <family val="2"/>
      </rPr>
      <t xml:space="preserve">の</t>
    </r>
    <r>
      <rPr>
        <sz val="10"/>
        <rFont val="Arial"/>
        <family val="0"/>
        <charset val="1"/>
      </rPr>
      <t xml:space="preserve">11</t>
    </r>
    <r>
      <rPr>
        <sz val="10"/>
        <rFont val="Noto Sans CJK SC"/>
        <family val="2"/>
      </rPr>
      <t xml:space="preserve">か月、前期＝</t>
    </r>
    <r>
      <rPr>
        <sz val="10"/>
        <rFont val="Arial"/>
        <family val="0"/>
        <charset val="1"/>
      </rPr>
      <t xml:space="preserve">2024/9/1</t>
    </r>
    <r>
      <rPr>
        <sz val="10"/>
        <rFont val="Noto Sans CJK SC"/>
        <family val="2"/>
      </rPr>
      <t xml:space="preserve">〜</t>
    </r>
    <r>
      <rPr>
        <sz val="10"/>
        <rFont val="Arial"/>
        <family val="0"/>
        <charset val="1"/>
      </rPr>
      <t xml:space="preserve">2025/8/31</t>
    </r>
    <r>
      <rPr>
        <sz val="10"/>
        <rFont val="Noto Sans CJK SC"/>
        <family val="2"/>
      </rPr>
      <t xml:space="preserve">の</t>
    </r>
    <r>
      <rPr>
        <sz val="10"/>
        <rFont val="Arial"/>
        <family val="0"/>
        <charset val="1"/>
      </rPr>
      <t xml:space="preserve">12</t>
    </r>
    <r>
      <rPr>
        <sz val="10"/>
        <rFont val="Noto Sans CJK SC"/>
        <family val="2"/>
      </rPr>
      <t xml:space="preserve">か月。</t>
    </r>
  </si>
  <si>
    <t xml:space="preserve">部門別収支</t>
  </si>
  <si>
    <r>
      <rPr>
        <sz val="10"/>
        <rFont val="Arial"/>
        <family val="0"/>
        <charset val="1"/>
      </rPr>
      <t xml:space="preserve">YOZAN_</t>
    </r>
    <r>
      <rPr>
        <sz val="10"/>
        <rFont val="Noto Sans CJK SC"/>
        <family val="2"/>
      </rPr>
      <t xml:space="preserve">全社資金繰り表</t>
    </r>
    <r>
      <rPr>
        <sz val="10"/>
        <rFont val="Arial"/>
        <family val="0"/>
        <charset val="1"/>
      </rPr>
      <t xml:space="preserve">_20260817.xlsx</t>
    </r>
    <r>
      <rPr>
        <sz val="10"/>
        <rFont val="Noto Sans CJK SC"/>
        <family val="2"/>
      </rPr>
      <t xml:space="preserve">「</t>
    </r>
    <r>
      <rPr>
        <sz val="10"/>
        <rFont val="Arial"/>
        <family val="0"/>
        <charset val="1"/>
      </rPr>
      <t xml:space="preserve">4</t>
    </r>
    <r>
      <rPr>
        <sz val="10"/>
        <rFont val="Noto Sans CJK SC"/>
        <family val="2"/>
      </rPr>
      <t xml:space="preserve">区分の収支」シート。月次平均で作成されており、合計が残高試算表と整合する旨が記録されている。</t>
    </r>
  </si>
  <si>
    <t xml:space="preserve">会員数</t>
  </si>
  <si>
    <r>
      <rPr>
        <sz val="10"/>
        <rFont val="Arial"/>
        <family val="0"/>
        <charset val="1"/>
      </rPr>
      <t xml:space="preserve">Supabase </t>
    </r>
    <r>
      <rPr>
        <sz val="10"/>
        <rFont val="Noto Sans CJK SC"/>
        <family val="2"/>
      </rPr>
      <t xml:space="preserve">プロジェクト </t>
    </r>
    <r>
      <rPr>
        <sz val="10"/>
        <rFont val="Arial"/>
        <family val="0"/>
        <charset val="1"/>
      </rPr>
      <t xml:space="preserve">qrgpblnnhdudigarrtuz / </t>
    </r>
    <r>
      <rPr>
        <sz val="10"/>
        <rFont val="Noto Sans CJK SC"/>
        <family val="2"/>
      </rPr>
      <t xml:space="preserve">テーブル </t>
    </r>
    <r>
      <rPr>
        <sz val="10"/>
        <rFont val="Arial"/>
        <family val="0"/>
        <charset val="1"/>
      </rPr>
      <t xml:space="preserve">rpt_member_snapshots</t>
    </r>
    <r>
      <rPr>
        <sz val="10"/>
        <rFont val="Noto Sans CJK SC"/>
        <family val="2"/>
      </rPr>
      <t xml:space="preserve">。</t>
    </r>
    <r>
      <rPr>
        <sz val="10"/>
        <rFont val="Arial"/>
        <family val="0"/>
        <charset val="1"/>
      </rPr>
      <t xml:space="preserve">2026-08</t>
    </r>
    <r>
      <rPr>
        <sz val="10"/>
        <rFont val="Noto Sans CJK SC"/>
        <family val="2"/>
      </rPr>
      <t xml:space="preserve">まで確定値。</t>
    </r>
  </si>
  <si>
    <t xml:space="preserve">物販売上</t>
  </si>
  <si>
    <r>
      <rPr>
        <sz val="10"/>
        <rFont val="Noto Sans CJK SC"/>
        <family val="2"/>
      </rPr>
      <t xml:space="preserve">同 </t>
    </r>
    <r>
      <rPr>
        <sz val="10"/>
        <rFont val="Arial"/>
        <family val="0"/>
        <charset val="1"/>
      </rPr>
      <t xml:space="preserve">rpt_retail_sales</t>
    </r>
    <r>
      <rPr>
        <sz val="10"/>
        <rFont val="Noto Sans CJK SC"/>
        <family val="2"/>
      </rPr>
      <t xml:space="preserve">（元は売上台帳</t>
    </r>
    <r>
      <rPr>
        <sz val="10"/>
        <rFont val="Arial"/>
        <family val="0"/>
        <charset val="1"/>
      </rPr>
      <t xml:space="preserve">Excel→mon_sales_lines</t>
    </r>
    <r>
      <rPr>
        <sz val="10"/>
        <rFont val="Noto Sans CJK SC"/>
        <family val="2"/>
      </rPr>
      <t xml:space="preserve">、</t>
    </r>
    <r>
      <rPr>
        <sz val="10"/>
        <rFont val="Arial"/>
        <family val="0"/>
        <charset val="1"/>
      </rPr>
      <t xml:space="preserve">2026-08</t>
    </r>
    <r>
      <rPr>
        <sz val="10"/>
        <rFont val="Noto Sans CJK SC"/>
        <family val="2"/>
      </rPr>
      <t xml:space="preserve">から</t>
    </r>
    <r>
      <rPr>
        <sz val="10"/>
        <rFont val="Arial"/>
        <family val="0"/>
        <charset val="1"/>
      </rPr>
      <t xml:space="preserve">Money OS</t>
    </r>
    <r>
      <rPr>
        <sz val="10"/>
        <rFont val="Noto Sans CJK SC"/>
        <family val="2"/>
      </rPr>
      <t xml:space="preserve">アプリ入力）。すべて税抜。</t>
    </r>
  </si>
  <si>
    <r>
      <rPr>
        <b val="true"/>
        <sz val="10"/>
        <rFont val="Arial"/>
        <family val="0"/>
        <charset val="1"/>
      </rPr>
      <t xml:space="preserve">GOLF WING </t>
    </r>
    <r>
      <rPr>
        <b val="true"/>
        <sz val="10"/>
        <rFont val="Noto Sans CJK SC"/>
        <family val="2"/>
      </rPr>
      <t xml:space="preserve">総取扱高</t>
    </r>
  </si>
  <si>
    <r>
      <rPr>
        <sz val="10"/>
        <rFont val="Noto Sans CJK SC"/>
        <family val="2"/>
      </rPr>
      <t xml:space="preserve">同 </t>
    </r>
    <r>
      <rPr>
        <sz val="10"/>
        <rFont val="Arial"/>
        <family val="0"/>
        <charset val="1"/>
      </rPr>
      <t xml:space="preserve">mon_sales</t>
    </r>
    <r>
      <rPr>
        <sz val="10"/>
        <rFont val="Noto Sans CJK SC"/>
        <family val="2"/>
      </rPr>
      <t xml:space="preserve">（売上台帳・税抜）。月会費が台帳に揃っている</t>
    </r>
    <r>
      <rPr>
        <sz val="10"/>
        <rFont val="Arial"/>
        <family val="0"/>
        <charset val="1"/>
      </rPr>
      <t xml:space="preserve">2026/1</t>
    </r>
    <r>
      <rPr>
        <sz val="10"/>
        <rFont val="Noto Sans CJK SC"/>
        <family val="2"/>
      </rPr>
      <t xml:space="preserve">〜</t>
    </r>
    <r>
      <rPr>
        <sz val="10"/>
        <rFont val="Arial"/>
        <family val="0"/>
        <charset val="1"/>
      </rPr>
      <t xml:space="preserve">6</t>
    </r>
    <r>
      <rPr>
        <sz val="10"/>
        <rFont val="Noto Sans CJK SC"/>
        <family val="2"/>
      </rPr>
      <t xml:space="preserve">の</t>
    </r>
    <r>
      <rPr>
        <sz val="10"/>
        <rFont val="Arial"/>
        <family val="0"/>
        <charset val="1"/>
      </rPr>
      <t xml:space="preserve">6</t>
    </r>
    <r>
      <rPr>
        <sz val="10"/>
        <rFont val="Noto Sans CJK SC"/>
        <family val="2"/>
      </rPr>
      <t xml:space="preserve">か月を採用。</t>
    </r>
  </si>
  <si>
    <t xml:space="preserve">ファイン入金</t>
  </si>
  <si>
    <r>
      <rPr>
        <sz val="10"/>
        <rFont val="Noto Sans CJK SC"/>
        <family val="2"/>
      </rPr>
      <t xml:space="preserve">同 </t>
    </r>
    <r>
      <rPr>
        <sz val="10"/>
        <rFont val="Arial"/>
        <family val="0"/>
        <charset val="1"/>
      </rPr>
      <t xml:space="preserve">mon_bank_txn</t>
    </r>
    <r>
      <rPr>
        <sz val="10"/>
        <rFont val="Noto Sans CJK SC"/>
        <family val="2"/>
      </rPr>
      <t xml:space="preserve">（尼崎信金 鴻池支店 通帳の取込）。摘要「ｶ</t>
    </r>
    <r>
      <rPr>
        <sz val="10"/>
        <rFont val="Arial"/>
        <family val="0"/>
        <charset val="1"/>
      </rPr>
      <t xml:space="preserve">)</t>
    </r>
    <r>
      <rPr>
        <sz val="10"/>
        <rFont val="Noto Sans CJK SC"/>
        <family val="2"/>
      </rPr>
      <t xml:space="preserve">ﾌｱｲﾝ」。</t>
    </r>
    <r>
      <rPr>
        <sz val="10"/>
        <rFont val="Arial"/>
        <family val="0"/>
        <charset val="1"/>
      </rPr>
      <t xml:space="preserve">2026/2</t>
    </r>
    <r>
      <rPr>
        <sz val="10"/>
        <rFont val="Noto Sans CJK SC"/>
        <family val="2"/>
      </rPr>
      <t xml:space="preserve">〜</t>
    </r>
    <r>
      <rPr>
        <sz val="10"/>
        <rFont val="Arial"/>
        <family val="0"/>
        <charset val="1"/>
      </rPr>
      <t xml:space="preserve">5</t>
    </r>
    <r>
      <rPr>
        <sz val="10"/>
        <rFont val="Noto Sans CJK SC"/>
        <family val="2"/>
      </rPr>
      <t xml:space="preserve">の</t>
    </r>
    <r>
      <rPr>
        <sz val="10"/>
        <rFont val="Arial"/>
        <family val="0"/>
        <charset val="1"/>
      </rPr>
      <t xml:space="preserve">4</t>
    </r>
    <r>
      <rPr>
        <sz val="10"/>
        <rFont val="Noto Sans CJK SC"/>
        <family val="2"/>
      </rPr>
      <t xml:space="preserve">件。</t>
    </r>
  </si>
  <si>
    <t xml:space="preserve">ファイン入金 月平均</t>
  </si>
  <si>
    <r>
      <rPr>
        <sz val="10"/>
        <rFont val="Arial"/>
        <family val="0"/>
        <charset val="1"/>
      </rPr>
      <t xml:space="preserve">2,015,239</t>
    </r>
    <r>
      <rPr>
        <sz val="10"/>
        <rFont val="Noto Sans CJK SC"/>
        <family val="2"/>
      </rPr>
      <t xml:space="preserve">円＝</t>
    </r>
    <r>
      <rPr>
        <sz val="10"/>
        <rFont val="Arial"/>
        <family val="0"/>
        <charset val="1"/>
      </rPr>
      <t xml:space="preserve">2026/2</t>
    </r>
    <r>
      <rPr>
        <sz val="10"/>
        <rFont val="Noto Sans CJK SC"/>
        <family val="2"/>
      </rPr>
      <t xml:space="preserve">〜</t>
    </r>
    <r>
      <rPr>
        <sz val="10"/>
        <rFont val="Arial"/>
        <family val="0"/>
        <charset val="1"/>
      </rPr>
      <t xml:space="preserve">7</t>
    </r>
    <r>
      <rPr>
        <sz val="10"/>
        <rFont val="Noto Sans CJK SC"/>
        <family val="2"/>
      </rPr>
      <t xml:space="preserve">の</t>
    </r>
    <r>
      <rPr>
        <sz val="10"/>
        <rFont val="Arial"/>
        <family val="0"/>
        <charset val="1"/>
      </rPr>
      <t xml:space="preserve">6</t>
    </r>
    <r>
      <rPr>
        <sz val="10"/>
        <rFont val="Noto Sans CJK SC"/>
        <family val="2"/>
      </rPr>
      <t xml:space="preserve">か月平均。出典</t>
    </r>
    <r>
      <rPr>
        <sz val="10"/>
        <rFont val="Arial"/>
        <family val="0"/>
        <charset val="1"/>
      </rPr>
      <t xml:space="preserve">: YOZAN_</t>
    </r>
    <r>
      <rPr>
        <sz val="10"/>
        <rFont val="Noto Sans CJK SC"/>
        <family val="2"/>
      </rPr>
      <t xml:space="preserve">全社資金繰り表</t>
    </r>
    <r>
      <rPr>
        <sz val="10"/>
        <rFont val="Arial"/>
        <family val="0"/>
        <charset val="1"/>
      </rPr>
      <t xml:space="preserve">_20260817.xlsx</t>
    </r>
    <r>
      <rPr>
        <sz val="10"/>
        <rFont val="Noto Sans CJK SC"/>
        <family val="2"/>
      </rPr>
      <t xml:space="preserve">。</t>
    </r>
  </si>
  <si>
    <t xml:space="preserve">キャディ</t>
  </si>
  <si>
    <r>
      <rPr>
        <sz val="10"/>
        <rFont val="Noto Sans CJK SC"/>
        <family val="2"/>
      </rPr>
      <t xml:space="preserve">同 </t>
    </r>
    <r>
      <rPr>
        <sz val="10"/>
        <rFont val="Arial"/>
        <family val="0"/>
        <charset val="1"/>
      </rPr>
      <t xml:space="preserve">fin_entries / cad_dispatches</t>
    </r>
    <r>
      <rPr>
        <sz val="10"/>
        <rFont val="Noto Sans CJK SC"/>
        <family val="2"/>
      </rPr>
      <t xml:space="preserve">。</t>
    </r>
    <r>
      <rPr>
        <sz val="10"/>
        <rFont val="Arial"/>
        <family val="0"/>
        <charset val="1"/>
      </rPr>
      <t xml:space="preserve">2026</t>
    </r>
    <r>
      <rPr>
        <sz val="10"/>
        <rFont val="Noto Sans CJK SC"/>
        <family val="2"/>
      </rPr>
      <t xml:space="preserve">年</t>
    </r>
    <r>
      <rPr>
        <sz val="10"/>
        <rFont val="Arial"/>
        <family val="0"/>
        <charset val="1"/>
      </rPr>
      <t xml:space="preserve">1</t>
    </r>
    <r>
      <rPr>
        <sz val="10"/>
        <rFont val="Noto Sans CJK SC"/>
        <family val="2"/>
      </rPr>
      <t xml:space="preserve">月以降は</t>
    </r>
    <r>
      <rPr>
        <sz val="10"/>
        <rFont val="Arial"/>
        <family val="0"/>
        <charset val="1"/>
      </rPr>
      <t xml:space="preserve">Caddy OS</t>
    </r>
    <r>
      <rPr>
        <sz val="10"/>
        <rFont val="Noto Sans CJK SC"/>
        <family val="2"/>
      </rPr>
      <t xml:space="preserve">台帳。</t>
    </r>
  </si>
  <si>
    <t xml:space="preserve">【未確定・要確認】</t>
  </si>
  <si>
    <t xml:space="preserve">① 部門別の期間合計</t>
  </si>
  <si>
    <r>
      <rPr>
        <sz val="10"/>
        <rFont val="Noto Sans CJK SC"/>
        <family val="2"/>
      </rPr>
      <t xml:space="preserve">「</t>
    </r>
    <r>
      <rPr>
        <sz val="10"/>
        <rFont val="Arial"/>
        <family val="0"/>
        <charset val="1"/>
      </rPr>
      <t xml:space="preserve">4</t>
    </r>
    <r>
      <rPr>
        <sz val="10"/>
        <rFont val="Noto Sans CJK SC"/>
        <family val="2"/>
      </rPr>
      <t xml:space="preserve">区分の収支」は月次平均のみ。部門別の期間合計（当期</t>
    </r>
    <r>
      <rPr>
        <sz val="10"/>
        <rFont val="Arial"/>
        <family val="0"/>
        <charset val="1"/>
      </rPr>
      <t xml:space="preserve">12</t>
    </r>
    <r>
      <rPr>
        <sz val="10"/>
        <rFont val="Noto Sans CJK SC"/>
        <family val="2"/>
      </rPr>
      <t xml:space="preserve">か月）は税理士確認のうえ確定させる。</t>
    </r>
  </si>
  <si>
    <r>
      <rPr>
        <b val="true"/>
        <sz val="10"/>
        <rFont val="Arial"/>
        <family val="0"/>
        <charset val="1"/>
      </rPr>
      <t xml:space="preserve">② 2026/7</t>
    </r>
    <r>
      <rPr>
        <b val="true"/>
        <sz val="10"/>
        <rFont val="Noto Sans CJK SC"/>
        <family val="2"/>
      </rPr>
      <t xml:space="preserve">・</t>
    </r>
    <r>
      <rPr>
        <b val="true"/>
        <sz val="10"/>
        <rFont val="Arial"/>
        <family val="0"/>
        <charset val="1"/>
      </rPr>
      <t xml:space="preserve">8</t>
    </r>
    <r>
      <rPr>
        <b val="true"/>
        <sz val="10"/>
        <rFont val="Noto Sans CJK SC"/>
        <family val="2"/>
      </rPr>
      <t xml:space="preserve">月の月会費</t>
    </r>
  </si>
  <si>
    <r>
      <rPr>
        <sz val="10"/>
        <rFont val="Arial"/>
        <family val="0"/>
        <charset val="1"/>
      </rPr>
      <t xml:space="preserve">Money OS </t>
    </r>
    <r>
      <rPr>
        <sz val="10"/>
        <rFont val="Noto Sans CJK SC"/>
        <family val="2"/>
      </rPr>
      <t xml:space="preserve">に月会費が未取込（</t>
    </r>
    <r>
      <rPr>
        <sz val="10"/>
        <rFont val="Arial"/>
        <family val="0"/>
        <charset val="1"/>
      </rPr>
      <t xml:space="preserve">7</t>
    </r>
    <r>
      <rPr>
        <sz val="10"/>
        <rFont val="Noto Sans CJK SC"/>
        <family val="2"/>
      </rPr>
      <t xml:space="preserve">月</t>
    </r>
    <r>
      <rPr>
        <sz val="10"/>
        <rFont val="Arial"/>
        <family val="0"/>
        <charset val="1"/>
      </rPr>
      <t xml:space="preserve">3,691,650</t>
    </r>
    <r>
      <rPr>
        <sz val="10"/>
        <rFont val="Noto Sans CJK SC"/>
        <family val="2"/>
      </rPr>
      <t xml:space="preserve">円は予測値）。ファイン実績が入り次第、総取扱高を確定させる。</t>
    </r>
  </si>
  <si>
    <r>
      <rPr>
        <b val="true"/>
        <sz val="10"/>
        <rFont val="Arial"/>
        <family val="0"/>
        <charset val="1"/>
      </rPr>
      <t xml:space="preserve">③ 5</t>
    </r>
    <r>
      <rPr>
        <b val="true"/>
        <sz val="10"/>
        <rFont val="Noto Sans CJK SC"/>
        <family val="2"/>
      </rPr>
      <t xml:space="preserve">月分以降のファイン入金</t>
    </r>
  </si>
  <si>
    <r>
      <rPr>
        <sz val="10"/>
        <rFont val="Arial"/>
        <family val="0"/>
        <charset val="1"/>
      </rPr>
      <t xml:space="preserve">mon_bank_txn </t>
    </r>
    <r>
      <rPr>
        <sz val="10"/>
        <rFont val="Noto Sans CJK SC"/>
        <family val="2"/>
      </rPr>
      <t xml:space="preserve">が</t>
    </r>
    <r>
      <rPr>
        <sz val="10"/>
        <rFont val="Arial"/>
        <family val="0"/>
        <charset val="1"/>
      </rPr>
      <t xml:space="preserve">2026/6/2</t>
    </r>
    <r>
      <rPr>
        <sz val="10"/>
        <rFont val="Noto Sans CJK SC"/>
        <family val="2"/>
      </rPr>
      <t xml:space="preserve">までの取込。</t>
    </r>
    <r>
      <rPr>
        <sz val="10"/>
        <rFont val="Arial"/>
        <family val="0"/>
        <charset val="1"/>
      </rPr>
      <t xml:space="preserve">5</t>
    </r>
    <r>
      <rPr>
        <sz val="10"/>
        <rFont val="Noto Sans CJK SC"/>
        <family val="2"/>
      </rPr>
      <t xml:space="preserve">月分以降は通帳から追加取込が必要。</t>
    </r>
  </si>
  <si>
    <r>
      <rPr>
        <b val="true"/>
        <sz val="10"/>
        <rFont val="Noto Sans CJK SC"/>
        <family val="2"/>
      </rPr>
      <t xml:space="preserve">④ 当期</t>
    </r>
    <r>
      <rPr>
        <b val="true"/>
        <sz val="10"/>
        <rFont val="Arial"/>
        <family val="0"/>
        <charset val="1"/>
      </rPr>
      <t xml:space="preserve">(12</t>
    </r>
    <r>
      <rPr>
        <b val="true"/>
        <sz val="10"/>
        <rFont val="Noto Sans CJK SC"/>
        <family val="2"/>
      </rPr>
      <t xml:space="preserve">か月</t>
    </r>
    <r>
      <rPr>
        <b val="true"/>
        <sz val="10"/>
        <rFont val="Arial"/>
        <family val="0"/>
        <charset val="1"/>
      </rPr>
      <t xml:space="preserve">)</t>
    </r>
    <r>
      <rPr>
        <b val="true"/>
        <sz val="10"/>
        <rFont val="Noto Sans CJK SC"/>
        <family val="2"/>
      </rPr>
      <t xml:space="preserve">の会計数値</t>
    </r>
  </si>
  <si>
    <r>
      <rPr>
        <sz val="10"/>
        <rFont val="Noto Sans CJK SC"/>
        <family val="2"/>
      </rPr>
      <t xml:space="preserve">試算表は</t>
    </r>
    <r>
      <rPr>
        <sz val="10"/>
        <rFont val="Arial"/>
        <family val="0"/>
        <charset val="1"/>
      </rPr>
      <t xml:space="preserve">2026/7</t>
    </r>
    <r>
      <rPr>
        <sz val="10"/>
        <rFont val="Noto Sans CJK SC"/>
        <family val="2"/>
      </rPr>
      <t xml:space="preserve">末まで。</t>
    </r>
    <r>
      <rPr>
        <sz val="10"/>
        <rFont val="Arial"/>
        <family val="0"/>
        <charset val="1"/>
      </rPr>
      <t xml:space="preserve">8</t>
    </r>
    <r>
      <rPr>
        <sz val="10"/>
        <rFont val="Noto Sans CJK SC"/>
        <family val="2"/>
      </rPr>
      <t xml:space="preserve">月分を加えた</t>
    </r>
    <r>
      <rPr>
        <sz val="10"/>
        <rFont val="Arial"/>
        <family val="0"/>
        <charset val="1"/>
      </rPr>
      <t xml:space="preserve">12</t>
    </r>
    <r>
      <rPr>
        <sz val="10"/>
        <rFont val="Noto Sans CJK SC"/>
        <family val="2"/>
      </rPr>
      <t xml:space="preserve">か月の確定値は決算後に差し替える。</t>
    </r>
  </si>
  <si>
    <t xml:space="preserve">⑤ 純額率の精度</t>
  </si>
  <si>
    <r>
      <rPr>
        <sz val="10"/>
        <rFont val="Arial"/>
        <family val="0"/>
        <charset val="1"/>
      </rPr>
      <t xml:space="preserve">2026/1</t>
    </r>
    <r>
      <rPr>
        <sz val="10"/>
        <rFont val="Noto Sans CJK SC"/>
        <family val="2"/>
      </rPr>
      <t xml:space="preserve">〜</t>
    </r>
    <r>
      <rPr>
        <sz val="10"/>
        <rFont val="Arial"/>
        <family val="0"/>
        <charset val="1"/>
      </rPr>
      <t xml:space="preserve">4</t>
    </r>
    <r>
      <rPr>
        <sz val="10"/>
        <rFont val="Noto Sans CJK SC"/>
        <family val="2"/>
      </rPr>
      <t xml:space="preserve">の</t>
    </r>
    <r>
      <rPr>
        <sz val="10"/>
        <rFont val="Arial"/>
        <family val="0"/>
        <charset val="1"/>
      </rPr>
      <t xml:space="preserve">4</t>
    </r>
    <r>
      <rPr>
        <sz val="10"/>
        <rFont val="Noto Sans CJK SC"/>
        <family val="2"/>
      </rPr>
      <t xml:space="preserve">か月で</t>
    </r>
    <r>
      <rPr>
        <sz val="10"/>
        <rFont val="Arial"/>
        <family val="0"/>
        <charset val="1"/>
      </rPr>
      <t xml:space="preserve">43.1%</t>
    </r>
    <r>
      <rPr>
        <sz val="10"/>
        <rFont val="Noto Sans CJK SC"/>
        <family val="2"/>
      </rPr>
      <t xml:space="preserve">。母数が</t>
    </r>
    <r>
      <rPr>
        <sz val="10"/>
        <rFont val="Arial"/>
        <family val="0"/>
        <charset val="1"/>
      </rPr>
      <t xml:space="preserve">4</t>
    </r>
    <r>
      <rPr>
        <sz val="10"/>
        <rFont val="Noto Sans CJK SC"/>
        <family val="2"/>
      </rPr>
      <t xml:space="preserve">か月のため、月次のばらつき（</t>
    </r>
    <r>
      <rPr>
        <sz val="10"/>
        <rFont val="Arial"/>
        <family val="0"/>
        <charset val="1"/>
      </rPr>
      <t xml:space="preserve">35.1%</t>
    </r>
    <r>
      <rPr>
        <sz val="10"/>
        <rFont val="Noto Sans CJK SC"/>
        <family val="2"/>
      </rPr>
      <t xml:space="preserve">〜</t>
    </r>
    <r>
      <rPr>
        <sz val="10"/>
        <rFont val="Arial"/>
        <family val="0"/>
        <charset val="1"/>
      </rPr>
      <t xml:space="preserve">49.6%</t>
    </r>
    <r>
      <rPr>
        <sz val="10"/>
        <rFont val="Noto Sans CJK SC"/>
        <family val="2"/>
      </rPr>
      <t xml:space="preserve">）がある。</t>
    </r>
  </si>
</sst>
</file>

<file path=xl/styles.xml><?xml version="1.0" encoding="utf-8"?>
<styleSheet xmlns="http://schemas.openxmlformats.org/spreadsheetml/2006/main">
  <numFmts count="4">
    <numFmt numFmtId="164" formatCode="General"/>
    <numFmt numFmtId="165" formatCode="#,##0;\(#,##0\);\-"/>
    <numFmt numFmtId="166" formatCode="0.00\倍"/>
    <numFmt numFmtId="167" formatCode="0.0%;\(0.0%\);\-"/>
  </numFmts>
  <fonts count="15">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sz val="9"/>
      <color rgb="FF555555"/>
      <name val="Noto Sans CJK SC"/>
      <family val="2"/>
    </font>
    <font>
      <sz val="9"/>
      <color rgb="FF555555"/>
      <name val="Arial"/>
      <family val="0"/>
      <charset val="1"/>
    </font>
    <font>
      <b val="true"/>
      <sz val="10"/>
      <name val="Noto Sans CJK SC"/>
      <family val="2"/>
    </font>
    <font>
      <b val="true"/>
      <sz val="10"/>
      <name val="Arial"/>
      <family val="0"/>
      <charset val="1"/>
    </font>
    <font>
      <b val="true"/>
      <sz val="11"/>
      <color rgb="FFFFFFFF"/>
      <name val="Noto Sans CJK SC"/>
      <family val="2"/>
    </font>
    <font>
      <b val="true"/>
      <sz val="11"/>
      <color rgb="FFFFFFFF"/>
      <name val="Arial"/>
      <family val="0"/>
      <charset val="1"/>
    </font>
    <font>
      <sz val="10"/>
      <name val="Noto Sans CJK SC"/>
      <family val="2"/>
    </font>
    <font>
      <sz val="10"/>
      <color rgb="FF0000FF"/>
      <name val="Arial"/>
      <family val="0"/>
      <charset val="1"/>
    </font>
    <font>
      <sz val="10"/>
      <name val="Arial"/>
      <family val="0"/>
      <charset val="1"/>
    </font>
  </fonts>
  <fills count="5">
    <fill>
      <patternFill patternType="none"/>
    </fill>
    <fill>
      <patternFill patternType="gray125"/>
    </fill>
    <fill>
      <patternFill patternType="solid">
        <fgColor rgb="FF14452F"/>
        <bgColor rgb="FF003300"/>
      </patternFill>
    </fill>
    <fill>
      <patternFill patternType="solid">
        <fgColor rgb="FFE8EFEA"/>
        <bgColor rgb="FFFFF7DC"/>
      </patternFill>
    </fill>
    <fill>
      <patternFill patternType="solid">
        <fgColor rgb="FFFFF7DC"/>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C"/>
      <rgbColor rgb="FFE8EF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44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5" min="4" style="0" width="14"/>
    <col collapsed="false" customWidth="true" hidden="false" outlineLevel="0" max="6" min="6" style="0" width="40"/>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9.85" hidden="false" customHeight="false" outlineLevel="0" collapsed="false">
      <c r="A5" s="4" t="s">
        <v>3</v>
      </c>
      <c r="B5" s="4" t="s">
        <v>4</v>
      </c>
      <c r="C5" s="4" t="s">
        <v>5</v>
      </c>
      <c r="D5" s="4" t="s">
        <v>6</v>
      </c>
      <c r="E5" s="4"/>
      <c r="F5" s="4" t="s">
        <v>7</v>
      </c>
    </row>
    <row r="6" customFormat="false" ht="15" hidden="false" customHeight="false" outlineLevel="0" collapsed="false">
      <c r="A6" s="5" t="s">
        <v>8</v>
      </c>
      <c r="B6" s="6" t="n">
        <v>7927283</v>
      </c>
      <c r="C6" s="6" t="n">
        <v>24979520</v>
      </c>
      <c r="D6" s="7" t="n">
        <f aca="false">C6/B6</f>
        <v>3.15108215513436</v>
      </c>
      <c r="E6" s="8" t="n">
        <f aca="false">C6/B6-1</f>
        <v>2.15108215513436</v>
      </c>
      <c r="F6" s="9" t="s">
        <v>9</v>
      </c>
    </row>
    <row r="7" customFormat="false" ht="15" hidden="false" customHeight="false" outlineLevel="0" collapsed="false">
      <c r="A7" s="5" t="s">
        <v>10</v>
      </c>
      <c r="B7" s="10" t="n">
        <f aca="false">B6/12</f>
        <v>660606.916666667</v>
      </c>
      <c r="C7" s="10" t="n">
        <f aca="false">C6/11</f>
        <v>2270865.45454545</v>
      </c>
      <c r="D7" s="7" t="n">
        <f aca="false">C7/B7</f>
        <v>3.43754416923749</v>
      </c>
      <c r="E7" s="8" t="n">
        <f aca="false">C7/B7-1</f>
        <v>2.43754416923749</v>
      </c>
      <c r="F7" s="9" t="s">
        <v>11</v>
      </c>
    </row>
    <row r="8" customFormat="false" ht="15" hidden="false" customHeight="false" outlineLevel="0" collapsed="false">
      <c r="A8" s="5" t="s">
        <v>12</v>
      </c>
      <c r="B8" s="10"/>
      <c r="C8" s="6" t="n">
        <v>-1138361</v>
      </c>
      <c r="D8" s="5"/>
      <c r="E8" s="5"/>
      <c r="F8" s="9" t="s">
        <v>13</v>
      </c>
    </row>
    <row r="9" customFormat="false" ht="15" hidden="false" customHeight="false" outlineLevel="0" collapsed="false">
      <c r="A9" s="5" t="s">
        <v>14</v>
      </c>
      <c r="B9" s="10"/>
      <c r="C9" s="6" t="n">
        <v>-1005162</v>
      </c>
      <c r="D9" s="5"/>
      <c r="E9" s="5"/>
      <c r="F9" s="9" t="s">
        <v>15</v>
      </c>
    </row>
    <row r="11" customFormat="false" ht="15" hidden="false" customHeight="false" outlineLevel="0" collapsed="false">
      <c r="A11" s="3" t="s">
        <v>16</v>
      </c>
    </row>
    <row r="12" customFormat="false" ht="15" hidden="false" customHeight="false" outlineLevel="0" collapsed="false">
      <c r="A12" s="2" t="s">
        <v>17</v>
      </c>
    </row>
    <row r="13" customFormat="false" ht="32.8" hidden="false" customHeight="false" outlineLevel="0" collapsed="false">
      <c r="A13" s="4" t="s">
        <v>18</v>
      </c>
      <c r="B13" s="4" t="s">
        <v>19</v>
      </c>
      <c r="C13" s="4"/>
      <c r="D13" s="4"/>
      <c r="E13" s="4"/>
      <c r="F13" s="4" t="s">
        <v>20</v>
      </c>
    </row>
    <row r="14" customFormat="false" ht="15" hidden="false" customHeight="false" outlineLevel="0" collapsed="false">
      <c r="A14" s="5" t="s">
        <v>21</v>
      </c>
      <c r="B14" s="6" t="n">
        <v>486894</v>
      </c>
      <c r="C14" s="5"/>
      <c r="D14" s="5"/>
      <c r="E14" s="5"/>
      <c r="F14" s="9" t="s">
        <v>22</v>
      </c>
    </row>
    <row r="15" customFormat="false" ht="15" hidden="false" customHeight="false" outlineLevel="0" collapsed="false">
      <c r="A15" s="11" t="s">
        <v>23</v>
      </c>
      <c r="B15" s="6" t="n">
        <v>484318</v>
      </c>
      <c r="C15" s="5"/>
      <c r="D15" s="5"/>
      <c r="E15" s="5"/>
      <c r="F15" s="9" t="s">
        <v>24</v>
      </c>
    </row>
    <row r="16" customFormat="false" ht="15" hidden="false" customHeight="false" outlineLevel="0" collapsed="false">
      <c r="A16" s="11" t="s">
        <v>25</v>
      </c>
      <c r="B16" s="6" t="n">
        <v>-64182</v>
      </c>
      <c r="C16" s="5"/>
      <c r="D16" s="5"/>
      <c r="E16" s="5"/>
      <c r="F16" s="12" t="s">
        <v>26</v>
      </c>
    </row>
    <row r="17" customFormat="false" ht="15" hidden="false" customHeight="false" outlineLevel="0" collapsed="false">
      <c r="A17" s="5" t="s">
        <v>27</v>
      </c>
      <c r="B17" s="6" t="n">
        <v>-928473</v>
      </c>
      <c r="C17" s="5"/>
      <c r="D17" s="5"/>
      <c r="E17" s="5"/>
      <c r="F17" s="9" t="s">
        <v>28</v>
      </c>
    </row>
    <row r="18" customFormat="false" ht="15" hidden="false" customHeight="false" outlineLevel="0" collapsed="false">
      <c r="A18" s="13" t="s">
        <v>29</v>
      </c>
      <c r="B18" s="14" t="n">
        <f aca="false">SUM(B14:B17)</f>
        <v>-21443</v>
      </c>
      <c r="C18" s="15"/>
      <c r="D18" s="15"/>
      <c r="E18" s="15"/>
      <c r="F18" s="16" t="s">
        <v>30</v>
      </c>
    </row>
    <row r="20" customFormat="false" ht="15" hidden="false" customHeight="false" outlineLevel="0" collapsed="false">
      <c r="A20" s="3" t="s">
        <v>31</v>
      </c>
    </row>
    <row r="21" customFormat="false" ht="17.15" hidden="false" customHeight="false" outlineLevel="0" collapsed="false">
      <c r="A21" s="4" t="s">
        <v>32</v>
      </c>
      <c r="B21" s="4" t="s">
        <v>33</v>
      </c>
      <c r="C21" s="4" t="s">
        <v>34</v>
      </c>
      <c r="D21" s="4"/>
      <c r="E21" s="4"/>
      <c r="F21" s="4" t="s">
        <v>35</v>
      </c>
    </row>
    <row r="22" customFormat="false" ht="15" hidden="false" customHeight="false" outlineLevel="0" collapsed="false">
      <c r="A22" s="5" t="s">
        <v>36</v>
      </c>
      <c r="B22" s="6" t="n">
        <v>4571435</v>
      </c>
      <c r="C22" s="10" t="n">
        <f aca="false">B22*12</f>
        <v>54857220</v>
      </c>
      <c r="D22" s="5"/>
      <c r="E22" s="5"/>
      <c r="F22" s="9" t="s">
        <v>37</v>
      </c>
    </row>
    <row r="23" customFormat="false" ht="15" hidden="false" customHeight="false" outlineLevel="0" collapsed="false">
      <c r="A23" s="5" t="s">
        <v>38</v>
      </c>
      <c r="B23" s="10" t="n">
        <f aca="false">B22-B24</f>
        <v>2556196</v>
      </c>
      <c r="C23" s="10" t="n">
        <f aca="false">B23*12</f>
        <v>30674352</v>
      </c>
      <c r="D23" s="5"/>
      <c r="E23" s="5"/>
      <c r="F23" s="9" t="s">
        <v>39</v>
      </c>
    </row>
    <row r="24" customFormat="false" ht="15" hidden="false" customHeight="false" outlineLevel="0" collapsed="false">
      <c r="A24" s="13" t="s">
        <v>40</v>
      </c>
      <c r="B24" s="17" t="n">
        <v>2015239</v>
      </c>
      <c r="C24" s="18" t="n">
        <f aca="false">B24*12</f>
        <v>24182868</v>
      </c>
      <c r="D24" s="5"/>
      <c r="E24" s="5"/>
      <c r="F24" s="9" t="s">
        <v>41</v>
      </c>
    </row>
    <row r="25" customFormat="false" ht="15" hidden="false" customHeight="false" outlineLevel="0" collapsed="false">
      <c r="A25" s="13" t="s">
        <v>42</v>
      </c>
      <c r="B25" s="19" t="n">
        <f aca="false">B24/B22</f>
        <v>0.440832911328718</v>
      </c>
      <c r="C25" s="20"/>
      <c r="D25" s="20"/>
      <c r="E25" s="20"/>
      <c r="F25" s="21" t="s">
        <v>43</v>
      </c>
    </row>
    <row r="26" customFormat="false" ht="15" hidden="false" customHeight="false" outlineLevel="0" collapsed="false">
      <c r="A26" s="9" t="s">
        <v>44</v>
      </c>
      <c r="B26" s="6" t="n">
        <v>17713090</v>
      </c>
      <c r="C26" s="6" t="n">
        <v>7638319</v>
      </c>
      <c r="D26" s="8" t="n">
        <f aca="false">C26/B26</f>
        <v>0.431224535075472</v>
      </c>
      <c r="E26" s="5"/>
      <c r="F26" s="12" t="s">
        <v>45</v>
      </c>
    </row>
    <row r="28" customFormat="false" ht="15" hidden="false" customHeight="false" outlineLevel="0" collapsed="false">
      <c r="A28" s="3" t="s">
        <v>46</v>
      </c>
    </row>
    <row r="29" customFormat="false" ht="29.85" hidden="false" customHeight="false" outlineLevel="0" collapsed="false">
      <c r="A29" s="4" t="s">
        <v>47</v>
      </c>
      <c r="B29" s="4" t="s">
        <v>4</v>
      </c>
      <c r="C29" s="4" t="s">
        <v>48</v>
      </c>
      <c r="D29" s="4" t="s">
        <v>6</v>
      </c>
      <c r="E29" s="4"/>
      <c r="F29" s="4" t="s">
        <v>49</v>
      </c>
    </row>
    <row r="30" customFormat="false" ht="15" hidden="false" customHeight="false" outlineLevel="0" collapsed="false">
      <c r="A30" s="5" t="s">
        <v>50</v>
      </c>
      <c r="B30" s="22" t="n">
        <v>144</v>
      </c>
      <c r="C30" s="22" t="n">
        <v>218</v>
      </c>
      <c r="D30" s="7" t="n">
        <f aca="false">C30/B30</f>
        <v>1.51388888888889</v>
      </c>
      <c r="E30" s="8" t="n">
        <f aca="false">C30/B30-1</f>
        <v>0.513888888888889</v>
      </c>
      <c r="F30" s="12" t="s">
        <v>51</v>
      </c>
    </row>
    <row r="31" customFormat="false" ht="15" hidden="false" customHeight="false" outlineLevel="0" collapsed="false">
      <c r="A31" s="5" t="s">
        <v>52</v>
      </c>
      <c r="B31" s="5" t="n">
        <v>36</v>
      </c>
      <c r="C31" s="5" t="n">
        <v>74</v>
      </c>
      <c r="D31" s="7" t="n">
        <f aca="false">C31/B31</f>
        <v>2.05555555555556</v>
      </c>
      <c r="E31" s="8" t="n">
        <f aca="false">C31/B31-1</f>
        <v>1.05555555555556</v>
      </c>
      <c r="F31" s="9" t="s">
        <v>53</v>
      </c>
    </row>
    <row r="32" customFormat="false" ht="15" hidden="false" customHeight="false" outlineLevel="0" collapsed="false">
      <c r="A32" s="5" t="s">
        <v>54</v>
      </c>
      <c r="B32" s="22" t="n">
        <v>53</v>
      </c>
      <c r="C32" s="22" t="n">
        <v>93</v>
      </c>
      <c r="D32" s="7" t="n">
        <f aca="false">C32/B32</f>
        <v>1.75471698113208</v>
      </c>
      <c r="E32" s="8" t="n">
        <f aca="false">C32/B32-1</f>
        <v>0.754716981132076</v>
      </c>
      <c r="F32" s="12" t="s">
        <v>55</v>
      </c>
    </row>
    <row r="33" customFormat="false" ht="15" hidden="false" customHeight="false" outlineLevel="0" collapsed="false">
      <c r="A33" s="5" t="s">
        <v>56</v>
      </c>
      <c r="B33" s="6" t="n">
        <v>11535984</v>
      </c>
      <c r="C33" s="6" t="n">
        <v>9106400</v>
      </c>
      <c r="D33" s="7" t="n">
        <f aca="false">C33/B33</f>
        <v>0.789390831332637</v>
      </c>
      <c r="E33" s="8" t="n">
        <f aca="false">C33/B33-1</f>
        <v>-0.210609168667363</v>
      </c>
      <c r="F33" s="12" t="s">
        <v>57</v>
      </c>
    </row>
    <row r="34" customFormat="false" ht="15" hidden="false" customHeight="false" outlineLevel="0" collapsed="false">
      <c r="A34" s="5" t="s">
        <v>58</v>
      </c>
      <c r="B34" s="10"/>
      <c r="C34" s="6" t="n">
        <v>10956460</v>
      </c>
      <c r="D34" s="5"/>
      <c r="E34" s="5"/>
      <c r="F34" s="9" t="s">
        <v>59</v>
      </c>
    </row>
    <row r="36" customFormat="false" ht="15" hidden="false" customHeight="false" outlineLevel="0" collapsed="false">
      <c r="A36" s="13" t="s">
        <v>60</v>
      </c>
    </row>
    <row r="37" customFormat="false" ht="15" hidden="false" customHeight="false" outlineLevel="0" collapsed="false">
      <c r="A37" s="23" t="s">
        <v>61</v>
      </c>
    </row>
    <row r="38" customFormat="false" ht="15" hidden="false" customHeight="false" outlineLevel="0" collapsed="false">
      <c r="A38" s="23" t="s">
        <v>62</v>
      </c>
    </row>
    <row r="39" customFormat="false" ht="15" hidden="false" customHeight="false" outlineLevel="0" collapsed="false">
      <c r="A39" s="24" t="s">
        <v>63</v>
      </c>
    </row>
    <row r="40" customFormat="false" ht="15" hidden="false" customHeight="false" outlineLevel="0" collapsed="false">
      <c r="A40" s="24" t="s">
        <v>64</v>
      </c>
    </row>
    <row r="41" customFormat="false" ht="15" hidden="false" customHeight="false" outlineLevel="0" collapsed="false">
      <c r="A41" s="23" t="s">
        <v>65</v>
      </c>
    </row>
    <row r="42" customFormat="false" ht="15" hidden="false" customHeight="false" outlineLevel="0" collapsed="false">
      <c r="A42" s="23"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8"/>
    <col collapsed="false" customWidth="true" hidden="false" outlineLevel="0" max="5" min="4" style="0" width="14"/>
    <col collapsed="false" customWidth="true" hidden="false" outlineLevel="0" max="6" min="6" style="0" width="46"/>
  </cols>
  <sheetData>
    <row r="1" customFormat="false" ht="17.35" hidden="false" customHeight="false" outlineLevel="0" collapsed="false">
      <c r="A1" s="1" t="s">
        <v>67</v>
      </c>
    </row>
    <row r="2" customFormat="false" ht="15" hidden="false" customHeight="false" outlineLevel="0" collapsed="false">
      <c r="A2" s="2" t="s">
        <v>68</v>
      </c>
    </row>
    <row r="3" customFormat="false" ht="15" hidden="false" customHeight="false" outlineLevel="0" collapsed="false">
      <c r="A3" s="2" t="s">
        <v>69</v>
      </c>
    </row>
    <row r="5" customFormat="false" ht="17.15" hidden="false" customHeight="false" outlineLevel="0" collapsed="false">
      <c r="A5" s="4" t="s">
        <v>18</v>
      </c>
      <c r="B5" s="4" t="s">
        <v>19</v>
      </c>
      <c r="C5" s="4" t="s">
        <v>70</v>
      </c>
      <c r="D5" s="4" t="s">
        <v>71</v>
      </c>
      <c r="E5" s="4"/>
      <c r="F5" s="4" t="s">
        <v>72</v>
      </c>
    </row>
    <row r="6" customFormat="false" ht="15" hidden="false" customHeight="false" outlineLevel="0" collapsed="false">
      <c r="A6" s="5" t="s">
        <v>21</v>
      </c>
      <c r="B6" s="6" t="n">
        <v>486894</v>
      </c>
      <c r="C6" s="10" t="n">
        <f aca="false">B6*12</f>
        <v>5842728</v>
      </c>
      <c r="D6" s="5"/>
      <c r="E6" s="5"/>
      <c r="F6" s="9" t="s">
        <v>22</v>
      </c>
    </row>
    <row r="7" customFormat="false" ht="15" hidden="false" customHeight="false" outlineLevel="0" collapsed="false">
      <c r="A7" s="11" t="s">
        <v>23</v>
      </c>
      <c r="B7" s="6" t="n">
        <v>484318</v>
      </c>
      <c r="C7" s="10" t="n">
        <f aca="false">B7*12</f>
        <v>5811816</v>
      </c>
      <c r="D7" s="5"/>
      <c r="E7" s="5"/>
      <c r="F7" s="9" t="s">
        <v>24</v>
      </c>
    </row>
    <row r="8" customFormat="false" ht="15" hidden="false" customHeight="false" outlineLevel="0" collapsed="false">
      <c r="A8" s="11" t="s">
        <v>25</v>
      </c>
      <c r="B8" s="6" t="n">
        <v>-64182</v>
      </c>
      <c r="C8" s="10" t="n">
        <f aca="false">B8*12</f>
        <v>-770184</v>
      </c>
      <c r="D8" s="5"/>
      <c r="E8" s="5"/>
      <c r="F8" s="12" t="s">
        <v>26</v>
      </c>
    </row>
    <row r="9" customFormat="false" ht="15" hidden="false" customHeight="false" outlineLevel="0" collapsed="false">
      <c r="A9" s="5" t="s">
        <v>27</v>
      </c>
      <c r="B9" s="6" t="n">
        <v>-928473</v>
      </c>
      <c r="C9" s="10" t="n">
        <f aca="false">B9*12</f>
        <v>-11141676</v>
      </c>
      <c r="D9" s="5"/>
      <c r="E9" s="5"/>
      <c r="F9" s="9" t="s">
        <v>28</v>
      </c>
    </row>
    <row r="10" customFormat="false" ht="15" hidden="false" customHeight="false" outlineLevel="0" collapsed="false">
      <c r="A10" s="13" t="s">
        <v>73</v>
      </c>
      <c r="B10" s="14" t="n">
        <f aca="false">SUM(B6:B8)</f>
        <v>907030</v>
      </c>
      <c r="C10" s="14" t="n">
        <f aca="false">B10*12</f>
        <v>10884360</v>
      </c>
      <c r="D10" s="15"/>
      <c r="E10" s="15"/>
      <c r="F10" s="16" t="s">
        <v>74</v>
      </c>
    </row>
    <row r="11" customFormat="false" ht="15" hidden="false" customHeight="false" outlineLevel="0" collapsed="false">
      <c r="A11" s="13" t="s">
        <v>75</v>
      </c>
      <c r="B11" s="14" t="n">
        <f aca="false">SUM(B6:B9)</f>
        <v>-21443</v>
      </c>
      <c r="C11" s="14" t="n">
        <f aca="false">B11*12</f>
        <v>-257316</v>
      </c>
      <c r="D11" s="15"/>
      <c r="E11" s="15"/>
      <c r="F11" s="16" t="s">
        <v>76</v>
      </c>
    </row>
    <row r="13" customFormat="false" ht="15" hidden="false" customHeight="false" outlineLevel="0" collapsed="false">
      <c r="A13" s="3" t="s">
        <v>77</v>
      </c>
    </row>
    <row r="14" customFormat="false" ht="15" hidden="false" customHeight="false" outlineLevel="0" collapsed="false">
      <c r="A14" s="24" t="s">
        <v>78</v>
      </c>
    </row>
    <row r="15" customFormat="false" ht="15" hidden="false" customHeight="false" outlineLevel="0" collapsed="false">
      <c r="A15" s="24" t="s">
        <v>79</v>
      </c>
    </row>
    <row r="16" customFormat="false" ht="15" hidden="false" customHeight="false" outlineLevel="0" collapsed="false">
      <c r="A16" s="24" t="s">
        <v>80</v>
      </c>
    </row>
    <row r="17" customFormat="false" ht="15" hidden="false" customHeight="false" outlineLevel="0" collapsed="false">
      <c r="A17" s="24"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4"/>
    <col collapsed="false" customWidth="true" hidden="false" outlineLevel="0" max="5" min="4" style="0" width="13"/>
    <col collapsed="false" customWidth="true" hidden="false" outlineLevel="0" max="6" min="6" style="0" width="15"/>
    <col collapsed="false" customWidth="true" hidden="false" outlineLevel="0" max="7" min="7" style="0" width="10"/>
    <col collapsed="false" customWidth="true" hidden="false" outlineLevel="0" max="9" min="8" style="0" width="16"/>
  </cols>
  <sheetData>
    <row r="1" customFormat="false" ht="21.6" hidden="false" customHeight="false" outlineLevel="0" collapsed="false">
      <c r="A1" s="25" t="s">
        <v>82</v>
      </c>
    </row>
    <row r="2" customFormat="false" ht="15" hidden="false" customHeight="false" outlineLevel="0" collapsed="false">
      <c r="A2" s="2" t="s">
        <v>83</v>
      </c>
    </row>
    <row r="3" customFormat="false" ht="15" hidden="false" customHeight="false" outlineLevel="0" collapsed="false">
      <c r="A3" s="26" t="s">
        <v>84</v>
      </c>
    </row>
    <row r="5" customFormat="false" ht="17.15" hidden="false" customHeight="false" outlineLevel="0" collapsed="false">
      <c r="A5" s="4" t="s">
        <v>85</v>
      </c>
      <c r="B5" s="4" t="s">
        <v>86</v>
      </c>
      <c r="C5" s="4" t="s">
        <v>87</v>
      </c>
      <c r="D5" s="4" t="s">
        <v>88</v>
      </c>
      <c r="E5" s="4" t="s">
        <v>89</v>
      </c>
      <c r="F5" s="4" t="s">
        <v>90</v>
      </c>
      <c r="G5" s="4"/>
      <c r="H5" s="4" t="s">
        <v>91</v>
      </c>
      <c r="I5" s="4" t="s">
        <v>92</v>
      </c>
    </row>
    <row r="6" customFormat="false" ht="15" hidden="false" customHeight="false" outlineLevel="0" collapsed="false">
      <c r="A6" s="27" t="s">
        <v>93</v>
      </c>
      <c r="B6" s="6" t="n">
        <v>3509350</v>
      </c>
      <c r="C6" s="6" t="n">
        <v>759912</v>
      </c>
      <c r="D6" s="6" t="n">
        <v>134500</v>
      </c>
      <c r="E6" s="6" t="n">
        <v>0</v>
      </c>
      <c r="F6" s="28" t="n">
        <f aca="false">SUM(B6:E6)</f>
        <v>4403762</v>
      </c>
      <c r="G6" s="5"/>
      <c r="H6" s="27" t="s">
        <v>94</v>
      </c>
      <c r="I6" s="6" t="n">
        <v>1863761</v>
      </c>
    </row>
    <row r="7" customFormat="false" ht="15" hidden="false" customHeight="false" outlineLevel="0" collapsed="false">
      <c r="A7" s="27" t="s">
        <v>95</v>
      </c>
      <c r="B7" s="6" t="n">
        <v>3347525</v>
      </c>
      <c r="C7" s="6" t="n">
        <v>616694</v>
      </c>
      <c r="D7" s="6" t="n">
        <v>83000</v>
      </c>
      <c r="E7" s="6" t="n">
        <v>6000</v>
      </c>
      <c r="F7" s="28" t="n">
        <f aca="false">SUM(B7:E7)</f>
        <v>4053219</v>
      </c>
      <c r="G7" s="5"/>
      <c r="H7" s="27" t="s">
        <v>96</v>
      </c>
      <c r="I7" s="6" t="n">
        <v>1420350</v>
      </c>
    </row>
    <row r="8" customFormat="false" ht="15" hidden="false" customHeight="false" outlineLevel="0" collapsed="false">
      <c r="A8" s="27" t="s">
        <v>97</v>
      </c>
      <c r="B8" s="6" t="n">
        <v>3557750</v>
      </c>
      <c r="C8" s="6" t="n">
        <v>809470</v>
      </c>
      <c r="D8" s="6" t="n">
        <v>179001</v>
      </c>
      <c r="E8" s="6" t="n">
        <v>6000</v>
      </c>
      <c r="F8" s="28" t="n">
        <f aca="false">SUM(B8:E8)</f>
        <v>4552221</v>
      </c>
      <c r="G8" s="5"/>
      <c r="H8" s="27" t="s">
        <v>98</v>
      </c>
      <c r="I8" s="6" t="n">
        <v>2022139</v>
      </c>
    </row>
    <row r="9" customFormat="false" ht="15" hidden="false" customHeight="false" outlineLevel="0" collapsed="false">
      <c r="A9" s="27" t="s">
        <v>99</v>
      </c>
      <c r="B9" s="6" t="n">
        <v>3636650</v>
      </c>
      <c r="C9" s="6" t="n">
        <v>920238</v>
      </c>
      <c r="D9" s="6" t="n">
        <v>147000</v>
      </c>
      <c r="E9" s="6" t="n">
        <v>0</v>
      </c>
      <c r="F9" s="28" t="n">
        <f aca="false">SUM(B9:E9)</f>
        <v>4703888</v>
      </c>
      <c r="G9" s="5"/>
      <c r="H9" s="27" t="s">
        <v>100</v>
      </c>
      <c r="I9" s="6" t="n">
        <v>2332069</v>
      </c>
    </row>
    <row r="10" customFormat="false" ht="15" hidden="false" customHeight="false" outlineLevel="0" collapsed="false">
      <c r="A10" s="27" t="s">
        <v>101</v>
      </c>
      <c r="B10" s="6" t="n">
        <v>3716700</v>
      </c>
      <c r="C10" s="6" t="n">
        <v>749362</v>
      </c>
      <c r="D10" s="6" t="n">
        <v>254273</v>
      </c>
      <c r="E10" s="6" t="n">
        <v>59500</v>
      </c>
      <c r="F10" s="28" t="n">
        <f aca="false">SUM(B10:E10)</f>
        <v>4779835</v>
      </c>
      <c r="G10" s="5"/>
      <c r="H10" s="29" t="s">
        <v>102</v>
      </c>
      <c r="I10" s="10"/>
    </row>
    <row r="11" customFormat="false" ht="15" hidden="false" customHeight="false" outlineLevel="0" collapsed="false">
      <c r="A11" s="27" t="s">
        <v>103</v>
      </c>
      <c r="B11" s="6" t="n">
        <v>3614800</v>
      </c>
      <c r="C11" s="6" t="n">
        <v>1067456</v>
      </c>
      <c r="D11" s="6" t="n">
        <v>161000</v>
      </c>
      <c r="E11" s="6" t="n">
        <v>92430</v>
      </c>
      <c r="F11" s="28" t="n">
        <f aca="false">SUM(B11:E11)</f>
        <v>4935686</v>
      </c>
      <c r="G11" s="5"/>
      <c r="H11" s="29" t="s">
        <v>102</v>
      </c>
      <c r="I11" s="10"/>
    </row>
    <row r="12" customFormat="false" ht="15" hidden="false" customHeight="false" outlineLevel="0" collapsed="false">
      <c r="A12" s="30" t="s">
        <v>75</v>
      </c>
      <c r="B12" s="14" t="n">
        <f aca="false">SUM(B6:B11)</f>
        <v>21382775</v>
      </c>
      <c r="C12" s="14" t="n">
        <f aca="false">SUM(C6:C11)</f>
        <v>4923132</v>
      </c>
      <c r="D12" s="14" t="n">
        <f aca="false">SUM(D6:D11)</f>
        <v>958774</v>
      </c>
      <c r="E12" s="14" t="n">
        <f aca="false">SUM(E6:E11)</f>
        <v>163930</v>
      </c>
      <c r="F12" s="14" t="n">
        <f aca="false">SUM(F6:F11)</f>
        <v>27428611</v>
      </c>
      <c r="G12" s="15"/>
      <c r="H12" s="15"/>
      <c r="I12" s="14" t="n">
        <f aca="false">SUM(I6:I11)</f>
        <v>7638319</v>
      </c>
    </row>
    <row r="14" customFormat="false" ht="15" hidden="false" customHeight="false" outlineLevel="0" collapsed="false">
      <c r="A14" s="13" t="s">
        <v>104</v>
      </c>
    </row>
    <row r="15" customFormat="false" ht="15" hidden="false" customHeight="false" outlineLevel="0" collapsed="false">
      <c r="A15" s="5" t="s">
        <v>105</v>
      </c>
      <c r="B15" s="28" t="n">
        <f aca="false">SUM(F6:F9)</f>
        <v>17713090</v>
      </c>
    </row>
    <row r="16" customFormat="false" ht="15" hidden="false" customHeight="false" outlineLevel="0" collapsed="false">
      <c r="A16" s="5" t="s">
        <v>106</v>
      </c>
      <c r="B16" s="28" t="n">
        <f aca="false">SUM(I6:I9)</f>
        <v>7638319</v>
      </c>
    </row>
    <row r="17" customFormat="false" ht="15" hidden="false" customHeight="false" outlineLevel="0" collapsed="false">
      <c r="A17" s="13" t="s">
        <v>107</v>
      </c>
      <c r="B17" s="18" t="n">
        <f aca="false">B15-B16</f>
        <v>10074771</v>
      </c>
    </row>
    <row r="18" customFormat="false" ht="15" hidden="false" customHeight="false" outlineLevel="0" collapsed="false">
      <c r="A18" s="13" t="s">
        <v>108</v>
      </c>
      <c r="B18" s="19" t="n">
        <f aca="false">B16/B15</f>
        <v>0.431224535075472</v>
      </c>
    </row>
    <row r="19" customFormat="false" ht="15" hidden="false" customHeight="false" outlineLevel="0" collapsed="false">
      <c r="A19" s="13" t="s">
        <v>109</v>
      </c>
      <c r="B19" s="19" t="n">
        <f aca="false">1-B18</f>
        <v>0.568775464924528</v>
      </c>
    </row>
    <row r="21" customFormat="false" ht="15" hidden="false" customHeight="false" outlineLevel="0" collapsed="false">
      <c r="A21" s="13" t="s">
        <v>110</v>
      </c>
    </row>
    <row r="22" customFormat="false" ht="17.15" hidden="false" customHeight="false" outlineLevel="0" collapsed="false">
      <c r="A22" s="4" t="s">
        <v>111</v>
      </c>
      <c r="B22" s="4" t="s">
        <v>33</v>
      </c>
      <c r="C22" s="4"/>
      <c r="D22" s="4"/>
      <c r="E22" s="4"/>
      <c r="F22" s="4"/>
      <c r="G22" s="4"/>
      <c r="H22" s="4"/>
      <c r="I22" s="4"/>
    </row>
    <row r="23" customFormat="false" ht="15" hidden="false" customHeight="false" outlineLevel="0" collapsed="false">
      <c r="A23" s="5" t="s">
        <v>112</v>
      </c>
      <c r="B23" s="6" t="n">
        <v>832947</v>
      </c>
      <c r="C23" s="5"/>
      <c r="D23" s="5"/>
      <c r="E23" s="5"/>
      <c r="F23" s="5"/>
      <c r="G23" s="5"/>
      <c r="H23" s="5"/>
      <c r="I23" s="5"/>
    </row>
    <row r="24" customFormat="false" ht="15" hidden="false" customHeight="false" outlineLevel="0" collapsed="false">
      <c r="A24" s="5" t="s">
        <v>113</v>
      </c>
      <c r="B24" s="6" t="n">
        <v>520000</v>
      </c>
      <c r="C24" s="5"/>
      <c r="D24" s="5"/>
      <c r="E24" s="5"/>
      <c r="F24" s="5"/>
      <c r="G24" s="5"/>
      <c r="H24" s="5"/>
      <c r="I24" s="5"/>
    </row>
    <row r="25" customFormat="false" ht="15" hidden="false" customHeight="false" outlineLevel="0" collapsed="false">
      <c r="A25" s="5" t="s">
        <v>114</v>
      </c>
      <c r="B25" s="6" t="n">
        <v>96523</v>
      </c>
      <c r="C25" s="5"/>
      <c r="D25" s="5"/>
      <c r="E25" s="5"/>
      <c r="F25" s="5"/>
      <c r="G25" s="5"/>
      <c r="H25" s="5"/>
      <c r="I25" s="5"/>
    </row>
    <row r="26" customFormat="false" ht="15" hidden="false" customHeight="false" outlineLevel="0" collapsed="false">
      <c r="A26" s="5" t="s">
        <v>115</v>
      </c>
      <c r="B26" s="6" t="n">
        <v>5292</v>
      </c>
      <c r="C26" s="5"/>
      <c r="D26" s="5"/>
      <c r="E26" s="5"/>
      <c r="F26" s="5"/>
      <c r="G26" s="5"/>
      <c r="H26" s="5"/>
      <c r="I26" s="5"/>
    </row>
    <row r="27" customFormat="false" ht="15" hidden="false" customHeight="false" outlineLevel="0" collapsed="false">
      <c r="A27" s="5" t="s">
        <v>116</v>
      </c>
      <c r="B27" s="6" t="n">
        <v>52998</v>
      </c>
      <c r="C27" s="5"/>
      <c r="D27" s="5"/>
      <c r="E27" s="5"/>
      <c r="F27" s="5"/>
      <c r="G27" s="5"/>
      <c r="H27" s="5"/>
      <c r="I27" s="5"/>
    </row>
    <row r="28" customFormat="false" ht="15" hidden="false" customHeight="false" outlineLevel="0" collapsed="false">
      <c r="A28" s="5" t="s">
        <v>117</v>
      </c>
      <c r="B28" s="6" t="n">
        <v>349190</v>
      </c>
      <c r="C28" s="5"/>
      <c r="D28" s="5"/>
      <c r="E28" s="5"/>
      <c r="F28" s="5"/>
      <c r="G28" s="5"/>
      <c r="H28" s="5"/>
      <c r="I28" s="5"/>
    </row>
    <row r="29" customFormat="false" ht="15" hidden="false" customHeight="false" outlineLevel="0" collapsed="false">
      <c r="A29" s="13" t="s">
        <v>118</v>
      </c>
      <c r="B29" s="14" t="n">
        <f aca="false">SUM(B23:B28)</f>
        <v>1856950</v>
      </c>
      <c r="C29" s="15"/>
      <c r="D29" s="15"/>
      <c r="E29" s="15"/>
      <c r="F29" s="15"/>
      <c r="G29" s="15"/>
      <c r="H29" s="15"/>
      <c r="I29" s="15"/>
    </row>
    <row r="30" customFormat="false" ht="15" hidden="false" customHeight="false" outlineLevel="0" collapsed="false">
      <c r="A30" s="9" t="s">
        <v>119</v>
      </c>
      <c r="B30" s="10" t="n">
        <f aca="false">F9</f>
        <v>4703888</v>
      </c>
    </row>
    <row r="31" customFormat="false" ht="15" hidden="false" customHeight="false" outlineLevel="0" collapsed="false">
      <c r="A31" s="9" t="s">
        <v>120</v>
      </c>
      <c r="B31" s="10" t="n">
        <f aca="false">I9</f>
        <v>2332069</v>
      </c>
    </row>
    <row r="32" customFormat="false" ht="15" hidden="false" customHeight="false" outlineLevel="0" collapsed="false">
      <c r="A32" s="9" t="s">
        <v>121</v>
      </c>
      <c r="B32" s="10" t="n">
        <f aca="false">B30-B31-B29</f>
        <v>514869</v>
      </c>
    </row>
    <row r="34" customFormat="false" ht="15" hidden="false" customHeight="false" outlineLevel="0" collapsed="false">
      <c r="A34" s="2" t="s">
        <v>122</v>
      </c>
    </row>
    <row r="35" customFormat="false" ht="15" hidden="false" customHeight="false" outlineLevel="0" collapsed="false">
      <c r="A35" s="26"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12"/>
    <col collapsed="false" customWidth="true" hidden="false" outlineLevel="0" max="7" min="5" style="0" width="14"/>
  </cols>
  <sheetData>
    <row r="1" customFormat="false" ht="21.6" hidden="false" customHeight="false" outlineLevel="0" collapsed="false">
      <c r="A1" s="1" t="s">
        <v>124</v>
      </c>
    </row>
    <row r="2" customFormat="false" ht="15" hidden="false" customHeight="false" outlineLevel="0" collapsed="false">
      <c r="A2" s="2" t="s">
        <v>125</v>
      </c>
    </row>
    <row r="4" customFormat="false" ht="17.15" hidden="false" customHeight="false" outlineLevel="0" collapsed="false">
      <c r="A4" s="4" t="s">
        <v>126</v>
      </c>
      <c r="B4" s="4" t="s">
        <v>127</v>
      </c>
      <c r="C4" s="4" t="s">
        <v>128</v>
      </c>
      <c r="D4" s="4" t="s">
        <v>129</v>
      </c>
      <c r="E4" s="4" t="s">
        <v>130</v>
      </c>
      <c r="F4" s="4" t="s">
        <v>131</v>
      </c>
      <c r="G4" s="4"/>
    </row>
    <row r="5" customFormat="false" ht="15" hidden="false" customHeight="false" outlineLevel="0" collapsed="false">
      <c r="A5" s="27" t="s">
        <v>132</v>
      </c>
      <c r="B5" s="22" t="n">
        <v>148</v>
      </c>
      <c r="C5" s="22" t="n">
        <v>110</v>
      </c>
      <c r="D5" s="8" t="n">
        <f aca="false">B5/C5-1</f>
        <v>0.345454545454545</v>
      </c>
      <c r="E5" s="22" t="n">
        <v>6</v>
      </c>
      <c r="F5" s="22" t="n">
        <v>2</v>
      </c>
      <c r="G5" s="5"/>
    </row>
    <row r="6" customFormat="false" ht="15" hidden="false" customHeight="false" outlineLevel="0" collapsed="false">
      <c r="A6" s="27" t="s">
        <v>133</v>
      </c>
      <c r="B6" s="22" t="n">
        <v>155</v>
      </c>
      <c r="C6" s="22" t="n">
        <v>113</v>
      </c>
      <c r="D6" s="8" t="n">
        <f aca="false">B6/C6-1</f>
        <v>0.371681415929203</v>
      </c>
      <c r="E6" s="22" t="n">
        <v>7</v>
      </c>
      <c r="F6" s="22" t="n">
        <v>4</v>
      </c>
      <c r="G6" s="5"/>
    </row>
    <row r="7" customFormat="false" ht="15" hidden="false" customHeight="false" outlineLevel="0" collapsed="false">
      <c r="A7" s="27" t="s">
        <v>134</v>
      </c>
      <c r="B7" s="22" t="n">
        <v>161</v>
      </c>
      <c r="C7" s="22" t="n">
        <v>114</v>
      </c>
      <c r="D7" s="8" t="n">
        <f aca="false">B7/C7-1</f>
        <v>0.412280701754386</v>
      </c>
      <c r="E7" s="22" t="n">
        <v>7</v>
      </c>
      <c r="F7" s="22" t="n">
        <v>11</v>
      </c>
      <c r="G7" s="5"/>
    </row>
    <row r="8" customFormat="false" ht="15" hidden="false" customHeight="false" outlineLevel="0" collapsed="false">
      <c r="A8" s="27" t="s">
        <v>135</v>
      </c>
      <c r="B8" s="22" t="n">
        <v>169</v>
      </c>
      <c r="C8" s="22" t="n">
        <v>116</v>
      </c>
      <c r="D8" s="8" t="n">
        <f aca="false">B8/C8-1</f>
        <v>0.456896551724138</v>
      </c>
      <c r="E8" s="22" t="n">
        <v>8</v>
      </c>
      <c r="F8" s="22" t="n">
        <v>3</v>
      </c>
      <c r="G8" s="5"/>
    </row>
    <row r="9" customFormat="false" ht="15" hidden="false" customHeight="false" outlineLevel="0" collapsed="false">
      <c r="A9" s="27" t="s">
        <v>93</v>
      </c>
      <c r="B9" s="22" t="n">
        <v>172</v>
      </c>
      <c r="C9" s="22" t="n">
        <v>118</v>
      </c>
      <c r="D9" s="8" t="n">
        <f aca="false">B9/C9-1</f>
        <v>0.457627118644068</v>
      </c>
      <c r="E9" s="22" t="n">
        <v>3</v>
      </c>
      <c r="F9" s="22" t="n">
        <v>2</v>
      </c>
      <c r="G9" s="5"/>
    </row>
    <row r="10" customFormat="false" ht="15" hidden="false" customHeight="false" outlineLevel="0" collapsed="false">
      <c r="A10" s="27" t="s">
        <v>95</v>
      </c>
      <c r="B10" s="22" t="n">
        <v>180</v>
      </c>
      <c r="C10" s="22" t="n">
        <v>119</v>
      </c>
      <c r="D10" s="8" t="n">
        <f aca="false">B10/C10-1</f>
        <v>0.512605042016807</v>
      </c>
      <c r="E10" s="22" t="n">
        <v>8</v>
      </c>
      <c r="F10" s="22" t="n">
        <v>2</v>
      </c>
      <c r="G10" s="5"/>
    </row>
    <row r="11" customFormat="false" ht="15" hidden="false" customHeight="false" outlineLevel="0" collapsed="false">
      <c r="A11" s="27" t="s">
        <v>97</v>
      </c>
      <c r="B11" s="22" t="n">
        <v>188</v>
      </c>
      <c r="C11" s="22" t="n">
        <v>120</v>
      </c>
      <c r="D11" s="8" t="n">
        <f aca="false">B11/C11-1</f>
        <v>0.566666666666667</v>
      </c>
      <c r="E11" s="22" t="n">
        <v>8</v>
      </c>
      <c r="F11" s="22" t="n">
        <v>1</v>
      </c>
      <c r="G11" s="5"/>
    </row>
    <row r="12" customFormat="false" ht="15" hidden="false" customHeight="false" outlineLevel="0" collapsed="false">
      <c r="A12" s="27" t="s">
        <v>99</v>
      </c>
      <c r="B12" s="22" t="n">
        <v>196</v>
      </c>
      <c r="C12" s="22" t="n">
        <v>121</v>
      </c>
      <c r="D12" s="8" t="n">
        <f aca="false">B12/C12-1</f>
        <v>0.619834710743802</v>
      </c>
      <c r="E12" s="22" t="n">
        <v>9</v>
      </c>
      <c r="F12" s="22" t="n">
        <v>2</v>
      </c>
      <c r="G12" s="5"/>
    </row>
    <row r="13" customFormat="false" ht="15" hidden="false" customHeight="false" outlineLevel="0" collapsed="false">
      <c r="A13" s="27" t="s">
        <v>101</v>
      </c>
      <c r="B13" s="22" t="n">
        <v>203</v>
      </c>
      <c r="C13" s="22" t="n">
        <v>126</v>
      </c>
      <c r="D13" s="8" t="n">
        <f aca="false">B13/C13-1</f>
        <v>0.611111111111111</v>
      </c>
      <c r="E13" s="22" t="n">
        <v>9</v>
      </c>
      <c r="F13" s="22" t="n">
        <v>5</v>
      </c>
      <c r="G13" s="5"/>
    </row>
    <row r="14" customFormat="false" ht="15" hidden="false" customHeight="false" outlineLevel="0" collapsed="false">
      <c r="A14" s="27" t="s">
        <v>103</v>
      </c>
      <c r="B14" s="22" t="n">
        <v>210</v>
      </c>
      <c r="C14" s="22" t="n">
        <v>130</v>
      </c>
      <c r="D14" s="8" t="n">
        <f aca="false">B14/C14-1</f>
        <v>0.615384615384615</v>
      </c>
      <c r="E14" s="22" t="n">
        <v>9</v>
      </c>
      <c r="F14" s="22" t="n">
        <v>5</v>
      </c>
      <c r="G14" s="5"/>
    </row>
    <row r="15" customFormat="false" ht="15" hidden="false" customHeight="false" outlineLevel="0" collapsed="false">
      <c r="A15" s="27" t="s">
        <v>136</v>
      </c>
      <c r="B15" s="22" t="n">
        <v>215</v>
      </c>
      <c r="C15" s="22" t="n">
        <v>138</v>
      </c>
      <c r="D15" s="8" t="n">
        <f aca="false">B15/C15-1</f>
        <v>0.557971014492754</v>
      </c>
      <c r="E15" s="22" t="n">
        <v>13</v>
      </c>
      <c r="F15" s="22" t="n">
        <v>10</v>
      </c>
      <c r="G15" s="5"/>
    </row>
    <row r="16" customFormat="false" ht="15" hidden="false" customHeight="false" outlineLevel="0" collapsed="false">
      <c r="A16" s="27" t="s">
        <v>137</v>
      </c>
      <c r="B16" s="22" t="n">
        <v>218</v>
      </c>
      <c r="C16" s="22" t="n">
        <v>144</v>
      </c>
      <c r="D16" s="8" t="n">
        <f aca="false">B16/C16-1</f>
        <v>0.513888888888889</v>
      </c>
      <c r="E16" s="22" t="n">
        <v>6</v>
      </c>
      <c r="F16" s="22" t="n">
        <v>6</v>
      </c>
      <c r="G16" s="5"/>
    </row>
    <row r="17" customFormat="false" ht="15" hidden="false" customHeight="false" outlineLevel="0" collapsed="false">
      <c r="A17" s="30" t="s">
        <v>138</v>
      </c>
      <c r="B17" s="30" t="n">
        <f aca="false">B16</f>
        <v>218</v>
      </c>
      <c r="C17" s="30" t="n">
        <f aca="false">C16</f>
        <v>144</v>
      </c>
      <c r="D17" s="31" t="n">
        <f aca="false">B17/C17-1</f>
        <v>0.513888888888889</v>
      </c>
      <c r="E17" s="30" t="n">
        <f aca="false">SUM(E5:E16)</f>
        <v>93</v>
      </c>
      <c r="F17" s="30" t="n">
        <f aca="false">SUM(F5:F16)</f>
        <v>53</v>
      </c>
      <c r="G17" s="15"/>
    </row>
    <row r="19" customFormat="false" ht="15" hidden="false" customHeight="false" outlineLevel="0" collapsed="false">
      <c r="A19" s="26" t="s">
        <v>139</v>
      </c>
    </row>
    <row r="20" customFormat="false" ht="15" hidden="false" customHeight="false" outlineLevel="0" collapsed="false">
      <c r="A20" s="26" t="s">
        <v>140</v>
      </c>
    </row>
    <row r="21" customFormat="false" ht="15" hidden="false" customHeight="false" outlineLevel="0" collapsed="false">
      <c r="A21" s="2"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4" min="4" style="0" width="14"/>
    <col collapsed="false" customWidth="true" hidden="false" outlineLevel="0" max="5" min="5" style="0" width="40"/>
  </cols>
  <sheetData>
    <row r="1" customFormat="false" ht="21.6" hidden="false" customHeight="false" outlineLevel="0" collapsed="false">
      <c r="A1" s="1" t="s">
        <v>142</v>
      </c>
    </row>
    <row r="2" customFormat="false" ht="15" hidden="false" customHeight="false" outlineLevel="0" collapsed="false">
      <c r="A2" s="2" t="s">
        <v>143</v>
      </c>
    </row>
    <row r="4" customFormat="false" ht="17.15" hidden="false" customHeight="false" outlineLevel="0" collapsed="false">
      <c r="A4" s="4" t="s">
        <v>126</v>
      </c>
      <c r="B4" s="4" t="s">
        <v>144</v>
      </c>
      <c r="C4" s="4" t="s">
        <v>128</v>
      </c>
      <c r="D4" s="4" t="s">
        <v>129</v>
      </c>
      <c r="E4" s="4" t="s">
        <v>7</v>
      </c>
    </row>
    <row r="5" customFormat="false" ht="15" hidden="false" customHeight="false" outlineLevel="0" collapsed="false">
      <c r="A5" s="27" t="s">
        <v>132</v>
      </c>
      <c r="B5" s="6" t="n">
        <v>338732</v>
      </c>
      <c r="C5" s="6" t="n">
        <v>883810</v>
      </c>
      <c r="D5" s="8" t="n">
        <f aca="false">B5/C5-1</f>
        <v>-0.616736628913454</v>
      </c>
      <c r="E5" s="5"/>
    </row>
    <row r="6" customFormat="false" ht="15" hidden="false" customHeight="false" outlineLevel="0" collapsed="false">
      <c r="A6" s="27" t="s">
        <v>133</v>
      </c>
      <c r="B6" s="6" t="n">
        <v>518524</v>
      </c>
      <c r="C6" s="6" t="n">
        <v>959827</v>
      </c>
      <c r="D6" s="8" t="n">
        <f aca="false">B6/C6-1</f>
        <v>-0.459773480012544</v>
      </c>
      <c r="E6" s="5"/>
    </row>
    <row r="7" customFormat="false" ht="15" hidden="false" customHeight="false" outlineLevel="0" collapsed="false">
      <c r="A7" s="27" t="s">
        <v>134</v>
      </c>
      <c r="B7" s="6" t="n">
        <v>1113784</v>
      </c>
      <c r="C7" s="6" t="n">
        <v>2067396</v>
      </c>
      <c r="D7" s="8" t="n">
        <f aca="false">B7/C7-1</f>
        <v>-0.461262380308369</v>
      </c>
      <c r="E7" s="5"/>
    </row>
    <row r="8" customFormat="false" ht="15" hidden="false" customHeight="false" outlineLevel="0" collapsed="false">
      <c r="A8" s="27" t="s">
        <v>135</v>
      </c>
      <c r="B8" s="6" t="n">
        <v>844786</v>
      </c>
      <c r="C8" s="6" t="n">
        <v>419780</v>
      </c>
      <c r="D8" s="8" t="n">
        <f aca="false">B8/C8-1</f>
        <v>1.01244937824575</v>
      </c>
      <c r="E8" s="5"/>
    </row>
    <row r="9" customFormat="false" ht="15" hidden="false" customHeight="false" outlineLevel="0" collapsed="false">
      <c r="A9" s="27" t="s">
        <v>93</v>
      </c>
      <c r="B9" s="6" t="n">
        <v>755562</v>
      </c>
      <c r="C9" s="6" t="n">
        <v>375365</v>
      </c>
      <c r="D9" s="8" t="n">
        <f aca="false">B9/C9-1</f>
        <v>1.0128728038043</v>
      </c>
      <c r="E9" s="5"/>
    </row>
    <row r="10" customFormat="false" ht="15" hidden="false" customHeight="false" outlineLevel="0" collapsed="false">
      <c r="A10" s="27" t="s">
        <v>95</v>
      </c>
      <c r="B10" s="6" t="n">
        <v>616694</v>
      </c>
      <c r="C10" s="6" t="n">
        <v>1177661</v>
      </c>
      <c r="D10" s="8" t="n">
        <f aca="false">B10/C10-1</f>
        <v>-0.476339965406004</v>
      </c>
      <c r="E10" s="5"/>
    </row>
    <row r="11" customFormat="false" ht="15" hidden="false" customHeight="false" outlineLevel="0" collapsed="false">
      <c r="A11" s="27" t="s">
        <v>97</v>
      </c>
      <c r="B11" s="6" t="n">
        <v>809470</v>
      </c>
      <c r="C11" s="6" t="n">
        <v>670670</v>
      </c>
      <c r="D11" s="8" t="n">
        <f aca="false">B11/C11-1</f>
        <v>0.206957221882595</v>
      </c>
      <c r="E11" s="5"/>
    </row>
    <row r="12" customFormat="false" ht="15" hidden="false" customHeight="false" outlineLevel="0" collapsed="false">
      <c r="A12" s="27" t="s">
        <v>99</v>
      </c>
      <c r="B12" s="6" t="n">
        <v>908638</v>
      </c>
      <c r="C12" s="6" t="n">
        <v>1160465</v>
      </c>
      <c r="D12" s="8" t="n">
        <f aca="false">B12/C12-1</f>
        <v>-0.217005252204935</v>
      </c>
      <c r="E12" s="5"/>
    </row>
    <row r="13" customFormat="false" ht="15" hidden="false" customHeight="false" outlineLevel="0" collapsed="false">
      <c r="A13" s="27" t="s">
        <v>101</v>
      </c>
      <c r="B13" s="6" t="n">
        <v>711192</v>
      </c>
      <c r="C13" s="6" t="n">
        <v>1114215</v>
      </c>
      <c r="D13" s="8" t="n">
        <f aca="false">B13/C13-1</f>
        <v>-0.361710262382036</v>
      </c>
      <c r="E13" s="5"/>
    </row>
    <row r="14" customFormat="false" ht="15" hidden="false" customHeight="false" outlineLevel="0" collapsed="false">
      <c r="A14" s="27" t="s">
        <v>103</v>
      </c>
      <c r="B14" s="6" t="n">
        <v>1067456</v>
      </c>
      <c r="C14" s="6" t="n">
        <v>1148002</v>
      </c>
      <c r="D14" s="8" t="n">
        <f aca="false">B14/C14-1</f>
        <v>-0.0701618986726504</v>
      </c>
      <c r="E14" s="5"/>
    </row>
    <row r="15" customFormat="false" ht="15" hidden="false" customHeight="false" outlineLevel="0" collapsed="false">
      <c r="A15" s="27" t="s">
        <v>136</v>
      </c>
      <c r="B15" s="6" t="n">
        <v>747820</v>
      </c>
      <c r="C15" s="6" t="n">
        <v>665708</v>
      </c>
      <c r="D15" s="8" t="n">
        <f aca="false">B15/C15-1</f>
        <v>0.123345370642985</v>
      </c>
      <c r="E15" s="5"/>
    </row>
    <row r="16" customFormat="false" ht="15" hidden="false" customHeight="false" outlineLevel="0" collapsed="false">
      <c r="A16" s="27" t="s">
        <v>137</v>
      </c>
      <c r="B16" s="6" t="n">
        <v>673742</v>
      </c>
      <c r="C16" s="6" t="n">
        <v>893085</v>
      </c>
      <c r="D16" s="8" t="n">
        <f aca="false">B16/C16-1</f>
        <v>-0.245601482501666</v>
      </c>
      <c r="E16" s="5"/>
    </row>
    <row r="17" customFormat="false" ht="15" hidden="false" customHeight="false" outlineLevel="0" collapsed="false">
      <c r="A17" s="30" t="s">
        <v>75</v>
      </c>
      <c r="B17" s="14" t="n">
        <f aca="false">SUM(B5:B16)</f>
        <v>9106400</v>
      </c>
      <c r="C17" s="14" t="n">
        <f aca="false">SUM(C5:C16)</f>
        <v>11535984</v>
      </c>
      <c r="D17" s="31" t="n">
        <f aca="false">B17/C17-1</f>
        <v>-0.210609168667363</v>
      </c>
      <c r="E17" s="15"/>
    </row>
    <row r="19" customFormat="false" ht="15" hidden="false" customHeight="false" outlineLevel="0" collapsed="false">
      <c r="A19" s="2" t="s">
        <v>145</v>
      </c>
    </row>
    <row r="20" customFormat="false" ht="15" hidden="false" customHeight="false" outlineLevel="0" collapsed="false">
      <c r="A20" s="2"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4" min="4" style="0" width="14"/>
    <col collapsed="false" customWidth="true" hidden="false" outlineLevel="0" max="5" min="5" style="0" width="12"/>
    <col collapsed="false" customWidth="true" hidden="false" outlineLevel="0" max="6" min="6" style="0" width="42"/>
  </cols>
  <sheetData>
    <row r="1" customFormat="false" ht="21.6" hidden="false" customHeight="false" outlineLevel="0" collapsed="false">
      <c r="A1" s="1" t="s">
        <v>147</v>
      </c>
    </row>
    <row r="2" customFormat="false" ht="15" hidden="false" customHeight="false" outlineLevel="0" collapsed="false">
      <c r="A2" s="2" t="s">
        <v>148</v>
      </c>
    </row>
    <row r="4" customFormat="false" ht="32.8" hidden="false" customHeight="false" outlineLevel="0" collapsed="false">
      <c r="A4" s="4" t="s">
        <v>126</v>
      </c>
      <c r="B4" s="4" t="s">
        <v>149</v>
      </c>
      <c r="C4" s="4" t="s">
        <v>150</v>
      </c>
      <c r="D4" s="4" t="s">
        <v>151</v>
      </c>
      <c r="E4" s="4" t="s">
        <v>152</v>
      </c>
      <c r="F4" s="4" t="s">
        <v>153</v>
      </c>
    </row>
    <row r="5" customFormat="false" ht="15" hidden="false" customHeight="false" outlineLevel="0" collapsed="false">
      <c r="A5" s="27" t="s">
        <v>132</v>
      </c>
      <c r="B5" s="6" t="n">
        <v>1893540</v>
      </c>
      <c r="C5" s="6" t="n">
        <v>653986</v>
      </c>
      <c r="D5" s="28" t="n">
        <f aca="false">B5-C5</f>
        <v>1239554</v>
      </c>
      <c r="E5" s="32" t="n">
        <f aca="false">D5/B5</f>
        <v>0.654622558805201</v>
      </c>
      <c r="F5" s="9" t="s">
        <v>154</v>
      </c>
    </row>
    <row r="6" customFormat="false" ht="15" hidden="false" customHeight="false" outlineLevel="0" collapsed="false">
      <c r="A6" s="27" t="s">
        <v>133</v>
      </c>
      <c r="B6" s="6" t="n">
        <v>953040</v>
      </c>
      <c r="C6" s="6" t="n">
        <v>886986</v>
      </c>
      <c r="D6" s="28" t="n">
        <f aca="false">B6-C6</f>
        <v>66054</v>
      </c>
      <c r="E6" s="32" t="n">
        <f aca="false">D6/B6</f>
        <v>0.0693087383530597</v>
      </c>
      <c r="F6" s="9" t="s">
        <v>154</v>
      </c>
    </row>
    <row r="7" customFormat="false" ht="15" hidden="false" customHeight="false" outlineLevel="0" collapsed="false">
      <c r="A7" s="27" t="s">
        <v>134</v>
      </c>
      <c r="B7" s="6" t="n">
        <v>1277540</v>
      </c>
      <c r="C7" s="6" t="n">
        <v>623546</v>
      </c>
      <c r="D7" s="28" t="n">
        <f aca="false">B7-C7</f>
        <v>653994</v>
      </c>
      <c r="E7" s="32" t="n">
        <f aca="false">D7/B7</f>
        <v>0.51191665231617</v>
      </c>
      <c r="F7" s="9" t="s">
        <v>154</v>
      </c>
    </row>
    <row r="8" customFormat="false" ht="15" hidden="false" customHeight="false" outlineLevel="0" collapsed="false">
      <c r="A8" s="27" t="s">
        <v>135</v>
      </c>
      <c r="B8" s="6" t="n">
        <v>1275340</v>
      </c>
      <c r="C8" s="6" t="n">
        <v>708986</v>
      </c>
      <c r="D8" s="28" t="n">
        <f aca="false">B8-C8</f>
        <v>566354</v>
      </c>
      <c r="E8" s="32" t="n">
        <f aca="false">D8/B8</f>
        <v>0.44408079414117</v>
      </c>
      <c r="F8" s="9" t="s">
        <v>154</v>
      </c>
    </row>
    <row r="9" customFormat="false" ht="15" hidden="false" customHeight="false" outlineLevel="0" collapsed="false">
      <c r="A9" s="27" t="s">
        <v>93</v>
      </c>
      <c r="B9" s="6" t="n">
        <v>499000</v>
      </c>
      <c r="C9" s="6" t="n">
        <v>493000</v>
      </c>
      <c r="D9" s="28" t="n">
        <f aca="false">B9-C9</f>
        <v>6000</v>
      </c>
      <c r="E9" s="32" t="n">
        <f aca="false">D9/B9</f>
        <v>0.0120240480961924</v>
      </c>
      <c r="F9" s="9" t="s">
        <v>155</v>
      </c>
    </row>
    <row r="10" customFormat="false" ht="15" hidden="false" customHeight="false" outlineLevel="0" collapsed="false">
      <c r="A10" s="27" t="s">
        <v>95</v>
      </c>
      <c r="B10" s="6" t="n">
        <v>573000</v>
      </c>
      <c r="C10" s="6" t="n">
        <v>556560</v>
      </c>
      <c r="D10" s="28" t="n">
        <f aca="false">B10-C10</f>
        <v>16440</v>
      </c>
      <c r="E10" s="32" t="n">
        <f aca="false">D10/B10</f>
        <v>0.0286910994764398</v>
      </c>
      <c r="F10" s="9" t="s">
        <v>155</v>
      </c>
    </row>
    <row r="11" customFormat="false" ht="15" hidden="false" customHeight="false" outlineLevel="0" collapsed="false">
      <c r="A11" s="27" t="s">
        <v>97</v>
      </c>
      <c r="B11" s="6" t="n">
        <v>813000</v>
      </c>
      <c r="C11" s="6" t="n">
        <v>710000</v>
      </c>
      <c r="D11" s="28" t="n">
        <f aca="false">B11-C11</f>
        <v>103000</v>
      </c>
      <c r="E11" s="32" t="n">
        <f aca="false">D11/B11</f>
        <v>0.126691266912669</v>
      </c>
      <c r="F11" s="9" t="s">
        <v>155</v>
      </c>
    </row>
    <row r="12" customFormat="false" ht="15" hidden="false" customHeight="false" outlineLevel="0" collapsed="false">
      <c r="A12" s="27" t="s">
        <v>99</v>
      </c>
      <c r="B12" s="6" t="n">
        <v>758000</v>
      </c>
      <c r="C12" s="6" t="n">
        <v>662500</v>
      </c>
      <c r="D12" s="28" t="n">
        <f aca="false">B12-C12</f>
        <v>95500</v>
      </c>
      <c r="E12" s="32" t="n">
        <f aca="false">D12/B12</f>
        <v>0.12598944591029</v>
      </c>
      <c r="F12" s="9" t="s">
        <v>155</v>
      </c>
    </row>
    <row r="13" customFormat="false" ht="15" hidden="false" customHeight="false" outlineLevel="0" collapsed="false">
      <c r="A13" s="27" t="s">
        <v>101</v>
      </c>
      <c r="B13" s="6" t="n">
        <v>1027000</v>
      </c>
      <c r="C13" s="6" t="n">
        <v>837520</v>
      </c>
      <c r="D13" s="28" t="n">
        <f aca="false">B13-C13</f>
        <v>189480</v>
      </c>
      <c r="E13" s="32" t="n">
        <f aca="false">D13/B13</f>
        <v>0.184498539435248</v>
      </c>
      <c r="F13" s="9" t="s">
        <v>155</v>
      </c>
    </row>
    <row r="14" customFormat="false" ht="15" hidden="false" customHeight="false" outlineLevel="0" collapsed="false">
      <c r="A14" s="27" t="s">
        <v>103</v>
      </c>
      <c r="B14" s="6" t="n">
        <v>645000</v>
      </c>
      <c r="C14" s="6" t="n">
        <v>595680</v>
      </c>
      <c r="D14" s="28" t="n">
        <f aca="false">B14-C14</f>
        <v>49320</v>
      </c>
      <c r="E14" s="32" t="n">
        <f aca="false">D14/B14</f>
        <v>0.0764651162790698</v>
      </c>
      <c r="F14" s="9" t="s">
        <v>155</v>
      </c>
    </row>
    <row r="15" customFormat="false" ht="15" hidden="false" customHeight="false" outlineLevel="0" collapsed="false">
      <c r="A15" s="27" t="s">
        <v>136</v>
      </c>
      <c r="B15" s="6" t="n">
        <v>779000</v>
      </c>
      <c r="C15" s="6" t="n">
        <v>707000</v>
      </c>
      <c r="D15" s="28" t="n">
        <f aca="false">B15-C15</f>
        <v>72000</v>
      </c>
      <c r="E15" s="32" t="n">
        <f aca="false">D15/B15</f>
        <v>0.0924261874197689</v>
      </c>
      <c r="F15" s="9" t="s">
        <v>155</v>
      </c>
    </row>
    <row r="16" customFormat="false" ht="15" hidden="false" customHeight="false" outlineLevel="0" collapsed="false">
      <c r="A16" s="27" t="s">
        <v>137</v>
      </c>
      <c r="B16" s="6" t="n">
        <v>463000</v>
      </c>
      <c r="C16" s="6" t="n">
        <v>335000</v>
      </c>
      <c r="D16" s="28" t="n">
        <f aca="false">B16-C16</f>
        <v>128000</v>
      </c>
      <c r="E16" s="32" t="n">
        <f aca="false">D16/B16</f>
        <v>0.27645788336933</v>
      </c>
      <c r="F16" s="9" t="s">
        <v>156</v>
      </c>
    </row>
    <row r="17" customFormat="false" ht="15" hidden="false" customHeight="false" outlineLevel="0" collapsed="false">
      <c r="A17" s="30" t="s">
        <v>75</v>
      </c>
      <c r="B17" s="14" t="n">
        <f aca="false">SUM(B5:B16)</f>
        <v>10956460</v>
      </c>
      <c r="C17" s="14" t="n">
        <f aca="false">SUM(C5:C16)</f>
        <v>7770764</v>
      </c>
      <c r="D17" s="14" t="n">
        <f aca="false">SUM(D5:D16)</f>
        <v>3185696</v>
      </c>
      <c r="E17" s="31" t="n">
        <f aca="false">D17/B17</f>
        <v>0.290759606661276</v>
      </c>
      <c r="F17" s="15"/>
    </row>
    <row r="19" customFormat="false" ht="15" hidden="false" customHeight="false" outlineLevel="0" collapsed="false">
      <c r="A19" s="26" t="s">
        <v>157</v>
      </c>
    </row>
    <row r="20" customFormat="false" ht="15" hidden="false" customHeight="false" outlineLevel="0" collapsed="false">
      <c r="A20" s="26" t="s">
        <v>158</v>
      </c>
    </row>
    <row r="21" customFormat="false" ht="15" hidden="false" customHeight="false" outlineLevel="0" collapsed="false">
      <c r="A21" s="26" t="s">
        <v>159</v>
      </c>
    </row>
    <row r="22" customFormat="false" ht="15" hidden="false" customHeight="false" outlineLevel="0" collapsed="false">
      <c r="A22" s="2"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161</v>
      </c>
    </row>
    <row r="3" customFormat="false" ht="15" hidden="false" customHeight="false" outlineLevel="0" collapsed="false">
      <c r="A3" s="3" t="s">
        <v>162</v>
      </c>
      <c r="B3" s="33" t="s">
        <v>163</v>
      </c>
    </row>
    <row r="4" customFormat="false" ht="29.85" hidden="false" customHeight="false" outlineLevel="0" collapsed="false">
      <c r="A4" s="3" t="s">
        <v>164</v>
      </c>
      <c r="B4" s="34" t="s">
        <v>165</v>
      </c>
    </row>
    <row r="5" customFormat="false" ht="15" hidden="false" customHeight="false" outlineLevel="0" collapsed="false">
      <c r="A5" s="3" t="s">
        <v>166</v>
      </c>
      <c r="B5" s="34" t="s">
        <v>167</v>
      </c>
    </row>
    <row r="6" customFormat="false" ht="15" hidden="false" customHeight="false" outlineLevel="0" collapsed="false">
      <c r="A6" s="3" t="s">
        <v>168</v>
      </c>
      <c r="B6" s="33" t="s">
        <v>169</v>
      </c>
    </row>
    <row r="7" customFormat="false" ht="15" hidden="false" customHeight="false" outlineLevel="0" collapsed="false">
      <c r="A7" s="35" t="s">
        <v>170</v>
      </c>
      <c r="B7" s="33" t="s">
        <v>171</v>
      </c>
    </row>
    <row r="8" customFormat="false" ht="15" hidden="false" customHeight="false" outlineLevel="0" collapsed="false">
      <c r="A8" s="3" t="s">
        <v>172</v>
      </c>
      <c r="B8" s="33" t="s">
        <v>173</v>
      </c>
    </row>
    <row r="9" customFormat="false" ht="15" hidden="false" customHeight="false" outlineLevel="0" collapsed="false">
      <c r="A9" s="3" t="s">
        <v>174</v>
      </c>
      <c r="B9" s="34" t="s">
        <v>175</v>
      </c>
    </row>
    <row r="10" customFormat="false" ht="15" hidden="false" customHeight="false" outlineLevel="0" collapsed="false">
      <c r="A10" s="3" t="s">
        <v>176</v>
      </c>
      <c r="B10" s="33" t="s">
        <v>177</v>
      </c>
    </row>
    <row r="11" customFormat="false" ht="15" hidden="false" customHeight="false" outlineLevel="0" collapsed="false">
      <c r="A11" s="24"/>
      <c r="B11" s="33"/>
    </row>
    <row r="12" customFormat="false" ht="15" hidden="false" customHeight="false" outlineLevel="0" collapsed="false">
      <c r="A12" s="3" t="s">
        <v>178</v>
      </c>
      <c r="B12" s="33"/>
    </row>
    <row r="13" customFormat="false" ht="15" hidden="false" customHeight="false" outlineLevel="0" collapsed="false">
      <c r="A13" s="3" t="s">
        <v>179</v>
      </c>
      <c r="B13" s="33" t="s">
        <v>180</v>
      </c>
    </row>
    <row r="14" customFormat="false" ht="15" hidden="false" customHeight="false" outlineLevel="0" collapsed="false">
      <c r="A14" s="35" t="s">
        <v>181</v>
      </c>
      <c r="B14" s="34" t="s">
        <v>182</v>
      </c>
    </row>
    <row r="15" customFormat="false" ht="15" hidden="false" customHeight="false" outlineLevel="0" collapsed="false">
      <c r="A15" s="35" t="s">
        <v>183</v>
      </c>
      <c r="B15" s="34" t="s">
        <v>184</v>
      </c>
    </row>
    <row r="16" customFormat="false" ht="15" hidden="false" customHeight="false" outlineLevel="0" collapsed="false">
      <c r="A16" s="3" t="s">
        <v>185</v>
      </c>
      <c r="B16" s="33" t="s">
        <v>186</v>
      </c>
    </row>
    <row r="17" customFormat="false" ht="15" hidden="false" customHeight="false" outlineLevel="0" collapsed="false">
      <c r="A17" s="3" t="s">
        <v>187</v>
      </c>
      <c r="B17" s="34"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2026-09-04T04:43:30Z</dcterms:created>
  <dc:creator>openpyxl</dc:creator>
  <dc:description/>
  <dc:language>en-US</dc:language>
  <cp:lastModifiedBy/>
  <dcterms:modified xsi:type="dcterms:W3CDTF">2026-09-04T04:43:31Z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