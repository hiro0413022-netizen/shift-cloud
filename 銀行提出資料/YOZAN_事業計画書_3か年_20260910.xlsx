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⓪サマリー" sheetId="1" state="visible" r:id="rId3"/>
    <sheet name="①前提条件" sheetId="2" state="visible" r:id="rId4"/>
    <sheet name="②FRANK月次計画" sheetId="3" state="visible" r:id="rId5"/>
    <sheet name="③3か年収支計画" sheetId="4" state="visible" r:id="rId6"/>
    <sheet name="④部門別営業損益" sheetId="5" state="visible" r:id="rId7"/>
    <sheet name="⑤資金繰り計画" sheetId="6" state="visible" r:id="rId8"/>
    <sheet name="⑥返済計画" sheetId="7" state="visible" r:id="rId9"/>
    <sheet name="⑦純資産と債務超過" sheetId="8" state="visible" r:id="rId10"/>
    <sheet name="⑧実績データ" sheetId="9" state="visible" r:id="rId11"/>
    <sheet name="⑨出典と注記"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<sst xmlns="http://schemas.openxmlformats.org/spreadsheetml/2006/main" count="729" uniqueCount="463">
  <si>
    <r>
      <rPr>
        <b val="true"/>
        <sz val="14"/>
        <color rgb="FF1F3864"/>
        <rFont val="Noto Sans CJK SC"/>
        <family val="2"/>
      </rPr>
      <t xml:space="preserve">株式会社</t>
    </r>
    <r>
      <rPr>
        <b val="true"/>
        <sz val="14"/>
        <color rgb="FF1F3864"/>
        <rFont val="Arial"/>
        <family val="0"/>
        <charset val="1"/>
      </rPr>
      <t xml:space="preserve">YOZAN</t>
    </r>
    <r>
      <rPr>
        <b val="true"/>
        <sz val="14"/>
        <color rgb="FF1F3864"/>
        <rFont val="Noto Sans CJK SC"/>
        <family val="2"/>
      </rPr>
      <t xml:space="preserve">　事業計画書（</t>
    </r>
    <r>
      <rPr>
        <b val="true"/>
        <sz val="14"/>
        <color rgb="FF1F3864"/>
        <rFont val="Arial"/>
        <family val="0"/>
        <charset val="1"/>
      </rPr>
      <t xml:space="preserve">3</t>
    </r>
    <r>
      <rPr>
        <b val="true"/>
        <sz val="14"/>
        <color rgb="FF1F3864"/>
        <rFont val="Noto Sans CJK SC"/>
        <family val="2"/>
      </rPr>
      <t xml:space="preserve">か年）</t>
    </r>
  </si>
  <si>
    <r>
      <rPr>
        <sz val="9"/>
        <color rgb="FF595959"/>
        <rFont val="Noto Sans CJK SC"/>
        <family val="2"/>
      </rPr>
      <t xml:space="preserve">作成日 </t>
    </r>
    <r>
      <rPr>
        <sz val="9"/>
        <color rgb="FF595959"/>
        <rFont val="Arial"/>
        <family val="0"/>
        <charset val="1"/>
      </rPr>
      <t xml:space="preserve">2026</t>
    </r>
    <r>
      <rPr>
        <sz val="9"/>
        <color rgb="FF595959"/>
        <rFont val="Noto Sans CJK SC"/>
        <family val="2"/>
      </rPr>
      <t xml:space="preserve">年</t>
    </r>
    <r>
      <rPr>
        <sz val="9"/>
        <color rgb="FF595959"/>
        <rFont val="Arial"/>
        <family val="0"/>
        <charset val="1"/>
      </rPr>
      <t xml:space="preserve">9</t>
    </r>
    <r>
      <rPr>
        <sz val="9"/>
        <color rgb="FF595959"/>
        <rFont val="Noto Sans CJK SC"/>
        <family val="2"/>
      </rPr>
      <t xml:space="preserve">月</t>
    </r>
    <r>
      <rPr>
        <sz val="9"/>
        <color rgb="FF595959"/>
        <rFont val="Arial"/>
        <family val="0"/>
        <charset val="1"/>
      </rPr>
      <t xml:space="preserve">10</t>
    </r>
    <r>
      <rPr>
        <sz val="9"/>
        <color rgb="FF595959"/>
        <rFont val="Noto Sans CJK SC"/>
        <family val="2"/>
      </rPr>
      <t xml:space="preserve">日／代表取締役 古川 博庸</t>
    </r>
  </si>
  <si>
    <t xml:space="preserve">■ 申込の内容</t>
  </si>
  <si>
    <t xml:space="preserve">借入申込額</t>
  </si>
  <si>
    <r>
      <rPr>
        <sz val="10"/>
        <color rgb="FF000000"/>
        <rFont val="Arial"/>
        <family val="0"/>
        <charset val="1"/>
      </rPr>
      <t xml:space="preserve">7,000,000</t>
    </r>
    <r>
      <rPr>
        <sz val="10"/>
        <color rgb="FF000000"/>
        <rFont val="Noto Sans CJK SC"/>
        <family val="2"/>
      </rPr>
      <t xml:space="preserve">円（全額 運転資金）</t>
    </r>
  </si>
  <si>
    <t xml:space="preserve">資金使途</t>
  </si>
  <si>
    <r>
      <rPr>
        <sz val="10"/>
        <color rgb="FF000000"/>
        <rFont val="Noto Sans CJK SC"/>
        <family val="2"/>
      </rPr>
      <t xml:space="preserve">経常運転資金</t>
    </r>
    <r>
      <rPr>
        <sz val="10"/>
        <color rgb="FF000000"/>
        <rFont val="Arial"/>
        <family val="0"/>
        <charset val="1"/>
      </rPr>
      <t xml:space="preserve">3,337,170</t>
    </r>
    <r>
      <rPr>
        <sz val="10"/>
        <color rgb="FF000000"/>
        <rFont val="Noto Sans CJK SC"/>
        <family val="2"/>
      </rPr>
      <t xml:space="preserve">円＋増加運転資金</t>
    </r>
    <r>
      <rPr>
        <sz val="10"/>
        <color rgb="FF000000"/>
        <rFont val="Arial"/>
        <family val="0"/>
        <charset val="1"/>
      </rPr>
      <t xml:space="preserve">2,618,520</t>
    </r>
    <r>
      <rPr>
        <sz val="10"/>
        <color rgb="FF000000"/>
        <rFont val="Noto Sans CJK SC"/>
        <family val="2"/>
      </rPr>
      <t xml:space="preserve">円＋季節資金</t>
    </r>
    <r>
      <rPr>
        <sz val="10"/>
        <color rgb="FF000000"/>
        <rFont val="Arial"/>
        <family val="0"/>
        <charset val="1"/>
      </rPr>
      <t xml:space="preserve">1,066,653</t>
    </r>
    <r>
      <rPr>
        <sz val="10"/>
        <color rgb="FF000000"/>
        <rFont val="Noto Sans CJK SC"/>
        <family val="2"/>
      </rPr>
      <t xml:space="preserve">円＝</t>
    </r>
    <r>
      <rPr>
        <sz val="10"/>
        <color rgb="FF000000"/>
        <rFont val="Arial"/>
        <family val="0"/>
        <charset val="1"/>
      </rPr>
      <t xml:space="preserve">7,022,343</t>
    </r>
    <r>
      <rPr>
        <sz val="10"/>
        <color rgb="FF000000"/>
        <rFont val="Noto Sans CJK SC"/>
        <family val="2"/>
      </rPr>
      <t xml:space="preserve">円（うち自己資金</t>
    </r>
    <r>
      <rPr>
        <sz val="10"/>
        <color rgb="FF000000"/>
        <rFont val="Arial"/>
        <family val="0"/>
        <charset val="1"/>
      </rPr>
      <t xml:space="preserve">22,343</t>
    </r>
    <r>
      <rPr>
        <sz val="10"/>
        <color rgb="FF000000"/>
        <rFont val="Noto Sans CJK SC"/>
        <family val="2"/>
      </rPr>
      <t xml:space="preserve">円）</t>
    </r>
  </si>
  <si>
    <t xml:space="preserve">返済期間</t>
  </si>
  <si>
    <r>
      <rPr>
        <sz val="10"/>
        <color rgb="FF000000"/>
        <rFont val="Arial"/>
        <family val="0"/>
        <charset val="1"/>
      </rPr>
      <t xml:space="preserve">7</t>
    </r>
    <r>
      <rPr>
        <sz val="10"/>
        <color rgb="FF000000"/>
        <rFont val="Noto Sans CJK SC"/>
        <family val="2"/>
      </rPr>
      <t xml:space="preserve">年（</t>
    </r>
    <r>
      <rPr>
        <sz val="10"/>
        <color rgb="FF000000"/>
        <rFont val="Arial"/>
        <family val="0"/>
        <charset val="1"/>
      </rPr>
      <t xml:space="preserve">84</t>
    </r>
    <r>
      <rPr>
        <sz val="10"/>
        <color rgb="FF000000"/>
        <rFont val="Noto Sans CJK SC"/>
        <family val="2"/>
      </rPr>
      <t xml:space="preserve">回）／元金据置</t>
    </r>
    <r>
      <rPr>
        <sz val="10"/>
        <color rgb="FF000000"/>
        <rFont val="Arial"/>
        <family val="0"/>
        <charset val="1"/>
      </rPr>
      <t xml:space="preserve">6</t>
    </r>
    <r>
      <rPr>
        <sz val="10"/>
        <color rgb="FF000000"/>
        <rFont val="Noto Sans CJK SC"/>
        <family val="2"/>
      </rPr>
      <t xml:space="preserve">か月／毎月</t>
    </r>
    <r>
      <rPr>
        <sz val="10"/>
        <color rgb="FF000000"/>
        <rFont val="Arial"/>
        <family val="0"/>
        <charset val="1"/>
      </rPr>
      <t xml:space="preserve">5</t>
    </r>
    <r>
      <rPr>
        <sz val="10"/>
        <color rgb="FF000000"/>
        <rFont val="Noto Sans CJK SC"/>
        <family val="2"/>
      </rPr>
      <t xml:space="preserve">日返済</t>
    </r>
  </si>
  <si>
    <t xml:space="preserve">計画期間</t>
  </si>
  <si>
    <r>
      <rPr>
        <sz val="10"/>
        <color rgb="FF000000"/>
        <rFont val="Noto Sans CJK SC"/>
        <family val="2"/>
      </rPr>
      <t xml:space="preserve">第</t>
    </r>
    <r>
      <rPr>
        <sz val="10"/>
        <color rgb="FF000000"/>
        <rFont val="Arial"/>
        <family val="0"/>
        <charset val="1"/>
      </rPr>
      <t xml:space="preserve">3</t>
    </r>
    <r>
      <rPr>
        <sz val="10"/>
        <color rgb="FF000000"/>
        <rFont val="Noto Sans CJK SC"/>
        <family val="2"/>
      </rPr>
      <t xml:space="preserve">期〜第</t>
    </r>
    <r>
      <rPr>
        <sz val="10"/>
        <color rgb="FF000000"/>
        <rFont val="Arial"/>
        <family val="0"/>
        <charset val="1"/>
      </rPr>
      <t xml:space="preserve">5</t>
    </r>
    <r>
      <rPr>
        <sz val="10"/>
        <color rgb="FF000000"/>
        <rFont val="Noto Sans CJK SC"/>
        <family val="2"/>
      </rPr>
      <t xml:space="preserve">期（</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2029</t>
    </r>
    <r>
      <rPr>
        <sz val="10"/>
        <color rgb="FF000000"/>
        <rFont val="Noto Sans CJK SC"/>
        <family val="2"/>
      </rPr>
      <t xml:space="preserve">年</t>
    </r>
    <r>
      <rPr>
        <sz val="10"/>
        <color rgb="FF000000"/>
        <rFont val="Arial"/>
        <family val="0"/>
        <charset val="1"/>
      </rPr>
      <t xml:space="preserve">8</t>
    </r>
    <r>
      <rPr>
        <sz val="10"/>
        <color rgb="FF000000"/>
        <rFont val="Noto Sans CJK SC"/>
        <family val="2"/>
      </rPr>
      <t xml:space="preserve">月）。決算期は</t>
    </r>
    <r>
      <rPr>
        <sz val="10"/>
        <color rgb="FF000000"/>
        <rFont val="Arial"/>
        <family val="0"/>
        <charset val="1"/>
      </rPr>
      <t xml:space="preserve">8</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t>
    </r>
  </si>
  <si>
    <r>
      <rPr>
        <b val="true"/>
        <sz val="11"/>
        <color rgb="FF1F3864"/>
        <rFont val="Arial"/>
        <family val="0"/>
        <charset val="1"/>
      </rPr>
      <t xml:space="preserve">■ 3</t>
    </r>
    <r>
      <rPr>
        <b val="true"/>
        <sz val="11"/>
        <color rgb="FF1F3864"/>
        <rFont val="Noto Sans CJK SC"/>
        <family val="2"/>
      </rPr>
      <t xml:space="preserve">か年の数字</t>
    </r>
  </si>
  <si>
    <r>
      <rPr>
        <b val="true"/>
        <sz val="11"/>
        <color rgb="FFFFFFFF"/>
        <rFont val="Noto Sans CJK SC"/>
        <family val="2"/>
      </rPr>
      <t xml:space="preserve">第</t>
    </r>
    <r>
      <rPr>
        <b val="true"/>
        <sz val="11"/>
        <color rgb="FFFFFFFF"/>
        <rFont val="Arial"/>
        <family val="0"/>
        <charset val="1"/>
      </rPr>
      <t xml:space="preserve">1</t>
    </r>
    <r>
      <rPr>
        <b val="true"/>
        <sz val="11"/>
        <color rgb="FFFFFFFF"/>
        <rFont val="Noto Sans CJK SC"/>
        <family val="2"/>
      </rPr>
      <t xml:space="preserve">期 実績</t>
    </r>
  </si>
  <si>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実績
（</t>
    </r>
    <r>
      <rPr>
        <b val="true"/>
        <sz val="11"/>
        <color rgb="FFFFFFFF"/>
        <rFont val="Arial"/>
        <family val="0"/>
        <charset val="1"/>
      </rPr>
      <t xml:space="preserve">11</t>
    </r>
    <r>
      <rPr>
        <b val="true"/>
        <sz val="11"/>
        <color rgb="FFFFFFFF"/>
        <rFont val="Noto Sans CJK SC"/>
        <family val="2"/>
      </rPr>
      <t xml:space="preserve">か月）</t>
    </r>
  </si>
  <si>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見込
（通期）</t>
    </r>
  </si>
  <si>
    <r>
      <rPr>
        <b val="true"/>
        <sz val="11"/>
        <color rgb="FFFFFFFF"/>
        <rFont val="Noto Sans CJK SC"/>
        <family val="2"/>
      </rPr>
      <t xml:space="preserve">第</t>
    </r>
    <r>
      <rPr>
        <b val="true"/>
        <sz val="11"/>
        <color rgb="FFFFFFFF"/>
        <rFont val="Arial"/>
        <family val="0"/>
        <charset val="1"/>
      </rPr>
      <t xml:space="preserve">3</t>
    </r>
    <r>
      <rPr>
        <b val="true"/>
        <sz val="11"/>
        <color rgb="FFFFFFFF"/>
        <rFont val="Noto Sans CJK SC"/>
        <family val="2"/>
      </rPr>
      <t xml:space="preserve">期 計画</t>
    </r>
  </si>
  <si>
    <r>
      <rPr>
        <b val="true"/>
        <sz val="11"/>
        <color rgb="FFFFFFFF"/>
        <rFont val="Noto Sans CJK SC"/>
        <family val="2"/>
      </rPr>
      <t xml:space="preserve">第</t>
    </r>
    <r>
      <rPr>
        <b val="true"/>
        <sz val="11"/>
        <color rgb="FFFFFFFF"/>
        <rFont val="Arial"/>
        <family val="0"/>
        <charset val="1"/>
      </rPr>
      <t xml:space="preserve">4</t>
    </r>
    <r>
      <rPr>
        <b val="true"/>
        <sz val="11"/>
        <color rgb="FFFFFFFF"/>
        <rFont val="Noto Sans CJK SC"/>
        <family val="2"/>
      </rPr>
      <t xml:space="preserve">期 計画</t>
    </r>
  </si>
  <si>
    <r>
      <rPr>
        <b val="true"/>
        <sz val="11"/>
        <color rgb="FFFFFFFF"/>
        <rFont val="Noto Sans CJK SC"/>
        <family val="2"/>
      </rPr>
      <t xml:space="preserve">第</t>
    </r>
    <r>
      <rPr>
        <b val="true"/>
        <sz val="11"/>
        <color rgb="FFFFFFFF"/>
        <rFont val="Arial"/>
        <family val="0"/>
        <charset val="1"/>
      </rPr>
      <t xml:space="preserve">5</t>
    </r>
    <r>
      <rPr>
        <b val="true"/>
        <sz val="11"/>
        <color rgb="FFFFFFFF"/>
        <rFont val="Noto Sans CJK SC"/>
        <family val="2"/>
      </rPr>
      <t xml:space="preserve">期 計画</t>
    </r>
  </si>
  <si>
    <t xml:space="preserve">売上高</t>
  </si>
  <si>
    <t xml:space="preserve">営業損益</t>
  </si>
  <si>
    <t xml:space="preserve">当期純損益</t>
  </si>
  <si>
    <t xml:space="preserve">簡易キャッシュフロー</t>
  </si>
  <si>
    <t xml:space="preserve">期末 純資産</t>
  </si>
  <si>
    <t xml:space="preserve">■ この計画の要点</t>
  </si>
  <si>
    <r>
      <rPr>
        <sz val="10"/>
        <color rgb="FF000000"/>
        <rFont val="Arial"/>
        <family val="0"/>
        <charset val="1"/>
      </rPr>
      <t xml:space="preserve">1. </t>
    </r>
    <r>
      <rPr>
        <sz val="10"/>
        <color rgb="FF000000"/>
        <rFont val="Noto Sans CJK SC"/>
        <family val="2"/>
      </rPr>
      <t xml:space="preserve">第</t>
    </r>
    <r>
      <rPr>
        <sz val="10"/>
        <color rgb="FF000000"/>
        <rFont val="Arial"/>
        <family val="0"/>
        <charset val="1"/>
      </rPr>
      <t xml:space="preserve">2</t>
    </r>
    <r>
      <rPr>
        <sz val="10"/>
        <color rgb="FF000000"/>
        <rFont val="Noto Sans CJK SC"/>
        <family val="2"/>
      </rPr>
      <t xml:space="preserve">期の赤字は「売れない赤字」ではなく、</t>
    </r>
    <r>
      <rPr>
        <sz val="10"/>
        <color rgb="FF000000"/>
        <rFont val="Arial"/>
        <family val="0"/>
        <charset val="1"/>
      </rPr>
      <t xml:space="preserve">2</t>
    </r>
    <r>
      <rPr>
        <sz val="10"/>
        <color rgb="FF000000"/>
        <rFont val="Noto Sans CJK SC"/>
        <family val="2"/>
      </rPr>
      <t xml:space="preserve">号店 </t>
    </r>
    <r>
      <rPr>
        <sz val="10"/>
        <color rgb="FF000000"/>
        <rFont val="Arial"/>
        <family val="0"/>
        <charset val="1"/>
      </rPr>
      <t xml:space="preserve">FRANK GOLF </t>
    </r>
    <r>
      <rPr>
        <sz val="10"/>
        <color rgb="FF000000"/>
        <rFont val="Noto Sans CJK SC"/>
        <family val="2"/>
      </rPr>
      <t xml:space="preserve">姫路（</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2</t>
    </r>
    <r>
      <rPr>
        <sz val="10"/>
        <color rgb="FF000000"/>
        <rFont val="Noto Sans CJK SC"/>
        <family val="2"/>
      </rPr>
      <t xml:space="preserve">日開業）を立ち上げるための先行投資です。</t>
    </r>
  </si>
  <si>
    <r>
      <rPr>
        <sz val="9"/>
        <color rgb="FF000000"/>
        <rFont val="Noto Sans CJK SC"/>
        <family val="2"/>
      </rPr>
      <t xml:space="preserve">　　事業</t>
    </r>
    <r>
      <rPr>
        <sz val="9"/>
        <color rgb="FF000000"/>
        <rFont val="Arial"/>
        <family val="0"/>
        <charset val="1"/>
      </rPr>
      <t xml:space="preserve">4</t>
    </r>
    <r>
      <rPr>
        <sz val="9"/>
        <color rgb="FF000000"/>
        <rFont val="Noto Sans CJK SC"/>
        <family val="2"/>
      </rPr>
      <t xml:space="preserve">部門（キャディ・</t>
    </r>
    <r>
      <rPr>
        <sz val="9"/>
        <color rgb="FF000000"/>
        <rFont val="Arial"/>
        <family val="0"/>
        <charset val="1"/>
      </rPr>
      <t xml:space="preserve">GOLF WING </t>
    </r>
    <r>
      <rPr>
        <sz val="9"/>
        <color rgb="FF000000"/>
        <rFont val="Noto Sans CJK SC"/>
        <family val="2"/>
      </rPr>
      <t xml:space="preserve">宝塚・</t>
    </r>
    <r>
      <rPr>
        <sz val="9"/>
        <color rgb="FF000000"/>
        <rFont val="Arial"/>
        <family val="0"/>
        <charset val="1"/>
      </rPr>
      <t xml:space="preserve">FRANK</t>
    </r>
    <r>
      <rPr>
        <sz val="9"/>
        <color rgb="FF000000"/>
        <rFont val="Noto Sans CJK SC"/>
        <family val="2"/>
      </rPr>
      <t xml:space="preserve">・システム）は第</t>
    </r>
    <r>
      <rPr>
        <sz val="9"/>
        <color rgb="FF000000"/>
        <rFont val="Arial"/>
        <family val="0"/>
        <charset val="1"/>
      </rPr>
      <t xml:space="preserve">2</t>
    </r>
    <r>
      <rPr>
        <sz val="9"/>
        <color rgb="FF000000"/>
        <rFont val="Noto Sans CJK SC"/>
        <family val="2"/>
      </rPr>
      <t xml:space="preserve">期の時点ですでに合計で黒字で、赤字は本社・共通で発生しています。</t>
    </r>
  </si>
  <si>
    <r>
      <rPr>
        <sz val="10"/>
        <color rgb="FF000000"/>
        <rFont val="Arial"/>
        <family val="0"/>
        <charset val="1"/>
      </rPr>
      <t xml:space="preserve">2. </t>
    </r>
    <r>
      <rPr>
        <sz val="10"/>
        <color rgb="FF000000"/>
        <rFont val="Noto Sans CJK SC"/>
        <family val="2"/>
      </rPr>
      <t xml:space="preserve">その</t>
    </r>
    <r>
      <rPr>
        <sz val="10"/>
        <color rgb="FF000000"/>
        <rFont val="Arial"/>
        <family val="0"/>
        <charset val="1"/>
      </rPr>
      <t xml:space="preserve">2</t>
    </r>
    <r>
      <rPr>
        <sz val="10"/>
        <color rgb="FF000000"/>
        <rFont val="Noto Sans CJK SC"/>
        <family val="2"/>
      </rPr>
      <t xml:space="preserve">号店は、開業</t>
    </r>
    <r>
      <rPr>
        <sz val="10"/>
        <color rgb="FF000000"/>
        <rFont val="Arial"/>
        <family val="0"/>
        <charset val="1"/>
      </rPr>
      <t xml:space="preserve">9</t>
    </r>
    <r>
      <rPr>
        <sz val="10"/>
        <color rgb="FF000000"/>
        <rFont val="Noto Sans CJK SC"/>
        <family val="2"/>
      </rPr>
      <t xml:space="preserve">日間で体験</t>
    </r>
    <r>
      <rPr>
        <sz val="10"/>
        <color rgb="FF000000"/>
        <rFont val="Arial"/>
        <family val="0"/>
        <charset val="1"/>
      </rPr>
      <t xml:space="preserve">34</t>
    </r>
    <r>
      <rPr>
        <sz val="10"/>
        <color rgb="FF000000"/>
        <rFont val="Noto Sans CJK SC"/>
        <family val="2"/>
      </rPr>
      <t xml:space="preserve">件・入会</t>
    </r>
    <r>
      <rPr>
        <sz val="10"/>
        <color rgb="FF000000"/>
        <rFont val="Arial"/>
        <family val="0"/>
        <charset val="1"/>
      </rPr>
      <t xml:space="preserve">13</t>
    </r>
    <r>
      <rPr>
        <sz val="10"/>
        <color rgb="FF000000"/>
        <rFont val="Noto Sans CJK SC"/>
        <family val="2"/>
      </rPr>
      <t xml:space="preserve">件（個人</t>
    </r>
    <r>
      <rPr>
        <sz val="10"/>
        <color rgb="FF000000"/>
        <rFont val="Arial"/>
        <family val="0"/>
        <charset val="1"/>
      </rPr>
      <t xml:space="preserve">12</t>
    </r>
    <r>
      <rPr>
        <sz val="10"/>
        <color rgb="FF000000"/>
        <rFont val="Noto Sans CJK SC"/>
        <family val="2"/>
      </rPr>
      <t xml:space="preserve">名＋法人</t>
    </r>
    <r>
      <rPr>
        <sz val="10"/>
        <color rgb="FF000000"/>
        <rFont val="Arial"/>
        <family val="0"/>
        <charset val="1"/>
      </rPr>
      <t xml:space="preserve">1</t>
    </r>
    <r>
      <rPr>
        <sz val="10"/>
        <color rgb="FF000000"/>
        <rFont val="Noto Sans CJK SC"/>
        <family val="2"/>
      </rPr>
      <t xml:space="preserve">社）。体験→入会の転換率</t>
    </r>
    <r>
      <rPr>
        <sz val="10"/>
        <color rgb="FF000000"/>
        <rFont val="Arial"/>
        <family val="0"/>
        <charset val="1"/>
      </rPr>
      <t xml:space="preserve">35%</t>
    </r>
    <r>
      <rPr>
        <sz val="10"/>
        <color rgb="FF000000"/>
        <rFont val="Noto Sans CJK SC"/>
        <family val="2"/>
      </rPr>
      <t xml:space="preserve">は、</t>
    </r>
    <r>
      <rPr>
        <sz val="10"/>
        <color rgb="FF000000"/>
        <rFont val="Arial"/>
        <family val="0"/>
        <charset val="1"/>
      </rPr>
      <t xml:space="preserve">7</t>
    </r>
    <r>
      <rPr>
        <sz val="10"/>
        <color rgb="FF000000"/>
        <rFont val="Noto Sans CJK SC"/>
        <family val="2"/>
      </rPr>
      <t xml:space="preserve">月に作成した収支計画の</t>
    </r>
  </si>
  <si>
    <t xml:space="preserve">　　標準シナリオと一致しています。本計画の会員数は、この実績を基準に置いています。</t>
  </si>
  <si>
    <r>
      <rPr>
        <sz val="10"/>
        <color rgb="FF000000"/>
        <rFont val="Arial"/>
        <family val="0"/>
        <charset val="1"/>
      </rPr>
      <t xml:space="preserve">3. </t>
    </r>
    <r>
      <rPr>
        <sz val="10"/>
        <color rgb="FF000000"/>
        <rFont val="Noto Sans CJK SC"/>
        <family val="2"/>
      </rPr>
      <t xml:space="preserve">第</t>
    </r>
    <r>
      <rPr>
        <sz val="10"/>
        <color rgb="FF000000"/>
        <rFont val="Arial"/>
        <family val="0"/>
        <charset val="1"/>
      </rPr>
      <t xml:space="preserve">3</t>
    </r>
    <r>
      <rPr>
        <sz val="10"/>
        <color rgb="FF000000"/>
        <rFont val="Noto Sans CJK SC"/>
        <family val="2"/>
      </rPr>
      <t xml:space="preserve">期は</t>
    </r>
    <r>
      <rPr>
        <sz val="10"/>
        <color rgb="FF000000"/>
        <rFont val="Arial"/>
        <family val="0"/>
        <charset val="1"/>
      </rPr>
      <t xml:space="preserve">2</t>
    </r>
    <r>
      <rPr>
        <sz val="10"/>
        <color rgb="FF000000"/>
        <rFont val="Noto Sans CJK SC"/>
        <family val="2"/>
      </rPr>
      <t xml:space="preserve">号店が通年で寄与し、全社の営業損益・当期純損益はともに黒字に転換します。</t>
    </r>
    <r>
      <rPr>
        <sz val="10"/>
        <color rgb="FF000000"/>
        <rFont val="Arial"/>
        <family val="0"/>
        <charset val="1"/>
      </rPr>
      <t xml:space="preserve">FRANK GOLF </t>
    </r>
    <r>
      <rPr>
        <sz val="10"/>
        <color rgb="FF000000"/>
        <rFont val="Noto Sans CJK SC"/>
        <family val="2"/>
      </rPr>
      <t xml:space="preserve">単体は会員</t>
    </r>
    <r>
      <rPr>
        <sz val="10"/>
        <color rgb="FF000000"/>
        <rFont val="Arial"/>
        <family val="0"/>
        <charset val="1"/>
      </rPr>
      <t xml:space="preserve">123</t>
    </r>
    <r>
      <rPr>
        <sz val="10"/>
        <color rgb="FF000000"/>
        <rFont val="Noto Sans CJK SC"/>
        <family val="2"/>
      </rPr>
      <t xml:space="preserve">名（損益分岐点）に</t>
    </r>
  </si>
  <si>
    <r>
      <rPr>
        <sz val="9"/>
        <color rgb="FF000000"/>
        <rFont val="Noto Sans CJK SC"/>
        <family val="2"/>
      </rPr>
      <t xml:space="preserve">　　到達する</t>
    </r>
    <r>
      <rPr>
        <sz val="9"/>
        <color rgb="FF000000"/>
        <rFont val="Arial"/>
        <family val="0"/>
        <charset val="1"/>
      </rPr>
      <t xml:space="preserve">2027</t>
    </r>
    <r>
      <rPr>
        <sz val="9"/>
        <color rgb="FF000000"/>
        <rFont val="Noto Sans CJK SC"/>
        <family val="2"/>
      </rPr>
      <t xml:space="preserve">年</t>
    </r>
    <r>
      <rPr>
        <sz val="9"/>
        <color rgb="FF000000"/>
        <rFont val="Arial"/>
        <family val="0"/>
        <charset val="1"/>
      </rPr>
      <t xml:space="preserve">5</t>
    </r>
    <r>
      <rPr>
        <sz val="9"/>
        <color rgb="FF000000"/>
        <rFont val="Noto Sans CJK SC"/>
        <family val="2"/>
      </rPr>
      <t xml:space="preserve">月から単月黒字となり、通期では第</t>
    </r>
    <r>
      <rPr>
        <sz val="9"/>
        <color rgb="FF000000"/>
        <rFont val="Arial"/>
        <family val="0"/>
        <charset val="1"/>
      </rPr>
      <t xml:space="preserve">3</t>
    </r>
    <r>
      <rPr>
        <sz val="9"/>
        <color rgb="FF000000"/>
        <rFont val="Noto Sans CJK SC"/>
        <family val="2"/>
      </rPr>
      <t xml:space="preserve">期はわずかに赤字、第</t>
    </r>
    <r>
      <rPr>
        <sz val="9"/>
        <color rgb="FF000000"/>
        <rFont val="Arial"/>
        <family val="0"/>
        <charset val="1"/>
      </rPr>
      <t xml:space="preserve">4</t>
    </r>
    <r>
      <rPr>
        <sz val="9"/>
        <color rgb="FF000000"/>
        <rFont val="Noto Sans CJK SC"/>
        <family val="2"/>
      </rPr>
      <t xml:space="preserve">期から本格的に寄与します。</t>
    </r>
  </si>
  <si>
    <r>
      <rPr>
        <sz val="9"/>
        <color rgb="FF000000"/>
        <rFont val="Noto Sans CJK SC"/>
        <family val="2"/>
      </rPr>
      <t xml:space="preserve">　　会計上の純資産は第</t>
    </r>
    <r>
      <rPr>
        <sz val="9"/>
        <color rgb="FF000000"/>
        <rFont val="Arial"/>
        <family val="0"/>
        <charset val="1"/>
      </rPr>
      <t xml:space="preserve">4</t>
    </r>
    <r>
      <rPr>
        <sz val="9"/>
        <color rgb="FF000000"/>
        <rFont val="Noto Sans CJK SC"/>
        <family val="2"/>
      </rPr>
      <t xml:space="preserve">期に債務超過を解消します。役員借入</t>
    </r>
    <r>
      <rPr>
        <sz val="9"/>
        <color rgb="FF000000"/>
        <rFont val="Arial"/>
        <family val="0"/>
        <charset val="1"/>
      </rPr>
      <t xml:space="preserve">1,500,000</t>
    </r>
    <r>
      <rPr>
        <sz val="9"/>
        <color rgb="FF000000"/>
        <rFont val="Noto Sans CJK SC"/>
        <family val="2"/>
      </rPr>
      <t xml:space="preserve">円を資本性とみなした実質ベースでは第</t>
    </r>
    <r>
      <rPr>
        <sz val="9"/>
        <color rgb="FF000000"/>
        <rFont val="Arial"/>
        <family val="0"/>
        <charset val="1"/>
      </rPr>
      <t xml:space="preserve">3</t>
    </r>
    <r>
      <rPr>
        <sz val="9"/>
        <color rgb="FF000000"/>
        <rFont val="Noto Sans CJK SC"/>
        <family val="2"/>
      </rPr>
      <t xml:space="preserve">期に解消します。</t>
    </r>
  </si>
  <si>
    <r>
      <rPr>
        <sz val="10"/>
        <color rgb="FF000000"/>
        <rFont val="Arial"/>
        <family val="0"/>
        <charset val="1"/>
      </rPr>
      <t xml:space="preserve">4. 700</t>
    </r>
    <r>
      <rPr>
        <sz val="10"/>
        <color rgb="FF000000"/>
        <rFont val="Noto Sans CJK SC"/>
        <family val="2"/>
      </rPr>
      <t xml:space="preserve">万円は全額が運転資金です。設備（</t>
    </r>
    <r>
      <rPr>
        <sz val="10"/>
        <color rgb="FF000000"/>
        <rFont val="Arial"/>
        <family val="0"/>
        <charset val="1"/>
      </rPr>
      <t xml:space="preserve">TrackMan 4</t>
    </r>
    <r>
      <rPr>
        <sz val="10"/>
        <color rgb="FF000000"/>
        <rFont val="Noto Sans CJK SC"/>
        <family val="2"/>
      </rPr>
      <t xml:space="preserve">ほか）はすでに取得し</t>
    </r>
    <r>
      <rPr>
        <sz val="10"/>
        <color rgb="FF000000"/>
        <rFont val="Arial"/>
        <family val="0"/>
        <charset val="1"/>
      </rPr>
      <t xml:space="preserve">BS</t>
    </r>
    <r>
      <rPr>
        <sz val="10"/>
        <color rgb="FF000000"/>
        <rFont val="Noto Sans CJK SC"/>
        <family val="2"/>
      </rPr>
      <t xml:space="preserve">に計上済で、今回の申込に設備資金は含みません。</t>
    </r>
  </si>
  <si>
    <r>
      <rPr>
        <sz val="10"/>
        <color rgb="FF000000"/>
        <rFont val="Arial"/>
        <family val="0"/>
        <charset val="1"/>
      </rPr>
      <t xml:space="preserve">5. </t>
    </r>
    <r>
      <rPr>
        <sz val="10"/>
        <color rgb="FF000000"/>
        <rFont val="Noto Sans CJK SC"/>
        <family val="2"/>
      </rPr>
      <t xml:space="preserve">返済は、簡易キャッシュフローが年間元金返済額を上回る水準を</t>
    </r>
    <r>
      <rPr>
        <sz val="10"/>
        <color rgb="FF000000"/>
        <rFont val="Arial"/>
        <family val="0"/>
        <charset val="1"/>
      </rPr>
      <t xml:space="preserve">3</t>
    </r>
    <r>
      <rPr>
        <sz val="10"/>
        <color rgb="FF000000"/>
        <rFont val="Noto Sans CJK SC"/>
        <family val="2"/>
      </rPr>
      <t xml:space="preserve">か年とも確保する計画です（③シート「返済余力」）。</t>
    </r>
  </si>
  <si>
    <r>
      <rPr>
        <sz val="10"/>
        <color rgb="FF000000"/>
        <rFont val="Arial"/>
        <family val="0"/>
        <charset val="1"/>
      </rPr>
      <t xml:space="preserve">6. </t>
    </r>
    <r>
      <rPr>
        <sz val="10"/>
        <color rgb="FF000000"/>
        <rFont val="Noto Sans CJK SC"/>
        <family val="2"/>
      </rPr>
      <t xml:space="preserve">経費削減 月</t>
    </r>
    <r>
      <rPr>
        <sz val="10"/>
        <color rgb="FF000000"/>
        <rFont val="Arial"/>
        <family val="0"/>
        <charset val="1"/>
      </rPr>
      <t xml:space="preserve">100,000</t>
    </r>
    <r>
      <rPr>
        <sz val="10"/>
        <color rgb="FF000000"/>
        <rFont val="Noto Sans CJK SC"/>
        <family val="2"/>
      </rPr>
      <t xml:space="preserve">円（年</t>
    </r>
    <r>
      <rPr>
        <sz val="10"/>
        <color rgb="FF000000"/>
        <rFont val="Arial"/>
        <family val="0"/>
        <charset val="1"/>
      </rPr>
      <t xml:space="preserve">1,200,000</t>
    </r>
    <r>
      <rPr>
        <sz val="10"/>
        <color rgb="FF000000"/>
        <rFont val="Noto Sans CJK SC"/>
        <family val="2"/>
      </rPr>
      <t xml:space="preserve">円）の実行は、この計画が成立するための条件として明示的に織り込んでいます。</t>
    </r>
  </si>
  <si>
    <t xml:space="preserve">■ シートの構成</t>
  </si>
  <si>
    <t xml:space="preserve">①前提条件　　　　… 計画の入力値。黄色のセルを変えると②以降がすべて連動します</t>
  </si>
  <si>
    <r>
      <rPr>
        <sz val="9"/>
        <color rgb="FF000000"/>
        <rFont val="Arial"/>
        <family val="0"/>
        <charset val="1"/>
      </rPr>
      <t xml:space="preserve">②FRANK</t>
    </r>
    <r>
      <rPr>
        <sz val="9"/>
        <color rgb="FF000000"/>
        <rFont val="Noto Sans CJK SC"/>
        <family val="2"/>
      </rPr>
      <t xml:space="preserve">月次計画　… 会員数の積み上げと、</t>
    </r>
    <r>
      <rPr>
        <sz val="9"/>
        <color rgb="FF000000"/>
        <rFont val="Arial"/>
        <family val="0"/>
        <charset val="1"/>
      </rPr>
      <t xml:space="preserve">2</t>
    </r>
    <r>
      <rPr>
        <sz val="9"/>
        <color rgb="FF000000"/>
        <rFont val="Noto Sans CJK SC"/>
        <family val="2"/>
      </rPr>
      <t xml:space="preserve">号店の月次収支（</t>
    </r>
    <r>
      <rPr>
        <sz val="9"/>
        <color rgb="FF000000"/>
        <rFont val="Arial"/>
        <family val="0"/>
        <charset val="1"/>
      </rPr>
      <t xml:space="preserve">36</t>
    </r>
    <r>
      <rPr>
        <sz val="9"/>
        <color rgb="FF000000"/>
        <rFont val="Noto Sans CJK SC"/>
        <family val="2"/>
      </rPr>
      <t xml:space="preserve">か月）</t>
    </r>
  </si>
  <si>
    <r>
      <rPr>
        <sz val="9"/>
        <color rgb="FF000000"/>
        <rFont val="Arial"/>
        <family val="0"/>
        <charset val="1"/>
      </rPr>
      <t xml:space="preserve">③3</t>
    </r>
    <r>
      <rPr>
        <sz val="9"/>
        <color rgb="FF000000"/>
        <rFont val="Noto Sans CJK SC"/>
        <family val="2"/>
      </rPr>
      <t xml:space="preserve">か年収支計画　… 全社の売上高・損益・キャッシュフロー・純資産</t>
    </r>
  </si>
  <si>
    <r>
      <rPr>
        <sz val="9"/>
        <color rgb="FF000000"/>
        <rFont val="Noto Sans CJK SC"/>
        <family val="2"/>
      </rPr>
      <t xml:space="preserve">④部門別営業損益　… </t>
    </r>
    <r>
      <rPr>
        <sz val="9"/>
        <color rgb="FF000000"/>
        <rFont val="Arial"/>
        <family val="0"/>
        <charset val="1"/>
      </rPr>
      <t xml:space="preserve">4</t>
    </r>
    <r>
      <rPr>
        <sz val="9"/>
        <color rgb="FF000000"/>
        <rFont val="Noto Sans CJK SC"/>
        <family val="2"/>
      </rPr>
      <t xml:space="preserve">部門＋本社共通。</t>
    </r>
    <r>
      <rPr>
        <sz val="9"/>
        <color rgb="FF000000"/>
        <rFont val="Arial"/>
        <family val="0"/>
        <charset val="1"/>
      </rPr>
      <t xml:space="preserve">9</t>
    </r>
    <r>
      <rPr>
        <sz val="9"/>
        <color rgb="FF000000"/>
        <rFont val="Noto Sans CJK SC"/>
        <family val="2"/>
      </rPr>
      <t xml:space="preserve">月</t>
    </r>
    <r>
      <rPr>
        <sz val="9"/>
        <color rgb="FF000000"/>
        <rFont val="Arial"/>
        <family val="0"/>
        <charset val="1"/>
      </rPr>
      <t xml:space="preserve">4</t>
    </r>
    <r>
      <rPr>
        <sz val="9"/>
        <color rgb="FF000000"/>
        <rFont val="Noto Sans CJK SC"/>
        <family val="2"/>
      </rPr>
      <t xml:space="preserve">日に保証協会へ提出した区分と同じ</t>
    </r>
  </si>
  <si>
    <r>
      <rPr>
        <sz val="9"/>
        <color rgb="FF000000"/>
        <rFont val="Noto Sans CJK SC"/>
        <family val="2"/>
      </rPr>
      <t xml:space="preserve">⑤資金繰り計画　　… </t>
    </r>
    <r>
      <rPr>
        <sz val="9"/>
        <color rgb="FF000000"/>
        <rFont val="Arial"/>
        <family val="0"/>
        <charset val="1"/>
      </rPr>
      <t xml:space="preserve">24</t>
    </r>
    <r>
      <rPr>
        <sz val="9"/>
        <color rgb="FF000000"/>
        <rFont val="Noto Sans CJK SC"/>
        <family val="2"/>
      </rPr>
      <t xml:space="preserve">か月の月次資金繰り。最低残高とストレステスト</t>
    </r>
  </si>
  <si>
    <r>
      <rPr>
        <sz val="9"/>
        <color rgb="FF000000"/>
        <rFont val="Noto Sans CJK SC"/>
        <family val="2"/>
      </rPr>
      <t xml:space="preserve">⑥返済計画　　　　… 今回の</t>
    </r>
    <r>
      <rPr>
        <sz val="9"/>
        <color rgb="FF000000"/>
        <rFont val="Arial"/>
        <family val="0"/>
        <charset val="1"/>
      </rPr>
      <t xml:space="preserve">700</t>
    </r>
    <r>
      <rPr>
        <sz val="9"/>
        <color rgb="FF000000"/>
        <rFont val="Noto Sans CJK SC"/>
        <family val="2"/>
      </rPr>
      <t xml:space="preserve">万円（</t>
    </r>
    <r>
      <rPr>
        <sz val="9"/>
        <color rgb="FF000000"/>
        <rFont val="Arial"/>
        <family val="0"/>
        <charset val="1"/>
      </rPr>
      <t xml:space="preserve">84</t>
    </r>
    <r>
      <rPr>
        <sz val="9"/>
        <color rgb="FF000000"/>
        <rFont val="Noto Sans CJK SC"/>
        <family val="2"/>
      </rPr>
      <t xml:space="preserve">回）と既存借入の返済明細</t>
    </r>
  </si>
  <si>
    <t xml:space="preserve">⑦純資産と債務超過… 債務超過の解消時期</t>
  </si>
  <si>
    <r>
      <rPr>
        <sz val="9"/>
        <color rgb="FF000000"/>
        <rFont val="Noto Sans CJK SC"/>
        <family val="2"/>
      </rPr>
      <t xml:space="preserve">⑧実績データ　　　… 会員数推移、</t>
    </r>
    <r>
      <rPr>
        <sz val="9"/>
        <color rgb="FF000000"/>
        <rFont val="Arial"/>
        <family val="0"/>
        <charset val="1"/>
      </rPr>
      <t xml:space="preserve">FRANK</t>
    </r>
    <r>
      <rPr>
        <sz val="9"/>
        <color rgb="FF000000"/>
        <rFont val="Noto Sans CJK SC"/>
        <family val="2"/>
      </rPr>
      <t xml:space="preserve">開業実績、残高試算表の主要科目</t>
    </r>
  </si>
  <si>
    <t xml:space="preserve">⑨出典と注記　　　… 数字の出どころと、決算確定後に差し替える項目</t>
  </si>
  <si>
    <r>
      <rPr>
        <b val="true"/>
        <sz val="14"/>
        <color rgb="FF1F3864"/>
        <rFont val="Noto Sans CJK SC"/>
        <family val="2"/>
      </rPr>
      <t xml:space="preserve">株式会社</t>
    </r>
    <r>
      <rPr>
        <b val="true"/>
        <sz val="14"/>
        <color rgb="FF1F3864"/>
        <rFont val="Arial"/>
        <family val="0"/>
        <charset val="1"/>
      </rPr>
      <t xml:space="preserve">YOZAN</t>
    </r>
    <r>
      <rPr>
        <b val="true"/>
        <sz val="14"/>
        <color rgb="FF1F3864"/>
        <rFont val="Noto Sans CJK SC"/>
        <family val="2"/>
      </rPr>
      <t xml:space="preserve">　</t>
    </r>
    <r>
      <rPr>
        <b val="true"/>
        <sz val="14"/>
        <color rgb="FF1F3864"/>
        <rFont val="Arial"/>
        <family val="0"/>
        <charset val="1"/>
      </rPr>
      <t xml:space="preserve">3</t>
    </r>
    <r>
      <rPr>
        <b val="true"/>
        <sz val="14"/>
        <color rgb="FF1F3864"/>
        <rFont val="Noto Sans CJK SC"/>
        <family val="2"/>
      </rPr>
      <t xml:space="preserve">か年事業計画　前提条件</t>
    </r>
  </si>
  <si>
    <r>
      <rPr>
        <sz val="9"/>
        <color rgb="FF595959"/>
        <rFont val="Noto Sans CJK SC"/>
        <family val="2"/>
      </rPr>
      <t xml:space="preserve">黄色のセルが入力値です。ここを変えると②以降のシートがすべて連動して再計算されます。／作成 </t>
    </r>
    <r>
      <rPr>
        <sz val="9"/>
        <color rgb="FF595959"/>
        <rFont val="Arial"/>
        <family val="0"/>
        <charset val="1"/>
      </rPr>
      <t xml:space="preserve">2026</t>
    </r>
    <r>
      <rPr>
        <sz val="9"/>
        <color rgb="FF595959"/>
        <rFont val="Noto Sans CJK SC"/>
        <family val="2"/>
      </rPr>
      <t xml:space="preserve">年</t>
    </r>
    <r>
      <rPr>
        <sz val="9"/>
        <color rgb="FF595959"/>
        <rFont val="Arial"/>
        <family val="0"/>
        <charset val="1"/>
      </rPr>
      <t xml:space="preserve">9</t>
    </r>
    <r>
      <rPr>
        <sz val="9"/>
        <color rgb="FF595959"/>
        <rFont val="Noto Sans CJK SC"/>
        <family val="2"/>
      </rPr>
      <t xml:space="preserve">月</t>
    </r>
    <r>
      <rPr>
        <sz val="9"/>
        <color rgb="FF595959"/>
        <rFont val="Arial"/>
        <family val="0"/>
        <charset val="1"/>
      </rPr>
      <t xml:space="preserve">10</t>
    </r>
    <r>
      <rPr>
        <sz val="9"/>
        <color rgb="FF595959"/>
        <rFont val="Noto Sans CJK SC"/>
        <family val="2"/>
      </rPr>
      <t xml:space="preserve">日</t>
    </r>
  </si>
  <si>
    <t xml:space="preserve">■ 会社・決算</t>
  </si>
  <si>
    <t xml:space="preserve">決算期</t>
  </si>
  <si>
    <r>
      <rPr>
        <sz val="10"/>
        <color rgb="FF000000"/>
        <rFont val="Arial"/>
        <family val="0"/>
        <charset val="1"/>
      </rPr>
      <t xml:space="preserve">8</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t>
    </r>
  </si>
  <si>
    <r>
      <rPr>
        <sz val="9"/>
        <color rgb="FF404040"/>
        <rFont val="Noto Sans CJK SC"/>
        <family val="2"/>
      </rPr>
      <t xml:space="preserve">第</t>
    </r>
    <r>
      <rPr>
        <sz val="9"/>
        <color rgb="FF404040"/>
        <rFont val="Arial"/>
        <family val="0"/>
        <charset val="1"/>
      </rPr>
      <t xml:space="preserve">1</t>
    </r>
    <r>
      <rPr>
        <sz val="9"/>
        <color rgb="FF404040"/>
        <rFont val="Noto Sans CJK SC"/>
        <family val="2"/>
      </rPr>
      <t xml:space="preserve">期</t>
    </r>
    <r>
      <rPr>
        <sz val="9"/>
        <color rgb="FF404040"/>
        <rFont val="Arial"/>
        <family val="0"/>
        <charset val="1"/>
      </rPr>
      <t xml:space="preserve">=2024/9/24</t>
    </r>
    <r>
      <rPr>
        <sz val="9"/>
        <color rgb="FF404040"/>
        <rFont val="Noto Sans CJK SC"/>
        <family val="2"/>
      </rPr>
      <t xml:space="preserve">設立〜</t>
    </r>
    <r>
      <rPr>
        <sz val="9"/>
        <color rgb="FF404040"/>
        <rFont val="Arial"/>
        <family val="0"/>
        <charset val="1"/>
      </rPr>
      <t xml:space="preserve">2025/8/31</t>
    </r>
    <r>
      <rPr>
        <sz val="9"/>
        <color rgb="FF404040"/>
        <rFont val="Noto Sans CJK SC"/>
        <family val="2"/>
      </rPr>
      <t xml:space="preserve">、第</t>
    </r>
    <r>
      <rPr>
        <sz val="9"/>
        <color rgb="FF404040"/>
        <rFont val="Arial"/>
        <family val="0"/>
        <charset val="1"/>
      </rPr>
      <t xml:space="preserve">2</t>
    </r>
    <r>
      <rPr>
        <sz val="9"/>
        <color rgb="FF404040"/>
        <rFont val="Noto Sans CJK SC"/>
        <family val="2"/>
      </rPr>
      <t xml:space="preserve">期</t>
    </r>
    <r>
      <rPr>
        <sz val="9"/>
        <color rgb="FF404040"/>
        <rFont val="Arial"/>
        <family val="0"/>
        <charset val="1"/>
      </rPr>
      <t xml:space="preserve">=2025/9/1</t>
    </r>
    <r>
      <rPr>
        <sz val="9"/>
        <color rgb="FF404040"/>
        <rFont val="Noto Sans CJK SC"/>
        <family val="2"/>
      </rPr>
      <t xml:space="preserve">〜</t>
    </r>
    <r>
      <rPr>
        <sz val="9"/>
        <color rgb="FF404040"/>
        <rFont val="Arial"/>
        <family val="0"/>
        <charset val="1"/>
      </rPr>
      <t xml:space="preserve">2026/8/31</t>
    </r>
  </si>
  <si>
    <r>
      <rPr>
        <sz val="10"/>
        <color rgb="FF000000"/>
        <rFont val="Noto Sans CJK SC"/>
        <family val="2"/>
      </rPr>
      <t xml:space="preserve">第</t>
    </r>
    <r>
      <rPr>
        <sz val="10"/>
        <color rgb="FF000000"/>
        <rFont val="Arial"/>
        <family val="0"/>
        <charset val="1"/>
      </rPr>
      <t xml:space="preserve">3</t>
    </r>
    <r>
      <rPr>
        <sz val="10"/>
        <color rgb="FF000000"/>
        <rFont val="Noto Sans CJK SC"/>
        <family val="2"/>
      </rPr>
      <t xml:space="preserve">期〜第</t>
    </r>
    <r>
      <rPr>
        <sz val="10"/>
        <color rgb="FF000000"/>
        <rFont val="Arial"/>
        <family val="0"/>
        <charset val="1"/>
      </rPr>
      <t xml:space="preserve">5</t>
    </r>
    <r>
      <rPr>
        <sz val="10"/>
        <color rgb="FF000000"/>
        <rFont val="Noto Sans CJK SC"/>
        <family val="2"/>
      </rPr>
      <t xml:space="preserve">期（</t>
    </r>
    <r>
      <rPr>
        <sz val="10"/>
        <color rgb="FF000000"/>
        <rFont val="Arial"/>
        <family val="0"/>
        <charset val="1"/>
      </rPr>
      <t xml:space="preserve">2026/9</t>
    </r>
    <r>
      <rPr>
        <sz val="10"/>
        <color rgb="FF000000"/>
        <rFont val="Noto Sans CJK SC"/>
        <family val="2"/>
      </rPr>
      <t xml:space="preserve">〜</t>
    </r>
    <r>
      <rPr>
        <sz val="10"/>
        <color rgb="FF000000"/>
        <rFont val="Arial"/>
        <family val="0"/>
        <charset val="1"/>
      </rPr>
      <t xml:space="preserve">2029/8</t>
    </r>
    <r>
      <rPr>
        <sz val="10"/>
        <color rgb="FF000000"/>
        <rFont val="Noto Sans CJK SC"/>
        <family val="2"/>
      </rPr>
      <t xml:space="preserve">）</t>
    </r>
  </si>
  <si>
    <r>
      <rPr>
        <sz val="9"/>
        <color rgb="FF404040"/>
        <rFont val="Noto Sans CJK SC"/>
        <family val="2"/>
      </rPr>
      <t xml:space="preserve">第</t>
    </r>
    <r>
      <rPr>
        <sz val="9"/>
        <color rgb="FF404040"/>
        <rFont val="Arial"/>
        <family val="0"/>
        <charset val="1"/>
      </rPr>
      <t xml:space="preserve">3</t>
    </r>
    <r>
      <rPr>
        <sz val="9"/>
        <color rgb="FF404040"/>
        <rFont val="Noto Sans CJK SC"/>
        <family val="2"/>
      </rPr>
      <t xml:space="preserve">期＝</t>
    </r>
    <r>
      <rPr>
        <sz val="9"/>
        <color rgb="FF404040"/>
        <rFont val="Arial"/>
        <family val="0"/>
        <charset val="1"/>
      </rPr>
      <t xml:space="preserve">FRANK GOLF </t>
    </r>
    <r>
      <rPr>
        <sz val="9"/>
        <color rgb="FF404040"/>
        <rFont val="Noto Sans CJK SC"/>
        <family val="2"/>
      </rPr>
      <t xml:space="preserve">姫路の営業</t>
    </r>
    <r>
      <rPr>
        <sz val="9"/>
        <color rgb="FF404040"/>
        <rFont val="Arial"/>
        <family val="0"/>
        <charset val="1"/>
      </rPr>
      <t xml:space="preserve">1</t>
    </r>
    <r>
      <rPr>
        <sz val="9"/>
        <color rgb="FF404040"/>
        <rFont val="Noto Sans CJK SC"/>
        <family val="2"/>
      </rPr>
      <t xml:space="preserve">年目</t>
    </r>
  </si>
  <si>
    <r>
      <rPr>
        <b val="true"/>
        <sz val="11"/>
        <color rgb="FF1F3864"/>
        <rFont val="Arial"/>
        <family val="0"/>
        <charset val="1"/>
      </rPr>
      <t xml:space="preserve">■ FRANK GOLF </t>
    </r>
    <r>
      <rPr>
        <b val="true"/>
        <sz val="11"/>
        <color rgb="FF1F3864"/>
        <rFont val="Noto Sans CJK SC"/>
        <family val="2"/>
      </rPr>
      <t xml:space="preserve">姫路（直営</t>
    </r>
    <r>
      <rPr>
        <b val="true"/>
        <sz val="11"/>
        <color rgb="FF1F3864"/>
        <rFont val="Arial"/>
        <family val="0"/>
        <charset val="1"/>
      </rPr>
      <t xml:space="preserve">2</t>
    </r>
    <r>
      <rPr>
        <b val="true"/>
        <sz val="11"/>
        <color rgb="FF1F3864"/>
        <rFont val="Noto Sans CJK SC"/>
        <family val="2"/>
      </rPr>
      <t xml:space="preserve">号店・</t>
    </r>
    <r>
      <rPr>
        <b val="true"/>
        <sz val="11"/>
        <color rgb="FF1F3864"/>
        <rFont val="Arial"/>
        <family val="0"/>
        <charset val="1"/>
      </rPr>
      <t xml:space="preserve">2026</t>
    </r>
    <r>
      <rPr>
        <b val="true"/>
        <sz val="11"/>
        <color rgb="FF1F3864"/>
        <rFont val="Noto Sans CJK SC"/>
        <family val="2"/>
      </rPr>
      <t xml:space="preserve">年</t>
    </r>
    <r>
      <rPr>
        <b val="true"/>
        <sz val="11"/>
        <color rgb="FF1F3864"/>
        <rFont val="Arial"/>
        <family val="0"/>
        <charset val="1"/>
      </rPr>
      <t xml:space="preserve">9</t>
    </r>
    <r>
      <rPr>
        <b val="true"/>
        <sz val="11"/>
        <color rgb="FF1F3864"/>
        <rFont val="Noto Sans CJK SC"/>
        <family val="2"/>
      </rPr>
      <t xml:space="preserve">月</t>
    </r>
    <r>
      <rPr>
        <b val="true"/>
        <sz val="11"/>
        <color rgb="FF1F3864"/>
        <rFont val="Arial"/>
        <family val="0"/>
        <charset val="1"/>
      </rPr>
      <t xml:space="preserve">2</t>
    </r>
    <r>
      <rPr>
        <b val="true"/>
        <sz val="11"/>
        <color rgb="FF1F3864"/>
        <rFont val="Noto Sans CJK SC"/>
        <family val="2"/>
      </rPr>
      <t xml:space="preserve">日開業）</t>
    </r>
  </si>
  <si>
    <t xml:space="preserve">稼働打席数</t>
  </si>
  <si>
    <t xml:space="preserve">打席</t>
  </si>
  <si>
    <r>
      <rPr>
        <sz val="9"/>
        <color rgb="FF404040"/>
        <rFont val="Arial"/>
        <family val="0"/>
        <charset val="1"/>
      </rPr>
      <t xml:space="preserve">A</t>
    </r>
    <r>
      <rPr>
        <sz val="9"/>
        <color rgb="FF404040"/>
        <rFont val="Noto Sans CJK SC"/>
        <family val="2"/>
      </rPr>
      <t xml:space="preserve">打席</t>
    </r>
    <r>
      <rPr>
        <sz val="9"/>
        <color rgb="FF404040"/>
        <rFont val="Arial"/>
        <family val="0"/>
        <charset val="1"/>
      </rPr>
      <t xml:space="preserve">=DTECT</t>
    </r>
    <r>
      <rPr>
        <sz val="9"/>
        <color rgb="FF404040"/>
        <rFont val="Noto Sans CJK SC"/>
        <family val="2"/>
      </rPr>
      <t xml:space="preserve">／</t>
    </r>
    <r>
      <rPr>
        <sz val="9"/>
        <color rgb="FF404040"/>
        <rFont val="Arial"/>
        <family val="0"/>
        <charset val="1"/>
      </rPr>
      <t xml:space="preserve">B</t>
    </r>
    <r>
      <rPr>
        <sz val="9"/>
        <color rgb="FF404040"/>
        <rFont val="Noto Sans CJK SC"/>
        <family val="2"/>
      </rPr>
      <t xml:space="preserve">打席</t>
    </r>
    <r>
      <rPr>
        <sz val="9"/>
        <color rgb="FF404040"/>
        <rFont val="Arial"/>
        <family val="0"/>
        <charset val="1"/>
      </rPr>
      <t xml:space="preserve">=TrackMan 4</t>
    </r>
    <r>
      <rPr>
        <sz val="9"/>
        <color rgb="FF404040"/>
        <rFont val="Noto Sans CJK SC"/>
        <family val="2"/>
      </rPr>
      <t xml:space="preserve">（左右打席）／</t>
    </r>
    <r>
      <rPr>
        <sz val="9"/>
        <color rgb="FF404040"/>
        <rFont val="Arial"/>
        <family val="0"/>
        <charset val="1"/>
      </rPr>
      <t xml:space="preserve">C</t>
    </r>
    <r>
      <rPr>
        <sz val="9"/>
        <color rgb="FF404040"/>
        <rFont val="Noto Sans CJK SC"/>
        <family val="2"/>
      </rPr>
      <t xml:space="preserve">打席</t>
    </r>
    <r>
      <rPr>
        <sz val="9"/>
        <color rgb="FF404040"/>
        <rFont val="Arial"/>
        <family val="0"/>
        <charset val="1"/>
      </rPr>
      <t xml:space="preserve">=OKONGOLF</t>
    </r>
    <r>
      <rPr>
        <sz val="9"/>
        <color rgb="FF404040"/>
        <rFont val="Noto Sans CJK SC"/>
        <family val="2"/>
      </rPr>
      <t xml:space="preserve">。</t>
    </r>
    <r>
      <rPr>
        <sz val="9"/>
        <color rgb="FF404040"/>
        <rFont val="Arial"/>
        <family val="0"/>
        <charset val="1"/>
      </rPr>
      <t xml:space="preserve">D</t>
    </r>
    <r>
      <rPr>
        <sz val="9"/>
        <color rgb="FF404040"/>
        <rFont val="Noto Sans CJK SC"/>
        <family val="2"/>
      </rPr>
      <t xml:space="preserve">打席は未稼働（増設余地）</t>
    </r>
  </si>
  <si>
    <t xml:space="preserve">個人会員 平均月会費（税抜）</t>
  </si>
  <si>
    <r>
      <rPr>
        <sz val="9"/>
        <color rgb="FF404040"/>
        <rFont val="Noto Sans CJK SC"/>
        <family val="2"/>
      </rPr>
      <t xml:space="preserve">実績構成 レギュラー</t>
    </r>
    <r>
      <rPr>
        <sz val="9"/>
        <color rgb="FF404040"/>
        <rFont val="Arial"/>
        <family val="0"/>
        <charset val="1"/>
      </rPr>
      <t xml:space="preserve">13,800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税込</t>
    </r>
    <r>
      <rPr>
        <sz val="9"/>
        <color rgb="FF404040"/>
        <rFont val="Arial"/>
        <family val="0"/>
        <charset val="1"/>
      </rPr>
      <t xml:space="preserve">)×9</t>
    </r>
    <r>
      <rPr>
        <sz val="9"/>
        <color rgb="FF404040"/>
        <rFont val="Noto Sans CJK SC"/>
        <family val="2"/>
      </rPr>
      <t xml:space="preserve">名／ライト</t>
    </r>
    <r>
      <rPr>
        <sz val="9"/>
        <color rgb="FF404040"/>
        <rFont val="Arial"/>
        <family val="0"/>
        <charset val="1"/>
      </rPr>
      <t xml:space="preserve">9,800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税込</t>
    </r>
    <r>
      <rPr>
        <sz val="9"/>
        <color rgb="FF404040"/>
        <rFont val="Arial"/>
        <family val="0"/>
        <charset val="1"/>
      </rPr>
      <t xml:space="preserve">)×3</t>
    </r>
    <r>
      <rPr>
        <sz val="9"/>
        <color rgb="FF404040"/>
        <rFont val="Noto Sans CJK SC"/>
        <family val="2"/>
      </rPr>
      <t xml:space="preserve">名の加重平均</t>
    </r>
    <r>
      <rPr>
        <sz val="9"/>
        <color rgb="FF404040"/>
        <rFont val="Arial"/>
        <family val="0"/>
        <charset val="1"/>
      </rPr>
      <t xml:space="preserve">12,182</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税込</t>
    </r>
    <r>
      <rPr>
        <sz val="9"/>
        <color rgb="FF404040"/>
        <rFont val="Arial"/>
        <family val="0"/>
        <charset val="1"/>
      </rPr>
      <t xml:space="preserve">)</t>
    </r>
    <r>
      <rPr>
        <sz val="9"/>
        <color rgb="FF404040"/>
        <rFont val="Noto Sans CJK SC"/>
        <family val="2"/>
      </rPr>
      <t xml:space="preserve">＝</t>
    </r>
    <r>
      <rPr>
        <sz val="9"/>
        <color rgb="FF404040"/>
        <rFont val="Arial"/>
        <family val="0"/>
        <charset val="1"/>
      </rPr>
      <t xml:space="preserve">11,075</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税抜</t>
    </r>
    <r>
      <rPr>
        <sz val="9"/>
        <color rgb="FF404040"/>
        <rFont val="Arial"/>
        <family val="0"/>
        <charset val="1"/>
      </rPr>
      <t xml:space="preserve">)</t>
    </r>
    <r>
      <rPr>
        <sz val="9"/>
        <color rgb="FF404040"/>
        <rFont val="Noto Sans CJK SC"/>
        <family val="2"/>
      </rPr>
      <t xml:space="preserve">を保守側に丸め</t>
    </r>
  </si>
  <si>
    <t xml:space="preserve">法人プラン 月額（税抜）</t>
  </si>
  <si>
    <r>
      <rPr>
        <sz val="9"/>
        <color rgb="FF404040"/>
        <rFont val="Noto Sans CJK SC"/>
        <family val="2"/>
      </rPr>
      <t xml:space="preserve">法人プレミアムプラン </t>
    </r>
    <r>
      <rPr>
        <sz val="9"/>
        <color rgb="FF404040"/>
        <rFont val="Arial"/>
        <family val="0"/>
        <charset val="1"/>
      </rPr>
      <t xml:space="preserve">59,800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税込</t>
    </r>
    <r>
      <rPr>
        <sz val="9"/>
        <color rgb="FF404040"/>
        <rFont val="Arial"/>
        <family val="0"/>
        <charset val="1"/>
      </rPr>
      <t xml:space="preserve">)÷1.1</t>
    </r>
    <r>
      <rPr>
        <sz val="9"/>
        <color rgb="FF404040"/>
        <rFont val="Noto Sans CJK SC"/>
        <family val="2"/>
      </rPr>
      <t xml:space="preserve">。</t>
    </r>
    <r>
      <rPr>
        <sz val="9"/>
        <color rgb="FF404040"/>
        <rFont val="Arial"/>
        <family val="0"/>
        <charset val="1"/>
      </rPr>
      <t xml:space="preserve">1</t>
    </r>
    <r>
      <rPr>
        <sz val="9"/>
        <color rgb="FF404040"/>
        <rFont val="Noto Sans CJK SC"/>
        <family val="2"/>
      </rPr>
      <t xml:space="preserve">社あたり利用者</t>
    </r>
    <r>
      <rPr>
        <sz val="9"/>
        <color rgb="FF404040"/>
        <rFont val="Arial"/>
        <family val="0"/>
        <charset val="1"/>
      </rPr>
      <t xml:space="preserve">4</t>
    </r>
    <r>
      <rPr>
        <sz val="9"/>
        <color rgb="FF404040"/>
        <rFont val="Noto Sans CJK SC"/>
        <family val="2"/>
      </rPr>
      <t xml:space="preserve">名まで</t>
    </r>
  </si>
  <si>
    <t xml:space="preserve">入会金（税抜）</t>
  </si>
  <si>
    <r>
      <rPr>
        <sz val="9"/>
        <color rgb="FF404040"/>
        <rFont val="Arial"/>
        <family val="0"/>
        <charset val="1"/>
      </rPr>
      <t xml:space="preserve">5,000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税込</t>
    </r>
    <r>
      <rPr>
        <sz val="9"/>
        <color rgb="FF404040"/>
        <rFont val="Arial"/>
        <family val="0"/>
        <charset val="1"/>
      </rPr>
      <t xml:space="preserve">)÷1.1</t>
    </r>
  </si>
  <si>
    <t xml:space="preserve">月次退会率</t>
  </si>
  <si>
    <r>
      <rPr>
        <sz val="9"/>
        <color rgb="FF404040"/>
        <rFont val="Arial"/>
        <family val="0"/>
        <charset val="1"/>
      </rPr>
      <t xml:space="preserve">GOLF WING </t>
    </r>
    <r>
      <rPr>
        <sz val="9"/>
        <color rgb="FF404040"/>
        <rFont val="Noto Sans CJK SC"/>
        <family val="2"/>
      </rPr>
      <t xml:space="preserve">宝塚の実績は月</t>
    </r>
    <r>
      <rPr>
        <sz val="9"/>
        <color rgb="FF404040"/>
        <rFont val="Arial"/>
        <family val="0"/>
        <charset val="1"/>
      </rPr>
      <t xml:space="preserve">3.5</t>
    </r>
    <r>
      <rPr>
        <sz val="9"/>
        <color rgb="FF404040"/>
        <rFont val="Noto Sans CJK SC"/>
        <family val="2"/>
      </rPr>
      <t xml:space="preserve">〜</t>
    </r>
    <r>
      <rPr>
        <sz val="9"/>
        <color rgb="FF404040"/>
        <rFont val="Arial"/>
        <family val="0"/>
        <charset val="1"/>
      </rPr>
      <t xml:space="preserve">3.9%</t>
    </r>
    <r>
      <rPr>
        <sz val="9"/>
        <color rgb="FF404040"/>
        <rFont val="Noto Sans CJK SC"/>
        <family val="2"/>
      </rPr>
      <t xml:space="preserve">。新店は会員の定着期が浅いため保守的に</t>
    </r>
    <r>
      <rPr>
        <sz val="9"/>
        <color rgb="FF404040"/>
        <rFont val="Arial"/>
        <family val="0"/>
        <charset val="1"/>
      </rPr>
      <t xml:space="preserve">3.0%</t>
    </r>
    <r>
      <rPr>
        <sz val="9"/>
        <color rgb="FF404040"/>
        <rFont val="Noto Sans CJK SC"/>
        <family val="2"/>
      </rPr>
      <t xml:space="preserve">で置く</t>
    </r>
  </si>
  <si>
    <r>
      <rPr>
        <sz val="10"/>
        <color rgb="FF000000"/>
        <rFont val="Noto Sans CJK SC"/>
        <family val="2"/>
      </rPr>
      <t xml:space="preserve">会員数の上限（</t>
    </r>
    <r>
      <rPr>
        <sz val="10"/>
        <color rgb="FF000000"/>
        <rFont val="Arial"/>
        <family val="0"/>
        <charset val="1"/>
      </rPr>
      <t xml:space="preserve">3</t>
    </r>
    <r>
      <rPr>
        <sz val="10"/>
        <color rgb="FF000000"/>
        <rFont val="Noto Sans CJK SC"/>
        <family val="2"/>
      </rPr>
      <t xml:space="preserve">打席）</t>
    </r>
  </si>
  <si>
    <t xml:space="preserve">名</t>
  </si>
  <si>
    <r>
      <rPr>
        <sz val="9"/>
        <color rgb="FF404040"/>
        <rFont val="Noto Sans CJK SC"/>
        <family val="2"/>
      </rPr>
      <t xml:space="preserve">宝塚（会員</t>
    </r>
    <r>
      <rPr>
        <sz val="9"/>
        <color rgb="FF404040"/>
        <rFont val="Arial"/>
        <family val="0"/>
        <charset val="1"/>
      </rPr>
      <t xml:space="preserve">218</t>
    </r>
    <r>
      <rPr>
        <sz val="9"/>
        <color rgb="FF404040"/>
        <rFont val="Noto Sans CJK SC"/>
        <family val="2"/>
      </rPr>
      <t xml:space="preserve">名）を上限の目安としつつ、</t>
    </r>
    <r>
      <rPr>
        <sz val="9"/>
        <color rgb="FF404040"/>
        <rFont val="Arial"/>
        <family val="0"/>
        <charset val="1"/>
      </rPr>
      <t xml:space="preserve">3</t>
    </r>
    <r>
      <rPr>
        <sz val="9"/>
        <color rgb="FF404040"/>
        <rFont val="Noto Sans CJK SC"/>
        <family val="2"/>
      </rPr>
      <t xml:space="preserve">打席の予約枠が窮屈にならない水準として保守的に</t>
    </r>
    <r>
      <rPr>
        <sz val="9"/>
        <color rgb="FF404040"/>
        <rFont val="Arial"/>
        <family val="0"/>
        <charset val="1"/>
      </rPr>
      <t xml:space="preserve">180</t>
    </r>
    <r>
      <rPr>
        <sz val="9"/>
        <color rgb="FF404040"/>
        <rFont val="Noto Sans CJK SC"/>
        <family val="2"/>
      </rPr>
      <t xml:space="preserve">名で頭打ちとする</t>
    </r>
  </si>
  <si>
    <r>
      <rPr>
        <sz val="10"/>
        <color rgb="FF000000"/>
        <rFont val="Noto Sans CJK SC"/>
        <family val="2"/>
      </rPr>
      <t xml:space="preserve">会員数の上限（</t>
    </r>
    <r>
      <rPr>
        <sz val="10"/>
        <color rgb="FF000000"/>
        <rFont val="Arial"/>
        <family val="0"/>
        <charset val="1"/>
      </rPr>
      <t xml:space="preserve">D</t>
    </r>
    <r>
      <rPr>
        <sz val="10"/>
        <color rgb="FF000000"/>
        <rFont val="Noto Sans CJK SC"/>
        <family val="2"/>
      </rPr>
      <t xml:space="preserve">打席 増設後）</t>
    </r>
  </si>
  <si>
    <r>
      <rPr>
        <sz val="9"/>
        <color rgb="FF404040"/>
        <rFont val="Noto Sans CJK SC"/>
        <family val="2"/>
      </rPr>
      <t xml:space="preserve">第</t>
    </r>
    <r>
      <rPr>
        <sz val="9"/>
        <color rgb="FF404040"/>
        <rFont val="Arial"/>
        <family val="0"/>
        <charset val="1"/>
      </rPr>
      <t xml:space="preserve">5</t>
    </r>
    <r>
      <rPr>
        <sz val="9"/>
        <color rgb="FF404040"/>
        <rFont val="Noto Sans CJK SC"/>
        <family val="2"/>
      </rPr>
      <t xml:space="preserve">期に</t>
    </r>
    <r>
      <rPr>
        <sz val="9"/>
        <color rgb="FF404040"/>
        <rFont val="Arial"/>
        <family val="0"/>
        <charset val="1"/>
      </rPr>
      <t xml:space="preserve">D</t>
    </r>
    <r>
      <rPr>
        <sz val="9"/>
        <color rgb="FF404040"/>
        <rFont val="Noto Sans CJK SC"/>
        <family val="2"/>
      </rPr>
      <t xml:space="preserve">打席（</t>
    </r>
    <r>
      <rPr>
        <sz val="9"/>
        <color rgb="FF404040"/>
        <rFont val="Arial"/>
        <family val="0"/>
        <charset val="1"/>
      </rPr>
      <t xml:space="preserve">4</t>
    </r>
    <r>
      <rPr>
        <sz val="9"/>
        <color rgb="FF404040"/>
        <rFont val="Noto Sans CJK SC"/>
        <family val="2"/>
      </rPr>
      <t xml:space="preserve">打席目）を稼働させた場合の上限</t>
    </r>
  </si>
  <si>
    <t xml:space="preserve">店舗固定費（月額）</t>
  </si>
  <si>
    <r>
      <rPr>
        <sz val="9"/>
        <color rgb="FF404040"/>
        <rFont val="Noto Sans CJK SC"/>
        <family val="2"/>
      </rPr>
      <t xml:space="preserve">家賃</t>
    </r>
    <r>
      <rPr>
        <sz val="9"/>
        <color rgb="FF404040"/>
        <rFont val="Arial"/>
        <family val="0"/>
        <charset val="1"/>
      </rPr>
      <t xml:space="preserve">440,000</t>
    </r>
    <r>
      <rPr>
        <sz val="9"/>
        <color rgb="FF404040"/>
        <rFont val="Noto Sans CJK SC"/>
        <family val="2"/>
      </rPr>
      <t xml:space="preserve">＋人件費</t>
    </r>
    <r>
      <rPr>
        <sz val="9"/>
        <color rgb="FF404040"/>
        <rFont val="Arial"/>
        <family val="0"/>
        <charset val="1"/>
      </rPr>
      <t xml:space="preserve">580,000</t>
    </r>
    <r>
      <rPr>
        <sz val="9"/>
        <color rgb="FF404040"/>
        <rFont val="Noto Sans CJK SC"/>
        <family val="2"/>
      </rPr>
      <t xml:space="preserve">＋光熱</t>
    </r>
    <r>
      <rPr>
        <sz val="9"/>
        <color rgb="FF404040"/>
        <rFont val="Arial"/>
        <family val="0"/>
        <charset val="1"/>
      </rPr>
      <t xml:space="preserve">80,000</t>
    </r>
    <r>
      <rPr>
        <sz val="9"/>
        <color rgb="FF404040"/>
        <rFont val="Noto Sans CJK SC"/>
        <family val="2"/>
      </rPr>
      <t xml:space="preserve">＋広告</t>
    </r>
    <r>
      <rPr>
        <sz val="9"/>
        <color rgb="FF404040"/>
        <rFont val="Arial"/>
        <family val="0"/>
        <charset val="1"/>
      </rPr>
      <t xml:space="preserve">80,000</t>
    </r>
    <r>
      <rPr>
        <sz val="9"/>
        <color rgb="FF404040"/>
        <rFont val="Noto Sans CJK SC"/>
        <family val="2"/>
      </rPr>
      <t xml:space="preserve">＋通信</t>
    </r>
    <r>
      <rPr>
        <sz val="9"/>
        <color rgb="FF404040"/>
        <rFont val="Arial"/>
        <family val="0"/>
        <charset val="1"/>
      </rPr>
      <t xml:space="preserve">15,000</t>
    </r>
    <r>
      <rPr>
        <sz val="9"/>
        <color rgb="FF404040"/>
        <rFont val="Noto Sans CJK SC"/>
        <family val="2"/>
      </rPr>
      <t xml:space="preserve">＋保険</t>
    </r>
    <r>
      <rPr>
        <sz val="9"/>
        <color rgb="FF404040"/>
        <rFont val="Arial"/>
        <family val="0"/>
        <charset val="1"/>
      </rPr>
      <t xml:space="preserve">12,000</t>
    </r>
    <r>
      <rPr>
        <sz val="9"/>
        <color rgb="FF404040"/>
        <rFont val="Noto Sans CJK SC"/>
        <family val="2"/>
      </rPr>
      <t xml:space="preserve">＋システム</t>
    </r>
    <r>
      <rPr>
        <sz val="9"/>
        <color rgb="FF404040"/>
        <rFont val="Arial"/>
        <family val="0"/>
        <charset val="1"/>
      </rPr>
      <t xml:space="preserve">40,000</t>
    </r>
    <r>
      <rPr>
        <sz val="9"/>
        <color rgb="FF404040"/>
        <rFont val="Noto Sans CJK SC"/>
        <family val="2"/>
      </rPr>
      <t xml:space="preserve">＋清掃</t>
    </r>
    <r>
      <rPr>
        <sz val="9"/>
        <color rgb="FF404040"/>
        <rFont val="Arial"/>
        <family val="0"/>
        <charset val="1"/>
      </rPr>
      <t xml:space="preserve">20,000</t>
    </r>
    <r>
      <rPr>
        <sz val="9"/>
        <color rgb="FF404040"/>
        <rFont val="Noto Sans CJK SC"/>
        <family val="2"/>
      </rPr>
      <t xml:space="preserve">＋修繕積立</t>
    </r>
    <r>
      <rPr>
        <sz val="9"/>
        <color rgb="FF404040"/>
        <rFont val="Arial"/>
        <family val="0"/>
        <charset val="1"/>
      </rPr>
      <t xml:space="preserve">30,000</t>
    </r>
    <r>
      <rPr>
        <sz val="9"/>
        <color rgb="FF404040"/>
        <rFont val="Noto Sans CJK SC"/>
        <family val="2"/>
      </rPr>
      <t xml:space="preserve">＋消耗品</t>
    </r>
    <r>
      <rPr>
        <sz val="9"/>
        <color rgb="FF404040"/>
        <rFont val="Arial"/>
        <family val="0"/>
        <charset val="1"/>
      </rPr>
      <t xml:space="preserve">15,000</t>
    </r>
    <r>
      <rPr>
        <sz val="9"/>
        <color rgb="FF404040"/>
        <rFont val="Noto Sans CJK SC"/>
        <family val="2"/>
      </rPr>
      <t xml:space="preserve">。</t>
    </r>
    <r>
      <rPr>
        <sz val="9"/>
        <color rgb="FF404040"/>
        <rFont val="Arial"/>
        <family val="0"/>
        <charset val="1"/>
      </rPr>
      <t xml:space="preserve">8/21</t>
    </r>
    <r>
      <rPr>
        <sz val="9"/>
        <color rgb="FF404040"/>
        <rFont val="Noto Sans CJK SC"/>
        <family val="2"/>
      </rPr>
      <t xml:space="preserve">提出「増加運転資金」の算定根拠と同額</t>
    </r>
  </si>
  <si>
    <r>
      <rPr>
        <sz val="10"/>
        <color rgb="FF000000"/>
        <rFont val="Noto Sans CJK SC"/>
        <family val="2"/>
      </rPr>
      <t xml:space="preserve">　同上　第</t>
    </r>
    <r>
      <rPr>
        <sz val="10"/>
        <color rgb="FF000000"/>
        <rFont val="Arial"/>
        <family val="0"/>
        <charset val="1"/>
      </rPr>
      <t xml:space="preserve">4</t>
    </r>
    <r>
      <rPr>
        <sz val="10"/>
        <color rgb="FF000000"/>
        <rFont val="Noto Sans CJK SC"/>
        <family val="2"/>
      </rPr>
      <t xml:space="preserve">期（人員増）</t>
    </r>
  </si>
  <si>
    <r>
      <rPr>
        <sz val="9"/>
        <color rgb="FF404040"/>
        <rFont val="Noto Sans CJK SC"/>
        <family val="2"/>
      </rPr>
      <t xml:space="preserve">会員</t>
    </r>
    <r>
      <rPr>
        <sz val="9"/>
        <color rgb="FF404040"/>
        <rFont val="Arial"/>
        <family val="0"/>
        <charset val="1"/>
      </rPr>
      <t xml:space="preserve">200</t>
    </r>
    <r>
      <rPr>
        <sz val="9"/>
        <color rgb="FF404040"/>
        <rFont val="Noto Sans CJK SC"/>
        <family val="2"/>
      </rPr>
      <t xml:space="preserve">名規模の受付・コーチ体制。年額</t>
    </r>
  </si>
  <si>
    <r>
      <rPr>
        <sz val="10"/>
        <color rgb="FF000000"/>
        <rFont val="Noto Sans CJK SC"/>
        <family val="2"/>
      </rPr>
      <t xml:space="preserve">　同上　第</t>
    </r>
    <r>
      <rPr>
        <sz val="10"/>
        <color rgb="FF000000"/>
        <rFont val="Arial"/>
        <family val="0"/>
        <charset val="1"/>
      </rPr>
      <t xml:space="preserve">5</t>
    </r>
    <r>
      <rPr>
        <sz val="10"/>
        <color rgb="FF000000"/>
        <rFont val="Noto Sans CJK SC"/>
        <family val="2"/>
      </rPr>
      <t xml:space="preserve">期（</t>
    </r>
    <r>
      <rPr>
        <sz val="10"/>
        <color rgb="FF000000"/>
        <rFont val="Arial"/>
        <family val="0"/>
        <charset val="1"/>
      </rPr>
      <t xml:space="preserve">D</t>
    </r>
    <r>
      <rPr>
        <sz val="10"/>
        <color rgb="FF000000"/>
        <rFont val="Noto Sans CJK SC"/>
        <family val="2"/>
      </rPr>
      <t xml:space="preserve">打席稼働）</t>
    </r>
  </si>
  <si>
    <t xml:space="preserve">年額</t>
  </si>
  <si>
    <t xml:space="preserve">ビジター利用　月間件数</t>
  </si>
  <si>
    <t xml:space="preserve">件</t>
  </si>
  <si>
    <r>
      <rPr>
        <sz val="9"/>
        <color rgb="FF404040"/>
        <rFont val="Noto Sans CJK SC"/>
        <family val="2"/>
      </rPr>
      <t xml:space="preserve">開業</t>
    </r>
    <r>
      <rPr>
        <sz val="9"/>
        <color rgb="FF404040"/>
        <rFont val="Arial"/>
        <family val="0"/>
        <charset val="1"/>
      </rPr>
      <t xml:space="preserve">9</t>
    </r>
    <r>
      <rPr>
        <sz val="9"/>
        <color rgb="FF404040"/>
        <rFont val="Noto Sans CJK SC"/>
        <family val="2"/>
      </rPr>
      <t xml:space="preserve">日間の実績 </t>
    </r>
    <r>
      <rPr>
        <sz val="9"/>
        <color rgb="FF404040"/>
        <rFont val="Arial"/>
        <family val="0"/>
        <charset val="1"/>
      </rPr>
      <t xml:space="preserve">dropin 9</t>
    </r>
    <r>
      <rPr>
        <sz val="9"/>
        <color rgb="FF404040"/>
        <rFont val="Noto Sans CJK SC"/>
        <family val="2"/>
      </rPr>
      <t xml:space="preserve">件（月換算約</t>
    </r>
    <r>
      <rPr>
        <sz val="9"/>
        <color rgb="FF404040"/>
        <rFont val="Arial"/>
        <family val="0"/>
        <charset val="1"/>
      </rPr>
      <t xml:space="preserve">30</t>
    </r>
    <r>
      <rPr>
        <sz val="9"/>
        <color rgb="FF404040"/>
        <rFont val="Noto Sans CJK SC"/>
        <family val="2"/>
      </rPr>
      <t xml:space="preserve">件）を保守側に置く</t>
    </r>
  </si>
  <si>
    <t xml:space="preserve">ビジター利用　単価（税抜）</t>
  </si>
  <si>
    <t xml:space="preserve">パーソナルレッスン　月間件数</t>
  </si>
  <si>
    <r>
      <rPr>
        <sz val="9"/>
        <color rgb="FF404040"/>
        <rFont val="Arial"/>
        <family val="0"/>
        <charset val="1"/>
      </rPr>
      <t xml:space="preserve">25</t>
    </r>
    <r>
      <rPr>
        <sz val="9"/>
        <color rgb="FF404040"/>
        <rFont val="Noto Sans CJK SC"/>
        <family val="2"/>
      </rPr>
      <t xml:space="preserve">分パーソナル。会員の付帯利用</t>
    </r>
  </si>
  <si>
    <t xml:space="preserve">パーソナルレッスン　単価（税抜）</t>
  </si>
  <si>
    <r>
      <rPr>
        <sz val="9"/>
        <color rgb="FF404040"/>
        <rFont val="Arial"/>
        <family val="0"/>
        <charset val="1"/>
      </rPr>
      <t xml:space="preserve">BookingCfg.lesson_option.price</t>
    </r>
    <r>
      <rPr>
        <sz val="9"/>
        <color rgb="FF404040"/>
        <rFont val="Noto Sans CJK SC"/>
        <family val="2"/>
      </rPr>
      <t xml:space="preserve">（税抜</t>
    </r>
    <r>
      <rPr>
        <sz val="9"/>
        <color rgb="FF404040"/>
        <rFont val="Arial"/>
        <family val="0"/>
        <charset val="1"/>
      </rPr>
      <t xml:space="preserve">2,500</t>
    </r>
    <r>
      <rPr>
        <sz val="9"/>
        <color rgb="FF404040"/>
        <rFont val="Noto Sans CJK SC"/>
        <family val="2"/>
      </rPr>
      <t xml:space="preserve">円）</t>
    </r>
  </si>
  <si>
    <t xml:space="preserve">物販売上　月額（税抜）</t>
  </si>
  <si>
    <r>
      <rPr>
        <sz val="9"/>
        <color rgb="FF404040"/>
        <rFont val="Noto Sans CJK SC"/>
        <family val="2"/>
      </rPr>
      <t xml:space="preserve">宝塚の会員</t>
    </r>
    <r>
      <rPr>
        <sz val="9"/>
        <color rgb="FF404040"/>
        <rFont val="Arial"/>
        <family val="0"/>
        <charset val="1"/>
      </rPr>
      <t xml:space="preserve">1</t>
    </r>
    <r>
      <rPr>
        <sz val="9"/>
        <color rgb="FF404040"/>
        <rFont val="Noto Sans CJK SC"/>
        <family val="2"/>
      </rPr>
      <t xml:space="preserve">人あたり物販実績から保守推計</t>
    </r>
  </si>
  <si>
    <t xml:space="preserve">物販原価率</t>
  </si>
  <si>
    <t xml:space="preserve">決済手数料率</t>
  </si>
  <si>
    <t xml:space="preserve">Square</t>
  </si>
  <si>
    <r>
      <rPr>
        <b val="true"/>
        <sz val="11"/>
        <color rgb="FF1F3864"/>
        <rFont val="Noto Sans CJK SC"/>
        <family val="2"/>
      </rPr>
      <t xml:space="preserve">■ 既存事業（</t>
    </r>
    <r>
      <rPr>
        <b val="true"/>
        <sz val="11"/>
        <color rgb="FF1F3864"/>
        <rFont val="Arial"/>
        <family val="0"/>
        <charset val="1"/>
      </rPr>
      <t xml:space="preserve">GOLF WING </t>
    </r>
    <r>
      <rPr>
        <b val="true"/>
        <sz val="11"/>
        <color rgb="FF1F3864"/>
        <rFont val="Noto Sans CJK SC"/>
        <family val="2"/>
      </rPr>
      <t xml:space="preserve">宝塚 受託運営＋キャディ派遣）</t>
    </r>
  </si>
  <si>
    <r>
      <rPr>
        <sz val="10"/>
        <color rgb="FF000000"/>
        <rFont val="Noto Sans CJK SC"/>
        <family val="2"/>
      </rPr>
      <t xml:space="preserve">第</t>
    </r>
    <r>
      <rPr>
        <sz val="10"/>
        <color rgb="FF000000"/>
        <rFont val="Arial"/>
        <family val="0"/>
        <charset val="1"/>
      </rPr>
      <t xml:space="preserve">2</t>
    </r>
    <r>
      <rPr>
        <sz val="10"/>
        <color rgb="FF000000"/>
        <rFont val="Noto Sans CJK SC"/>
        <family val="2"/>
      </rPr>
      <t xml:space="preserve">期 売上高（通期見込）</t>
    </r>
  </si>
  <si>
    <r>
      <rPr>
        <sz val="9"/>
        <color rgb="FF404040"/>
        <rFont val="Arial"/>
        <family val="0"/>
        <charset val="1"/>
      </rPr>
      <t xml:space="preserve">11</t>
    </r>
    <r>
      <rPr>
        <sz val="9"/>
        <color rgb="FF404040"/>
        <rFont val="Noto Sans CJK SC"/>
        <family val="2"/>
      </rPr>
      <t xml:space="preserve">か月実績</t>
    </r>
    <r>
      <rPr>
        <sz val="9"/>
        <color rgb="FF404040"/>
        <rFont val="Arial"/>
        <family val="0"/>
        <charset val="1"/>
      </rPr>
      <t xml:space="preserve">24,979,520</t>
    </r>
    <r>
      <rPr>
        <sz val="9"/>
        <color rgb="FF404040"/>
        <rFont val="Noto Sans CJK SC"/>
        <family val="2"/>
      </rPr>
      <t xml:space="preserve">円（税理士 残高試算表 令和</t>
    </r>
    <r>
      <rPr>
        <sz val="9"/>
        <color rgb="FF404040"/>
        <rFont val="Arial"/>
        <family val="0"/>
        <charset val="1"/>
      </rPr>
      <t xml:space="preserve">8</t>
    </r>
    <r>
      <rPr>
        <sz val="9"/>
        <color rgb="FF404040"/>
        <rFont val="Noto Sans CJK SC"/>
        <family val="2"/>
      </rPr>
      <t xml:space="preserve">年</t>
    </r>
    <r>
      <rPr>
        <sz val="9"/>
        <color rgb="FF404040"/>
        <rFont val="Arial"/>
        <family val="0"/>
        <charset val="1"/>
      </rPr>
      <t xml:space="preserve">7</t>
    </r>
    <r>
      <rPr>
        <sz val="9"/>
        <color rgb="FF404040"/>
        <rFont val="Noto Sans CJK SC"/>
        <family val="2"/>
      </rPr>
      <t xml:space="preserve">月</t>
    </r>
    <r>
      <rPr>
        <sz val="9"/>
        <color rgb="FF404040"/>
        <rFont val="Arial"/>
        <family val="0"/>
        <charset val="1"/>
      </rPr>
      <t xml:space="preserve">31</t>
    </r>
    <r>
      <rPr>
        <sz val="9"/>
        <color rgb="FF404040"/>
        <rFont val="Noto Sans CJK SC"/>
        <family val="2"/>
      </rPr>
      <t xml:space="preserve">日）＋</t>
    </r>
    <r>
      <rPr>
        <sz val="9"/>
        <color rgb="FF404040"/>
        <rFont val="Arial"/>
        <family val="0"/>
        <charset val="1"/>
      </rPr>
      <t xml:space="preserve">8</t>
    </r>
    <r>
      <rPr>
        <sz val="9"/>
        <color rgb="FF404040"/>
        <rFont val="Noto Sans CJK SC"/>
        <family val="2"/>
      </rPr>
      <t xml:space="preserve">月分を月商換算</t>
    </r>
    <r>
      <rPr>
        <sz val="9"/>
        <color rgb="FF404040"/>
        <rFont val="Arial"/>
        <family val="0"/>
        <charset val="1"/>
      </rPr>
      <t xml:space="preserve">2,270,865</t>
    </r>
    <r>
      <rPr>
        <sz val="9"/>
        <color rgb="FF404040"/>
        <rFont val="Noto Sans CJK SC"/>
        <family val="2"/>
      </rPr>
      <t xml:space="preserve">円で加算した見込み。決算確定後に差し替える</t>
    </r>
  </si>
  <si>
    <t xml:space="preserve">既存事業 年成長率</t>
  </si>
  <si>
    <r>
      <rPr>
        <sz val="9"/>
        <color rgb="FF404040"/>
        <rFont val="Noto Sans CJK SC"/>
        <family val="2"/>
      </rPr>
      <t xml:space="preserve">会員</t>
    </r>
    <r>
      <rPr>
        <sz val="9"/>
        <color rgb="FF404040"/>
        <rFont val="Arial"/>
        <family val="0"/>
        <charset val="1"/>
      </rPr>
      <t xml:space="preserve">218→230</t>
    </r>
    <r>
      <rPr>
        <sz val="9"/>
        <color rgb="FF404040"/>
        <rFont val="Noto Sans CJK SC"/>
        <family val="2"/>
      </rPr>
      <t xml:space="preserve">名程度の緩やかな増加を想定。宝塚はファイン精算後の純額計上のため伸びは限定的</t>
    </r>
  </si>
  <si>
    <t xml:space="preserve">■ システム開発・外販</t>
  </si>
  <si>
    <r>
      <rPr>
        <sz val="10"/>
        <color rgb="FF000000"/>
        <rFont val="Noto Sans CJK SC"/>
        <family val="2"/>
      </rPr>
      <t xml:space="preserve">第</t>
    </r>
    <r>
      <rPr>
        <sz val="10"/>
        <color rgb="FF000000"/>
        <rFont val="Arial"/>
        <family val="0"/>
        <charset val="1"/>
      </rPr>
      <t xml:space="preserve">3</t>
    </r>
    <r>
      <rPr>
        <sz val="10"/>
        <color rgb="FF000000"/>
        <rFont val="Noto Sans CJK SC"/>
        <family val="2"/>
      </rPr>
      <t xml:space="preserve">期 売上高</t>
    </r>
  </si>
  <si>
    <r>
      <rPr>
        <sz val="9"/>
        <color rgb="FF404040"/>
        <rFont val="Noto Sans CJK SC"/>
        <family val="2"/>
      </rPr>
      <t xml:space="preserve">ホームページ制作（</t>
    </r>
    <r>
      <rPr>
        <sz val="9"/>
        <color rgb="FF404040"/>
        <rFont val="Arial"/>
        <family val="0"/>
        <charset val="1"/>
      </rPr>
      <t xml:space="preserve">10</t>
    </r>
    <r>
      <rPr>
        <sz val="9"/>
        <color rgb="FF404040"/>
        <rFont val="Noto Sans CJK SC"/>
        <family val="2"/>
      </rPr>
      <t xml:space="preserve">万円＋月額</t>
    </r>
    <r>
      <rPr>
        <sz val="9"/>
        <color rgb="FF404040"/>
        <rFont val="Arial"/>
        <family val="0"/>
        <charset val="1"/>
      </rPr>
      <t xml:space="preserve">1</t>
    </r>
    <r>
      <rPr>
        <sz val="9"/>
        <color rgb="FF404040"/>
        <rFont val="Noto Sans CJK SC"/>
        <family val="2"/>
      </rPr>
      <t xml:space="preserve">万円）／</t>
    </r>
    <r>
      <rPr>
        <sz val="9"/>
        <color rgb="FF404040"/>
        <rFont val="Arial"/>
        <family val="0"/>
        <charset val="1"/>
      </rPr>
      <t xml:space="preserve">PRO SITE</t>
    </r>
    <r>
      <rPr>
        <sz val="9"/>
        <color rgb="FF404040"/>
        <rFont val="Noto Sans CJK SC"/>
        <family val="2"/>
      </rPr>
      <t xml:space="preserve">（月</t>
    </r>
    <r>
      <rPr>
        <sz val="9"/>
        <color rgb="FF404040"/>
        <rFont val="Arial"/>
        <family val="0"/>
        <charset val="1"/>
      </rPr>
      <t xml:space="preserve">5,000</t>
    </r>
    <r>
      <rPr>
        <sz val="9"/>
        <color rgb="FF404040"/>
        <rFont val="Noto Sans CJK SC"/>
        <family val="2"/>
      </rPr>
      <t xml:space="preserve">円）／店舗運営システムの外販。</t>
    </r>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月開始</t>
    </r>
  </si>
  <si>
    <r>
      <rPr>
        <sz val="10"/>
        <color rgb="FF000000"/>
        <rFont val="Noto Sans CJK SC"/>
        <family val="2"/>
      </rPr>
      <t xml:space="preserve">第</t>
    </r>
    <r>
      <rPr>
        <sz val="10"/>
        <color rgb="FF000000"/>
        <rFont val="Arial"/>
        <family val="0"/>
        <charset val="1"/>
      </rPr>
      <t xml:space="preserve">4</t>
    </r>
    <r>
      <rPr>
        <sz val="10"/>
        <color rgb="FF000000"/>
        <rFont val="Noto Sans CJK SC"/>
        <family val="2"/>
      </rPr>
      <t xml:space="preserve">期 売上高</t>
    </r>
  </si>
  <si>
    <r>
      <rPr>
        <sz val="10"/>
        <color rgb="FF000000"/>
        <rFont val="Noto Sans CJK SC"/>
        <family val="2"/>
      </rPr>
      <t xml:space="preserve">第</t>
    </r>
    <r>
      <rPr>
        <sz val="10"/>
        <color rgb="FF000000"/>
        <rFont val="Arial"/>
        <family val="0"/>
        <charset val="1"/>
      </rPr>
      <t xml:space="preserve">5</t>
    </r>
    <r>
      <rPr>
        <sz val="10"/>
        <color rgb="FF000000"/>
        <rFont val="Noto Sans CJK SC"/>
        <family val="2"/>
      </rPr>
      <t xml:space="preserve">期 売上高</t>
    </r>
  </si>
  <si>
    <t xml:space="preserve">システム外販 営業利益率</t>
  </si>
  <si>
    <t xml:space="preserve">自社開発のため原価は工数中心。外注費・サーバー費控除後</t>
  </si>
  <si>
    <r>
      <rPr>
        <b val="true"/>
        <sz val="11"/>
        <color rgb="FF1F3864"/>
        <rFont val="Noto Sans CJK SC"/>
        <family val="2"/>
      </rPr>
      <t xml:space="preserve">■ 部門別営業損益のベース（第</t>
    </r>
    <r>
      <rPr>
        <b val="true"/>
        <sz val="11"/>
        <color rgb="FF1F3864"/>
        <rFont val="Arial"/>
        <family val="0"/>
        <charset val="1"/>
      </rPr>
      <t xml:space="preserve">2</t>
    </r>
    <r>
      <rPr>
        <b val="true"/>
        <sz val="11"/>
        <color rgb="FF1F3864"/>
        <rFont val="Noto Sans CJK SC"/>
        <family val="2"/>
      </rPr>
      <t xml:space="preserve">期・年換算）</t>
    </r>
  </si>
  <si>
    <t xml:space="preserve">キャディ派遣</t>
  </si>
  <si>
    <r>
      <rPr>
        <sz val="9"/>
        <color rgb="FF404040"/>
        <rFont val="Noto Sans CJK SC"/>
        <family val="2"/>
      </rPr>
      <t xml:space="preserve">月次平均</t>
    </r>
    <r>
      <rPr>
        <sz val="9"/>
        <color rgb="FF404040"/>
        <rFont val="Arial"/>
        <family val="0"/>
        <charset val="1"/>
      </rPr>
      <t xml:space="preserve">+486,894</t>
    </r>
    <r>
      <rPr>
        <sz val="9"/>
        <color rgb="FF404040"/>
        <rFont val="Noto Sans CJK SC"/>
        <family val="2"/>
      </rPr>
      <t xml:space="preserve">円</t>
    </r>
    <r>
      <rPr>
        <sz val="9"/>
        <color rgb="FF404040"/>
        <rFont val="Arial"/>
        <family val="0"/>
        <charset val="1"/>
      </rPr>
      <t xml:space="preserve">×12</t>
    </r>
    <r>
      <rPr>
        <sz val="9"/>
        <color rgb="FF404040"/>
        <rFont val="Noto Sans CJK SC"/>
        <family val="2"/>
      </rPr>
      <t xml:space="preserve">。出典</t>
    </r>
    <r>
      <rPr>
        <sz val="9"/>
        <color rgb="FF404040"/>
        <rFont val="Arial"/>
        <family val="0"/>
        <charset val="1"/>
      </rPr>
      <t xml:space="preserve">: </t>
    </r>
    <r>
      <rPr>
        <sz val="9"/>
        <color rgb="FF404040"/>
        <rFont val="Noto Sans CJK SC"/>
        <family val="2"/>
      </rPr>
      <t xml:space="preserve">全社資金繰り表 </t>
    </r>
    <r>
      <rPr>
        <sz val="9"/>
        <color rgb="FF404040"/>
        <rFont val="Arial"/>
        <family val="0"/>
        <charset val="1"/>
      </rPr>
      <t xml:space="preserve">2026-08-17</t>
    </r>
    <r>
      <rPr>
        <sz val="9"/>
        <color rgb="FF404040"/>
        <rFont val="Noto Sans CJK SC"/>
        <family val="2"/>
      </rPr>
      <t xml:space="preserve">「</t>
    </r>
    <r>
      <rPr>
        <sz val="9"/>
        <color rgb="FF404040"/>
        <rFont val="Arial"/>
        <family val="0"/>
        <charset val="1"/>
      </rPr>
      <t xml:space="preserve">4</t>
    </r>
    <r>
      <rPr>
        <sz val="9"/>
        <color rgb="FF404040"/>
        <rFont val="Noto Sans CJK SC"/>
        <family val="2"/>
      </rPr>
      <t xml:space="preserve">区分の収支」（</t>
    </r>
    <r>
      <rPr>
        <sz val="9"/>
        <color rgb="FF404040"/>
        <rFont val="Arial"/>
        <family val="0"/>
        <charset val="1"/>
      </rPr>
      <t xml:space="preserve">9/4 </t>
    </r>
    <r>
      <rPr>
        <sz val="9"/>
        <color rgb="FF404040"/>
        <rFont val="Noto Sans CJK SC"/>
        <family val="2"/>
      </rPr>
      <t xml:space="preserve">提出済）</t>
    </r>
  </si>
  <si>
    <r>
      <rPr>
        <sz val="10"/>
        <color rgb="FF000000"/>
        <rFont val="Arial"/>
        <family val="0"/>
        <charset val="1"/>
      </rPr>
      <t xml:space="preserve">GOLF WING </t>
    </r>
    <r>
      <rPr>
        <sz val="10"/>
        <color rgb="FF000000"/>
        <rFont val="Noto Sans CJK SC"/>
        <family val="2"/>
      </rPr>
      <t xml:space="preserve">宝塚</t>
    </r>
  </si>
  <si>
    <r>
      <rPr>
        <sz val="9"/>
        <color rgb="FF404040"/>
        <rFont val="Noto Sans CJK SC"/>
        <family val="2"/>
      </rPr>
      <t xml:space="preserve">月次平均</t>
    </r>
    <r>
      <rPr>
        <sz val="9"/>
        <color rgb="FF404040"/>
        <rFont val="Arial"/>
        <family val="0"/>
        <charset val="1"/>
      </rPr>
      <t xml:space="preserve">+484,318</t>
    </r>
    <r>
      <rPr>
        <sz val="9"/>
        <color rgb="FF404040"/>
        <rFont val="Noto Sans CJK SC"/>
        <family val="2"/>
      </rPr>
      <t xml:space="preserve">円</t>
    </r>
    <r>
      <rPr>
        <sz val="9"/>
        <color rgb="FF404040"/>
        <rFont val="Arial"/>
        <family val="0"/>
        <charset val="1"/>
      </rPr>
      <t xml:space="preserve">×12</t>
    </r>
    <r>
      <rPr>
        <sz val="9"/>
        <color rgb="FF404040"/>
        <rFont val="Noto Sans CJK SC"/>
        <family val="2"/>
      </rPr>
      <t xml:space="preserve">。同上</t>
    </r>
  </si>
  <si>
    <r>
      <rPr>
        <sz val="10"/>
        <color rgb="FF000000"/>
        <rFont val="Arial"/>
        <family val="0"/>
        <charset val="1"/>
      </rPr>
      <t xml:space="preserve">FRANK GOLF </t>
    </r>
    <r>
      <rPr>
        <sz val="10"/>
        <color rgb="FF000000"/>
        <rFont val="Noto Sans CJK SC"/>
        <family val="2"/>
      </rPr>
      <t xml:space="preserve">姫路</t>
    </r>
  </si>
  <si>
    <r>
      <rPr>
        <sz val="9"/>
        <color rgb="FF404040"/>
        <rFont val="Noto Sans CJK SC"/>
        <family val="2"/>
      </rPr>
      <t xml:space="preserve">月次平均▲</t>
    </r>
    <r>
      <rPr>
        <sz val="9"/>
        <color rgb="FF404040"/>
        <rFont val="Arial"/>
        <family val="0"/>
        <charset val="1"/>
      </rPr>
      <t xml:space="preserve">64,182</t>
    </r>
    <r>
      <rPr>
        <sz val="9"/>
        <color rgb="FF404040"/>
        <rFont val="Noto Sans CJK SC"/>
        <family val="2"/>
      </rPr>
      <t xml:space="preserve">円</t>
    </r>
    <r>
      <rPr>
        <sz val="9"/>
        <color rgb="FF404040"/>
        <rFont val="Arial"/>
        <family val="0"/>
        <charset val="1"/>
      </rPr>
      <t xml:space="preserve">×12</t>
    </r>
    <r>
      <rPr>
        <sz val="9"/>
        <color rgb="FF404040"/>
        <rFont val="Noto Sans CJK SC"/>
        <family val="2"/>
      </rPr>
      <t xml:space="preserve">。当期は開業前の先行費用のみ</t>
    </r>
  </si>
  <si>
    <t xml:space="preserve">本社・共通</t>
  </si>
  <si>
    <r>
      <rPr>
        <sz val="9"/>
        <color rgb="FF404040"/>
        <rFont val="Noto Sans CJK SC"/>
        <family val="2"/>
      </rPr>
      <t xml:space="preserve">資金繰り表の月次平均▲</t>
    </r>
    <r>
      <rPr>
        <sz val="9"/>
        <color rgb="FF404040"/>
        <rFont val="Arial"/>
        <family val="0"/>
        <charset val="1"/>
      </rPr>
      <t xml:space="preserve">928,473</t>
    </r>
    <r>
      <rPr>
        <sz val="9"/>
        <color rgb="FF404040"/>
        <rFont val="Noto Sans CJK SC"/>
        <family val="2"/>
      </rPr>
      <t xml:space="preserve">円（年換算▲</t>
    </r>
    <r>
      <rPr>
        <sz val="9"/>
        <color rgb="FF404040"/>
        <rFont val="Arial"/>
        <family val="0"/>
        <charset val="1"/>
      </rPr>
      <t xml:space="preserve">11,141,676</t>
    </r>
    <r>
      <rPr>
        <sz val="9"/>
        <color rgb="FF404040"/>
        <rFont val="Noto Sans CJK SC"/>
        <family val="2"/>
      </rPr>
      <t xml:space="preserve">円）に対し、第</t>
    </r>
    <r>
      <rPr>
        <sz val="9"/>
        <color rgb="FF404040"/>
        <rFont val="Arial"/>
        <family val="0"/>
        <charset val="1"/>
      </rPr>
      <t xml:space="preserve">2</t>
    </r>
    <r>
      <rPr>
        <sz val="9"/>
        <color rgb="FF404040"/>
        <rFont val="Noto Sans CJK SC"/>
        <family val="2"/>
      </rPr>
      <t xml:space="preserve">期の営業損益見込（</t>
    </r>
    <r>
      <rPr>
        <sz val="9"/>
        <color rgb="FF404040"/>
        <rFont val="Arial"/>
        <family val="0"/>
        <charset val="1"/>
      </rPr>
      <t xml:space="preserve">11</t>
    </r>
    <r>
      <rPr>
        <sz val="9"/>
        <color rgb="FF404040"/>
        <rFont val="Noto Sans CJK SC"/>
        <family val="2"/>
      </rPr>
      <t xml:space="preserve">か月実績▲</t>
    </r>
    <r>
      <rPr>
        <sz val="9"/>
        <color rgb="FF404040"/>
        <rFont val="Arial"/>
        <family val="0"/>
        <charset val="1"/>
      </rPr>
      <t xml:space="preserve">1,138,361</t>
    </r>
    <r>
      <rPr>
        <sz val="9"/>
        <color rgb="FF404040"/>
        <rFont val="Noto Sans CJK SC"/>
        <family val="2"/>
      </rPr>
      <t xml:space="preserve">円＋</t>
    </r>
    <r>
      <rPr>
        <sz val="9"/>
        <color rgb="FF404040"/>
        <rFont val="Arial"/>
        <family val="0"/>
        <charset val="1"/>
      </rPr>
      <t xml:space="preserve">8</t>
    </r>
    <r>
      <rPr>
        <sz val="9"/>
        <color rgb="FF404040"/>
        <rFont val="Noto Sans CJK SC"/>
        <family val="2"/>
      </rPr>
      <t xml:space="preserve">月分▲</t>
    </r>
    <r>
      <rPr>
        <sz val="9"/>
        <color rgb="FF404040"/>
        <rFont val="Arial"/>
        <family val="0"/>
        <charset val="1"/>
      </rPr>
      <t xml:space="preserve">430,000</t>
    </r>
    <r>
      <rPr>
        <sz val="9"/>
        <color rgb="FF404040"/>
        <rFont val="Noto Sans CJK SC"/>
        <family val="2"/>
      </rPr>
      <t xml:space="preserve">円＝▲</t>
    </r>
    <r>
      <rPr>
        <sz val="9"/>
        <color rgb="FF404040"/>
        <rFont val="Arial"/>
        <family val="0"/>
        <charset val="1"/>
      </rPr>
      <t xml:space="preserve">1,568,361</t>
    </r>
    <r>
      <rPr>
        <sz val="9"/>
        <color rgb="FF404040"/>
        <rFont val="Noto Sans CJK SC"/>
        <family val="2"/>
      </rPr>
      <t xml:space="preserve">円）と部門別の合計が一致するよう調整。差</t>
    </r>
    <r>
      <rPr>
        <sz val="9"/>
        <color rgb="FF404040"/>
        <rFont val="Arial"/>
        <family val="0"/>
        <charset val="1"/>
      </rPr>
      <t xml:space="preserve">1,311,045</t>
    </r>
    <r>
      <rPr>
        <sz val="9"/>
        <color rgb="FF404040"/>
        <rFont val="Noto Sans CJK SC"/>
        <family val="2"/>
      </rPr>
      <t xml:space="preserve">円は決算確定時に精査</t>
    </r>
  </si>
  <si>
    <r>
      <rPr>
        <sz val="10"/>
        <color rgb="FF000000"/>
        <rFont val="Noto Sans CJK SC"/>
        <family val="2"/>
      </rPr>
      <t xml:space="preserve">経費削減（第</t>
    </r>
    <r>
      <rPr>
        <sz val="10"/>
        <color rgb="FF000000"/>
        <rFont val="Arial"/>
        <family val="0"/>
        <charset val="1"/>
      </rPr>
      <t xml:space="preserve">3</t>
    </r>
    <r>
      <rPr>
        <sz val="10"/>
        <color rgb="FF000000"/>
        <rFont val="Noto Sans CJK SC"/>
        <family val="2"/>
      </rPr>
      <t xml:space="preserve">期に実行・年額）</t>
    </r>
  </si>
  <si>
    <r>
      <rPr>
        <sz val="9"/>
        <color rgb="FF404040"/>
        <rFont val="Noto Sans CJK SC"/>
        <family val="2"/>
      </rPr>
      <t xml:space="preserve">月</t>
    </r>
    <r>
      <rPr>
        <sz val="9"/>
        <color rgb="FF404040"/>
        <rFont val="Arial"/>
        <family val="0"/>
        <charset val="1"/>
      </rPr>
      <t xml:space="preserve">100,000</t>
    </r>
    <r>
      <rPr>
        <sz val="9"/>
        <color rgb="FF404040"/>
        <rFont val="Noto Sans CJK SC"/>
        <family val="2"/>
      </rPr>
      <t xml:space="preserve">円。</t>
    </r>
    <r>
      <rPr>
        <sz val="9"/>
        <color rgb="FF404040"/>
        <rFont val="Arial"/>
        <family val="0"/>
        <charset val="1"/>
      </rPr>
      <t xml:space="preserve">8/21</t>
    </r>
    <r>
      <rPr>
        <sz val="9"/>
        <color rgb="FF404040"/>
        <rFont val="Noto Sans CJK SC"/>
        <family val="2"/>
      </rPr>
      <t xml:space="preserve">提出の資金繰り前提と同じ。計画成立の条件</t>
    </r>
  </si>
  <si>
    <r>
      <rPr>
        <sz val="10"/>
        <color rgb="FF000000"/>
        <rFont val="Noto Sans CJK SC"/>
        <family val="2"/>
      </rPr>
      <t xml:space="preserve">本社・共通　第</t>
    </r>
    <r>
      <rPr>
        <sz val="10"/>
        <color rgb="FF000000"/>
        <rFont val="Arial"/>
        <family val="0"/>
        <charset val="1"/>
      </rPr>
      <t xml:space="preserve">4</t>
    </r>
    <r>
      <rPr>
        <sz val="10"/>
        <color rgb="FF000000"/>
        <rFont val="Noto Sans CJK SC"/>
        <family val="2"/>
      </rPr>
      <t xml:space="preserve">期</t>
    </r>
  </si>
  <si>
    <r>
      <rPr>
        <sz val="9"/>
        <color rgb="FF404040"/>
        <rFont val="Noto Sans CJK SC"/>
        <family val="2"/>
      </rPr>
      <t xml:space="preserve">管理部門</t>
    </r>
    <r>
      <rPr>
        <sz val="9"/>
        <color rgb="FF404040"/>
        <rFont val="Arial"/>
        <family val="0"/>
        <charset val="1"/>
      </rPr>
      <t xml:space="preserve">1</t>
    </r>
    <r>
      <rPr>
        <sz val="9"/>
        <color rgb="FF404040"/>
        <rFont val="Noto Sans CJK SC"/>
        <family val="2"/>
      </rPr>
      <t xml:space="preserve">名増を織り込む</t>
    </r>
  </si>
  <si>
    <r>
      <rPr>
        <sz val="10"/>
        <color rgb="FF000000"/>
        <rFont val="Noto Sans CJK SC"/>
        <family val="2"/>
      </rPr>
      <t xml:space="preserve">本社・共通　第</t>
    </r>
    <r>
      <rPr>
        <sz val="10"/>
        <color rgb="FF000000"/>
        <rFont val="Arial"/>
        <family val="0"/>
        <charset val="1"/>
      </rPr>
      <t xml:space="preserve">5</t>
    </r>
    <r>
      <rPr>
        <sz val="10"/>
        <color rgb="FF000000"/>
        <rFont val="Noto Sans CJK SC"/>
        <family val="2"/>
      </rPr>
      <t xml:space="preserve">期</t>
    </r>
  </si>
  <si>
    <r>
      <rPr>
        <sz val="10"/>
        <color rgb="FF000000"/>
        <rFont val="Noto Sans CJK SC"/>
        <family val="2"/>
      </rPr>
      <t xml:space="preserve">キャディ派遣　第</t>
    </r>
    <r>
      <rPr>
        <sz val="10"/>
        <color rgb="FF000000"/>
        <rFont val="Arial"/>
        <family val="0"/>
        <charset val="1"/>
      </rPr>
      <t xml:space="preserve">3</t>
    </r>
    <r>
      <rPr>
        <sz val="10"/>
        <color rgb="FF000000"/>
        <rFont val="Noto Sans CJK SC"/>
        <family val="2"/>
      </rPr>
      <t xml:space="preserve">期</t>
    </r>
  </si>
  <si>
    <r>
      <rPr>
        <sz val="9"/>
        <color rgb="FF404040"/>
        <rFont val="Noto Sans CJK SC"/>
        <family val="2"/>
      </rPr>
      <t xml:space="preserve">取引ゴルフ場</t>
    </r>
    <r>
      <rPr>
        <sz val="9"/>
        <color rgb="FF404040"/>
        <rFont val="Arial"/>
        <family val="0"/>
        <charset val="1"/>
      </rPr>
      <t xml:space="preserve">7</t>
    </r>
    <r>
      <rPr>
        <sz val="9"/>
        <color rgb="FF404040"/>
        <rFont val="Noto Sans CJK SC"/>
        <family val="2"/>
      </rPr>
      <t xml:space="preserve">社→</t>
    </r>
    <r>
      <rPr>
        <sz val="9"/>
        <color rgb="FF404040"/>
        <rFont val="Arial"/>
        <family val="0"/>
        <charset val="1"/>
      </rPr>
      <t xml:space="preserve">9</t>
    </r>
    <r>
      <rPr>
        <sz val="9"/>
        <color rgb="FF404040"/>
        <rFont val="Noto Sans CJK SC"/>
        <family val="2"/>
      </rPr>
      <t xml:space="preserve">社。当期実績 売上</t>
    </r>
    <r>
      <rPr>
        <sz val="9"/>
        <color rgb="FF404040"/>
        <rFont val="Arial"/>
        <family val="0"/>
        <charset val="1"/>
      </rPr>
      <t xml:space="preserve">10,956,460</t>
    </r>
    <r>
      <rPr>
        <sz val="9"/>
        <color rgb="FF404040"/>
        <rFont val="Noto Sans CJK SC"/>
        <family val="2"/>
      </rPr>
      <t xml:space="preserve">円／原価</t>
    </r>
    <r>
      <rPr>
        <sz val="9"/>
        <color rgb="FF404040"/>
        <rFont val="Arial"/>
        <family val="0"/>
        <charset val="1"/>
      </rPr>
      <t xml:space="preserve">7,770,764</t>
    </r>
    <r>
      <rPr>
        <sz val="9"/>
        <color rgb="FF404040"/>
        <rFont val="Noto Sans CJK SC"/>
        <family val="2"/>
      </rPr>
      <t xml:space="preserve">円（</t>
    </r>
    <r>
      <rPr>
        <sz val="9"/>
        <color rgb="FF404040"/>
        <rFont val="Arial"/>
        <family val="0"/>
        <charset val="1"/>
      </rPr>
      <t xml:space="preserve">Caddy OS</t>
    </r>
    <r>
      <rPr>
        <sz val="9"/>
        <color rgb="FF404040"/>
        <rFont val="Noto Sans CJK SC"/>
        <family val="2"/>
      </rPr>
      <t xml:space="preserve">台帳）</t>
    </r>
  </si>
  <si>
    <r>
      <rPr>
        <sz val="10"/>
        <color rgb="FF000000"/>
        <rFont val="Noto Sans CJK SC"/>
        <family val="2"/>
      </rPr>
      <t xml:space="preserve">キャディ派遣　第</t>
    </r>
    <r>
      <rPr>
        <sz val="10"/>
        <color rgb="FF000000"/>
        <rFont val="Arial"/>
        <family val="0"/>
        <charset val="1"/>
      </rPr>
      <t xml:space="preserve">4</t>
    </r>
    <r>
      <rPr>
        <sz val="10"/>
        <color rgb="FF000000"/>
        <rFont val="Noto Sans CJK SC"/>
        <family val="2"/>
      </rPr>
      <t xml:space="preserve">期</t>
    </r>
  </si>
  <si>
    <r>
      <rPr>
        <sz val="10"/>
        <color rgb="FF000000"/>
        <rFont val="Noto Sans CJK SC"/>
        <family val="2"/>
      </rPr>
      <t xml:space="preserve">キャディ派遣　第</t>
    </r>
    <r>
      <rPr>
        <sz val="10"/>
        <color rgb="FF000000"/>
        <rFont val="Arial"/>
        <family val="0"/>
        <charset val="1"/>
      </rPr>
      <t xml:space="preserve">5</t>
    </r>
    <r>
      <rPr>
        <sz val="10"/>
        <color rgb="FF000000"/>
        <rFont val="Noto Sans CJK SC"/>
        <family val="2"/>
      </rPr>
      <t xml:space="preserve">期</t>
    </r>
  </si>
  <si>
    <r>
      <rPr>
        <sz val="10"/>
        <color rgb="FF000000"/>
        <rFont val="Arial"/>
        <family val="0"/>
        <charset val="1"/>
      </rPr>
      <t xml:space="preserve">GOLF WING </t>
    </r>
    <r>
      <rPr>
        <sz val="10"/>
        <color rgb="FF000000"/>
        <rFont val="Noto Sans CJK SC"/>
        <family val="2"/>
      </rPr>
      <t xml:space="preserve">宝塚　第</t>
    </r>
    <r>
      <rPr>
        <sz val="10"/>
        <color rgb="FF000000"/>
        <rFont val="Arial"/>
        <family val="0"/>
        <charset val="1"/>
      </rPr>
      <t xml:space="preserve">3</t>
    </r>
    <r>
      <rPr>
        <sz val="10"/>
        <color rgb="FF000000"/>
        <rFont val="Noto Sans CJK SC"/>
        <family val="2"/>
      </rPr>
      <t xml:space="preserve">期</t>
    </r>
  </si>
  <si>
    <r>
      <rPr>
        <sz val="9"/>
        <color rgb="FF404040"/>
        <rFont val="Noto Sans CJK SC"/>
        <family val="2"/>
      </rPr>
      <t xml:space="preserve">会員</t>
    </r>
    <r>
      <rPr>
        <sz val="9"/>
        <color rgb="FF404040"/>
        <rFont val="Arial"/>
        <family val="0"/>
        <charset val="1"/>
      </rPr>
      <t xml:space="preserve">218→230</t>
    </r>
    <r>
      <rPr>
        <sz val="9"/>
        <color rgb="FF404040"/>
        <rFont val="Noto Sans CJK SC"/>
        <family val="2"/>
      </rPr>
      <t xml:space="preserve">名</t>
    </r>
  </si>
  <si>
    <r>
      <rPr>
        <sz val="10"/>
        <color rgb="FF000000"/>
        <rFont val="Arial"/>
        <family val="0"/>
        <charset val="1"/>
      </rPr>
      <t xml:space="preserve">GOLF WING </t>
    </r>
    <r>
      <rPr>
        <sz val="10"/>
        <color rgb="FF000000"/>
        <rFont val="Noto Sans CJK SC"/>
        <family val="2"/>
      </rPr>
      <t xml:space="preserve">宝塚　第</t>
    </r>
    <r>
      <rPr>
        <sz val="10"/>
        <color rgb="FF000000"/>
        <rFont val="Arial"/>
        <family val="0"/>
        <charset val="1"/>
      </rPr>
      <t xml:space="preserve">4</t>
    </r>
    <r>
      <rPr>
        <sz val="10"/>
        <color rgb="FF000000"/>
        <rFont val="Noto Sans CJK SC"/>
        <family val="2"/>
      </rPr>
      <t xml:space="preserve">期</t>
    </r>
  </si>
  <si>
    <r>
      <rPr>
        <sz val="10"/>
        <color rgb="FF000000"/>
        <rFont val="Arial"/>
        <family val="0"/>
        <charset val="1"/>
      </rPr>
      <t xml:space="preserve">GOLF WING </t>
    </r>
    <r>
      <rPr>
        <sz val="10"/>
        <color rgb="FF000000"/>
        <rFont val="Noto Sans CJK SC"/>
        <family val="2"/>
      </rPr>
      <t xml:space="preserve">宝塚　第</t>
    </r>
    <r>
      <rPr>
        <sz val="10"/>
        <color rgb="FF000000"/>
        <rFont val="Arial"/>
        <family val="0"/>
        <charset val="1"/>
      </rPr>
      <t xml:space="preserve">5</t>
    </r>
    <r>
      <rPr>
        <sz val="10"/>
        <color rgb="FF000000"/>
        <rFont val="Noto Sans CJK SC"/>
        <family val="2"/>
      </rPr>
      <t xml:space="preserve">期</t>
    </r>
  </si>
  <si>
    <t xml:space="preserve">■ 借入・返済</t>
  </si>
  <si>
    <t xml:space="preserve">今回の借入申込額</t>
  </si>
  <si>
    <r>
      <rPr>
        <sz val="9"/>
        <color rgb="FF404040"/>
        <rFont val="Noto Sans CJK SC"/>
        <family val="2"/>
      </rPr>
      <t xml:space="preserve">全額運転資金。内訳＝経常運転資金</t>
    </r>
    <r>
      <rPr>
        <sz val="9"/>
        <color rgb="FF404040"/>
        <rFont val="Arial"/>
        <family val="0"/>
        <charset val="1"/>
      </rPr>
      <t xml:space="preserve">3,337,170</t>
    </r>
    <r>
      <rPr>
        <sz val="9"/>
        <color rgb="FF404040"/>
        <rFont val="Noto Sans CJK SC"/>
        <family val="2"/>
      </rPr>
      <t xml:space="preserve">＋増加運転資金</t>
    </r>
    <r>
      <rPr>
        <sz val="9"/>
        <color rgb="FF404040"/>
        <rFont val="Arial"/>
        <family val="0"/>
        <charset val="1"/>
      </rPr>
      <t xml:space="preserve">2,618,520</t>
    </r>
    <r>
      <rPr>
        <sz val="9"/>
        <color rgb="FF404040"/>
        <rFont val="Noto Sans CJK SC"/>
        <family val="2"/>
      </rPr>
      <t xml:space="preserve">＋季節資金</t>
    </r>
    <r>
      <rPr>
        <sz val="9"/>
        <color rgb="FF404040"/>
        <rFont val="Arial"/>
        <family val="0"/>
        <charset val="1"/>
      </rPr>
      <t xml:space="preserve">1,066,653</t>
    </r>
    <r>
      <rPr>
        <sz val="9"/>
        <color rgb="FF404040"/>
        <rFont val="Noto Sans CJK SC"/>
        <family val="2"/>
      </rPr>
      <t xml:space="preserve">＝</t>
    </r>
    <r>
      <rPr>
        <sz val="9"/>
        <color rgb="FF404040"/>
        <rFont val="Arial"/>
        <family val="0"/>
        <charset val="1"/>
      </rPr>
      <t xml:space="preserve">7,022,343</t>
    </r>
    <r>
      <rPr>
        <sz val="9"/>
        <color rgb="FF404040"/>
        <rFont val="Noto Sans CJK SC"/>
        <family val="2"/>
      </rPr>
      <t xml:space="preserve">、うち自己資金</t>
    </r>
    <r>
      <rPr>
        <sz val="9"/>
        <color rgb="FF404040"/>
        <rFont val="Arial"/>
        <family val="0"/>
        <charset val="1"/>
      </rPr>
      <t xml:space="preserve">22,343</t>
    </r>
  </si>
  <si>
    <t xml:space="preserve">借入金利（年）</t>
  </si>
  <si>
    <t xml:space="preserve">仮置き</t>
  </si>
  <si>
    <t xml:space="preserve">返済回数</t>
  </si>
  <si>
    <t xml:space="preserve">回</t>
  </si>
  <si>
    <r>
      <rPr>
        <sz val="9"/>
        <color rgb="FF404040"/>
        <rFont val="Arial"/>
        <family val="0"/>
        <charset val="1"/>
      </rPr>
      <t xml:space="preserve">7</t>
    </r>
    <r>
      <rPr>
        <sz val="9"/>
        <color rgb="FF404040"/>
        <rFont val="Noto Sans CJK SC"/>
        <family val="2"/>
      </rPr>
      <t xml:space="preserve">年</t>
    </r>
  </si>
  <si>
    <t xml:space="preserve">元金据置期間</t>
  </si>
  <si>
    <t xml:space="preserve">か月</t>
  </si>
  <si>
    <r>
      <rPr>
        <sz val="9"/>
        <color rgb="FF404040"/>
        <rFont val="Noto Sans CJK SC"/>
        <family val="2"/>
      </rPr>
      <t xml:space="preserve">資金繰りの最低残高月（</t>
    </r>
    <r>
      <rPr>
        <sz val="9"/>
        <color rgb="FF404040"/>
        <rFont val="Arial"/>
        <family val="0"/>
        <charset val="1"/>
      </rPr>
      <t xml:space="preserve">2027</t>
    </r>
    <r>
      <rPr>
        <sz val="9"/>
        <color rgb="FF404040"/>
        <rFont val="Noto Sans CJK SC"/>
        <family val="2"/>
      </rPr>
      <t xml:space="preserve">年</t>
    </r>
    <r>
      <rPr>
        <sz val="9"/>
        <color rgb="FF404040"/>
        <rFont val="Arial"/>
        <family val="0"/>
        <charset val="1"/>
      </rPr>
      <t xml:space="preserve">3</t>
    </r>
    <r>
      <rPr>
        <sz val="9"/>
        <color rgb="FF404040"/>
        <rFont val="Noto Sans CJK SC"/>
        <family val="2"/>
      </rPr>
      <t xml:space="preserve">月）を越えてから元金返済を開始する</t>
    </r>
  </si>
  <si>
    <t xml:space="preserve">借入実行（予定）</t>
  </si>
  <si>
    <t xml:space="preserve">借入申込書の記載</t>
  </si>
  <si>
    <t xml:space="preserve">既存 長期借入金 残高</t>
  </si>
  <si>
    <r>
      <rPr>
        <sz val="9"/>
        <color rgb="FF404040"/>
        <rFont val="Noto Sans CJK SC"/>
        <family val="2"/>
      </rPr>
      <t xml:space="preserve">令和</t>
    </r>
    <r>
      <rPr>
        <sz val="9"/>
        <color rgb="FF404040"/>
        <rFont val="Arial"/>
        <family val="0"/>
        <charset val="1"/>
      </rPr>
      <t xml:space="preserve">8</t>
    </r>
    <r>
      <rPr>
        <sz val="9"/>
        <color rgb="FF404040"/>
        <rFont val="Noto Sans CJK SC"/>
        <family val="2"/>
      </rPr>
      <t xml:space="preserve">年</t>
    </r>
    <r>
      <rPr>
        <sz val="9"/>
        <color rgb="FF404040"/>
        <rFont val="Arial"/>
        <family val="0"/>
        <charset val="1"/>
      </rPr>
      <t xml:space="preserve">7</t>
    </r>
    <r>
      <rPr>
        <sz val="9"/>
        <color rgb="FF404040"/>
        <rFont val="Noto Sans CJK SC"/>
        <family val="2"/>
      </rPr>
      <t xml:space="preserve">月</t>
    </r>
    <r>
      <rPr>
        <sz val="9"/>
        <color rgb="FF404040"/>
        <rFont val="Arial"/>
        <family val="0"/>
        <charset val="1"/>
      </rPr>
      <t xml:space="preserve">31</t>
    </r>
    <r>
      <rPr>
        <sz val="9"/>
        <color rgb="FF404040"/>
        <rFont val="Noto Sans CJK SC"/>
        <family val="2"/>
      </rPr>
      <t xml:space="preserve">日 残高試算表</t>
    </r>
  </si>
  <si>
    <t xml:space="preserve">　同上　毎月元金返済額</t>
  </si>
  <si>
    <t xml:space="preserve">エポス分割 月額</t>
  </si>
  <si>
    <r>
      <rPr>
        <sz val="9"/>
        <color rgb="FF404040"/>
        <rFont val="Arial"/>
        <family val="0"/>
        <charset val="1"/>
      </rPr>
      <t xml:space="preserve">2027</t>
    </r>
    <r>
      <rPr>
        <sz val="9"/>
        <color rgb="FF404040"/>
        <rFont val="Noto Sans CJK SC"/>
        <family val="2"/>
      </rPr>
      <t xml:space="preserve">年</t>
    </r>
    <r>
      <rPr>
        <sz val="9"/>
        <color rgb="FF404040"/>
        <rFont val="Arial"/>
        <family val="0"/>
        <charset val="1"/>
      </rPr>
      <t xml:space="preserve">5</t>
    </r>
    <r>
      <rPr>
        <sz val="9"/>
        <color rgb="FF404040"/>
        <rFont val="Noto Sans CJK SC"/>
        <family val="2"/>
      </rPr>
      <t xml:space="preserve">月完済。開業投資のカード分割</t>
    </r>
  </si>
  <si>
    <t xml:space="preserve">減価償却費（年）</t>
  </si>
  <si>
    <r>
      <rPr>
        <sz val="9"/>
        <color rgb="FF404040"/>
        <rFont val="Arial"/>
        <family val="0"/>
        <charset val="1"/>
      </rPr>
      <t xml:space="preserve">TrackMan 4</t>
    </r>
    <r>
      <rPr>
        <sz val="9"/>
        <color rgb="FF404040"/>
        <rFont val="Noto Sans CJK SC"/>
        <family val="2"/>
      </rPr>
      <t xml:space="preserve">（</t>
    </r>
    <r>
      <rPr>
        <sz val="9"/>
        <color rgb="FF404040"/>
        <rFont val="Arial"/>
        <family val="0"/>
        <charset val="1"/>
      </rPr>
      <t xml:space="preserve">1,950,000</t>
    </r>
    <r>
      <rPr>
        <sz val="9"/>
        <color rgb="FF404040"/>
        <rFont val="Noto Sans CJK SC"/>
        <family val="2"/>
      </rPr>
      <t xml:space="preserve">円・</t>
    </r>
    <r>
      <rPr>
        <sz val="9"/>
        <color rgb="FF404040"/>
        <rFont val="Arial"/>
        <family val="0"/>
        <charset val="1"/>
      </rPr>
      <t xml:space="preserve">5</t>
    </r>
    <r>
      <rPr>
        <sz val="9"/>
        <color rgb="FF404040"/>
        <rFont val="Noto Sans CJK SC"/>
        <family val="2"/>
      </rPr>
      <t xml:space="preserve">年定額</t>
    </r>
    <r>
      <rPr>
        <sz val="9"/>
        <color rgb="FF404040"/>
        <rFont val="Arial"/>
        <family val="0"/>
        <charset val="1"/>
      </rPr>
      <t xml:space="preserve">390,000</t>
    </r>
    <r>
      <rPr>
        <sz val="9"/>
        <color rgb="FF404040"/>
        <rFont val="Noto Sans CJK SC"/>
        <family val="2"/>
      </rPr>
      <t xml:space="preserve">円）ほか。</t>
    </r>
    <r>
      <rPr>
        <sz val="9"/>
        <color rgb="FF404040"/>
        <rFont val="Arial"/>
        <family val="0"/>
        <charset val="1"/>
      </rPr>
      <t xml:space="preserve">DTECT/OKONGOLF</t>
    </r>
    <r>
      <rPr>
        <sz val="9"/>
        <color rgb="FF404040"/>
        <rFont val="Noto Sans CJK SC"/>
        <family val="2"/>
      </rPr>
      <t xml:space="preserve">等は取得価額確認中のため保守推計</t>
    </r>
  </si>
  <si>
    <t xml:space="preserve">法人実効税率</t>
  </si>
  <si>
    <r>
      <rPr>
        <sz val="10"/>
        <color rgb="FF000000"/>
        <rFont val="Noto Sans CJK SC"/>
        <family val="2"/>
      </rPr>
      <t xml:space="preserve">期首現預金（</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1</t>
    </r>
    <r>
      <rPr>
        <sz val="10"/>
        <color rgb="FF000000"/>
        <rFont val="Noto Sans CJK SC"/>
        <family val="2"/>
      </rPr>
      <t xml:space="preserve">日）</t>
    </r>
  </si>
  <si>
    <r>
      <rPr>
        <sz val="9"/>
        <color rgb="FF404040"/>
        <rFont val="Arial"/>
        <family val="0"/>
        <charset val="1"/>
      </rPr>
      <t xml:space="preserve">8/21</t>
    </r>
    <r>
      <rPr>
        <sz val="9"/>
        <color rgb="FF404040"/>
        <rFont val="Noto Sans CJK SC"/>
        <family val="2"/>
      </rPr>
      <t xml:space="preserve">提出の資金繰り表と同一</t>
    </r>
  </si>
  <si>
    <r>
      <rPr>
        <sz val="10"/>
        <color rgb="FF000000"/>
        <rFont val="Noto Sans CJK SC"/>
        <family val="2"/>
      </rPr>
      <t xml:space="preserve">純資産（令和</t>
    </r>
    <r>
      <rPr>
        <sz val="10"/>
        <color rgb="FF000000"/>
        <rFont val="Arial"/>
        <family val="0"/>
        <charset val="1"/>
      </rPr>
      <t xml:space="preserve">8</t>
    </r>
    <r>
      <rPr>
        <sz val="10"/>
        <color rgb="FF000000"/>
        <rFont val="Noto Sans CJK SC"/>
        <family val="2"/>
      </rPr>
      <t xml:space="preserve">年</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31</t>
    </r>
    <r>
      <rPr>
        <sz val="10"/>
        <color rgb="FF000000"/>
        <rFont val="Noto Sans CJK SC"/>
        <family val="2"/>
      </rPr>
      <t xml:space="preserve">日）</t>
    </r>
  </si>
  <si>
    <r>
      <rPr>
        <sz val="9"/>
        <color rgb="FF404040"/>
        <rFont val="Noto Sans CJK SC"/>
        <family val="2"/>
      </rPr>
      <t xml:space="preserve">資本金</t>
    </r>
    <r>
      <rPr>
        <sz val="9"/>
        <color rgb="FF404040"/>
        <rFont val="Arial"/>
        <family val="0"/>
        <charset val="1"/>
      </rPr>
      <t xml:space="preserve">300,000</t>
    </r>
    <r>
      <rPr>
        <sz val="9"/>
        <color rgb="FF404040"/>
        <rFont val="Noto Sans CJK SC"/>
        <family val="2"/>
      </rPr>
      <t xml:space="preserve">＋繰越利益剰余金▲</t>
    </r>
    <r>
      <rPr>
        <sz val="9"/>
        <color rgb="FF404040"/>
        <rFont val="Arial"/>
        <family val="0"/>
        <charset val="1"/>
      </rPr>
      <t xml:space="preserve">1,581,921</t>
    </r>
    <r>
      <rPr>
        <sz val="9"/>
        <color rgb="FF404040"/>
        <rFont val="Noto Sans CJK SC"/>
        <family val="2"/>
      </rPr>
      <t xml:space="preserve">＝債務超過▲</t>
    </r>
    <r>
      <rPr>
        <sz val="9"/>
        <color rgb="FF404040"/>
        <rFont val="Arial"/>
        <family val="0"/>
        <charset val="1"/>
      </rPr>
      <t xml:space="preserve">1,281,921</t>
    </r>
  </si>
  <si>
    <r>
      <rPr>
        <sz val="10"/>
        <color rgb="FF000000"/>
        <rFont val="Noto Sans CJK SC"/>
        <family val="2"/>
      </rPr>
      <t xml:space="preserve">第</t>
    </r>
    <r>
      <rPr>
        <sz val="10"/>
        <color rgb="FF000000"/>
        <rFont val="Arial"/>
        <family val="0"/>
        <charset val="1"/>
      </rPr>
      <t xml:space="preserve">2</t>
    </r>
    <r>
      <rPr>
        <sz val="10"/>
        <color rgb="FF000000"/>
        <rFont val="Noto Sans CJK SC"/>
        <family val="2"/>
      </rPr>
      <t xml:space="preserve">期 </t>
    </r>
    <r>
      <rPr>
        <sz val="10"/>
        <color rgb="FF000000"/>
        <rFont val="Arial"/>
        <family val="0"/>
        <charset val="1"/>
      </rPr>
      <t xml:space="preserve">8</t>
    </r>
    <r>
      <rPr>
        <sz val="10"/>
        <color rgb="FF000000"/>
        <rFont val="Noto Sans CJK SC"/>
        <family val="2"/>
      </rPr>
      <t xml:space="preserve">月分の損益（推計）</t>
    </r>
  </si>
  <si>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月は</t>
    </r>
    <r>
      <rPr>
        <sz val="9"/>
        <color rgb="FF404040"/>
        <rFont val="Arial"/>
        <family val="0"/>
        <charset val="1"/>
      </rPr>
      <t xml:space="preserve">FRANK GOLF </t>
    </r>
    <r>
      <rPr>
        <sz val="9"/>
        <color rgb="FF404040"/>
        <rFont val="Noto Sans CJK SC"/>
        <family val="2"/>
      </rPr>
      <t xml:space="preserve">の開業直前月。地代家賃</t>
    </r>
    <r>
      <rPr>
        <sz val="9"/>
        <color rgb="FF404040"/>
        <rFont val="Arial"/>
        <family val="0"/>
        <charset val="1"/>
      </rPr>
      <t xml:space="preserve">440,000</t>
    </r>
    <r>
      <rPr>
        <sz val="9"/>
        <color rgb="FF404040"/>
        <rFont val="Noto Sans CJK SC"/>
        <family val="2"/>
      </rPr>
      <t xml:space="preserve">円ほかの先行費用が発生し、売上貢献はゼロ。決算確定後に差し替える</t>
    </r>
  </si>
  <si>
    <t xml:space="preserve">役員借入金（小川取締役）</t>
  </si>
  <si>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2</t>
    </r>
    <r>
      <rPr>
        <sz val="9"/>
        <color rgb="FF404040"/>
        <rFont val="Noto Sans CJK SC"/>
        <family val="2"/>
      </rPr>
      <t xml:space="preserve">月</t>
    </r>
    <r>
      <rPr>
        <sz val="9"/>
        <color rgb="FF404040"/>
        <rFont val="Arial"/>
        <family val="0"/>
        <charset val="1"/>
      </rPr>
      <t xml:space="preserve">24</t>
    </r>
    <r>
      <rPr>
        <sz val="9"/>
        <color rgb="FF404040"/>
        <rFont val="Noto Sans CJK SC"/>
        <family val="2"/>
      </rPr>
      <t xml:space="preserve">日入金。返済順位を劣後させる念書を差し入れ、資本性借入金とみなしていただくことを想定</t>
    </r>
  </si>
  <si>
    <r>
      <rPr>
        <b val="true"/>
        <sz val="14"/>
        <color rgb="FF1F3864"/>
        <rFont val="Arial"/>
        <family val="0"/>
        <charset val="1"/>
      </rPr>
      <t xml:space="preserve">② FRANK GOLF </t>
    </r>
    <r>
      <rPr>
        <b val="true"/>
        <sz val="14"/>
        <color rgb="FF1F3864"/>
        <rFont val="Noto Sans CJK SC"/>
        <family val="2"/>
      </rPr>
      <t xml:space="preserve">姫路　会員数計画と月次収支（第</t>
    </r>
    <r>
      <rPr>
        <b val="true"/>
        <sz val="14"/>
        <color rgb="FF1F3864"/>
        <rFont val="Arial"/>
        <family val="0"/>
        <charset val="1"/>
      </rPr>
      <t xml:space="preserve">3</t>
    </r>
    <r>
      <rPr>
        <b val="true"/>
        <sz val="14"/>
        <color rgb="FF1F3864"/>
        <rFont val="Noto Sans CJK SC"/>
        <family val="2"/>
      </rPr>
      <t xml:space="preserve">期〜第</t>
    </r>
    <r>
      <rPr>
        <b val="true"/>
        <sz val="14"/>
        <color rgb="FF1F3864"/>
        <rFont val="Arial"/>
        <family val="0"/>
        <charset val="1"/>
      </rPr>
      <t xml:space="preserve">5</t>
    </r>
    <r>
      <rPr>
        <b val="true"/>
        <sz val="14"/>
        <color rgb="FF1F3864"/>
        <rFont val="Noto Sans CJK SC"/>
        <family val="2"/>
      </rPr>
      <t xml:space="preserve">期）</t>
    </r>
  </si>
  <si>
    <r>
      <rPr>
        <sz val="9"/>
        <color rgb="FF595959"/>
        <rFont val="Noto Sans CJK SC"/>
        <family val="2"/>
      </rPr>
      <t xml:space="preserve">会員数＝前月末</t>
    </r>
    <r>
      <rPr>
        <sz val="9"/>
        <color rgb="FF595959"/>
        <rFont val="Arial"/>
        <family val="0"/>
        <charset val="1"/>
      </rPr>
      <t xml:space="preserve">×(1−</t>
    </r>
    <r>
      <rPr>
        <sz val="9"/>
        <color rgb="FF595959"/>
        <rFont val="Noto Sans CJK SC"/>
        <family val="2"/>
      </rPr>
      <t xml:space="preserve">退会率</t>
    </r>
    <r>
      <rPr>
        <sz val="9"/>
        <color rgb="FF595959"/>
        <rFont val="Arial"/>
        <family val="0"/>
        <charset val="1"/>
      </rPr>
      <t xml:space="preserve">)</t>
    </r>
    <r>
      <rPr>
        <sz val="9"/>
        <color rgb="FF595959"/>
        <rFont val="Noto Sans CJK SC"/>
        <family val="2"/>
      </rPr>
      <t xml:space="preserve">＋新規入会（上限あり）。単価・退会率・固定費は①前提条件シートの黄色セルで変更できます。</t>
    </r>
  </si>
  <si>
    <t xml:space="preserve">期</t>
  </si>
  <si>
    <t xml:space="preserve">年月</t>
  </si>
  <si>
    <t xml:space="preserve">期首
会員数</t>
  </si>
  <si>
    <t xml:space="preserve">新規
入会</t>
  </si>
  <si>
    <t xml:space="preserve">退会</t>
  </si>
  <si>
    <t xml:space="preserve">期末
会員数</t>
  </si>
  <si>
    <t xml:space="preserve">法人
契約数</t>
  </si>
  <si>
    <t xml:space="preserve">個人会費</t>
  </si>
  <si>
    <t xml:space="preserve">法人会費</t>
  </si>
  <si>
    <t xml:space="preserve">入会金</t>
  </si>
  <si>
    <t xml:space="preserve">ビジター</t>
  </si>
  <si>
    <t xml:space="preserve">パーソナル
レッスン</t>
  </si>
  <si>
    <t xml:space="preserve">物販</t>
  </si>
  <si>
    <t xml:space="preserve">売上 計</t>
  </si>
  <si>
    <t xml:space="preserve">物販原価</t>
  </si>
  <si>
    <t xml:space="preserve">決済
手数料</t>
  </si>
  <si>
    <t xml:space="preserve">変動費 計</t>
  </si>
  <si>
    <t xml:space="preserve">店舗固定費</t>
  </si>
  <si>
    <r>
      <rPr>
        <sz val="9"/>
        <color rgb="FF000000"/>
        <rFont val="Noto Sans CJK SC"/>
        <family val="2"/>
      </rPr>
      <t xml:space="preserve">第</t>
    </r>
    <r>
      <rPr>
        <sz val="9"/>
        <color rgb="FF000000"/>
        <rFont val="Arial"/>
        <family val="0"/>
        <charset val="1"/>
      </rPr>
      <t xml:space="preserve">3</t>
    </r>
    <r>
      <rPr>
        <sz val="9"/>
        <color rgb="FF000000"/>
        <rFont val="Noto Sans CJK SC"/>
        <family val="2"/>
      </rPr>
      <t xml:space="preserve">期</t>
    </r>
  </si>
  <si>
    <t xml:space="preserve">2026-09</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</si>
  <si>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</si>
  <si>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</si>
  <si>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</si>
  <si>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</si>
  <si>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</si>
  <si>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</si>
  <si>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</si>
  <si>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</si>
  <si>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</si>
  <si>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</si>
  <si>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</si>
  <si>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r>
      <rPr>
        <sz val="9"/>
        <color rgb="FF000000"/>
        <rFont val="Noto Sans CJK SC"/>
        <family val="2"/>
      </rPr>
      <t xml:space="preserve">第</t>
    </r>
    <r>
      <rPr>
        <sz val="9"/>
        <color rgb="FF000000"/>
        <rFont val="Arial"/>
        <family val="0"/>
        <charset val="1"/>
      </rPr>
      <t xml:space="preserve">4</t>
    </r>
    <r>
      <rPr>
        <sz val="9"/>
        <color rgb="FF000000"/>
        <rFont val="Noto Sans CJK SC"/>
        <family val="2"/>
      </rPr>
      <t xml:space="preserve">期</t>
    </r>
  </si>
  <si>
    <t xml:space="preserve">2027-09</t>
  </si>
  <si>
    <t xml:space="preserve">2027-10</t>
  </si>
  <si>
    <t xml:space="preserve">2027-11</t>
  </si>
  <si>
    <t xml:space="preserve">2027-12</t>
  </si>
  <si>
    <t xml:space="preserve">2028-01</t>
  </si>
  <si>
    <t xml:space="preserve">2028-02</t>
  </si>
  <si>
    <t xml:space="preserve">2028-03</t>
  </si>
  <si>
    <t xml:space="preserve">2028-04</t>
  </si>
  <si>
    <t xml:space="preserve">2028-05</t>
  </si>
  <si>
    <t xml:space="preserve">2028-06</t>
  </si>
  <si>
    <t xml:space="preserve">2028-07</t>
  </si>
  <si>
    <t xml:space="preserve">2028-08</t>
  </si>
  <si>
    <r>
      <rPr>
        <sz val="9"/>
        <color rgb="FF000000"/>
        <rFont val="Noto Sans CJK SC"/>
        <family val="2"/>
      </rPr>
      <t xml:space="preserve">第</t>
    </r>
    <r>
      <rPr>
        <sz val="9"/>
        <color rgb="FF000000"/>
        <rFont val="Arial"/>
        <family val="0"/>
        <charset val="1"/>
      </rPr>
      <t xml:space="preserve">5</t>
    </r>
    <r>
      <rPr>
        <sz val="9"/>
        <color rgb="FF000000"/>
        <rFont val="Noto Sans CJK SC"/>
        <family val="2"/>
      </rPr>
      <t xml:space="preserve">期</t>
    </r>
  </si>
  <si>
    <t xml:space="preserve">2028-09</t>
  </si>
  <si>
    <t xml:space="preserve">2028-10</t>
  </si>
  <si>
    <t xml:space="preserve">2028-11</t>
  </si>
  <si>
    <t xml:space="preserve">2028-12</t>
  </si>
  <si>
    <t xml:space="preserve">2029-01</t>
  </si>
  <si>
    <t xml:space="preserve">2029-02</t>
  </si>
  <si>
    <t xml:space="preserve">2029-03</t>
  </si>
  <si>
    <t xml:space="preserve">2029-04</t>
  </si>
  <si>
    <t xml:space="preserve">2029-05</t>
  </si>
  <si>
    <t xml:space="preserve">2029-06</t>
  </si>
  <si>
    <t xml:space="preserve">2029-07</t>
  </si>
  <si>
    <t xml:space="preserve">2029-08</t>
  </si>
  <si>
    <r>
      <rPr>
        <b val="true"/>
        <sz val="10"/>
        <color rgb="FF000000"/>
        <rFont val="Noto Sans CJK SC"/>
        <family val="2"/>
      </rPr>
      <t xml:space="preserve">第</t>
    </r>
    <r>
      <rPr>
        <b val="true"/>
        <sz val="10"/>
        <color rgb="FF000000"/>
        <rFont val="Arial"/>
        <family val="0"/>
        <charset val="1"/>
      </rPr>
      <t xml:space="preserve">3</t>
    </r>
    <r>
      <rPr>
        <b val="true"/>
        <sz val="10"/>
        <color rgb="FF000000"/>
        <rFont val="Noto Sans CJK SC"/>
        <family val="2"/>
      </rPr>
      <t xml:space="preserve">期 合計</t>
    </r>
  </si>
  <si>
    <r>
      <rPr>
        <b val="true"/>
        <sz val="10"/>
        <color rgb="FF000000"/>
        <rFont val="Noto Sans CJK SC"/>
        <family val="2"/>
      </rPr>
      <t xml:space="preserve">第</t>
    </r>
    <r>
      <rPr>
        <b val="true"/>
        <sz val="10"/>
        <color rgb="FF000000"/>
        <rFont val="Arial"/>
        <family val="0"/>
        <charset val="1"/>
      </rPr>
      <t xml:space="preserve">4</t>
    </r>
    <r>
      <rPr>
        <b val="true"/>
        <sz val="10"/>
        <color rgb="FF000000"/>
        <rFont val="Noto Sans CJK SC"/>
        <family val="2"/>
      </rPr>
      <t xml:space="preserve">期 合計</t>
    </r>
  </si>
  <si>
    <r>
      <rPr>
        <b val="true"/>
        <sz val="10"/>
        <color rgb="FF000000"/>
        <rFont val="Noto Sans CJK SC"/>
        <family val="2"/>
      </rPr>
      <t xml:space="preserve">第</t>
    </r>
    <r>
      <rPr>
        <b val="true"/>
        <sz val="10"/>
        <color rgb="FF000000"/>
        <rFont val="Arial"/>
        <family val="0"/>
        <charset val="1"/>
      </rPr>
      <t xml:space="preserve">5</t>
    </r>
    <r>
      <rPr>
        <b val="true"/>
        <sz val="10"/>
        <color rgb="FF000000"/>
        <rFont val="Noto Sans CJK SC"/>
        <family val="2"/>
      </rPr>
      <t xml:space="preserve">期 合計</t>
    </r>
  </si>
  <si>
    <t xml:space="preserve">■ 損益分岐会員数</t>
  </si>
  <si>
    <r>
      <rPr>
        <sz val="11"/>
        <color theme="1"/>
        <rFont val="Noto Sans CJK SC"/>
        <family val="2"/>
      </rPr>
      <t xml:space="preserve">店舗固定費 </t>
    </r>
    <r>
      <rPr>
        <sz val="11"/>
        <color theme="1"/>
        <rFont val="Calibri"/>
        <family val="2"/>
        <charset val="1"/>
      </rPr>
      <t xml:space="preserve">÷ </t>
    </r>
    <r>
      <rPr>
        <sz val="11"/>
        <color theme="1"/>
        <rFont val="Noto Sans CJK SC"/>
        <family val="2"/>
      </rPr>
      <t xml:space="preserve">会員</t>
    </r>
    <r>
      <rPr>
        <sz val="11"/>
        <color theme="1"/>
        <rFont val="Calibri"/>
        <family val="2"/>
        <charset val="1"/>
      </rPr>
      <t xml:space="preserve">1</t>
    </r>
    <r>
      <rPr>
        <sz val="11"/>
        <color theme="1"/>
        <rFont val="Noto Sans CJK SC"/>
        <family val="2"/>
      </rPr>
      <t xml:space="preserve">人あたり月次貢献（平均月会費</t>
    </r>
    <r>
      <rPr>
        <sz val="11"/>
        <color theme="1"/>
        <rFont val="Calibri"/>
        <family val="2"/>
        <charset val="1"/>
      </rPr>
      <t xml:space="preserve">×(1−</t>
    </r>
    <r>
      <rPr>
        <sz val="11"/>
        <color theme="1"/>
        <rFont val="Noto Sans CJK SC"/>
        <family val="2"/>
      </rPr>
      <t xml:space="preserve">決済手数料率</t>
    </r>
    <r>
      <rPr>
        <sz val="11"/>
        <color theme="1"/>
        <rFont val="Calibri"/>
        <family val="2"/>
        <charset val="1"/>
      </rPr>
      <t xml:space="preserve">)</t>
    </r>
    <r>
      <rPr>
        <sz val="11"/>
        <color theme="1"/>
        <rFont val="Noto Sans CJK SC"/>
        <family val="2"/>
      </rPr>
      <t xml:space="preserve">）</t>
    </r>
  </si>
  <si>
    <t xml:space="preserve">損益分岐会員数に到達する月</t>
  </si>
  <si>
    <r>
      <rPr>
        <sz val="9"/>
        <color rgb="FF404040"/>
        <rFont val="Noto Sans CJK SC"/>
        <family val="2"/>
      </rPr>
      <t xml:space="preserve">※ この月から</t>
    </r>
    <r>
      <rPr>
        <sz val="9"/>
        <color rgb="FF404040"/>
        <rFont val="Arial"/>
        <family val="0"/>
        <charset val="1"/>
      </rPr>
      <t xml:space="preserve">FRANK GOLF </t>
    </r>
    <r>
      <rPr>
        <sz val="9"/>
        <color rgb="FF404040"/>
        <rFont val="Noto Sans CJK SC"/>
        <family val="2"/>
      </rPr>
      <t xml:space="preserve">姫路は単月で営業黒字になります。</t>
    </r>
    <r>
      <rPr>
        <sz val="9"/>
        <color rgb="FF404040"/>
        <rFont val="Arial"/>
        <family val="0"/>
        <charset val="1"/>
      </rPr>
      <t xml:space="preserve">U</t>
    </r>
    <r>
      <rPr>
        <sz val="9"/>
        <color rgb="FF404040"/>
        <rFont val="Noto Sans CJK SC"/>
        <family val="2"/>
      </rPr>
      <t xml:space="preserve">列は判定用の作業列です。</t>
    </r>
  </si>
  <si>
    <r>
      <rPr>
        <b val="true"/>
        <sz val="14"/>
        <color rgb="FF1F3864"/>
        <rFont val="Noto Sans CJK SC"/>
        <family val="2"/>
      </rPr>
      <t xml:space="preserve">③ 株式会社</t>
    </r>
    <r>
      <rPr>
        <b val="true"/>
        <sz val="14"/>
        <color rgb="FF1F3864"/>
        <rFont val="Arial"/>
        <family val="0"/>
        <charset val="1"/>
      </rPr>
      <t xml:space="preserve">YOZAN</t>
    </r>
    <r>
      <rPr>
        <b val="true"/>
        <sz val="14"/>
        <color rgb="FF1F3864"/>
        <rFont val="Noto Sans CJK SC"/>
        <family val="2"/>
      </rPr>
      <t xml:space="preserve">　</t>
    </r>
    <r>
      <rPr>
        <b val="true"/>
        <sz val="14"/>
        <color rgb="FF1F3864"/>
        <rFont val="Arial"/>
        <family val="0"/>
        <charset val="1"/>
      </rPr>
      <t xml:space="preserve">3</t>
    </r>
    <r>
      <rPr>
        <b val="true"/>
        <sz val="14"/>
        <color rgb="FF1F3864"/>
        <rFont val="Noto Sans CJK SC"/>
        <family val="2"/>
      </rPr>
      <t xml:space="preserve">か年収支計画（全社）</t>
    </r>
  </si>
  <si>
    <r>
      <rPr>
        <sz val="9"/>
        <color rgb="FF595959"/>
        <rFont val="Noto Sans CJK SC"/>
        <family val="2"/>
      </rPr>
      <t xml:space="preserve">第</t>
    </r>
    <r>
      <rPr>
        <sz val="9"/>
        <color rgb="FF595959"/>
        <rFont val="Arial"/>
        <family val="0"/>
        <charset val="1"/>
      </rPr>
      <t xml:space="preserve">1</t>
    </r>
    <r>
      <rPr>
        <sz val="9"/>
        <color rgb="FF595959"/>
        <rFont val="Noto Sans CJK SC"/>
        <family val="2"/>
      </rPr>
      <t xml:space="preserve">期・第</t>
    </r>
    <r>
      <rPr>
        <sz val="9"/>
        <color rgb="FF595959"/>
        <rFont val="Arial"/>
        <family val="0"/>
        <charset val="1"/>
      </rPr>
      <t xml:space="preserve">2</t>
    </r>
    <r>
      <rPr>
        <sz val="9"/>
        <color rgb="FF595959"/>
        <rFont val="Noto Sans CJK SC"/>
        <family val="2"/>
      </rPr>
      <t xml:space="preserve">期は実績（税理士作成 残高試算表）。第</t>
    </r>
    <r>
      <rPr>
        <sz val="9"/>
        <color rgb="FF595959"/>
        <rFont val="Arial"/>
        <family val="0"/>
        <charset val="1"/>
      </rPr>
      <t xml:space="preserve">2</t>
    </r>
    <r>
      <rPr>
        <sz val="9"/>
        <color rgb="FF595959"/>
        <rFont val="Noto Sans CJK SC"/>
        <family val="2"/>
      </rPr>
      <t xml:space="preserve">期の</t>
    </r>
    <r>
      <rPr>
        <sz val="9"/>
        <color rgb="FF595959"/>
        <rFont val="Arial"/>
        <family val="0"/>
        <charset val="1"/>
      </rPr>
      <t xml:space="preserve">8</t>
    </r>
    <r>
      <rPr>
        <sz val="9"/>
        <color rgb="FF595959"/>
        <rFont val="Noto Sans CJK SC"/>
        <family val="2"/>
      </rPr>
      <t xml:space="preserve">月分と第</t>
    </r>
    <r>
      <rPr>
        <sz val="9"/>
        <color rgb="FF595959"/>
        <rFont val="Arial"/>
        <family val="0"/>
        <charset val="1"/>
      </rPr>
      <t xml:space="preserve">3</t>
    </r>
    <r>
      <rPr>
        <sz val="9"/>
        <color rgb="FF595959"/>
        <rFont val="Noto Sans CJK SC"/>
        <family val="2"/>
      </rPr>
      <t xml:space="preserve">期以降は計画値です。単位：円</t>
    </r>
  </si>
  <si>
    <t xml:space="preserve">区分</t>
  </si>
  <si>
    <r>
      <rPr>
        <b val="true"/>
        <sz val="11"/>
        <color rgb="FFFFFFFF"/>
        <rFont val="Noto Sans CJK SC"/>
        <family val="2"/>
      </rPr>
      <t xml:space="preserve">第</t>
    </r>
    <r>
      <rPr>
        <b val="true"/>
        <sz val="11"/>
        <color rgb="FFFFFFFF"/>
        <rFont val="Arial"/>
        <family val="0"/>
        <charset val="1"/>
      </rPr>
      <t xml:space="preserve">1</t>
    </r>
    <r>
      <rPr>
        <b val="true"/>
        <sz val="11"/>
        <color rgb="FFFFFFFF"/>
        <rFont val="Noto Sans CJK SC"/>
        <family val="2"/>
      </rPr>
      <t xml:space="preserve">期 実績
</t>
    </r>
    <r>
      <rPr>
        <b val="true"/>
        <sz val="11"/>
        <color rgb="FFFFFFFF"/>
        <rFont val="Arial"/>
        <family val="0"/>
        <charset val="1"/>
      </rPr>
      <t xml:space="preserve">2024/9</t>
    </r>
    <r>
      <rPr>
        <b val="true"/>
        <sz val="11"/>
        <color rgb="FFFFFFFF"/>
        <rFont val="Noto Sans CJK SC"/>
        <family val="2"/>
      </rPr>
      <t xml:space="preserve">〜</t>
    </r>
    <r>
      <rPr>
        <b val="true"/>
        <sz val="11"/>
        <color rgb="FFFFFFFF"/>
        <rFont val="Arial"/>
        <family val="0"/>
        <charset val="1"/>
      </rPr>
      <t xml:space="preserve">2025/8</t>
    </r>
  </si>
  <si>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実績（</t>
    </r>
    <r>
      <rPr>
        <b val="true"/>
        <sz val="11"/>
        <color rgb="FFFFFFFF"/>
        <rFont val="Arial"/>
        <family val="0"/>
        <charset val="1"/>
      </rPr>
      <t xml:space="preserve">11</t>
    </r>
    <r>
      <rPr>
        <b val="true"/>
        <sz val="11"/>
        <color rgb="FFFFFFFF"/>
        <rFont val="Noto Sans CJK SC"/>
        <family val="2"/>
      </rPr>
      <t xml:space="preserve">か月）
</t>
    </r>
    <r>
      <rPr>
        <b val="true"/>
        <sz val="11"/>
        <color rgb="FFFFFFFF"/>
        <rFont val="Arial"/>
        <family val="0"/>
        <charset val="1"/>
      </rPr>
      <t xml:space="preserve">2025/9</t>
    </r>
    <r>
      <rPr>
        <b val="true"/>
        <sz val="11"/>
        <color rgb="FFFFFFFF"/>
        <rFont val="Noto Sans CJK SC"/>
        <family val="2"/>
      </rPr>
      <t xml:space="preserve">〜</t>
    </r>
    <r>
      <rPr>
        <b val="true"/>
        <sz val="11"/>
        <color rgb="FFFFFFFF"/>
        <rFont val="Arial"/>
        <family val="0"/>
        <charset val="1"/>
      </rPr>
      <t xml:space="preserve">2026/7</t>
    </r>
  </si>
  <si>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見込（通期）
</t>
    </r>
    <r>
      <rPr>
        <b val="true"/>
        <sz val="11"/>
        <color rgb="FFFFFFFF"/>
        <rFont val="Arial"/>
        <family val="0"/>
        <charset val="1"/>
      </rPr>
      <t xml:space="preserve">2025/9</t>
    </r>
    <r>
      <rPr>
        <b val="true"/>
        <sz val="11"/>
        <color rgb="FFFFFFFF"/>
        <rFont val="Noto Sans CJK SC"/>
        <family val="2"/>
      </rPr>
      <t xml:space="preserve">〜</t>
    </r>
    <r>
      <rPr>
        <b val="true"/>
        <sz val="11"/>
        <color rgb="FFFFFFFF"/>
        <rFont val="Arial"/>
        <family val="0"/>
        <charset val="1"/>
      </rPr>
      <t xml:space="preserve">2026/8</t>
    </r>
  </si>
  <si>
    <r>
      <rPr>
        <b val="true"/>
        <sz val="11"/>
        <color rgb="FFFFFFFF"/>
        <rFont val="Noto Sans CJK SC"/>
        <family val="2"/>
      </rPr>
      <t xml:space="preserve">第</t>
    </r>
    <r>
      <rPr>
        <b val="true"/>
        <sz val="11"/>
        <color rgb="FFFFFFFF"/>
        <rFont val="Arial"/>
        <family val="0"/>
        <charset val="1"/>
      </rPr>
      <t xml:space="preserve">3</t>
    </r>
    <r>
      <rPr>
        <b val="true"/>
        <sz val="11"/>
        <color rgb="FFFFFFFF"/>
        <rFont val="Noto Sans CJK SC"/>
        <family val="2"/>
      </rPr>
      <t xml:space="preserve">期 計画
</t>
    </r>
    <r>
      <rPr>
        <b val="true"/>
        <sz val="11"/>
        <color rgb="FFFFFFFF"/>
        <rFont val="Arial"/>
        <family val="0"/>
        <charset val="1"/>
      </rPr>
      <t xml:space="preserve">2026/9</t>
    </r>
    <r>
      <rPr>
        <b val="true"/>
        <sz val="11"/>
        <color rgb="FFFFFFFF"/>
        <rFont val="Noto Sans CJK SC"/>
        <family val="2"/>
      </rPr>
      <t xml:space="preserve">〜</t>
    </r>
    <r>
      <rPr>
        <b val="true"/>
        <sz val="11"/>
        <color rgb="FFFFFFFF"/>
        <rFont val="Arial"/>
        <family val="0"/>
        <charset val="1"/>
      </rPr>
      <t xml:space="preserve">2027/8</t>
    </r>
  </si>
  <si>
    <r>
      <rPr>
        <b val="true"/>
        <sz val="11"/>
        <color rgb="FFFFFFFF"/>
        <rFont val="Noto Sans CJK SC"/>
        <family val="2"/>
      </rPr>
      <t xml:space="preserve">第</t>
    </r>
    <r>
      <rPr>
        <b val="true"/>
        <sz val="11"/>
        <color rgb="FFFFFFFF"/>
        <rFont val="Arial"/>
        <family val="0"/>
        <charset val="1"/>
      </rPr>
      <t xml:space="preserve">4</t>
    </r>
    <r>
      <rPr>
        <b val="true"/>
        <sz val="11"/>
        <color rgb="FFFFFFFF"/>
        <rFont val="Noto Sans CJK SC"/>
        <family val="2"/>
      </rPr>
      <t xml:space="preserve">期 計画
</t>
    </r>
    <r>
      <rPr>
        <b val="true"/>
        <sz val="11"/>
        <color rgb="FFFFFFFF"/>
        <rFont val="Arial"/>
        <family val="0"/>
        <charset val="1"/>
      </rPr>
      <t xml:space="preserve">2027/9</t>
    </r>
    <r>
      <rPr>
        <b val="true"/>
        <sz val="11"/>
        <color rgb="FFFFFFFF"/>
        <rFont val="Noto Sans CJK SC"/>
        <family val="2"/>
      </rPr>
      <t xml:space="preserve">〜</t>
    </r>
    <r>
      <rPr>
        <b val="true"/>
        <sz val="11"/>
        <color rgb="FFFFFFFF"/>
        <rFont val="Arial"/>
        <family val="0"/>
        <charset val="1"/>
      </rPr>
      <t xml:space="preserve">2028/8</t>
    </r>
  </si>
  <si>
    <r>
      <rPr>
        <b val="true"/>
        <sz val="11"/>
        <color rgb="FFFFFFFF"/>
        <rFont val="Noto Sans CJK SC"/>
        <family val="2"/>
      </rPr>
      <t xml:space="preserve">第</t>
    </r>
    <r>
      <rPr>
        <b val="true"/>
        <sz val="11"/>
        <color rgb="FFFFFFFF"/>
        <rFont val="Arial"/>
        <family val="0"/>
        <charset val="1"/>
      </rPr>
      <t xml:space="preserve">5</t>
    </r>
    <r>
      <rPr>
        <b val="true"/>
        <sz val="11"/>
        <color rgb="FFFFFFFF"/>
        <rFont val="Noto Sans CJK SC"/>
        <family val="2"/>
      </rPr>
      <t xml:space="preserve">期 計画
</t>
    </r>
    <r>
      <rPr>
        <b val="true"/>
        <sz val="11"/>
        <color rgb="FFFFFFFF"/>
        <rFont val="Arial"/>
        <family val="0"/>
        <charset val="1"/>
      </rPr>
      <t xml:space="preserve">2028/9</t>
    </r>
    <r>
      <rPr>
        <b val="true"/>
        <sz val="11"/>
        <color rgb="FFFFFFFF"/>
        <rFont val="Noto Sans CJK SC"/>
        <family val="2"/>
      </rPr>
      <t xml:space="preserve">〜</t>
    </r>
    <r>
      <rPr>
        <b val="true"/>
        <sz val="11"/>
        <color rgb="FFFFFFFF"/>
        <rFont val="Arial"/>
        <family val="0"/>
        <charset val="1"/>
      </rPr>
      <t xml:space="preserve">2029/8</t>
    </r>
  </si>
  <si>
    <t xml:space="preserve">備考</t>
  </si>
  <si>
    <t xml:space="preserve">【売上高】</t>
  </si>
  <si>
    <r>
      <rPr>
        <sz val="10"/>
        <color rgb="FF000000"/>
        <rFont val="Noto Sans CJK SC"/>
        <family val="2"/>
      </rPr>
      <t xml:space="preserve">　既存事業（</t>
    </r>
    <r>
      <rPr>
        <sz val="10"/>
        <color rgb="FF000000"/>
        <rFont val="Arial"/>
        <family val="0"/>
        <charset val="1"/>
      </rPr>
      <t xml:space="preserve">GOLF WING </t>
    </r>
    <r>
      <rPr>
        <sz val="10"/>
        <color rgb="FF000000"/>
        <rFont val="Noto Sans CJK SC"/>
        <family val="2"/>
      </rPr>
      <t xml:space="preserve">宝塚 受託運営＋キャディ派遣）</t>
    </r>
  </si>
  <si>
    <r>
      <rPr>
        <sz val="9"/>
        <color rgb="FF404040"/>
        <rFont val="Noto Sans CJK SC"/>
        <family val="2"/>
      </rPr>
      <t xml:space="preserve">宝塚は㈱ファインが必要経費とロイヤリティを控除した純額が当社売上となる（純額率 約</t>
    </r>
    <r>
      <rPr>
        <sz val="9"/>
        <color rgb="FF404040"/>
        <rFont val="Arial"/>
        <family val="0"/>
        <charset val="1"/>
      </rPr>
      <t xml:space="preserve">44%</t>
    </r>
    <r>
      <rPr>
        <sz val="9"/>
        <color rgb="FF404040"/>
        <rFont val="Noto Sans CJK SC"/>
        <family val="2"/>
      </rPr>
      <t xml:space="preserve">）。第</t>
    </r>
    <r>
      <rPr>
        <sz val="9"/>
        <color rgb="FF404040"/>
        <rFont val="Arial"/>
        <family val="0"/>
        <charset val="1"/>
      </rPr>
      <t xml:space="preserve">2</t>
    </r>
    <r>
      <rPr>
        <sz val="9"/>
        <color rgb="FF404040"/>
        <rFont val="Noto Sans CJK SC"/>
        <family val="2"/>
      </rPr>
      <t xml:space="preserve">期見込＝</t>
    </r>
    <r>
      <rPr>
        <sz val="9"/>
        <color rgb="FF404040"/>
        <rFont val="Arial"/>
        <family val="0"/>
        <charset val="1"/>
      </rPr>
      <t xml:space="preserve">11</t>
    </r>
    <r>
      <rPr>
        <sz val="9"/>
        <color rgb="FF404040"/>
        <rFont val="Noto Sans CJK SC"/>
        <family val="2"/>
      </rPr>
      <t xml:space="preserve">か月実績＋</t>
    </r>
    <r>
      <rPr>
        <sz val="9"/>
        <color rgb="FF404040"/>
        <rFont val="Arial"/>
        <family val="0"/>
        <charset val="1"/>
      </rPr>
      <t xml:space="preserve">8</t>
    </r>
    <r>
      <rPr>
        <sz val="9"/>
        <color rgb="FF404040"/>
        <rFont val="Noto Sans CJK SC"/>
        <family val="2"/>
      </rPr>
      <t xml:space="preserve">月分の月商換算</t>
    </r>
  </si>
  <si>
    <r>
      <rPr>
        <sz val="10"/>
        <color rgb="FF000000"/>
        <rFont val="Noto Sans CJK SC"/>
        <family val="2"/>
      </rPr>
      <t xml:space="preserve">　</t>
    </r>
    <r>
      <rPr>
        <sz val="10"/>
        <color rgb="FF000000"/>
        <rFont val="Arial"/>
        <family val="0"/>
        <charset val="1"/>
      </rPr>
      <t xml:space="preserve">FRANK GOLF </t>
    </r>
    <r>
      <rPr>
        <sz val="10"/>
        <color rgb="FF000000"/>
        <rFont val="Noto Sans CJK SC"/>
        <family val="2"/>
      </rPr>
      <t xml:space="preserve">姫路（直営</t>
    </r>
    <r>
      <rPr>
        <sz val="10"/>
        <color rgb="FF000000"/>
        <rFont val="Arial"/>
        <family val="0"/>
        <charset val="1"/>
      </rPr>
      <t xml:space="preserve">2</t>
    </r>
    <r>
      <rPr>
        <sz val="10"/>
        <color rgb="FF000000"/>
        <rFont val="Noto Sans CJK SC"/>
        <family val="2"/>
      </rPr>
      <t xml:space="preserve">号店・</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2</t>
    </r>
    <r>
      <rPr>
        <sz val="10"/>
        <color rgb="FF000000"/>
        <rFont val="Noto Sans CJK SC"/>
        <family val="2"/>
      </rPr>
      <t xml:space="preserve">日開業）</t>
    </r>
  </si>
  <si>
    <r>
      <rPr>
        <sz val="9"/>
        <color rgb="FF404040"/>
        <rFont val="Noto Sans CJK SC"/>
        <family val="2"/>
      </rPr>
      <t xml:space="preserve">②シートの会員数計画から積み上げ。第</t>
    </r>
    <r>
      <rPr>
        <sz val="9"/>
        <color rgb="FF404040"/>
        <rFont val="Arial"/>
        <family val="0"/>
        <charset val="1"/>
      </rPr>
      <t xml:space="preserve">2</t>
    </r>
    <r>
      <rPr>
        <sz val="9"/>
        <color rgb="FF404040"/>
        <rFont val="Noto Sans CJK SC"/>
        <family val="2"/>
      </rPr>
      <t xml:space="preserve">期は開業前のため売上ゼロ</t>
    </r>
  </si>
  <si>
    <t xml:space="preserve">　システム開発・外販</t>
  </si>
  <si>
    <r>
      <rPr>
        <sz val="9"/>
        <color rgb="FF404040"/>
        <rFont val="Noto Sans CJK SC"/>
        <family val="2"/>
      </rPr>
      <t xml:space="preserve">ホームページ制作・</t>
    </r>
    <r>
      <rPr>
        <sz val="9"/>
        <color rgb="FF404040"/>
        <rFont val="Arial"/>
        <family val="0"/>
        <charset val="1"/>
      </rPr>
      <t xml:space="preserve">PRO SITE</t>
    </r>
    <r>
      <rPr>
        <sz val="9"/>
        <color rgb="FF404040"/>
        <rFont val="Noto Sans CJK SC"/>
        <family val="2"/>
      </rPr>
      <t xml:space="preserve">・店舗運営システム。</t>
    </r>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月開始。第</t>
    </r>
    <r>
      <rPr>
        <sz val="9"/>
        <color rgb="FF404040"/>
        <rFont val="Arial"/>
        <family val="0"/>
        <charset val="1"/>
      </rPr>
      <t xml:space="preserve">2</t>
    </r>
    <r>
      <rPr>
        <sz val="9"/>
        <color rgb="FF404040"/>
        <rFont val="Noto Sans CJK SC"/>
        <family val="2"/>
      </rPr>
      <t xml:space="preserve">期の売上は僅少のため既存事業に含む</t>
    </r>
  </si>
  <si>
    <t xml:space="preserve">売上高 合計</t>
  </si>
  <si>
    <t xml:space="preserve">　前期比</t>
  </si>
  <si>
    <r>
      <rPr>
        <sz val="9"/>
        <color rgb="FF404040"/>
        <rFont val="Noto Sans CJK SC"/>
        <family val="2"/>
      </rPr>
      <t xml:space="preserve">第</t>
    </r>
    <r>
      <rPr>
        <sz val="9"/>
        <color rgb="FF404040"/>
        <rFont val="Arial"/>
        <family val="0"/>
        <charset val="1"/>
      </rPr>
      <t xml:space="preserve">2</t>
    </r>
    <r>
      <rPr>
        <sz val="9"/>
        <color rgb="FF404040"/>
        <rFont val="Noto Sans CJK SC"/>
        <family val="2"/>
      </rPr>
      <t xml:space="preserve">期は前期比</t>
    </r>
    <r>
      <rPr>
        <sz val="9"/>
        <color rgb="FF404040"/>
        <rFont val="Arial"/>
        <family val="0"/>
        <charset val="1"/>
      </rPr>
      <t xml:space="preserve">3.4</t>
    </r>
    <r>
      <rPr>
        <sz val="9"/>
        <color rgb="FF404040"/>
        <rFont val="Noto Sans CJK SC"/>
        <family val="2"/>
      </rPr>
      <t xml:space="preserve">倍（月商換算）。第</t>
    </r>
    <r>
      <rPr>
        <sz val="9"/>
        <color rgb="FF404040"/>
        <rFont val="Arial"/>
        <family val="0"/>
        <charset val="1"/>
      </rPr>
      <t xml:space="preserve">3</t>
    </r>
    <r>
      <rPr>
        <sz val="9"/>
        <color rgb="FF404040"/>
        <rFont val="Noto Sans CJK SC"/>
        <family val="2"/>
      </rPr>
      <t xml:space="preserve">期は</t>
    </r>
    <r>
      <rPr>
        <sz val="9"/>
        <color rgb="FF404040"/>
        <rFont val="Arial"/>
        <family val="0"/>
        <charset val="1"/>
      </rPr>
      <t xml:space="preserve">2</t>
    </r>
    <r>
      <rPr>
        <sz val="9"/>
        <color rgb="FF404040"/>
        <rFont val="Noto Sans CJK SC"/>
        <family val="2"/>
      </rPr>
      <t xml:space="preserve">号店の通年寄与で</t>
    </r>
    <r>
      <rPr>
        <sz val="9"/>
        <color rgb="FF404040"/>
        <rFont val="Arial"/>
        <family val="0"/>
        <charset val="1"/>
      </rPr>
      <t xml:space="preserve">1.8</t>
    </r>
    <r>
      <rPr>
        <sz val="9"/>
        <color rgb="FF404040"/>
        <rFont val="Noto Sans CJK SC"/>
        <family val="2"/>
      </rPr>
      <t xml:space="preserve">倍</t>
    </r>
  </si>
  <si>
    <t xml:space="preserve">【損益】</t>
  </si>
  <si>
    <r>
      <rPr>
        <sz val="9"/>
        <color rgb="FF404040"/>
        <rFont val="Noto Sans CJK SC"/>
        <family val="2"/>
      </rPr>
      <t xml:space="preserve">第</t>
    </r>
    <r>
      <rPr>
        <sz val="9"/>
        <color rgb="FF404040"/>
        <rFont val="Arial"/>
        <family val="0"/>
        <charset val="1"/>
      </rPr>
      <t xml:space="preserve">2</t>
    </r>
    <r>
      <rPr>
        <sz val="9"/>
        <color rgb="FF404040"/>
        <rFont val="Noto Sans CJK SC"/>
        <family val="2"/>
      </rPr>
      <t xml:space="preserve">期見込は</t>
    </r>
    <r>
      <rPr>
        <sz val="9"/>
        <color rgb="FF404040"/>
        <rFont val="Arial"/>
        <family val="0"/>
        <charset val="1"/>
      </rPr>
      <t xml:space="preserve">11</t>
    </r>
    <r>
      <rPr>
        <sz val="9"/>
        <color rgb="FF404040"/>
        <rFont val="Noto Sans CJK SC"/>
        <family val="2"/>
      </rPr>
      <t xml:space="preserve">か月実績の</t>
    </r>
    <r>
      <rPr>
        <sz val="9"/>
        <color rgb="FF404040"/>
        <rFont val="Arial"/>
        <family val="0"/>
        <charset val="1"/>
      </rPr>
      <t xml:space="preserve">12</t>
    </r>
    <r>
      <rPr>
        <sz val="9"/>
        <color rgb="FF404040"/>
        <rFont val="Noto Sans CJK SC"/>
        <family val="2"/>
      </rPr>
      <t xml:space="preserve">か月換算。第</t>
    </r>
    <r>
      <rPr>
        <sz val="9"/>
        <color rgb="FF404040"/>
        <rFont val="Arial"/>
        <family val="0"/>
        <charset val="1"/>
      </rPr>
      <t xml:space="preserve">3</t>
    </r>
    <r>
      <rPr>
        <sz val="9"/>
        <color rgb="FF404040"/>
        <rFont val="Noto Sans CJK SC"/>
        <family val="2"/>
      </rPr>
      <t xml:space="preserve">期以降は④部門別営業損益シートから</t>
    </r>
  </si>
  <si>
    <t xml:space="preserve">　営業利益率</t>
  </si>
  <si>
    <t xml:space="preserve">支払利息</t>
  </si>
  <si>
    <r>
      <rPr>
        <sz val="9"/>
        <color rgb="FF404040"/>
        <rFont val="Noto Sans CJK SC"/>
        <family val="2"/>
      </rPr>
      <t xml:space="preserve">既存長期借入＋今回の</t>
    </r>
    <r>
      <rPr>
        <sz val="9"/>
        <color rgb="FF404040"/>
        <rFont val="Arial"/>
        <family val="0"/>
        <charset val="1"/>
      </rPr>
      <t xml:space="preserve">700</t>
    </r>
    <r>
      <rPr>
        <sz val="9"/>
        <color rgb="FF404040"/>
        <rFont val="Noto Sans CJK SC"/>
        <family val="2"/>
      </rPr>
      <t xml:space="preserve">万円</t>
    </r>
  </si>
  <si>
    <t xml:space="preserve">経常損益</t>
  </si>
  <si>
    <t xml:space="preserve">法人税等</t>
  </si>
  <si>
    <r>
      <rPr>
        <sz val="9"/>
        <color rgb="FF404040"/>
        <rFont val="Noto Sans CJK SC"/>
        <family val="2"/>
      </rPr>
      <t xml:space="preserve">繰越欠損金を控除したうえで実効税率</t>
    </r>
    <r>
      <rPr>
        <sz val="9"/>
        <color rgb="FF404040"/>
        <rFont val="Arial"/>
        <family val="0"/>
        <charset val="1"/>
      </rPr>
      <t xml:space="preserve">33%</t>
    </r>
    <r>
      <rPr>
        <sz val="9"/>
        <color rgb="FF404040"/>
        <rFont val="Noto Sans CJK SC"/>
        <family val="2"/>
      </rPr>
      <t xml:space="preserve">。均等割</t>
    </r>
    <r>
      <rPr>
        <sz val="9"/>
        <color rgb="FF404040"/>
        <rFont val="Arial"/>
        <family val="0"/>
        <charset val="1"/>
      </rPr>
      <t xml:space="preserve">70,000</t>
    </r>
    <r>
      <rPr>
        <sz val="9"/>
        <color rgb="FF404040"/>
        <rFont val="Noto Sans CJK SC"/>
        <family val="2"/>
      </rPr>
      <t xml:space="preserve">円を加算</t>
    </r>
  </si>
  <si>
    <r>
      <rPr>
        <sz val="9"/>
        <color rgb="FF404040"/>
        <rFont val="Noto Sans CJK SC"/>
        <family val="2"/>
      </rPr>
      <t xml:space="preserve">第</t>
    </r>
    <r>
      <rPr>
        <sz val="9"/>
        <color rgb="FF404040"/>
        <rFont val="Arial"/>
        <family val="0"/>
        <charset val="1"/>
      </rPr>
      <t xml:space="preserve">1</t>
    </r>
    <r>
      <rPr>
        <sz val="9"/>
        <color rgb="FF404040"/>
        <rFont val="Noto Sans CJK SC"/>
        <family val="2"/>
      </rPr>
      <t xml:space="preserve">期は純資産▲</t>
    </r>
    <r>
      <rPr>
        <sz val="9"/>
        <color rgb="FF404040"/>
        <rFont val="Arial"/>
        <family val="0"/>
        <charset val="1"/>
      </rPr>
      <t xml:space="preserve">276,759</t>
    </r>
    <r>
      <rPr>
        <sz val="9"/>
        <color rgb="FF404040"/>
        <rFont val="Noto Sans CJK SC"/>
        <family val="2"/>
      </rPr>
      <t xml:space="preserve">＝資本金</t>
    </r>
    <r>
      <rPr>
        <sz val="9"/>
        <color rgb="FF404040"/>
        <rFont val="Arial"/>
        <family val="0"/>
        <charset val="1"/>
      </rPr>
      <t xml:space="preserve">300,000</t>
    </r>
    <r>
      <rPr>
        <sz val="9"/>
        <color rgb="FF404040"/>
        <rFont val="Noto Sans CJK SC"/>
        <family val="2"/>
      </rPr>
      <t xml:space="preserve">＋繰越利益剰余金▲</t>
    </r>
    <r>
      <rPr>
        <sz val="9"/>
        <color rgb="FF404040"/>
        <rFont val="Arial"/>
        <family val="0"/>
        <charset val="1"/>
      </rPr>
      <t xml:space="preserve">576,759</t>
    </r>
    <r>
      <rPr>
        <sz val="9"/>
        <color rgb="FF404040"/>
        <rFont val="Noto Sans CJK SC"/>
        <family val="2"/>
      </rPr>
      <t xml:space="preserve">から導出。第</t>
    </r>
    <r>
      <rPr>
        <sz val="9"/>
        <color rgb="FF404040"/>
        <rFont val="Arial"/>
        <family val="0"/>
        <charset val="1"/>
      </rPr>
      <t xml:space="preserve">2</t>
    </r>
    <r>
      <rPr>
        <sz val="9"/>
        <color rgb="FF404040"/>
        <rFont val="Noto Sans CJK SC"/>
        <family val="2"/>
      </rPr>
      <t xml:space="preserve">期</t>
    </r>
    <r>
      <rPr>
        <sz val="9"/>
        <color rgb="FF404040"/>
        <rFont val="Arial"/>
        <family val="0"/>
        <charset val="1"/>
      </rPr>
      <t xml:space="preserve">11</t>
    </r>
    <r>
      <rPr>
        <sz val="9"/>
        <color rgb="FF404040"/>
        <rFont val="Noto Sans CJK SC"/>
        <family val="2"/>
      </rPr>
      <t xml:space="preserve">か月は純資産の期中増減から導出</t>
    </r>
  </si>
  <si>
    <t xml:space="preserve">【資金・財務】</t>
  </si>
  <si>
    <t xml:space="preserve">減価償却費</t>
  </si>
  <si>
    <t xml:space="preserve">簡易キャッシュフロー（当期純損益＋減価償却費）</t>
  </si>
  <si>
    <t xml:space="preserve">年間元金返済額（既存＋今回）</t>
  </si>
  <si>
    <r>
      <rPr>
        <sz val="10"/>
        <color rgb="FF000000"/>
        <rFont val="Noto Sans CJK SC"/>
        <family val="2"/>
      </rPr>
      <t xml:space="preserve">　返済余力（簡易</t>
    </r>
    <r>
      <rPr>
        <sz val="10"/>
        <color rgb="FF000000"/>
        <rFont val="Arial"/>
        <family val="0"/>
        <charset val="1"/>
      </rPr>
      <t xml:space="preserve">CF ÷ </t>
    </r>
    <r>
      <rPr>
        <sz val="10"/>
        <color rgb="FF000000"/>
        <rFont val="Noto Sans CJK SC"/>
        <family val="2"/>
      </rPr>
      <t xml:space="preserve">年間元金返済額）</t>
    </r>
  </si>
  <si>
    <r>
      <rPr>
        <sz val="9"/>
        <color rgb="FF404040"/>
        <rFont val="Arial"/>
        <family val="0"/>
        <charset val="1"/>
      </rPr>
      <t xml:space="preserve">1.0</t>
    </r>
    <r>
      <rPr>
        <sz val="9"/>
        <color rgb="FF404040"/>
        <rFont val="Noto Sans CJK SC"/>
        <family val="2"/>
      </rPr>
      <t xml:space="preserve">倍を超えていれば営業活動で返済がまかなえる</t>
    </r>
  </si>
  <si>
    <r>
      <rPr>
        <sz val="9"/>
        <color rgb="FF404040"/>
        <rFont val="Noto Sans CJK SC"/>
        <family val="2"/>
      </rPr>
      <t xml:space="preserve">第</t>
    </r>
    <r>
      <rPr>
        <sz val="9"/>
        <color rgb="FF404040"/>
        <rFont val="Arial"/>
        <family val="0"/>
        <charset val="1"/>
      </rPr>
      <t xml:space="preserve">3</t>
    </r>
    <r>
      <rPr>
        <sz val="9"/>
        <color rgb="FF404040"/>
        <rFont val="Noto Sans CJK SC"/>
        <family val="2"/>
      </rPr>
      <t xml:space="preserve">期に債務超過を解消する計画</t>
    </r>
  </si>
  <si>
    <r>
      <rPr>
        <b val="true"/>
        <sz val="14"/>
        <color rgb="FF1F3864"/>
        <rFont val="Noto Sans CJK SC"/>
        <family val="2"/>
      </rPr>
      <t xml:space="preserve">④ 部門別 営業損益（第</t>
    </r>
    <r>
      <rPr>
        <b val="true"/>
        <sz val="14"/>
        <color rgb="FF1F3864"/>
        <rFont val="Arial"/>
        <family val="0"/>
        <charset val="1"/>
      </rPr>
      <t xml:space="preserve">2</t>
    </r>
    <r>
      <rPr>
        <b val="true"/>
        <sz val="14"/>
        <color rgb="FF1F3864"/>
        <rFont val="Noto Sans CJK SC"/>
        <family val="2"/>
      </rPr>
      <t xml:space="preserve">期実績 → 第</t>
    </r>
    <r>
      <rPr>
        <b val="true"/>
        <sz val="14"/>
        <color rgb="FF1F3864"/>
        <rFont val="Arial"/>
        <family val="0"/>
        <charset val="1"/>
      </rPr>
      <t xml:space="preserve">5</t>
    </r>
    <r>
      <rPr>
        <b val="true"/>
        <sz val="14"/>
        <color rgb="FF1F3864"/>
        <rFont val="Noto Sans CJK SC"/>
        <family val="2"/>
      </rPr>
      <t xml:space="preserve">期計画）</t>
    </r>
  </si>
  <si>
    <r>
      <rPr>
        <sz val="9"/>
        <color rgb="FF595959"/>
        <rFont val="Noto Sans CJK SC"/>
        <family val="2"/>
      </rPr>
      <t xml:space="preserve">第</t>
    </r>
    <r>
      <rPr>
        <sz val="9"/>
        <color rgb="FF595959"/>
        <rFont val="Arial"/>
        <family val="0"/>
        <charset val="1"/>
      </rPr>
      <t xml:space="preserve">2</t>
    </r>
    <r>
      <rPr>
        <sz val="9"/>
        <color rgb="FF595959"/>
        <rFont val="Noto Sans CJK SC"/>
        <family val="2"/>
      </rPr>
      <t xml:space="preserve">期は 全社資金繰り表 </t>
    </r>
    <r>
      <rPr>
        <sz val="9"/>
        <color rgb="FF595959"/>
        <rFont val="Arial"/>
        <family val="0"/>
        <charset val="1"/>
      </rPr>
      <t xml:space="preserve">2026-08-17</t>
    </r>
    <r>
      <rPr>
        <sz val="9"/>
        <color rgb="FF595959"/>
        <rFont val="Noto Sans CJK SC"/>
        <family val="2"/>
      </rPr>
      <t xml:space="preserve">「</t>
    </r>
    <r>
      <rPr>
        <sz val="9"/>
        <color rgb="FF595959"/>
        <rFont val="Arial"/>
        <family val="0"/>
        <charset val="1"/>
      </rPr>
      <t xml:space="preserve">4</t>
    </r>
    <r>
      <rPr>
        <sz val="9"/>
        <color rgb="FF595959"/>
        <rFont val="Noto Sans CJK SC"/>
        <family val="2"/>
      </rPr>
      <t xml:space="preserve">区分の収支」（保証協会へ</t>
    </r>
    <r>
      <rPr>
        <sz val="9"/>
        <color rgb="FF595959"/>
        <rFont val="Arial"/>
        <family val="0"/>
        <charset val="1"/>
      </rPr>
      <t xml:space="preserve">2026</t>
    </r>
    <r>
      <rPr>
        <sz val="9"/>
        <color rgb="FF595959"/>
        <rFont val="Noto Sans CJK SC"/>
        <family val="2"/>
      </rPr>
      <t xml:space="preserve">年</t>
    </r>
    <r>
      <rPr>
        <sz val="9"/>
        <color rgb="FF595959"/>
        <rFont val="Arial"/>
        <family val="0"/>
        <charset val="1"/>
      </rPr>
      <t xml:space="preserve">9</t>
    </r>
    <r>
      <rPr>
        <sz val="9"/>
        <color rgb="FF595959"/>
        <rFont val="Noto Sans CJK SC"/>
        <family val="2"/>
      </rPr>
      <t xml:space="preserve">月</t>
    </r>
    <r>
      <rPr>
        <sz val="9"/>
        <color rgb="FF595959"/>
        <rFont val="Arial"/>
        <family val="0"/>
        <charset val="1"/>
      </rPr>
      <t xml:space="preserve">4</t>
    </r>
    <r>
      <rPr>
        <sz val="9"/>
        <color rgb="FF595959"/>
        <rFont val="Noto Sans CJK SC"/>
        <family val="2"/>
      </rPr>
      <t xml:space="preserve">日提出済）の月次平均を年換算したもの。単位：円</t>
    </r>
  </si>
  <si>
    <t xml:space="preserve">部門</t>
  </si>
  <si>
    <r>
      <rPr>
        <b val="true"/>
        <sz val="11"/>
        <color rgb="FFFFFFFF"/>
        <rFont val="Noto Sans CJK SC"/>
        <family val="2"/>
      </rPr>
      <t xml:space="preserve">（参考）
月次平均 第</t>
    </r>
    <r>
      <rPr>
        <b val="true"/>
        <sz val="11"/>
        <color rgb="FFFFFFFF"/>
        <rFont val="Arial"/>
        <family val="0"/>
        <charset val="1"/>
      </rPr>
      <t xml:space="preserve">2</t>
    </r>
    <r>
      <rPr>
        <b val="true"/>
        <sz val="11"/>
        <color rgb="FFFFFFFF"/>
        <rFont val="Noto Sans CJK SC"/>
        <family val="2"/>
      </rPr>
      <t xml:space="preserve">期</t>
    </r>
  </si>
  <si>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年換算
（実績ベース）</t>
    </r>
  </si>
  <si>
    <r>
      <rPr>
        <sz val="9"/>
        <color rgb="FF404040"/>
        <rFont val="Noto Sans CJK SC"/>
        <family val="2"/>
      </rPr>
      <t xml:space="preserve">当期実績 売上</t>
    </r>
    <r>
      <rPr>
        <sz val="9"/>
        <color rgb="FF404040"/>
        <rFont val="Arial"/>
        <family val="0"/>
        <charset val="1"/>
      </rPr>
      <t xml:space="preserve">10,956,460</t>
    </r>
    <r>
      <rPr>
        <sz val="9"/>
        <color rgb="FF404040"/>
        <rFont val="Noto Sans CJK SC"/>
        <family val="2"/>
      </rPr>
      <t xml:space="preserve">円／原価</t>
    </r>
    <r>
      <rPr>
        <sz val="9"/>
        <color rgb="FF404040"/>
        <rFont val="Arial"/>
        <family val="0"/>
        <charset val="1"/>
      </rPr>
      <t xml:space="preserve">7,770,764</t>
    </r>
    <r>
      <rPr>
        <sz val="9"/>
        <color rgb="FF404040"/>
        <rFont val="Noto Sans CJK SC"/>
        <family val="2"/>
      </rPr>
      <t xml:space="preserve">円（</t>
    </r>
    <r>
      <rPr>
        <sz val="9"/>
        <color rgb="FF404040"/>
        <rFont val="Arial"/>
        <family val="0"/>
        <charset val="1"/>
      </rPr>
      <t xml:space="preserve">Caddy OS</t>
    </r>
    <r>
      <rPr>
        <sz val="9"/>
        <color rgb="FF404040"/>
        <rFont val="Noto Sans CJK SC"/>
        <family val="2"/>
      </rPr>
      <t xml:space="preserve">台帳）。取引ゴルフ場</t>
    </r>
    <r>
      <rPr>
        <sz val="9"/>
        <color rgb="FF404040"/>
        <rFont val="Arial"/>
        <family val="0"/>
        <charset val="1"/>
      </rPr>
      <t xml:space="preserve">7</t>
    </r>
    <r>
      <rPr>
        <sz val="9"/>
        <color rgb="FF404040"/>
        <rFont val="Noto Sans CJK SC"/>
        <family val="2"/>
      </rPr>
      <t xml:space="preserve">社→</t>
    </r>
    <r>
      <rPr>
        <sz val="9"/>
        <color rgb="FF404040"/>
        <rFont val="Arial"/>
        <family val="0"/>
        <charset val="1"/>
      </rPr>
      <t xml:space="preserve">9</t>
    </r>
    <r>
      <rPr>
        <sz val="9"/>
        <color rgb="FF404040"/>
        <rFont val="Noto Sans CJK SC"/>
        <family val="2"/>
      </rPr>
      <t xml:space="preserve">社へ。林の固定給</t>
    </r>
    <r>
      <rPr>
        <sz val="9"/>
        <color rgb="FF404040"/>
        <rFont val="Arial"/>
        <family val="0"/>
        <charset val="1"/>
      </rPr>
      <t xml:space="preserve">270,000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月が損益分岐点</t>
    </r>
  </si>
  <si>
    <r>
      <rPr>
        <sz val="10"/>
        <color rgb="FF000000"/>
        <rFont val="Arial"/>
        <family val="0"/>
        <charset val="1"/>
      </rPr>
      <t xml:space="preserve">GOLF WING </t>
    </r>
    <r>
      <rPr>
        <sz val="10"/>
        <color rgb="FF000000"/>
        <rFont val="Noto Sans CJK SC"/>
        <family val="2"/>
      </rPr>
      <t xml:space="preserve">宝塚（受託運営）</t>
    </r>
  </si>
  <si>
    <r>
      <rPr>
        <sz val="9"/>
        <color rgb="FF404040"/>
        <rFont val="Noto Sans CJK SC"/>
        <family val="2"/>
      </rPr>
      <t xml:space="preserve">㈱ファインからの受託運営。精算後の入金ベース。課金会員 前期末</t>
    </r>
    <r>
      <rPr>
        <sz val="9"/>
        <color rgb="FF404040"/>
        <rFont val="Arial"/>
        <family val="0"/>
        <charset val="1"/>
      </rPr>
      <t xml:space="preserve">144</t>
    </r>
    <r>
      <rPr>
        <sz val="9"/>
        <color rgb="FF404040"/>
        <rFont val="Noto Sans CJK SC"/>
        <family val="2"/>
      </rPr>
      <t xml:space="preserve">名→当期末</t>
    </r>
    <r>
      <rPr>
        <sz val="9"/>
        <color rgb="FF404040"/>
        <rFont val="Arial"/>
        <family val="0"/>
        <charset val="1"/>
      </rPr>
      <t xml:space="preserve">218</t>
    </r>
    <r>
      <rPr>
        <sz val="9"/>
        <color rgb="FF404040"/>
        <rFont val="Noto Sans CJK SC"/>
        <family val="2"/>
      </rPr>
      <t xml:space="preserve">名（計画</t>
    </r>
    <r>
      <rPr>
        <sz val="9"/>
        <color rgb="FF404040"/>
        <rFont val="Arial"/>
        <family val="0"/>
        <charset val="1"/>
      </rPr>
      <t xml:space="preserve">200</t>
    </r>
    <r>
      <rPr>
        <sz val="9"/>
        <color rgb="FF404040"/>
        <rFont val="Noto Sans CJK SC"/>
        <family val="2"/>
      </rPr>
      <t xml:space="preserve">名に対し達成率</t>
    </r>
    <r>
      <rPr>
        <sz val="9"/>
        <color rgb="FF404040"/>
        <rFont val="Arial"/>
        <family val="0"/>
        <charset val="1"/>
      </rPr>
      <t xml:space="preserve">109%</t>
    </r>
    <r>
      <rPr>
        <sz val="9"/>
        <color rgb="FF404040"/>
        <rFont val="Noto Sans CJK SC"/>
        <family val="2"/>
      </rPr>
      <t xml:space="preserve">）</t>
    </r>
  </si>
  <si>
    <r>
      <rPr>
        <sz val="10"/>
        <color rgb="FF000000"/>
        <rFont val="Arial"/>
        <family val="0"/>
        <charset val="1"/>
      </rPr>
      <t xml:space="preserve">FRANK GOLF </t>
    </r>
    <r>
      <rPr>
        <sz val="10"/>
        <color rgb="FF000000"/>
        <rFont val="Noto Sans CJK SC"/>
        <family val="2"/>
      </rPr>
      <t xml:space="preserve">姫路（直営</t>
    </r>
    <r>
      <rPr>
        <sz val="10"/>
        <color rgb="FF000000"/>
        <rFont val="Arial"/>
        <family val="0"/>
        <charset val="1"/>
      </rPr>
      <t xml:space="preserve">2</t>
    </r>
    <r>
      <rPr>
        <sz val="10"/>
        <color rgb="FF000000"/>
        <rFont val="Noto Sans CJK SC"/>
        <family val="2"/>
      </rPr>
      <t xml:space="preserve">号店）</t>
    </r>
  </si>
  <si>
    <r>
      <rPr>
        <sz val="9"/>
        <color rgb="FF404040"/>
        <rFont val="Noto Sans CJK SC"/>
        <family val="2"/>
      </rPr>
      <t xml:space="preserve">第</t>
    </r>
    <r>
      <rPr>
        <sz val="9"/>
        <color rgb="FF404040"/>
        <rFont val="Arial"/>
        <family val="0"/>
        <charset val="1"/>
      </rPr>
      <t xml:space="preserve">2</t>
    </r>
    <r>
      <rPr>
        <sz val="9"/>
        <color rgb="FF404040"/>
        <rFont val="Noto Sans CJK SC"/>
        <family val="2"/>
      </rPr>
      <t xml:space="preserve">期は開業前の先行費用（地代家賃</t>
    </r>
    <r>
      <rPr>
        <sz val="9"/>
        <color rgb="FF404040"/>
        <rFont val="Arial"/>
        <family val="0"/>
        <charset val="1"/>
      </rPr>
      <t xml:space="preserve">440,000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月ほか）のみ。第</t>
    </r>
    <r>
      <rPr>
        <sz val="9"/>
        <color rgb="FF404040"/>
        <rFont val="Arial"/>
        <family val="0"/>
        <charset val="1"/>
      </rPr>
      <t xml:space="preserve">3</t>
    </r>
    <r>
      <rPr>
        <sz val="9"/>
        <color rgb="FF404040"/>
        <rFont val="Noto Sans CJK SC"/>
        <family val="2"/>
      </rPr>
      <t xml:space="preserve">期以降は②</t>
    </r>
    <r>
      <rPr>
        <sz val="9"/>
        <color rgb="FF404040"/>
        <rFont val="Arial"/>
        <family val="0"/>
        <charset val="1"/>
      </rPr>
      <t xml:space="preserve">FRANK</t>
    </r>
    <r>
      <rPr>
        <sz val="9"/>
        <color rgb="FF404040"/>
        <rFont val="Noto Sans CJK SC"/>
        <family val="2"/>
      </rPr>
      <t xml:space="preserve">月次計画シートから連動</t>
    </r>
  </si>
  <si>
    <t xml:space="preserve">システム開発・外販</t>
  </si>
  <si>
    <r>
      <rPr>
        <sz val="9"/>
        <color rgb="FF404040"/>
        <rFont val="Noto Sans CJK SC"/>
        <family val="2"/>
      </rPr>
      <t xml:space="preserve">売上高（①前提条件）</t>
    </r>
    <r>
      <rPr>
        <sz val="9"/>
        <color rgb="FF404040"/>
        <rFont val="Arial"/>
        <family val="0"/>
        <charset val="1"/>
      </rPr>
      <t xml:space="preserve">×</t>
    </r>
    <r>
      <rPr>
        <sz val="9"/>
        <color rgb="FF404040"/>
        <rFont val="Noto Sans CJK SC"/>
        <family val="2"/>
      </rPr>
      <t xml:space="preserve">営業利益率</t>
    </r>
    <r>
      <rPr>
        <sz val="9"/>
        <color rgb="FF404040"/>
        <rFont val="Arial"/>
        <family val="0"/>
        <charset val="1"/>
      </rPr>
      <t xml:space="preserve">35%</t>
    </r>
    <r>
      <rPr>
        <sz val="9"/>
        <color rgb="FF404040"/>
        <rFont val="Noto Sans CJK SC"/>
        <family val="2"/>
      </rPr>
      <t xml:space="preserve">。自社開発のため原価は工数中心</t>
    </r>
  </si>
  <si>
    <r>
      <rPr>
        <sz val="9"/>
        <color rgb="FF404040"/>
        <rFont val="Noto Sans CJK SC"/>
        <family val="2"/>
      </rPr>
      <t xml:space="preserve">役員報酬・システム・本部経費。第</t>
    </r>
    <r>
      <rPr>
        <sz val="9"/>
        <color rgb="FF404040"/>
        <rFont val="Arial"/>
        <family val="0"/>
        <charset val="1"/>
      </rPr>
      <t xml:space="preserve">3</t>
    </r>
    <r>
      <rPr>
        <sz val="9"/>
        <color rgb="FF404040"/>
        <rFont val="Noto Sans CJK SC"/>
        <family val="2"/>
      </rPr>
      <t xml:space="preserve">期は経費削減（月</t>
    </r>
    <r>
      <rPr>
        <sz val="9"/>
        <color rgb="FF404040"/>
        <rFont val="Arial"/>
        <family val="0"/>
        <charset val="1"/>
      </rPr>
      <t xml:space="preserve">100,000</t>
    </r>
    <r>
      <rPr>
        <sz val="9"/>
        <color rgb="FF404040"/>
        <rFont val="Noto Sans CJK SC"/>
        <family val="2"/>
      </rPr>
      <t xml:space="preserve">円＝年</t>
    </r>
    <r>
      <rPr>
        <sz val="9"/>
        <color rgb="FF404040"/>
        <rFont val="Arial"/>
        <family val="0"/>
        <charset val="1"/>
      </rPr>
      <t xml:space="preserve">1,200,000</t>
    </r>
    <r>
      <rPr>
        <sz val="9"/>
        <color rgb="FF404040"/>
        <rFont val="Noto Sans CJK SC"/>
        <family val="2"/>
      </rPr>
      <t xml:space="preserve">円）の実行を織り込む。第</t>
    </r>
    <r>
      <rPr>
        <sz val="9"/>
        <color rgb="FF404040"/>
        <rFont val="Arial"/>
        <family val="0"/>
        <charset val="1"/>
      </rPr>
      <t xml:space="preserve">4</t>
    </r>
    <r>
      <rPr>
        <sz val="9"/>
        <color rgb="FF404040"/>
        <rFont val="Noto Sans CJK SC"/>
        <family val="2"/>
      </rPr>
      <t xml:space="preserve">期は管理部門</t>
    </r>
    <r>
      <rPr>
        <sz val="9"/>
        <color rgb="FF404040"/>
        <rFont val="Arial"/>
        <family val="0"/>
        <charset val="1"/>
      </rPr>
      <t xml:space="preserve">1</t>
    </r>
    <r>
      <rPr>
        <sz val="9"/>
        <color rgb="FF404040"/>
        <rFont val="Noto Sans CJK SC"/>
        <family val="2"/>
      </rPr>
      <t xml:space="preserve">名増</t>
    </r>
  </si>
  <si>
    <t xml:space="preserve">営業損益 合計</t>
  </si>
  <si>
    <r>
      <rPr>
        <sz val="9"/>
        <color rgb="FF404040"/>
        <rFont val="Arial"/>
        <family val="0"/>
        <charset val="1"/>
      </rPr>
      <t xml:space="preserve">③3</t>
    </r>
    <r>
      <rPr>
        <sz val="9"/>
        <color rgb="FF404040"/>
        <rFont val="Noto Sans CJK SC"/>
        <family val="2"/>
      </rPr>
      <t xml:space="preserve">か年収支計画シートの「営業損益」はこの行を参照している</t>
    </r>
  </si>
  <si>
    <r>
      <rPr>
        <b val="true"/>
        <sz val="10"/>
        <color rgb="FF000000"/>
        <rFont val="Noto Sans CJK SC"/>
        <family val="2"/>
      </rPr>
      <t xml:space="preserve">（参考）事業</t>
    </r>
    <r>
      <rPr>
        <b val="true"/>
        <sz val="10"/>
        <color rgb="FF000000"/>
        <rFont val="Arial"/>
        <family val="0"/>
        <charset val="1"/>
      </rPr>
      <t xml:space="preserve">4</t>
    </r>
    <r>
      <rPr>
        <b val="true"/>
        <sz val="10"/>
        <color rgb="FF000000"/>
        <rFont val="Noto Sans CJK SC"/>
        <family val="2"/>
      </rPr>
      <t xml:space="preserve">部門 小計</t>
    </r>
  </si>
  <si>
    <r>
      <rPr>
        <sz val="9"/>
        <color rgb="FF404040"/>
        <rFont val="Noto Sans CJK SC"/>
        <family val="2"/>
      </rPr>
      <t xml:space="preserve">本社・共通を除いた、店舗と事業そのものの収益力。第</t>
    </r>
    <r>
      <rPr>
        <sz val="9"/>
        <color rgb="FF404040"/>
        <rFont val="Arial"/>
        <family val="0"/>
        <charset val="1"/>
      </rPr>
      <t xml:space="preserve">2</t>
    </r>
    <r>
      <rPr>
        <sz val="9"/>
        <color rgb="FF404040"/>
        <rFont val="Noto Sans CJK SC"/>
        <family val="2"/>
      </rPr>
      <t xml:space="preserve">期でもすでに年間</t>
    </r>
    <r>
      <rPr>
        <sz val="9"/>
        <color rgb="FF404040"/>
        <rFont val="Arial"/>
        <family val="0"/>
        <charset val="1"/>
      </rPr>
      <t xml:space="preserve">+1,088</t>
    </r>
    <r>
      <rPr>
        <sz val="9"/>
        <color rgb="FF404040"/>
        <rFont val="Noto Sans CJK SC"/>
        <family val="2"/>
      </rPr>
      <t xml:space="preserve">万円の黒字</t>
    </r>
  </si>
  <si>
    <t xml:space="preserve">■ 読み方</t>
  </si>
  <si>
    <r>
      <rPr>
        <sz val="9"/>
        <color rgb="FF000000"/>
        <rFont val="Noto Sans CJK SC"/>
        <family val="2"/>
      </rPr>
      <t xml:space="preserve">・第</t>
    </r>
    <r>
      <rPr>
        <sz val="9"/>
        <color rgb="FF000000"/>
        <rFont val="Arial"/>
        <family val="0"/>
        <charset val="1"/>
      </rPr>
      <t xml:space="preserve">2</t>
    </r>
    <r>
      <rPr>
        <sz val="9"/>
        <color rgb="FF000000"/>
        <rFont val="Noto Sans CJK SC"/>
        <family val="2"/>
      </rPr>
      <t xml:space="preserve">期の赤字の発生源は本社・共通です。事業</t>
    </r>
    <r>
      <rPr>
        <sz val="9"/>
        <color rgb="FF000000"/>
        <rFont val="Arial"/>
        <family val="0"/>
        <charset val="1"/>
      </rPr>
      <t xml:space="preserve">4</t>
    </r>
    <r>
      <rPr>
        <sz val="9"/>
        <color rgb="FF000000"/>
        <rFont val="Noto Sans CJK SC"/>
        <family val="2"/>
      </rPr>
      <t xml:space="preserve">部門（キャディ・宝塚・</t>
    </r>
    <r>
      <rPr>
        <sz val="9"/>
        <color rgb="FF000000"/>
        <rFont val="Arial"/>
        <family val="0"/>
        <charset val="1"/>
      </rPr>
      <t xml:space="preserve">FRANK</t>
    </r>
    <r>
      <rPr>
        <sz val="9"/>
        <color rgb="FF000000"/>
        <rFont val="Noto Sans CJK SC"/>
        <family val="2"/>
      </rPr>
      <t xml:space="preserve">・システム）は第</t>
    </r>
    <r>
      <rPr>
        <sz val="9"/>
        <color rgb="FF000000"/>
        <rFont val="Arial"/>
        <family val="0"/>
        <charset val="1"/>
      </rPr>
      <t xml:space="preserve">2</t>
    </r>
    <r>
      <rPr>
        <sz val="9"/>
        <color rgb="FF000000"/>
        <rFont val="Noto Sans CJK SC"/>
        <family val="2"/>
      </rPr>
      <t xml:space="preserve">期の時点ですでに合計で黒字です。</t>
    </r>
  </si>
  <si>
    <r>
      <rPr>
        <sz val="9"/>
        <color rgb="FF000000"/>
        <rFont val="Noto Sans CJK SC"/>
        <family val="2"/>
      </rPr>
      <t xml:space="preserve">・第</t>
    </r>
    <r>
      <rPr>
        <sz val="9"/>
        <color rgb="FF000000"/>
        <rFont val="Arial"/>
        <family val="0"/>
        <charset val="1"/>
      </rPr>
      <t xml:space="preserve">2</t>
    </r>
    <r>
      <rPr>
        <sz val="9"/>
        <color rgb="FF000000"/>
        <rFont val="Noto Sans CJK SC"/>
        <family val="2"/>
      </rPr>
      <t xml:space="preserve">期の「本社・共通」▲</t>
    </r>
    <r>
      <rPr>
        <sz val="9"/>
        <color rgb="FF000000"/>
        <rFont val="Arial"/>
        <family val="0"/>
        <charset val="1"/>
      </rPr>
      <t xml:space="preserve">12,126,208</t>
    </r>
    <r>
      <rPr>
        <sz val="9"/>
        <color rgb="FF000000"/>
        <rFont val="Noto Sans CJK SC"/>
        <family val="2"/>
      </rPr>
      <t xml:space="preserve">円は、資金繰り表の月次平均▲</t>
    </r>
    <r>
      <rPr>
        <sz val="9"/>
        <color rgb="FF000000"/>
        <rFont val="Arial"/>
        <family val="0"/>
        <charset val="1"/>
      </rPr>
      <t xml:space="preserve">928,473</t>
    </r>
    <r>
      <rPr>
        <sz val="9"/>
        <color rgb="FF000000"/>
        <rFont val="Noto Sans CJK SC"/>
        <family val="2"/>
      </rPr>
      <t xml:space="preserve">円（年換算▲</t>
    </r>
    <r>
      <rPr>
        <sz val="9"/>
        <color rgb="FF000000"/>
        <rFont val="Arial"/>
        <family val="0"/>
        <charset val="1"/>
      </rPr>
      <t xml:space="preserve">11,141,676</t>
    </r>
    <r>
      <rPr>
        <sz val="9"/>
        <color rgb="FF000000"/>
        <rFont val="Noto Sans CJK SC"/>
        <family val="2"/>
      </rPr>
      <t xml:space="preserve">円）に対し、会計上の営業損益</t>
    </r>
  </si>
  <si>
    <r>
      <rPr>
        <sz val="9"/>
        <color rgb="FF000000"/>
        <rFont val="Noto Sans CJK SC"/>
        <family val="2"/>
      </rPr>
      <t xml:space="preserve">　（</t>
    </r>
    <r>
      <rPr>
        <sz val="9"/>
        <color rgb="FF000000"/>
        <rFont val="Arial"/>
        <family val="0"/>
        <charset val="1"/>
      </rPr>
      <t xml:space="preserve">11</t>
    </r>
    <r>
      <rPr>
        <sz val="9"/>
        <color rgb="FF000000"/>
        <rFont val="Noto Sans CJK SC"/>
        <family val="2"/>
      </rPr>
      <t xml:space="preserve">か月▲</t>
    </r>
    <r>
      <rPr>
        <sz val="9"/>
        <color rgb="FF000000"/>
        <rFont val="Arial"/>
        <family val="0"/>
        <charset val="1"/>
      </rPr>
      <t xml:space="preserve">1,138,361</t>
    </r>
    <r>
      <rPr>
        <sz val="9"/>
        <color rgb="FF000000"/>
        <rFont val="Noto Sans CJK SC"/>
        <family val="2"/>
      </rPr>
      <t xml:space="preserve">円→</t>
    </r>
    <r>
      <rPr>
        <sz val="9"/>
        <color rgb="FF000000"/>
        <rFont val="Arial"/>
        <family val="0"/>
        <charset val="1"/>
      </rPr>
      <t xml:space="preserve">12</t>
    </r>
    <r>
      <rPr>
        <sz val="9"/>
        <color rgb="FF000000"/>
        <rFont val="Noto Sans CJK SC"/>
        <family val="2"/>
      </rPr>
      <t xml:space="preserve">か月換算▲</t>
    </r>
    <r>
      <rPr>
        <sz val="9"/>
        <color rgb="FF000000"/>
        <rFont val="Arial"/>
        <family val="0"/>
        <charset val="1"/>
      </rPr>
      <t xml:space="preserve">1,241,848</t>
    </r>
    <r>
      <rPr>
        <sz val="9"/>
        <color rgb="FF000000"/>
        <rFont val="Noto Sans CJK SC"/>
        <family val="2"/>
      </rPr>
      <t xml:space="preserve">円）と一致させるために置いた金額です。差額</t>
    </r>
    <r>
      <rPr>
        <sz val="9"/>
        <color rgb="FF000000"/>
        <rFont val="Arial"/>
        <family val="0"/>
        <charset val="1"/>
      </rPr>
      <t xml:space="preserve">984,532</t>
    </r>
    <r>
      <rPr>
        <sz val="9"/>
        <color rgb="FF000000"/>
        <rFont val="Noto Sans CJK SC"/>
        <family val="2"/>
      </rPr>
      <t xml:space="preserve">円は決算確定時に精査します。</t>
    </r>
  </si>
  <si>
    <r>
      <rPr>
        <sz val="9"/>
        <color rgb="FF000000"/>
        <rFont val="Noto Sans CJK SC"/>
        <family val="2"/>
      </rPr>
      <t xml:space="preserve">・第</t>
    </r>
    <r>
      <rPr>
        <sz val="9"/>
        <color rgb="FF000000"/>
        <rFont val="Arial"/>
        <family val="0"/>
        <charset val="1"/>
      </rPr>
      <t xml:space="preserve">3</t>
    </r>
    <r>
      <rPr>
        <sz val="9"/>
        <color rgb="FF000000"/>
        <rFont val="Noto Sans CJK SC"/>
        <family val="2"/>
      </rPr>
      <t xml:space="preserve">期に営業損益が黒字転換する主因は、</t>
    </r>
    <r>
      <rPr>
        <sz val="9"/>
        <color rgb="FF000000"/>
        <rFont val="Arial"/>
        <family val="0"/>
        <charset val="1"/>
      </rPr>
      <t xml:space="preserve">FRANK GOLF </t>
    </r>
    <r>
      <rPr>
        <sz val="9"/>
        <color rgb="FF000000"/>
        <rFont val="Noto Sans CJK SC"/>
        <family val="2"/>
      </rPr>
      <t xml:space="preserve">姫路が開業</t>
    </r>
    <r>
      <rPr>
        <sz val="9"/>
        <color rgb="FF000000"/>
        <rFont val="Arial"/>
        <family val="0"/>
        <charset val="1"/>
      </rPr>
      <t xml:space="preserve">1</t>
    </r>
    <r>
      <rPr>
        <sz val="9"/>
        <color rgb="FF000000"/>
        <rFont val="Noto Sans CJK SC"/>
        <family val="2"/>
      </rPr>
      <t xml:space="preserve">年目を通年で寄与すること、および経費削減月</t>
    </r>
    <r>
      <rPr>
        <sz val="9"/>
        <color rgb="FF000000"/>
        <rFont val="Arial"/>
        <family val="0"/>
        <charset val="1"/>
      </rPr>
      <t xml:space="preserve">100,000</t>
    </r>
    <r>
      <rPr>
        <sz val="9"/>
        <color rgb="FF000000"/>
        <rFont val="Noto Sans CJK SC"/>
        <family val="2"/>
      </rPr>
      <t xml:space="preserve">円の実行です。</t>
    </r>
  </si>
  <si>
    <r>
      <rPr>
        <b val="true"/>
        <sz val="14"/>
        <color rgb="FF1F3864"/>
        <rFont val="Noto Sans CJK SC"/>
        <family val="2"/>
      </rPr>
      <t xml:space="preserve">⑤ 資金繰り計画（</t>
    </r>
    <r>
      <rPr>
        <b val="true"/>
        <sz val="14"/>
        <color rgb="FF1F3864"/>
        <rFont val="Arial"/>
        <family val="0"/>
        <charset val="1"/>
      </rPr>
      <t xml:space="preserve">2026</t>
    </r>
    <r>
      <rPr>
        <b val="true"/>
        <sz val="14"/>
        <color rgb="FF1F3864"/>
        <rFont val="Noto Sans CJK SC"/>
        <family val="2"/>
      </rPr>
      <t xml:space="preserve">年</t>
    </r>
    <r>
      <rPr>
        <b val="true"/>
        <sz val="14"/>
        <color rgb="FF1F3864"/>
        <rFont val="Arial"/>
        <family val="0"/>
        <charset val="1"/>
      </rPr>
      <t xml:space="preserve">9</t>
    </r>
    <r>
      <rPr>
        <b val="true"/>
        <sz val="14"/>
        <color rgb="FF1F3864"/>
        <rFont val="Noto Sans CJK SC"/>
        <family val="2"/>
      </rPr>
      <t xml:space="preserve">月〜</t>
    </r>
    <r>
      <rPr>
        <b val="true"/>
        <sz val="14"/>
        <color rgb="FF1F3864"/>
        <rFont val="Arial"/>
        <family val="0"/>
        <charset val="1"/>
      </rPr>
      <t xml:space="preserve">2028</t>
    </r>
    <r>
      <rPr>
        <b val="true"/>
        <sz val="14"/>
        <color rgb="FF1F3864"/>
        <rFont val="Noto Sans CJK SC"/>
        <family val="2"/>
      </rPr>
      <t xml:space="preserve">年</t>
    </r>
    <r>
      <rPr>
        <b val="true"/>
        <sz val="14"/>
        <color rgb="FF1F3864"/>
        <rFont val="Arial"/>
        <family val="0"/>
        <charset val="1"/>
      </rPr>
      <t xml:space="preserve">8</t>
    </r>
    <r>
      <rPr>
        <b val="true"/>
        <sz val="14"/>
        <color rgb="FF1F3864"/>
        <rFont val="Noto Sans CJK SC"/>
        <family val="2"/>
      </rPr>
      <t xml:space="preserve">月・</t>
    </r>
    <r>
      <rPr>
        <b val="true"/>
        <sz val="14"/>
        <color rgb="FF1F3864"/>
        <rFont val="Arial"/>
        <family val="0"/>
        <charset val="1"/>
      </rPr>
      <t xml:space="preserve">24</t>
    </r>
    <r>
      <rPr>
        <b val="true"/>
        <sz val="14"/>
        <color rgb="FF1F3864"/>
        <rFont val="Noto Sans CJK SC"/>
        <family val="2"/>
      </rPr>
      <t xml:space="preserve">か月）</t>
    </r>
  </si>
  <si>
    <r>
      <rPr>
        <sz val="9"/>
        <color rgb="FF595959"/>
        <rFont val="Noto Sans CJK SC"/>
        <family val="2"/>
      </rPr>
      <t xml:space="preserve">期首現預金 </t>
    </r>
    <r>
      <rPr>
        <sz val="9"/>
        <color rgb="FF595959"/>
        <rFont val="Arial"/>
        <family val="0"/>
        <charset val="1"/>
      </rPr>
      <t xml:space="preserve">5,021,382</t>
    </r>
    <r>
      <rPr>
        <sz val="9"/>
        <color rgb="FF595959"/>
        <rFont val="Noto Sans CJK SC"/>
        <family val="2"/>
      </rPr>
      <t xml:space="preserve">円（</t>
    </r>
    <r>
      <rPr>
        <sz val="9"/>
        <color rgb="FF595959"/>
        <rFont val="Arial"/>
        <family val="0"/>
        <charset val="1"/>
      </rPr>
      <t xml:space="preserve">2026</t>
    </r>
    <r>
      <rPr>
        <sz val="9"/>
        <color rgb="FF595959"/>
        <rFont val="Noto Sans CJK SC"/>
        <family val="2"/>
      </rPr>
      <t xml:space="preserve">年</t>
    </r>
    <r>
      <rPr>
        <sz val="9"/>
        <color rgb="FF595959"/>
        <rFont val="Arial"/>
        <family val="0"/>
        <charset val="1"/>
      </rPr>
      <t xml:space="preserve">9</t>
    </r>
    <r>
      <rPr>
        <sz val="9"/>
        <color rgb="FF595959"/>
        <rFont val="Noto Sans CJK SC"/>
        <family val="2"/>
      </rPr>
      <t xml:space="preserve">月</t>
    </r>
    <r>
      <rPr>
        <sz val="9"/>
        <color rgb="FF595959"/>
        <rFont val="Arial"/>
        <family val="0"/>
        <charset val="1"/>
      </rPr>
      <t xml:space="preserve">1</t>
    </r>
    <r>
      <rPr>
        <sz val="9"/>
        <color rgb="FF595959"/>
        <rFont val="Noto Sans CJK SC"/>
        <family val="2"/>
      </rPr>
      <t xml:space="preserve">日）。今回の</t>
    </r>
    <r>
      <rPr>
        <sz val="9"/>
        <color rgb="FF595959"/>
        <rFont val="Arial"/>
        <family val="0"/>
        <charset val="1"/>
      </rPr>
      <t xml:space="preserve">700</t>
    </r>
    <r>
      <rPr>
        <sz val="9"/>
        <color rgb="FF595959"/>
        <rFont val="Noto Sans CJK SC"/>
        <family val="2"/>
      </rPr>
      <t xml:space="preserve">万円を</t>
    </r>
    <r>
      <rPr>
        <sz val="9"/>
        <color rgb="FF595959"/>
        <rFont val="Arial"/>
        <family val="0"/>
        <charset val="1"/>
      </rPr>
      <t xml:space="preserve">2026</t>
    </r>
    <r>
      <rPr>
        <sz val="9"/>
        <color rgb="FF595959"/>
        <rFont val="Noto Sans CJK SC"/>
        <family val="2"/>
      </rPr>
      <t xml:space="preserve">年</t>
    </r>
    <r>
      <rPr>
        <sz val="9"/>
        <color rgb="FF595959"/>
        <rFont val="Arial"/>
        <family val="0"/>
        <charset val="1"/>
      </rPr>
      <t xml:space="preserve">10</t>
    </r>
    <r>
      <rPr>
        <sz val="9"/>
        <color rgb="FF595959"/>
        <rFont val="Noto Sans CJK SC"/>
        <family val="2"/>
      </rPr>
      <t xml:space="preserve">月に実行する前提。右端に、調達しなかった場合の残高を並べています。単位：円</t>
    </r>
  </si>
  <si>
    <t xml:space="preserve">期首残高</t>
  </si>
  <si>
    <t xml:space="preserve">営業損益
（月次）</t>
  </si>
  <si>
    <t xml:space="preserve">減価償却
（戻し）</t>
  </si>
  <si>
    <r>
      <rPr>
        <b val="true"/>
        <sz val="11"/>
        <color rgb="FFFFFFFF"/>
        <rFont val="Noto Sans CJK SC"/>
        <family val="2"/>
      </rPr>
      <t xml:space="preserve">社会保険
</t>
    </r>
    <r>
      <rPr>
        <b val="true"/>
        <sz val="11"/>
        <color rgb="FFFFFFFF"/>
        <rFont val="Arial"/>
        <family val="0"/>
        <charset val="1"/>
      </rPr>
      <t xml:space="preserve">2</t>
    </r>
    <r>
      <rPr>
        <b val="true"/>
        <sz val="11"/>
        <color rgb="FFFFFFFF"/>
        <rFont val="Noto Sans CJK SC"/>
        <family val="2"/>
      </rPr>
      <t xml:space="preserve">回納付月</t>
    </r>
  </si>
  <si>
    <t xml:space="preserve">その他税・
一時支出</t>
  </si>
  <si>
    <t xml:space="preserve">未払金の
圧縮</t>
  </si>
  <si>
    <t xml:space="preserve">借入 実行</t>
  </si>
  <si>
    <t xml:space="preserve">元金返済</t>
  </si>
  <si>
    <t xml:space="preserve">カード分割
（エポス）</t>
  </si>
  <si>
    <t xml:space="preserve">増減 計</t>
  </si>
  <si>
    <t xml:space="preserve">期末残高</t>
  </si>
  <si>
    <t xml:space="preserve">（参考）
無調達の場合</t>
  </si>
  <si>
    <t xml:space="preserve">■ 判定</t>
  </si>
  <si>
    <r>
      <rPr>
        <sz val="10"/>
        <color rgb="FF000000"/>
        <rFont val="Noto Sans CJK SC"/>
        <family val="2"/>
      </rPr>
      <t xml:space="preserve">今回の</t>
    </r>
    <r>
      <rPr>
        <sz val="10"/>
        <color rgb="FF000000"/>
        <rFont val="Arial"/>
        <family val="0"/>
        <charset val="1"/>
      </rPr>
      <t xml:space="preserve">700</t>
    </r>
    <r>
      <rPr>
        <sz val="10"/>
        <color rgb="FF000000"/>
        <rFont val="Noto Sans CJK SC"/>
        <family val="2"/>
      </rPr>
      <t xml:space="preserve">万円を調達した場合　</t>
    </r>
    <r>
      <rPr>
        <sz val="10"/>
        <color rgb="FF000000"/>
        <rFont val="Arial"/>
        <family val="0"/>
        <charset val="1"/>
      </rPr>
      <t xml:space="preserve">24</t>
    </r>
    <r>
      <rPr>
        <sz val="10"/>
        <color rgb="FF000000"/>
        <rFont val="Noto Sans CJK SC"/>
        <family val="2"/>
      </rPr>
      <t xml:space="preserve">か月の最低残高</t>
    </r>
  </si>
  <si>
    <t xml:space="preserve">に発生</t>
  </si>
  <si>
    <r>
      <rPr>
        <sz val="10"/>
        <color rgb="FF000000"/>
        <rFont val="Noto Sans CJK SC"/>
        <family val="2"/>
      </rPr>
      <t xml:space="preserve">借入実行後（</t>
    </r>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11</t>
    </r>
    <r>
      <rPr>
        <sz val="10"/>
        <color rgb="FF000000"/>
        <rFont val="Noto Sans CJK SC"/>
        <family val="2"/>
      </rPr>
      <t xml:space="preserve">月以降）の最低残高</t>
    </r>
  </si>
  <si>
    <r>
      <rPr>
        <sz val="10"/>
        <color rgb="FF000000"/>
        <rFont val="Noto Sans CJK SC"/>
        <family val="2"/>
      </rPr>
      <t xml:space="preserve">調達しなかった場合　</t>
    </r>
    <r>
      <rPr>
        <sz val="10"/>
        <color rgb="FF000000"/>
        <rFont val="Arial"/>
        <family val="0"/>
        <charset val="1"/>
      </rPr>
      <t xml:space="preserve">24</t>
    </r>
    <r>
      <rPr>
        <sz val="10"/>
        <color rgb="FF000000"/>
        <rFont val="Noto Sans CJK SC"/>
        <family val="2"/>
      </rPr>
      <t xml:space="preserve">か月の最低残高</t>
    </r>
  </si>
  <si>
    <r>
      <rPr>
        <sz val="10"/>
        <color rgb="FF000000"/>
        <rFont val="Noto Sans CJK SC"/>
        <family val="2"/>
      </rPr>
      <t xml:space="preserve">ストレステスト：営業損益が計画比▲</t>
    </r>
    <r>
      <rPr>
        <sz val="10"/>
        <color rgb="FF000000"/>
        <rFont val="Arial"/>
        <family val="0"/>
        <charset val="1"/>
      </rPr>
      <t xml:space="preserve">10%</t>
    </r>
    <r>
      <rPr>
        <sz val="10"/>
        <color rgb="FF000000"/>
        <rFont val="Noto Sans CJK SC"/>
        <family val="2"/>
      </rPr>
      <t xml:space="preserve">で推移した場合（借入あり）</t>
    </r>
  </si>
  <si>
    <r>
      <rPr>
        <sz val="9"/>
        <color rgb="FF404040"/>
        <rFont val="Noto Sans CJK SC"/>
        <family val="2"/>
      </rPr>
      <t xml:space="preserve">※ 営業損益（月次）は、</t>
    </r>
    <r>
      <rPr>
        <sz val="9"/>
        <color rgb="FF404040"/>
        <rFont val="Arial"/>
        <family val="0"/>
        <charset val="1"/>
      </rPr>
      <t xml:space="preserve">FRANK GOLF </t>
    </r>
    <r>
      <rPr>
        <sz val="9"/>
        <color rgb="FF404040"/>
        <rFont val="Noto Sans CJK SC"/>
        <family val="2"/>
      </rPr>
      <t xml:space="preserve">は②シートの月次計画から、既存事業・システム外販・本社共通は④シートの年額を</t>
    </r>
    <r>
      <rPr>
        <sz val="9"/>
        <color rgb="FF404040"/>
        <rFont val="Arial"/>
        <family val="0"/>
        <charset val="1"/>
      </rPr>
      <t xml:space="preserve">12</t>
    </r>
    <r>
      <rPr>
        <sz val="9"/>
        <color rgb="FF404040"/>
        <rFont val="Noto Sans CJK SC"/>
        <family val="2"/>
      </rPr>
      <t xml:space="preserve">等分して置いています。</t>
    </r>
  </si>
  <si>
    <r>
      <rPr>
        <sz val="9"/>
        <color rgb="FF404040"/>
        <rFont val="Noto Sans CJK SC"/>
        <family val="2"/>
      </rPr>
      <t xml:space="preserve">※ 社会保険は年</t>
    </r>
    <r>
      <rPr>
        <sz val="9"/>
        <color rgb="FF404040"/>
        <rFont val="Arial"/>
        <family val="0"/>
        <charset val="1"/>
      </rPr>
      <t xml:space="preserve">3</t>
    </r>
    <r>
      <rPr>
        <sz val="9"/>
        <color rgb="FF404040"/>
        <rFont val="Noto Sans CJK SC"/>
        <family val="2"/>
      </rPr>
      <t xml:space="preserve">回（</t>
    </r>
    <r>
      <rPr>
        <sz val="9"/>
        <color rgb="FF404040"/>
        <rFont val="Arial"/>
        <family val="0"/>
        <charset val="1"/>
      </rPr>
      <t xml:space="preserve">11</t>
    </r>
    <r>
      <rPr>
        <sz val="9"/>
        <color rgb="FF404040"/>
        <rFont val="Noto Sans CJK SC"/>
        <family val="2"/>
      </rPr>
      <t xml:space="preserve">月・</t>
    </r>
    <r>
      <rPr>
        <sz val="9"/>
        <color rgb="FF404040"/>
        <rFont val="Arial"/>
        <family val="0"/>
        <charset val="1"/>
      </rPr>
      <t xml:space="preserve">3</t>
    </r>
    <r>
      <rPr>
        <sz val="9"/>
        <color rgb="FF404040"/>
        <rFont val="Noto Sans CJK SC"/>
        <family val="2"/>
      </rPr>
      <t xml:space="preserve">月・</t>
    </r>
    <r>
      <rPr>
        <sz val="9"/>
        <color rgb="FF404040"/>
        <rFont val="Arial"/>
        <family val="0"/>
        <charset val="1"/>
      </rPr>
      <t xml:space="preserve">8</t>
    </r>
    <r>
      <rPr>
        <sz val="9"/>
        <color rgb="FF404040"/>
        <rFont val="Noto Sans CJK SC"/>
        <family val="2"/>
      </rPr>
      <t xml:space="preserve">月）が</t>
    </r>
    <r>
      <rPr>
        <sz val="9"/>
        <color rgb="FF404040"/>
        <rFont val="Arial"/>
        <family val="0"/>
        <charset val="1"/>
      </rPr>
      <t xml:space="preserve">2</t>
    </r>
    <r>
      <rPr>
        <sz val="9"/>
        <color rgb="FF404040"/>
        <rFont val="Noto Sans CJK SC"/>
        <family val="2"/>
      </rPr>
      <t xml:space="preserve">か月分まとめての納付月になるため、その上乗せ分</t>
    </r>
    <r>
      <rPr>
        <sz val="9"/>
        <color rgb="FF404040"/>
        <rFont val="Arial"/>
        <family val="0"/>
        <charset val="1"/>
      </rPr>
      <t xml:space="preserve">355,551</t>
    </r>
    <r>
      <rPr>
        <sz val="9"/>
        <color rgb="FF404040"/>
        <rFont val="Noto Sans CJK SC"/>
        <family val="2"/>
      </rPr>
      <t xml:space="preserve">円を計上しています（今回の申込の「季節資金」の根拠）。</t>
    </r>
  </si>
  <si>
    <r>
      <rPr>
        <sz val="9"/>
        <color rgb="FF404040"/>
        <rFont val="Noto Sans CJK SC"/>
        <family val="2"/>
      </rPr>
      <t xml:space="preserve">※ その他税・一時支出 月</t>
    </r>
    <r>
      <rPr>
        <sz val="9"/>
        <color rgb="FF404040"/>
        <rFont val="Arial"/>
        <family val="0"/>
        <charset val="1"/>
      </rPr>
      <t xml:space="preserve">100,000</t>
    </r>
    <r>
      <rPr>
        <sz val="9"/>
        <color rgb="FF404040"/>
        <rFont val="Noto Sans CJK SC"/>
        <family val="2"/>
      </rPr>
      <t xml:space="preserve">円は、</t>
    </r>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t>
    </r>
    <r>
      <rPr>
        <sz val="9"/>
        <color rgb="FF404040"/>
        <rFont val="Arial"/>
        <family val="0"/>
        <charset val="1"/>
      </rPr>
      <t xml:space="preserve">21</t>
    </r>
    <r>
      <rPr>
        <sz val="9"/>
        <color rgb="FF404040"/>
        <rFont val="Noto Sans CJK SC"/>
        <family val="2"/>
      </rPr>
      <t xml:space="preserve">日提出の資金繰り表と同じ前提です。</t>
    </r>
  </si>
  <si>
    <r>
      <rPr>
        <sz val="9"/>
        <color rgb="FF404040"/>
        <rFont val="Noto Sans CJK SC"/>
        <family val="2"/>
      </rPr>
      <t xml:space="preserve">※ 未払金の圧縮は、未払金</t>
    </r>
    <r>
      <rPr>
        <sz val="9"/>
        <color rgb="FF404040"/>
        <rFont val="Arial"/>
        <family val="0"/>
        <charset val="1"/>
      </rPr>
      <t xml:space="preserve">7,018,672</t>
    </r>
    <r>
      <rPr>
        <sz val="9"/>
        <color rgb="FF404040"/>
        <rFont val="Noto Sans CJK SC"/>
        <family val="2"/>
      </rPr>
      <t xml:space="preserve">円のうち開業投資に対応しない残 </t>
    </r>
    <r>
      <rPr>
        <sz val="9"/>
        <color rgb="FF404040"/>
        <rFont val="Arial"/>
        <family val="0"/>
        <charset val="1"/>
      </rPr>
      <t xml:space="preserve">1,278,497</t>
    </r>
    <r>
      <rPr>
        <sz val="9"/>
        <color rgb="FF404040"/>
        <rFont val="Noto Sans CJK SC"/>
        <family val="2"/>
      </rPr>
      <t xml:space="preserve">円を、</t>
    </r>
    <r>
      <rPr>
        <sz val="9"/>
        <color rgb="FF404040"/>
        <rFont val="Arial"/>
        <family val="0"/>
        <charset val="1"/>
      </rPr>
      <t xml:space="preserve">2026</t>
    </r>
    <r>
      <rPr>
        <sz val="9"/>
        <color rgb="FF404040"/>
        <rFont val="Noto Sans CJK SC"/>
        <family val="2"/>
      </rPr>
      <t xml:space="preserve">年</t>
    </r>
    <r>
      <rPr>
        <sz val="9"/>
        <color rgb="FF404040"/>
        <rFont val="Arial"/>
        <family val="0"/>
        <charset val="1"/>
      </rPr>
      <t xml:space="preserve">10</t>
    </r>
    <r>
      <rPr>
        <sz val="9"/>
        <color rgb="FF404040"/>
        <rFont val="Noto Sans CJK SC"/>
        <family val="2"/>
      </rPr>
      <t xml:space="preserve">月から</t>
    </r>
    <r>
      <rPr>
        <sz val="9"/>
        <color rgb="FF404040"/>
        <rFont val="Arial"/>
        <family val="0"/>
        <charset val="1"/>
      </rPr>
      <t xml:space="preserve">6</t>
    </r>
    <r>
      <rPr>
        <sz val="9"/>
        <color rgb="FF404040"/>
        <rFont val="Noto Sans CJK SC"/>
        <family val="2"/>
      </rPr>
      <t xml:space="preserve">か月で支払う想定です。</t>
    </r>
  </si>
  <si>
    <r>
      <rPr>
        <sz val="9"/>
        <color rgb="FF404040"/>
        <rFont val="Noto Sans CJK SC"/>
        <family val="2"/>
      </rPr>
      <t xml:space="preserve">※ カード分割（エポス）</t>
    </r>
    <r>
      <rPr>
        <sz val="9"/>
        <color rgb="FF404040"/>
        <rFont val="Arial"/>
        <family val="0"/>
        <charset val="1"/>
      </rPr>
      <t xml:space="preserve">289,050</t>
    </r>
    <r>
      <rPr>
        <sz val="9"/>
        <color rgb="FF404040"/>
        <rFont val="Noto Sans CJK SC"/>
        <family val="2"/>
      </rPr>
      <t xml:space="preserve">円</t>
    </r>
    <r>
      <rPr>
        <sz val="9"/>
        <color rgb="FF404040"/>
        <rFont val="Arial"/>
        <family val="0"/>
        <charset val="1"/>
      </rPr>
      <t xml:space="preserve">/</t>
    </r>
    <r>
      <rPr>
        <sz val="9"/>
        <color rgb="FF404040"/>
        <rFont val="Noto Sans CJK SC"/>
        <family val="2"/>
      </rPr>
      <t xml:space="preserve">月は</t>
    </r>
    <r>
      <rPr>
        <sz val="9"/>
        <color rgb="FF404040"/>
        <rFont val="Arial"/>
        <family val="0"/>
        <charset val="1"/>
      </rPr>
      <t xml:space="preserve">2027</t>
    </r>
    <r>
      <rPr>
        <sz val="9"/>
        <color rgb="FF404040"/>
        <rFont val="Noto Sans CJK SC"/>
        <family val="2"/>
      </rPr>
      <t xml:space="preserve">年</t>
    </r>
    <r>
      <rPr>
        <sz val="9"/>
        <color rgb="FF404040"/>
        <rFont val="Arial"/>
        <family val="0"/>
        <charset val="1"/>
      </rPr>
      <t xml:space="preserve">5</t>
    </r>
    <r>
      <rPr>
        <sz val="9"/>
        <color rgb="FF404040"/>
        <rFont val="Noto Sans CJK SC"/>
        <family val="2"/>
      </rPr>
      <t xml:space="preserve">月で完済します。開業投資のカード分割であり、費用ではなく未払金の返済です。</t>
    </r>
  </si>
  <si>
    <r>
      <rPr>
        <sz val="9"/>
        <color rgb="FF404040"/>
        <rFont val="Noto Sans CJK SC"/>
        <family val="2"/>
      </rPr>
      <t xml:space="preserve">※ アメリカン・エキスプレス法人カード（月約</t>
    </r>
    <r>
      <rPr>
        <sz val="9"/>
        <color rgb="FF404040"/>
        <rFont val="Arial"/>
        <family val="0"/>
        <charset val="1"/>
      </rPr>
      <t xml:space="preserve">450,000</t>
    </r>
    <r>
      <rPr>
        <sz val="9"/>
        <color rgb="FF404040"/>
        <rFont val="Noto Sans CJK SC"/>
        <family val="2"/>
      </rPr>
      <t xml:space="preserve">円）は、営業損益に含まれる経費の決済手段のため、二重には計上していません。</t>
    </r>
  </si>
  <si>
    <r>
      <rPr>
        <sz val="9"/>
        <color rgb="FF404040"/>
        <rFont val="Arial"/>
        <family val="0"/>
        <charset val="1"/>
      </rPr>
      <t xml:space="preserve">※ GOLF WING </t>
    </r>
    <r>
      <rPr>
        <sz val="9"/>
        <color rgb="FF404040"/>
        <rFont val="Noto Sans CJK SC"/>
        <family val="2"/>
      </rPr>
      <t xml:space="preserve">宝塚は㈱ファインからの精算が当月分→翌月末入金のため、実際の入金は</t>
    </r>
    <r>
      <rPr>
        <sz val="9"/>
        <color rgb="FF404040"/>
        <rFont val="Arial"/>
        <family val="0"/>
        <charset val="1"/>
      </rPr>
      <t xml:space="preserve">1</t>
    </r>
    <r>
      <rPr>
        <sz val="9"/>
        <color rgb="FF404040"/>
        <rFont val="Noto Sans CJK SC"/>
        <family val="2"/>
      </rPr>
      <t xml:space="preserve">か月遅れます。上表は月次平均で均しています。</t>
    </r>
  </si>
  <si>
    <r>
      <rPr>
        <sz val="9"/>
        <color rgb="FF404040"/>
        <rFont val="Arial"/>
        <family val="0"/>
        <charset val="1"/>
      </rPr>
      <t xml:space="preserve">※ 2026</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t>
    </r>
    <r>
      <rPr>
        <sz val="9"/>
        <color rgb="FF404040"/>
        <rFont val="Arial"/>
        <family val="0"/>
        <charset val="1"/>
      </rPr>
      <t xml:space="preserve">21</t>
    </r>
    <r>
      <rPr>
        <sz val="9"/>
        <color rgb="FF404040"/>
        <rFont val="Noto Sans CJK SC"/>
        <family val="2"/>
      </rPr>
      <t xml:space="preserve">日に提出した資金繰り表では、最低残高は</t>
    </r>
    <r>
      <rPr>
        <sz val="9"/>
        <color rgb="FF404040"/>
        <rFont val="Arial"/>
        <family val="0"/>
        <charset val="1"/>
      </rPr>
      <t xml:space="preserve">3,422,996</t>
    </r>
    <r>
      <rPr>
        <sz val="9"/>
        <color rgb="FF404040"/>
        <rFont val="Noto Sans CJK SC"/>
        <family val="2"/>
      </rPr>
      <t xml:space="preserve">円（</t>
    </r>
    <r>
      <rPr>
        <sz val="9"/>
        <color rgb="FF404040"/>
        <rFont val="Arial"/>
        <family val="0"/>
        <charset val="1"/>
      </rPr>
      <t xml:space="preserve">2027</t>
    </r>
    <r>
      <rPr>
        <sz val="9"/>
        <color rgb="FF404040"/>
        <rFont val="Noto Sans CJK SC"/>
        <family val="2"/>
      </rPr>
      <t xml:space="preserve">年</t>
    </r>
    <r>
      <rPr>
        <sz val="9"/>
        <color rgb="FF404040"/>
        <rFont val="Arial"/>
        <family val="0"/>
        <charset val="1"/>
      </rPr>
      <t xml:space="preserve">3</t>
    </r>
    <r>
      <rPr>
        <sz val="9"/>
        <color rgb="FF404040"/>
        <rFont val="Noto Sans CJK SC"/>
        <family val="2"/>
      </rPr>
      <t xml:space="preserve">月）でした。本計画は開業後の実績を織り込んで作り直したものです。</t>
    </r>
  </si>
  <si>
    <t xml:space="preserve">⑥ 借入金の返済計画</t>
  </si>
  <si>
    <r>
      <rPr>
        <sz val="9"/>
        <color rgb="FF595959"/>
        <rFont val="Noto Sans CJK SC"/>
        <family val="2"/>
      </rPr>
      <t xml:space="preserve">今回の申込 </t>
    </r>
    <r>
      <rPr>
        <sz val="9"/>
        <color rgb="FF595959"/>
        <rFont val="Arial"/>
        <family val="0"/>
        <charset val="1"/>
      </rPr>
      <t xml:space="preserve">700</t>
    </r>
    <r>
      <rPr>
        <sz val="9"/>
        <color rgb="FF595959"/>
        <rFont val="Noto Sans CJK SC"/>
        <family val="2"/>
      </rPr>
      <t xml:space="preserve">万円（年</t>
    </r>
    <r>
      <rPr>
        <sz val="9"/>
        <color rgb="FF595959"/>
        <rFont val="Arial"/>
        <family val="0"/>
        <charset val="1"/>
      </rPr>
      <t xml:space="preserve">2.5%</t>
    </r>
    <r>
      <rPr>
        <sz val="9"/>
        <color rgb="FF595959"/>
        <rFont val="Noto Sans CJK SC"/>
        <family val="2"/>
      </rPr>
      <t xml:space="preserve">・</t>
    </r>
    <r>
      <rPr>
        <sz val="9"/>
        <color rgb="FF595959"/>
        <rFont val="Arial"/>
        <family val="0"/>
        <charset val="1"/>
      </rPr>
      <t xml:space="preserve">84</t>
    </r>
    <r>
      <rPr>
        <sz val="9"/>
        <color rgb="FF595959"/>
        <rFont val="Noto Sans CJK SC"/>
        <family val="2"/>
      </rPr>
      <t xml:space="preserve">回・元金据置</t>
    </r>
    <r>
      <rPr>
        <sz val="9"/>
        <color rgb="FF595959"/>
        <rFont val="Arial"/>
        <family val="0"/>
        <charset val="1"/>
      </rPr>
      <t xml:space="preserve">6</t>
    </r>
    <r>
      <rPr>
        <sz val="9"/>
        <color rgb="FF595959"/>
        <rFont val="Noto Sans CJK SC"/>
        <family val="2"/>
      </rPr>
      <t xml:space="preserve">か月）と、既存の長期借入金 </t>
    </r>
    <r>
      <rPr>
        <sz val="9"/>
        <color rgb="FF595959"/>
        <rFont val="Arial"/>
        <family val="0"/>
        <charset val="1"/>
      </rPr>
      <t xml:space="preserve">4,804,819</t>
    </r>
    <r>
      <rPr>
        <sz val="9"/>
        <color rgb="FF595959"/>
        <rFont val="Noto Sans CJK SC"/>
        <family val="2"/>
      </rPr>
      <t xml:space="preserve">円（毎月元金</t>
    </r>
    <r>
      <rPr>
        <sz val="9"/>
        <color rgb="FF595959"/>
        <rFont val="Arial"/>
        <family val="0"/>
        <charset val="1"/>
      </rPr>
      <t xml:space="preserve">108,108</t>
    </r>
    <r>
      <rPr>
        <sz val="9"/>
        <color rgb="FF595959"/>
        <rFont val="Noto Sans CJK SC"/>
        <family val="2"/>
      </rPr>
      <t xml:space="preserve">円）。単位：円</t>
    </r>
  </si>
  <si>
    <t xml:space="preserve">期間</t>
  </si>
  <si>
    <t xml:space="preserve">今回借入
元金返済</t>
  </si>
  <si>
    <t xml:space="preserve">今回借入
支払利息</t>
  </si>
  <si>
    <t xml:space="preserve">既存借入
元金返済</t>
  </si>
  <si>
    <t xml:space="preserve">既存借入
支払利息</t>
  </si>
  <si>
    <t xml:space="preserve">支払利息 計</t>
  </si>
  <si>
    <t xml:space="preserve">元金返済 計</t>
  </si>
  <si>
    <t xml:space="preserve">期末 借入金残高</t>
  </si>
  <si>
    <r>
      <rPr>
        <sz val="10"/>
        <color rgb="FF000000"/>
        <rFont val="Noto Sans CJK SC"/>
        <family val="2"/>
      </rPr>
      <t xml:space="preserve">第</t>
    </r>
    <r>
      <rPr>
        <sz val="10"/>
        <color rgb="FF000000"/>
        <rFont val="Arial"/>
        <family val="0"/>
        <charset val="1"/>
      </rPr>
      <t xml:space="preserve">2</t>
    </r>
    <r>
      <rPr>
        <sz val="10"/>
        <color rgb="FF000000"/>
        <rFont val="Noto Sans CJK SC"/>
        <family val="2"/>
      </rPr>
      <t xml:space="preserve">期</t>
    </r>
  </si>
  <si>
    <t xml:space="preserve">（借入実行前）</t>
  </si>
  <si>
    <r>
      <rPr>
        <sz val="10"/>
        <color rgb="FF000000"/>
        <rFont val="Noto Sans CJK SC"/>
        <family val="2"/>
      </rPr>
      <t xml:space="preserve">第</t>
    </r>
    <r>
      <rPr>
        <sz val="10"/>
        <color rgb="FF000000"/>
        <rFont val="Arial"/>
        <family val="0"/>
        <charset val="1"/>
      </rPr>
      <t xml:space="preserve">3</t>
    </r>
    <r>
      <rPr>
        <sz val="10"/>
        <color rgb="FF000000"/>
        <rFont val="Noto Sans CJK SC"/>
        <family val="2"/>
      </rPr>
      <t xml:space="preserve">期</t>
    </r>
  </si>
  <si>
    <r>
      <rPr>
        <sz val="10"/>
        <color rgb="FF000000"/>
        <rFont val="Arial"/>
        <family val="0"/>
        <charset val="1"/>
      </rPr>
      <t xml:space="preserve">2026/9</t>
    </r>
    <r>
      <rPr>
        <sz val="10"/>
        <color rgb="FF000000"/>
        <rFont val="Noto Sans CJK SC"/>
        <family val="2"/>
      </rPr>
      <t xml:space="preserve">〜</t>
    </r>
    <r>
      <rPr>
        <sz val="10"/>
        <color rgb="FF000000"/>
        <rFont val="Arial"/>
        <family val="0"/>
        <charset val="1"/>
      </rPr>
      <t xml:space="preserve">2027/8</t>
    </r>
  </si>
  <si>
    <r>
      <rPr>
        <sz val="10"/>
        <color rgb="FF000000"/>
        <rFont val="Noto Sans CJK SC"/>
        <family val="2"/>
      </rPr>
      <t xml:space="preserve">第</t>
    </r>
    <r>
      <rPr>
        <sz val="10"/>
        <color rgb="FF000000"/>
        <rFont val="Arial"/>
        <family val="0"/>
        <charset val="1"/>
      </rPr>
      <t xml:space="preserve">4</t>
    </r>
    <r>
      <rPr>
        <sz val="10"/>
        <color rgb="FF000000"/>
        <rFont val="Noto Sans CJK SC"/>
        <family val="2"/>
      </rPr>
      <t xml:space="preserve">期</t>
    </r>
  </si>
  <si>
    <r>
      <rPr>
        <sz val="10"/>
        <color rgb="FF000000"/>
        <rFont val="Arial"/>
        <family val="0"/>
        <charset val="1"/>
      </rPr>
      <t xml:space="preserve">2027/9</t>
    </r>
    <r>
      <rPr>
        <sz val="10"/>
        <color rgb="FF000000"/>
        <rFont val="Noto Sans CJK SC"/>
        <family val="2"/>
      </rPr>
      <t xml:space="preserve">〜</t>
    </r>
    <r>
      <rPr>
        <sz val="10"/>
        <color rgb="FF000000"/>
        <rFont val="Arial"/>
        <family val="0"/>
        <charset val="1"/>
      </rPr>
      <t xml:space="preserve">2028/8</t>
    </r>
  </si>
  <si>
    <r>
      <rPr>
        <sz val="10"/>
        <color rgb="FF000000"/>
        <rFont val="Noto Sans CJK SC"/>
        <family val="2"/>
      </rPr>
      <t xml:space="preserve">第</t>
    </r>
    <r>
      <rPr>
        <sz val="10"/>
        <color rgb="FF000000"/>
        <rFont val="Arial"/>
        <family val="0"/>
        <charset val="1"/>
      </rPr>
      <t xml:space="preserve">5</t>
    </r>
    <r>
      <rPr>
        <sz val="10"/>
        <color rgb="FF000000"/>
        <rFont val="Noto Sans CJK SC"/>
        <family val="2"/>
      </rPr>
      <t xml:space="preserve">期</t>
    </r>
  </si>
  <si>
    <r>
      <rPr>
        <sz val="10"/>
        <color rgb="FF000000"/>
        <rFont val="Arial"/>
        <family val="0"/>
        <charset val="1"/>
      </rPr>
      <t xml:space="preserve">2028/9</t>
    </r>
    <r>
      <rPr>
        <sz val="10"/>
        <color rgb="FF000000"/>
        <rFont val="Noto Sans CJK SC"/>
        <family val="2"/>
      </rPr>
      <t xml:space="preserve">〜</t>
    </r>
    <r>
      <rPr>
        <sz val="10"/>
        <color rgb="FF000000"/>
        <rFont val="Arial"/>
        <family val="0"/>
        <charset val="1"/>
      </rPr>
      <t xml:space="preserve">2029/8</t>
    </r>
  </si>
  <si>
    <r>
      <rPr>
        <sz val="10"/>
        <color rgb="FF000000"/>
        <rFont val="Noto Sans CJK SC"/>
        <family val="2"/>
      </rPr>
      <t xml:space="preserve">第</t>
    </r>
    <r>
      <rPr>
        <sz val="10"/>
        <color rgb="FF000000"/>
        <rFont val="Arial"/>
        <family val="0"/>
        <charset val="1"/>
      </rPr>
      <t xml:space="preserve">6</t>
    </r>
    <r>
      <rPr>
        <sz val="10"/>
        <color rgb="FF000000"/>
        <rFont val="Noto Sans CJK SC"/>
        <family val="2"/>
      </rPr>
      <t xml:space="preserve">期</t>
    </r>
  </si>
  <si>
    <r>
      <rPr>
        <sz val="10"/>
        <color rgb="FF000000"/>
        <rFont val="Arial"/>
        <family val="0"/>
        <charset val="1"/>
      </rPr>
      <t xml:space="preserve">2029/9</t>
    </r>
    <r>
      <rPr>
        <sz val="10"/>
        <color rgb="FF000000"/>
        <rFont val="Noto Sans CJK SC"/>
        <family val="2"/>
      </rPr>
      <t xml:space="preserve">〜</t>
    </r>
    <r>
      <rPr>
        <sz val="10"/>
        <color rgb="FF000000"/>
        <rFont val="Arial"/>
        <family val="0"/>
        <charset val="1"/>
      </rPr>
      <t xml:space="preserve">2030/8</t>
    </r>
  </si>
  <si>
    <r>
      <rPr>
        <sz val="10"/>
        <color rgb="FF000000"/>
        <rFont val="Noto Sans CJK SC"/>
        <family val="2"/>
      </rPr>
      <t xml:space="preserve">第</t>
    </r>
    <r>
      <rPr>
        <sz val="10"/>
        <color rgb="FF000000"/>
        <rFont val="Arial"/>
        <family val="0"/>
        <charset val="1"/>
      </rPr>
      <t xml:space="preserve">7</t>
    </r>
    <r>
      <rPr>
        <sz val="10"/>
        <color rgb="FF000000"/>
        <rFont val="Noto Sans CJK SC"/>
        <family val="2"/>
      </rPr>
      <t xml:space="preserve">期</t>
    </r>
  </si>
  <si>
    <r>
      <rPr>
        <sz val="10"/>
        <color rgb="FF000000"/>
        <rFont val="Arial"/>
        <family val="0"/>
        <charset val="1"/>
      </rPr>
      <t xml:space="preserve">2030/9</t>
    </r>
    <r>
      <rPr>
        <sz val="10"/>
        <color rgb="FF000000"/>
        <rFont val="Noto Sans CJK SC"/>
        <family val="2"/>
      </rPr>
      <t xml:space="preserve">〜</t>
    </r>
    <r>
      <rPr>
        <sz val="10"/>
        <color rgb="FF000000"/>
        <rFont val="Arial"/>
        <family val="0"/>
        <charset val="1"/>
      </rPr>
      <t xml:space="preserve">2031/8</t>
    </r>
  </si>
  <si>
    <t xml:space="preserve">■ 返済のしかた</t>
  </si>
  <si>
    <r>
      <rPr>
        <sz val="9"/>
        <color rgb="FF000000"/>
        <rFont val="Noto Sans CJK SC"/>
        <family val="2"/>
      </rPr>
      <t xml:space="preserve">・今回の</t>
    </r>
    <r>
      <rPr>
        <sz val="9"/>
        <color rgb="FF000000"/>
        <rFont val="Arial"/>
        <family val="0"/>
        <charset val="1"/>
      </rPr>
      <t xml:space="preserve">700</t>
    </r>
    <r>
      <rPr>
        <sz val="9"/>
        <color rgb="FF000000"/>
        <rFont val="Noto Sans CJK SC"/>
        <family val="2"/>
      </rPr>
      <t xml:space="preserve">万円は、元金据置</t>
    </r>
    <r>
      <rPr>
        <sz val="9"/>
        <color rgb="FF000000"/>
        <rFont val="Arial"/>
        <family val="0"/>
        <charset val="1"/>
      </rPr>
      <t xml:space="preserve">6</t>
    </r>
    <r>
      <rPr>
        <sz val="9"/>
        <color rgb="FF000000"/>
        <rFont val="Noto Sans CJK SC"/>
        <family val="2"/>
      </rPr>
      <t xml:space="preserve">か月ののち</t>
    </r>
    <r>
      <rPr>
        <sz val="9"/>
        <color rgb="FF000000"/>
        <rFont val="Arial"/>
        <family val="0"/>
        <charset val="1"/>
      </rPr>
      <t xml:space="preserve">78</t>
    </r>
    <r>
      <rPr>
        <sz val="9"/>
        <color rgb="FF000000"/>
        <rFont val="Noto Sans CJK SC"/>
        <family val="2"/>
      </rPr>
      <t xml:space="preserve">回で元金均等返済（毎月</t>
    </r>
    <r>
      <rPr>
        <sz val="9"/>
        <color rgb="FF000000"/>
        <rFont val="Arial"/>
        <family val="0"/>
        <charset val="1"/>
      </rPr>
      <t xml:space="preserve">89,744</t>
    </r>
    <r>
      <rPr>
        <sz val="9"/>
        <color rgb="FF000000"/>
        <rFont val="Noto Sans CJK SC"/>
        <family val="2"/>
      </rPr>
      <t xml:space="preserve">円＋利息）。返済日は毎月</t>
    </r>
    <r>
      <rPr>
        <sz val="9"/>
        <color rgb="FF000000"/>
        <rFont val="Arial"/>
        <family val="0"/>
        <charset val="1"/>
      </rPr>
      <t xml:space="preserve">5</t>
    </r>
    <r>
      <rPr>
        <sz val="9"/>
        <color rgb="FF000000"/>
        <rFont val="Noto Sans CJK SC"/>
        <family val="2"/>
      </rPr>
      <t xml:space="preserve">日。</t>
    </r>
  </si>
  <si>
    <r>
      <rPr>
        <sz val="9"/>
        <color rgb="FF000000"/>
        <rFont val="Noto Sans CJK SC"/>
        <family val="2"/>
      </rPr>
      <t xml:space="preserve">・据置期間を置くのは、資金繰りの残高が最も薄くなる</t>
    </r>
    <r>
      <rPr>
        <sz val="9"/>
        <color rgb="FF000000"/>
        <rFont val="Arial"/>
        <family val="0"/>
        <charset val="1"/>
      </rPr>
      <t xml:space="preserve">2027</t>
    </r>
    <r>
      <rPr>
        <sz val="9"/>
        <color rgb="FF000000"/>
        <rFont val="Noto Sans CJK SC"/>
        <family val="2"/>
      </rPr>
      <t xml:space="preserve">年</t>
    </r>
    <r>
      <rPr>
        <sz val="9"/>
        <color rgb="FF000000"/>
        <rFont val="Arial"/>
        <family val="0"/>
        <charset val="1"/>
      </rPr>
      <t xml:space="preserve">3</t>
    </r>
    <r>
      <rPr>
        <sz val="9"/>
        <color rgb="FF000000"/>
        <rFont val="Noto Sans CJK SC"/>
        <family val="2"/>
      </rPr>
      <t xml:space="preserve">月を越えてから元金返済を始めるためです。</t>
    </r>
  </si>
  <si>
    <r>
      <rPr>
        <sz val="9"/>
        <color rgb="FF000000"/>
        <rFont val="Noto Sans CJK SC"/>
        <family val="2"/>
      </rPr>
      <t xml:space="preserve">・既存の長期借入金は毎月</t>
    </r>
    <r>
      <rPr>
        <sz val="9"/>
        <color rgb="FF000000"/>
        <rFont val="Arial"/>
        <family val="0"/>
        <charset val="1"/>
      </rPr>
      <t xml:space="preserve">108,108</t>
    </r>
    <r>
      <rPr>
        <sz val="9"/>
        <color rgb="FF000000"/>
        <rFont val="Noto Sans CJK SC"/>
        <family val="2"/>
      </rPr>
      <t xml:space="preserve">円の元金返済で、</t>
    </r>
    <r>
      <rPr>
        <sz val="9"/>
        <color rgb="FF000000"/>
        <rFont val="Arial"/>
        <family val="0"/>
        <charset val="1"/>
      </rPr>
      <t xml:space="preserve">2030</t>
    </r>
    <r>
      <rPr>
        <sz val="9"/>
        <color rgb="FF000000"/>
        <rFont val="Noto Sans CJK SC"/>
        <family val="2"/>
      </rPr>
      <t xml:space="preserve">年</t>
    </r>
    <r>
      <rPr>
        <sz val="9"/>
        <color rgb="FF000000"/>
        <rFont val="Arial"/>
        <family val="0"/>
        <charset val="1"/>
      </rPr>
      <t xml:space="preserve">3</t>
    </r>
    <r>
      <rPr>
        <sz val="9"/>
        <color rgb="FF000000"/>
        <rFont val="Noto Sans CJK SC"/>
        <family val="2"/>
      </rPr>
      <t xml:space="preserve">月ごろ完済の見込みです（金利は年</t>
    </r>
    <r>
      <rPr>
        <sz val="9"/>
        <color rgb="FF000000"/>
        <rFont val="Arial"/>
        <family val="0"/>
        <charset val="1"/>
      </rPr>
      <t xml:space="preserve">2.0%</t>
    </r>
    <r>
      <rPr>
        <sz val="9"/>
        <color rgb="FF000000"/>
        <rFont val="Noto Sans CJK SC"/>
        <family val="2"/>
      </rPr>
      <t xml:space="preserve">と仮置き／返済予定表で差し替え）。</t>
    </r>
  </si>
  <si>
    <t xml:space="preserve">■ 返済明細</t>
  </si>
  <si>
    <t xml:space="preserve">返済日</t>
  </si>
  <si>
    <r>
      <rPr>
        <b val="true"/>
        <sz val="9"/>
        <color rgb="FF000000"/>
        <rFont val="Noto Sans CJK SC"/>
        <family val="2"/>
      </rPr>
      <t xml:space="preserve">元金（今回</t>
    </r>
    <r>
      <rPr>
        <b val="true"/>
        <sz val="9"/>
        <color rgb="FF000000"/>
        <rFont val="Arial"/>
        <family val="0"/>
        <charset val="1"/>
      </rPr>
      <t xml:space="preserve">700</t>
    </r>
    <r>
      <rPr>
        <b val="true"/>
        <sz val="9"/>
        <color rgb="FF000000"/>
        <rFont val="Noto Sans CJK SC"/>
        <family val="2"/>
      </rPr>
      <t xml:space="preserve">万）</t>
    </r>
  </si>
  <si>
    <t xml:space="preserve">利息</t>
  </si>
  <si>
    <t xml:space="preserve">元金（既存）</t>
  </si>
  <si>
    <t xml:space="preserve">残高（既存）</t>
  </si>
  <si>
    <r>
      <rPr>
        <sz val="8"/>
        <color rgb="FF000000"/>
        <rFont val="Noto Sans CJK SC"/>
        <family val="2"/>
      </rPr>
      <t xml:space="preserve">第</t>
    </r>
    <r>
      <rPr>
        <sz val="8"/>
        <color rgb="FF000000"/>
        <rFont val="Arial"/>
        <family val="0"/>
        <charset val="1"/>
      </rPr>
      <t xml:space="preserve">3</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</si>
  <si>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4</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</si>
  <si>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5</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</si>
  <si>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6</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</si>
  <si>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7</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</si>
  <si>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8</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</si>
  <si>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9</t>
    </r>
    <r>
      <rPr>
        <sz val="8"/>
        <color rgb="FF000000"/>
        <rFont val="Noto Sans CJK SC"/>
        <family val="2"/>
      </rPr>
      <t xml:space="preserve">期</t>
    </r>
  </si>
  <si>
    <r>
      <rPr>
        <sz val="8"/>
        <color rgb="FF000000"/>
        <rFont val="Noto Sans CJK SC"/>
        <family val="2"/>
      </rPr>
      <t xml:space="preserve">第</t>
    </r>
    <r>
      <rPr>
        <sz val="8"/>
        <color rgb="FF000000"/>
        <rFont val="Arial"/>
        <family val="0"/>
        <charset val="1"/>
      </rPr>
      <t xml:space="preserve">10</t>
    </r>
    <r>
      <rPr>
        <sz val="8"/>
        <color rgb="FF000000"/>
        <rFont val="Noto Sans CJK SC"/>
        <family val="2"/>
      </rPr>
      <t xml:space="preserve">期</t>
    </r>
  </si>
  <si>
    <t xml:space="preserve">⑦ 純資産の推移と債務超過の解消</t>
  </si>
  <si>
    <r>
      <rPr>
        <sz val="9"/>
        <color rgb="FF595959"/>
        <rFont val="Noto Sans CJK SC"/>
        <family val="2"/>
      </rPr>
      <t xml:space="preserve">第</t>
    </r>
    <r>
      <rPr>
        <sz val="9"/>
        <color rgb="FF595959"/>
        <rFont val="Arial"/>
        <family val="0"/>
        <charset val="1"/>
      </rPr>
      <t xml:space="preserve">2</t>
    </r>
    <r>
      <rPr>
        <sz val="9"/>
        <color rgb="FF595959"/>
        <rFont val="Noto Sans CJK SC"/>
        <family val="2"/>
      </rPr>
      <t xml:space="preserve">期末の債務超過を、第</t>
    </r>
    <r>
      <rPr>
        <sz val="9"/>
        <color rgb="FF595959"/>
        <rFont val="Arial"/>
        <family val="0"/>
        <charset val="1"/>
      </rPr>
      <t xml:space="preserve">3</t>
    </r>
    <r>
      <rPr>
        <sz val="9"/>
        <color rgb="FF595959"/>
        <rFont val="Noto Sans CJK SC"/>
        <family val="2"/>
      </rPr>
      <t xml:space="preserve">期（</t>
    </r>
    <r>
      <rPr>
        <sz val="9"/>
        <color rgb="FF595959"/>
        <rFont val="Arial"/>
        <family val="0"/>
        <charset val="1"/>
      </rPr>
      <t xml:space="preserve">FRANK GOLF </t>
    </r>
    <r>
      <rPr>
        <sz val="9"/>
        <color rgb="FF595959"/>
        <rFont val="Noto Sans CJK SC"/>
        <family val="2"/>
      </rPr>
      <t xml:space="preserve">営業</t>
    </r>
    <r>
      <rPr>
        <sz val="9"/>
        <color rgb="FF595959"/>
        <rFont val="Arial"/>
        <family val="0"/>
        <charset val="1"/>
      </rPr>
      <t xml:space="preserve">1</t>
    </r>
    <r>
      <rPr>
        <sz val="9"/>
        <color rgb="FF595959"/>
        <rFont val="Noto Sans CJK SC"/>
        <family val="2"/>
      </rPr>
      <t xml:space="preserve">年目）で解消する計画です。単位：円</t>
    </r>
  </si>
  <si>
    <t xml:space="preserve">項目</t>
  </si>
  <si>
    <r>
      <rPr>
        <b val="true"/>
        <sz val="11"/>
        <color rgb="FFFFFFFF"/>
        <rFont val="Noto Sans CJK SC"/>
        <family val="2"/>
      </rPr>
      <t xml:space="preserve">第</t>
    </r>
    <r>
      <rPr>
        <b val="true"/>
        <sz val="11"/>
        <color rgb="FFFFFFFF"/>
        <rFont val="Arial"/>
        <family val="0"/>
        <charset val="1"/>
      </rPr>
      <t xml:space="preserve">2</t>
    </r>
    <r>
      <rPr>
        <b val="true"/>
        <sz val="11"/>
        <color rgb="FFFFFFFF"/>
        <rFont val="Noto Sans CJK SC"/>
        <family val="2"/>
      </rPr>
      <t xml:space="preserve">期 実績
（令和</t>
    </r>
    <r>
      <rPr>
        <b val="true"/>
        <sz val="11"/>
        <color rgb="FFFFFFFF"/>
        <rFont val="Arial"/>
        <family val="0"/>
        <charset val="1"/>
      </rPr>
      <t xml:space="preserve">8</t>
    </r>
    <r>
      <rPr>
        <b val="true"/>
        <sz val="11"/>
        <color rgb="FFFFFFFF"/>
        <rFont val="Noto Sans CJK SC"/>
        <family val="2"/>
      </rPr>
      <t xml:space="preserve">年</t>
    </r>
    <r>
      <rPr>
        <b val="true"/>
        <sz val="11"/>
        <color rgb="FFFFFFFF"/>
        <rFont val="Arial"/>
        <family val="0"/>
        <charset val="1"/>
      </rPr>
      <t xml:space="preserve">7</t>
    </r>
    <r>
      <rPr>
        <b val="true"/>
        <sz val="11"/>
        <color rgb="FFFFFFFF"/>
        <rFont val="Noto Sans CJK SC"/>
        <family val="2"/>
      </rPr>
      <t xml:space="preserve">月</t>
    </r>
    <r>
      <rPr>
        <b val="true"/>
        <sz val="11"/>
        <color rgb="FFFFFFFF"/>
        <rFont val="Arial"/>
        <family val="0"/>
        <charset val="1"/>
      </rPr>
      <t xml:space="preserve">31</t>
    </r>
    <r>
      <rPr>
        <b val="true"/>
        <sz val="11"/>
        <color rgb="FFFFFFFF"/>
        <rFont val="Noto Sans CJK SC"/>
        <family val="2"/>
      </rPr>
      <t xml:space="preserve">日）</t>
    </r>
  </si>
  <si>
    <t xml:space="preserve">期首 純資産</t>
  </si>
  <si>
    <r>
      <rPr>
        <sz val="9"/>
        <color rgb="FF404040"/>
        <rFont val="Noto Sans CJK SC"/>
        <family val="2"/>
      </rPr>
      <t xml:space="preserve">第</t>
    </r>
    <r>
      <rPr>
        <sz val="9"/>
        <color rgb="FF404040"/>
        <rFont val="Arial"/>
        <family val="0"/>
        <charset val="1"/>
      </rPr>
      <t xml:space="preserve">1</t>
    </r>
    <r>
      <rPr>
        <sz val="9"/>
        <color rgb="FF404040"/>
        <rFont val="Noto Sans CJK SC"/>
        <family val="2"/>
      </rPr>
      <t xml:space="preserve">期末（</t>
    </r>
    <r>
      <rPr>
        <sz val="9"/>
        <color rgb="FF404040"/>
        <rFont val="Arial"/>
        <family val="0"/>
        <charset val="1"/>
      </rPr>
      <t xml:space="preserve">2025</t>
    </r>
    <r>
      <rPr>
        <sz val="9"/>
        <color rgb="FF404040"/>
        <rFont val="Noto Sans CJK SC"/>
        <family val="2"/>
      </rPr>
      <t xml:space="preserve">年</t>
    </r>
    <r>
      <rPr>
        <sz val="9"/>
        <color rgb="FF404040"/>
        <rFont val="Arial"/>
        <family val="0"/>
        <charset val="1"/>
      </rPr>
      <t xml:space="preserve">8</t>
    </r>
    <r>
      <rPr>
        <sz val="9"/>
        <color rgb="FF404040"/>
        <rFont val="Noto Sans CJK SC"/>
        <family val="2"/>
      </rPr>
      <t xml:space="preserve">月</t>
    </r>
    <r>
      <rPr>
        <sz val="9"/>
        <color rgb="FF404040"/>
        <rFont val="Arial"/>
        <family val="0"/>
        <charset val="1"/>
      </rPr>
      <t xml:space="preserve">31</t>
    </r>
    <r>
      <rPr>
        <sz val="9"/>
        <color rgb="FF404040"/>
        <rFont val="Noto Sans CJK SC"/>
        <family val="2"/>
      </rPr>
      <t xml:space="preserve">日）の純資産 ▲</t>
    </r>
    <r>
      <rPr>
        <sz val="9"/>
        <color rgb="FF404040"/>
        <rFont val="Arial"/>
        <family val="0"/>
        <charset val="1"/>
      </rPr>
      <t xml:space="preserve">276,759</t>
    </r>
    <r>
      <rPr>
        <sz val="9"/>
        <color rgb="FF404040"/>
        <rFont val="Noto Sans CJK SC"/>
        <family val="2"/>
      </rPr>
      <t xml:space="preserve">円＝資本金</t>
    </r>
    <r>
      <rPr>
        <sz val="9"/>
        <color rgb="FF404040"/>
        <rFont val="Arial"/>
        <family val="0"/>
        <charset val="1"/>
      </rPr>
      <t xml:space="preserve">300,000</t>
    </r>
    <r>
      <rPr>
        <sz val="9"/>
        <color rgb="FF404040"/>
        <rFont val="Noto Sans CJK SC"/>
        <family val="2"/>
      </rPr>
      <t xml:space="preserve">＋繰越利益剰余金▲</t>
    </r>
    <r>
      <rPr>
        <sz val="9"/>
        <color rgb="FF404040"/>
        <rFont val="Arial"/>
        <family val="0"/>
        <charset val="1"/>
      </rPr>
      <t xml:space="preserve">576,759</t>
    </r>
  </si>
  <si>
    <r>
      <rPr>
        <sz val="9"/>
        <color rgb="FF404040"/>
        <rFont val="Arial"/>
        <family val="0"/>
        <charset val="1"/>
      </rPr>
      <t xml:space="preserve">③3</t>
    </r>
    <r>
      <rPr>
        <sz val="9"/>
        <color rgb="FF404040"/>
        <rFont val="Noto Sans CJK SC"/>
        <family val="2"/>
      </rPr>
      <t xml:space="preserve">か年収支計画シートから連動</t>
    </r>
  </si>
  <si>
    <t xml:space="preserve">（税務）期首 繰越欠損金</t>
  </si>
  <si>
    <r>
      <rPr>
        <sz val="9"/>
        <color rgb="FF404040"/>
        <rFont val="Noto Sans CJK SC"/>
        <family val="2"/>
      </rPr>
      <t xml:space="preserve">資本金</t>
    </r>
    <r>
      <rPr>
        <sz val="9"/>
        <color rgb="FF404040"/>
        <rFont val="Arial"/>
        <family val="0"/>
        <charset val="1"/>
      </rPr>
      <t xml:space="preserve">300,000</t>
    </r>
    <r>
      <rPr>
        <sz val="9"/>
        <color rgb="FF404040"/>
        <rFont val="Noto Sans CJK SC"/>
        <family val="2"/>
      </rPr>
      <t xml:space="preserve">円を控除した繰越利益剰余金。法人税等の計算に使用（③シート）</t>
    </r>
  </si>
  <si>
    <t xml:space="preserve">債務超過の状態</t>
  </si>
  <si>
    <t xml:space="preserve">（参考）役員借入金</t>
  </si>
  <si>
    <r>
      <rPr>
        <sz val="9"/>
        <color rgb="FF404040"/>
        <rFont val="Noto Sans CJK SC"/>
        <family val="2"/>
      </rPr>
      <t xml:space="preserve">小川取締役からの借入 </t>
    </r>
    <r>
      <rPr>
        <sz val="9"/>
        <color rgb="FF404040"/>
        <rFont val="Arial"/>
        <family val="0"/>
        <charset val="1"/>
      </rPr>
      <t xml:space="preserve">1,500,000</t>
    </r>
    <r>
      <rPr>
        <sz val="9"/>
        <color rgb="FF404040"/>
        <rFont val="Noto Sans CJK SC"/>
        <family val="2"/>
      </rPr>
      <t xml:space="preserve">円。返済順位を劣後させる念書を差し入れ、資本性借入金とみなしていただく前提</t>
    </r>
  </si>
  <si>
    <t xml:space="preserve">（参考）実質純資産（役員借入を資本性とみなした場合）</t>
  </si>
  <si>
    <r>
      <rPr>
        <sz val="9"/>
        <color rgb="FF404040"/>
        <rFont val="Noto Sans CJK SC"/>
        <family val="2"/>
      </rPr>
      <t xml:space="preserve">この基準では第</t>
    </r>
    <r>
      <rPr>
        <sz val="9"/>
        <color rgb="FF404040"/>
        <rFont val="Arial"/>
        <family val="0"/>
        <charset val="1"/>
      </rPr>
      <t xml:space="preserve">3</t>
    </r>
    <r>
      <rPr>
        <sz val="9"/>
        <color rgb="FF404040"/>
        <rFont val="Noto Sans CJK SC"/>
        <family val="2"/>
      </rPr>
      <t xml:space="preserve">期に債務超過を解消する</t>
    </r>
  </si>
  <si>
    <t xml:space="preserve">　同上　債務超過の状態</t>
  </si>
  <si>
    <t xml:space="preserve">■ 債務超過の中身と、解消の道すじ</t>
  </si>
  <si>
    <r>
      <rPr>
        <sz val="9"/>
        <color rgb="FF000000"/>
        <rFont val="Noto Sans CJK SC"/>
        <family val="2"/>
      </rPr>
      <t xml:space="preserve">・第</t>
    </r>
    <r>
      <rPr>
        <sz val="9"/>
        <color rgb="FF000000"/>
        <rFont val="Arial"/>
        <family val="0"/>
        <charset val="1"/>
      </rPr>
      <t xml:space="preserve">2</t>
    </r>
    <r>
      <rPr>
        <sz val="9"/>
        <color rgb="FF000000"/>
        <rFont val="Noto Sans CJK SC"/>
        <family val="2"/>
      </rPr>
      <t xml:space="preserve">期の当期純損失は、①</t>
    </r>
    <r>
      <rPr>
        <sz val="9"/>
        <color rgb="FF000000"/>
        <rFont val="Arial"/>
        <family val="0"/>
        <charset val="1"/>
      </rPr>
      <t xml:space="preserve">2</t>
    </r>
    <r>
      <rPr>
        <sz val="9"/>
        <color rgb="FF000000"/>
        <rFont val="Noto Sans CJK SC"/>
        <family val="2"/>
      </rPr>
      <t xml:space="preserve">号店 </t>
    </r>
    <r>
      <rPr>
        <sz val="9"/>
        <color rgb="FF000000"/>
        <rFont val="Arial"/>
        <family val="0"/>
        <charset val="1"/>
      </rPr>
      <t xml:space="preserve">FRANK GOLF </t>
    </r>
    <r>
      <rPr>
        <sz val="9"/>
        <color rgb="FF000000"/>
        <rFont val="Noto Sans CJK SC"/>
        <family val="2"/>
      </rPr>
      <t xml:space="preserve">の開業先行費用（</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6</t>
    </r>
    <r>
      <rPr>
        <sz val="9"/>
        <color rgb="FF000000"/>
        <rFont val="Noto Sans CJK SC"/>
        <family val="2"/>
      </rPr>
      <t xml:space="preserve">月からの地代家賃</t>
    </r>
    <r>
      <rPr>
        <sz val="9"/>
        <color rgb="FF000000"/>
        <rFont val="Arial"/>
        <family val="0"/>
        <charset val="1"/>
      </rPr>
      <t xml:space="preserve">440,000</t>
    </r>
    <r>
      <rPr>
        <sz val="9"/>
        <color rgb="FF000000"/>
        <rFont val="Noto Sans CJK SC"/>
        <family val="2"/>
      </rPr>
      <t xml:space="preserve">円</t>
    </r>
    <r>
      <rPr>
        <sz val="9"/>
        <color rgb="FF000000"/>
        <rFont val="Arial"/>
        <family val="0"/>
        <charset val="1"/>
      </rPr>
      <t xml:space="preserve">/</t>
    </r>
    <r>
      <rPr>
        <sz val="9"/>
        <color rgb="FF000000"/>
        <rFont val="Noto Sans CJK SC"/>
        <family val="2"/>
      </rPr>
      <t xml:space="preserve">月ほか。開業は</t>
    </r>
    <r>
      <rPr>
        <sz val="9"/>
        <color rgb="FF000000"/>
        <rFont val="Arial"/>
        <family val="0"/>
        <charset val="1"/>
      </rPr>
      <t xml:space="preserve">9</t>
    </r>
    <r>
      <rPr>
        <sz val="9"/>
        <color rgb="FF000000"/>
        <rFont val="Noto Sans CJK SC"/>
        <family val="2"/>
      </rPr>
      <t xml:space="preserve">月</t>
    </r>
    <r>
      <rPr>
        <sz val="9"/>
        <color rgb="FF000000"/>
        <rFont val="Arial"/>
        <family val="0"/>
        <charset val="1"/>
      </rPr>
      <t xml:space="preserve">2</t>
    </r>
    <r>
      <rPr>
        <sz val="9"/>
        <color rgb="FF000000"/>
        <rFont val="Noto Sans CJK SC"/>
        <family val="2"/>
      </rPr>
      <t xml:space="preserve">日で当期の売上貢献はゼロ）、</t>
    </r>
  </si>
  <si>
    <r>
      <rPr>
        <sz val="9"/>
        <color rgb="FF000000"/>
        <rFont val="Noto Sans CJK SC"/>
        <family val="2"/>
      </rPr>
      <t xml:space="preserve">　②システム内製化への投資（</t>
    </r>
    <r>
      <rPr>
        <sz val="9"/>
        <color rgb="FF000000"/>
        <rFont val="Arial"/>
        <family val="0"/>
        <charset val="1"/>
      </rPr>
      <t xml:space="preserve">AI</t>
    </r>
    <r>
      <rPr>
        <sz val="9"/>
        <color rgb="FF000000"/>
        <rFont val="Noto Sans CJK SC"/>
        <family val="2"/>
      </rPr>
      <t xml:space="preserve">を使った自社開発）が主因です。既存店（</t>
    </r>
    <r>
      <rPr>
        <sz val="9"/>
        <color rgb="FF000000"/>
        <rFont val="Arial"/>
        <family val="0"/>
        <charset val="1"/>
      </rPr>
      <t xml:space="preserve">GOLF WING </t>
    </r>
    <r>
      <rPr>
        <sz val="9"/>
        <color rgb="FF000000"/>
        <rFont val="Noto Sans CJK SC"/>
        <family val="2"/>
      </rPr>
      <t xml:space="preserve">宝塚）は単体では黒字です。</t>
    </r>
  </si>
  <si>
    <r>
      <rPr>
        <sz val="9"/>
        <color rgb="FF000000"/>
        <rFont val="Noto Sans CJK SC"/>
        <family val="2"/>
      </rPr>
      <t xml:space="preserve">・したがって第</t>
    </r>
    <r>
      <rPr>
        <sz val="9"/>
        <color rgb="FF000000"/>
        <rFont val="Arial"/>
        <family val="0"/>
        <charset val="1"/>
      </rPr>
      <t xml:space="preserve">2</t>
    </r>
    <r>
      <rPr>
        <sz val="9"/>
        <color rgb="FF000000"/>
        <rFont val="Noto Sans CJK SC"/>
        <family val="2"/>
      </rPr>
      <t xml:space="preserve">期の赤字は、売れないことによる赤字ではなく、</t>
    </r>
    <r>
      <rPr>
        <sz val="9"/>
        <color rgb="FF000000"/>
        <rFont val="Arial"/>
        <family val="0"/>
        <charset val="1"/>
      </rPr>
      <t xml:space="preserve">2</t>
    </r>
    <r>
      <rPr>
        <sz val="9"/>
        <color rgb="FF000000"/>
        <rFont val="Noto Sans CJK SC"/>
        <family val="2"/>
      </rPr>
      <t xml:space="preserve">号店を立ち上げるための先行投資です。</t>
    </r>
  </si>
  <si>
    <r>
      <rPr>
        <sz val="9"/>
        <color rgb="FF000000"/>
        <rFont val="Noto Sans CJK SC"/>
        <family val="2"/>
      </rPr>
      <t xml:space="preserve">・第</t>
    </r>
    <r>
      <rPr>
        <sz val="9"/>
        <color rgb="FF000000"/>
        <rFont val="Arial"/>
        <family val="0"/>
        <charset val="1"/>
      </rPr>
      <t xml:space="preserve">3</t>
    </r>
    <r>
      <rPr>
        <sz val="9"/>
        <color rgb="FF000000"/>
        <rFont val="Noto Sans CJK SC"/>
        <family val="2"/>
      </rPr>
      <t xml:space="preserve">期は、その</t>
    </r>
    <r>
      <rPr>
        <sz val="9"/>
        <color rgb="FF000000"/>
        <rFont val="Arial"/>
        <family val="0"/>
        <charset val="1"/>
      </rPr>
      <t xml:space="preserve">2</t>
    </r>
    <r>
      <rPr>
        <sz val="9"/>
        <color rgb="FF000000"/>
        <rFont val="Noto Sans CJK SC"/>
        <family val="2"/>
      </rPr>
      <t xml:space="preserve">号店が通年で寄与します。全社の営業損益・当期純損益はともに黒字に転換する計画です（③</t>
    </r>
    <r>
      <rPr>
        <sz val="9"/>
        <color rgb="FF000000"/>
        <rFont val="Arial"/>
        <family val="0"/>
        <charset val="1"/>
      </rPr>
      <t xml:space="preserve">3</t>
    </r>
    <r>
      <rPr>
        <sz val="9"/>
        <color rgb="FF000000"/>
        <rFont val="Noto Sans CJK SC"/>
        <family val="2"/>
      </rPr>
      <t xml:space="preserve">か年収支計画）。</t>
    </r>
  </si>
  <si>
    <r>
      <rPr>
        <sz val="9"/>
        <color rgb="FF000000"/>
        <rFont val="Noto Sans CJK SC"/>
        <family val="2"/>
      </rPr>
      <t xml:space="preserve">・</t>
    </r>
    <r>
      <rPr>
        <sz val="9"/>
        <color rgb="FF000000"/>
        <rFont val="Arial"/>
        <family val="0"/>
        <charset val="1"/>
      </rPr>
      <t xml:space="preserve">FRANK GOLF </t>
    </r>
    <r>
      <rPr>
        <sz val="9"/>
        <color rgb="FF000000"/>
        <rFont val="Noto Sans CJK SC"/>
        <family val="2"/>
      </rPr>
      <t xml:space="preserve">単体は、損益分岐会員数（②シートに自動計算）に到達する月から単月黒字になります。通期では第</t>
    </r>
    <r>
      <rPr>
        <sz val="9"/>
        <color rgb="FF000000"/>
        <rFont val="Arial"/>
        <family val="0"/>
        <charset val="1"/>
      </rPr>
      <t xml:space="preserve">3</t>
    </r>
    <r>
      <rPr>
        <sz val="9"/>
        <color rgb="FF000000"/>
        <rFont val="Noto Sans CJK SC"/>
        <family val="2"/>
      </rPr>
      <t xml:space="preserve">期はわずかに赤字、第</t>
    </r>
    <r>
      <rPr>
        <sz val="9"/>
        <color rgb="FF000000"/>
        <rFont val="Arial"/>
        <family val="0"/>
        <charset val="1"/>
      </rPr>
      <t xml:space="preserve">4</t>
    </r>
    <r>
      <rPr>
        <sz val="9"/>
        <color rgb="FF000000"/>
        <rFont val="Noto Sans CJK SC"/>
        <family val="2"/>
      </rPr>
      <t xml:space="preserve">期から本格的に寄与します。</t>
    </r>
  </si>
  <si>
    <r>
      <rPr>
        <sz val="9"/>
        <color rgb="FF000000"/>
        <rFont val="Noto Sans CJK SC"/>
        <family val="2"/>
      </rPr>
      <t xml:space="preserve">・会計上の純資産は第</t>
    </r>
    <r>
      <rPr>
        <sz val="9"/>
        <color rgb="FF000000"/>
        <rFont val="Arial"/>
        <family val="0"/>
        <charset val="1"/>
      </rPr>
      <t xml:space="preserve">3</t>
    </r>
    <r>
      <rPr>
        <sz val="9"/>
        <color rgb="FF000000"/>
        <rFont val="Noto Sans CJK SC"/>
        <family val="2"/>
      </rPr>
      <t xml:space="preserve">期末で解消の一歩手前、第</t>
    </r>
    <r>
      <rPr>
        <sz val="9"/>
        <color rgb="FF000000"/>
        <rFont val="Arial"/>
        <family val="0"/>
        <charset val="1"/>
      </rPr>
      <t xml:space="preserve">4</t>
    </r>
    <r>
      <rPr>
        <sz val="9"/>
        <color rgb="FF000000"/>
        <rFont val="Noto Sans CJK SC"/>
        <family val="2"/>
      </rPr>
      <t xml:space="preserve">期に確実に解消します。役員借入</t>
    </r>
    <r>
      <rPr>
        <sz val="9"/>
        <color rgb="FF000000"/>
        <rFont val="Arial"/>
        <family val="0"/>
        <charset val="1"/>
      </rPr>
      <t xml:space="preserve">1,500,000</t>
    </r>
    <r>
      <rPr>
        <sz val="9"/>
        <color rgb="FF000000"/>
        <rFont val="Noto Sans CJK SC"/>
        <family val="2"/>
      </rPr>
      <t xml:space="preserve">円を資本性とみなした実質ベースでは第</t>
    </r>
    <r>
      <rPr>
        <sz val="9"/>
        <color rgb="FF000000"/>
        <rFont val="Arial"/>
        <family val="0"/>
        <charset val="1"/>
      </rPr>
      <t xml:space="preserve">3</t>
    </r>
    <r>
      <rPr>
        <sz val="9"/>
        <color rgb="FF000000"/>
        <rFont val="Noto Sans CJK SC"/>
        <family val="2"/>
      </rPr>
      <t xml:space="preserve">期に解消します。</t>
    </r>
  </si>
  <si>
    <r>
      <rPr>
        <sz val="9"/>
        <color rgb="FF000000"/>
        <rFont val="Noto Sans CJK SC"/>
        <family val="2"/>
      </rPr>
      <t xml:space="preserve">・あわせて経費削減 月</t>
    </r>
    <r>
      <rPr>
        <sz val="9"/>
        <color rgb="FF000000"/>
        <rFont val="Arial"/>
        <family val="0"/>
        <charset val="1"/>
      </rPr>
      <t xml:space="preserve">100,000</t>
    </r>
    <r>
      <rPr>
        <sz val="9"/>
        <color rgb="FF000000"/>
        <rFont val="Noto Sans CJK SC"/>
        <family val="2"/>
      </rPr>
      <t xml:space="preserve">円（年</t>
    </r>
    <r>
      <rPr>
        <sz val="9"/>
        <color rgb="FF000000"/>
        <rFont val="Arial"/>
        <family val="0"/>
        <charset val="1"/>
      </rPr>
      <t xml:space="preserve">1,200,000</t>
    </r>
    <r>
      <rPr>
        <sz val="9"/>
        <color rgb="FF000000"/>
        <rFont val="Noto Sans CJK SC"/>
        <family val="2"/>
      </rPr>
      <t xml:space="preserve">円）を実行します。これは計画が成立するための条件として織り込んでいます。</t>
    </r>
  </si>
  <si>
    <r>
      <rPr>
        <sz val="9"/>
        <color rgb="FF000000"/>
        <rFont val="Noto Sans CJK SC"/>
        <family val="2"/>
      </rPr>
      <t xml:space="preserve">・役員借入（小川取締役 </t>
    </r>
    <r>
      <rPr>
        <sz val="9"/>
        <color rgb="FF000000"/>
        <rFont val="Arial"/>
        <family val="0"/>
        <charset val="1"/>
      </rPr>
      <t xml:space="preserve">1,500,000</t>
    </r>
    <r>
      <rPr>
        <sz val="9"/>
        <color rgb="FF000000"/>
        <rFont val="Noto Sans CJK SC"/>
        <family val="2"/>
      </rPr>
      <t xml:space="preserve">円）は、実質的な自己資本とみなしていただけるよう、返済順位を劣後させる念書の差入れに応じる用意があります。</t>
    </r>
  </si>
  <si>
    <t xml:space="preserve">⑧ 計画の根拠となる実績データ</t>
  </si>
  <si>
    <r>
      <rPr>
        <sz val="9"/>
        <color rgb="FF595959"/>
        <rFont val="Noto Sans CJK SC"/>
        <family val="2"/>
      </rPr>
      <t xml:space="preserve">出典：</t>
    </r>
    <r>
      <rPr>
        <sz val="9"/>
        <color rgb="FF595959"/>
        <rFont val="Arial"/>
        <family val="0"/>
        <charset val="1"/>
      </rPr>
      <t xml:space="preserve">Supabase</t>
    </r>
    <r>
      <rPr>
        <sz val="9"/>
        <color rgb="FF595959"/>
        <rFont val="Noto Sans CJK SC"/>
        <family val="2"/>
      </rPr>
      <t xml:space="preserve">（会員台帳・予約台帳・売上台帳）／税理士作成 残高試算表（令和</t>
    </r>
    <r>
      <rPr>
        <sz val="9"/>
        <color rgb="FF595959"/>
        <rFont val="Arial"/>
        <family val="0"/>
        <charset val="1"/>
      </rPr>
      <t xml:space="preserve">8</t>
    </r>
    <r>
      <rPr>
        <sz val="9"/>
        <color rgb="FF595959"/>
        <rFont val="Noto Sans CJK SC"/>
        <family val="2"/>
      </rPr>
      <t xml:space="preserve">年</t>
    </r>
    <r>
      <rPr>
        <sz val="9"/>
        <color rgb="FF595959"/>
        <rFont val="Arial"/>
        <family val="0"/>
        <charset val="1"/>
      </rPr>
      <t xml:space="preserve">7</t>
    </r>
    <r>
      <rPr>
        <sz val="9"/>
        <color rgb="FF595959"/>
        <rFont val="Noto Sans CJK SC"/>
        <family val="2"/>
      </rPr>
      <t xml:space="preserve">月</t>
    </r>
    <r>
      <rPr>
        <sz val="9"/>
        <color rgb="FF595959"/>
        <rFont val="Arial"/>
        <family val="0"/>
        <charset val="1"/>
      </rPr>
      <t xml:space="preserve">31</t>
    </r>
    <r>
      <rPr>
        <sz val="9"/>
        <color rgb="FF595959"/>
        <rFont val="Noto Sans CJK SC"/>
        <family val="2"/>
      </rPr>
      <t xml:space="preserve">日）</t>
    </r>
  </si>
  <si>
    <r>
      <rPr>
        <b val="true"/>
        <sz val="11"/>
        <color rgb="FF1F3864"/>
        <rFont val="Noto Sans CJK SC"/>
        <family val="2"/>
      </rPr>
      <t xml:space="preserve">【</t>
    </r>
    <r>
      <rPr>
        <b val="true"/>
        <sz val="11"/>
        <color rgb="FF1F3864"/>
        <rFont val="Arial"/>
        <family val="0"/>
        <charset val="1"/>
      </rPr>
      <t xml:space="preserve">1</t>
    </r>
    <r>
      <rPr>
        <b val="true"/>
        <sz val="11"/>
        <color rgb="FF1F3864"/>
        <rFont val="Noto Sans CJK SC"/>
        <family val="2"/>
      </rPr>
      <t xml:space="preserve">】</t>
    </r>
    <r>
      <rPr>
        <b val="true"/>
        <sz val="11"/>
        <color rgb="FF1F3864"/>
        <rFont val="Arial"/>
        <family val="0"/>
        <charset val="1"/>
      </rPr>
      <t xml:space="preserve">GOLF WING </t>
    </r>
    <r>
      <rPr>
        <b val="true"/>
        <sz val="11"/>
        <color rgb="FF1F3864"/>
        <rFont val="Noto Sans CJK SC"/>
        <family val="2"/>
      </rPr>
      <t xml:space="preserve">宝塚　課金会員数の推移</t>
    </r>
  </si>
  <si>
    <t xml:space="preserve">月</t>
  </si>
  <si>
    <t xml:space="preserve">会員数</t>
  </si>
  <si>
    <t xml:space="preserve">前年同月</t>
  </si>
  <si>
    <t xml:space="preserve">前年同月比</t>
  </si>
  <si>
    <t xml:space="preserve">新規入会</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</si>
  <si>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</si>
  <si>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</si>
  <si>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</si>
  <si>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</si>
  <si>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</si>
  <si>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</si>
  <si>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</si>
  <si>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</si>
  <si>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</si>
  <si>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</si>
  <si>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</si>
  <si>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</si>
  <si>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期末／合計</t>
  </si>
  <si>
    <r>
      <rPr>
        <sz val="9"/>
        <color rgb="FF404040"/>
        <rFont val="Noto Sans CJK SC"/>
        <family val="2"/>
      </rPr>
      <t xml:space="preserve">※ 定義＝在籍−スタッフ</t>
    </r>
    <r>
      <rPr>
        <sz val="9"/>
        <color rgb="FF404040"/>
        <rFont val="Arial"/>
        <family val="0"/>
        <charset val="1"/>
      </rPr>
      <t xml:space="preserve">15</t>
    </r>
    <r>
      <rPr>
        <sz val="9"/>
        <color rgb="FF404040"/>
        <rFont val="Noto Sans CJK SC"/>
        <family val="2"/>
      </rPr>
      <t xml:space="preserve">名−モニター会員</t>
    </r>
    <r>
      <rPr>
        <sz val="9"/>
        <color rgb="FF404040"/>
        <rFont val="Arial"/>
        <family val="0"/>
        <charset val="1"/>
      </rPr>
      <t xml:space="preserve">7</t>
    </r>
    <r>
      <rPr>
        <sz val="9"/>
        <color rgb="FF404040"/>
        <rFont val="Noto Sans CJK SC"/>
        <family val="2"/>
      </rPr>
      <t xml:space="preserve">名−法人会員</t>
    </r>
    <r>
      <rPr>
        <sz val="9"/>
        <color rgb="FF404040"/>
        <rFont val="Arial"/>
        <family val="0"/>
        <charset val="1"/>
      </rPr>
      <t xml:space="preserve">2</t>
    </r>
    <r>
      <rPr>
        <sz val="9"/>
        <color rgb="FF404040"/>
        <rFont val="Noto Sans CJK SC"/>
        <family val="2"/>
      </rPr>
      <t xml:space="preserve">枚目</t>
    </r>
    <r>
      <rPr>
        <sz val="9"/>
        <color rgb="FF404040"/>
        <rFont val="Arial"/>
        <family val="0"/>
        <charset val="1"/>
      </rPr>
      <t xml:space="preserve">5</t>
    </r>
    <r>
      <rPr>
        <sz val="9"/>
        <color rgb="FF404040"/>
        <rFont val="Noto Sans CJK SC"/>
        <family val="2"/>
      </rPr>
      <t xml:space="preserve">名。計画</t>
    </r>
    <r>
      <rPr>
        <sz val="9"/>
        <color rgb="FF404040"/>
        <rFont val="Arial"/>
        <family val="0"/>
        <charset val="1"/>
      </rPr>
      <t xml:space="preserve">200</t>
    </r>
    <r>
      <rPr>
        <sz val="9"/>
        <color rgb="FF404040"/>
        <rFont val="Noto Sans CJK SC"/>
        <family val="2"/>
      </rPr>
      <t xml:space="preserve">名に対し当期末</t>
    </r>
    <r>
      <rPr>
        <sz val="9"/>
        <color rgb="FF404040"/>
        <rFont val="Arial"/>
        <family val="0"/>
        <charset val="1"/>
      </rPr>
      <t xml:space="preserve">218</t>
    </r>
    <r>
      <rPr>
        <sz val="9"/>
        <color rgb="FF404040"/>
        <rFont val="Noto Sans CJK SC"/>
        <family val="2"/>
      </rPr>
      <t xml:space="preserve">名＝達成率</t>
    </r>
    <r>
      <rPr>
        <sz val="9"/>
        <color rgb="FF404040"/>
        <rFont val="Arial"/>
        <family val="0"/>
        <charset val="1"/>
      </rPr>
      <t xml:space="preserve">109.0%</t>
    </r>
    <r>
      <rPr>
        <sz val="9"/>
        <color rgb="FF404040"/>
        <rFont val="Noto Sans CJK SC"/>
        <family val="2"/>
      </rPr>
      <t xml:space="preserve">。</t>
    </r>
  </si>
  <si>
    <r>
      <rPr>
        <b val="true"/>
        <sz val="11"/>
        <color rgb="FF1F3864"/>
        <rFont val="Noto Sans CJK SC"/>
        <family val="2"/>
      </rPr>
      <t xml:space="preserve">【</t>
    </r>
    <r>
      <rPr>
        <b val="true"/>
        <sz val="11"/>
        <color rgb="FF1F3864"/>
        <rFont val="Arial"/>
        <family val="0"/>
        <charset val="1"/>
      </rPr>
      <t xml:space="preserve">2</t>
    </r>
    <r>
      <rPr>
        <b val="true"/>
        <sz val="11"/>
        <color rgb="FF1F3864"/>
        <rFont val="Noto Sans CJK SC"/>
        <family val="2"/>
      </rPr>
      <t xml:space="preserve">】</t>
    </r>
    <r>
      <rPr>
        <b val="true"/>
        <sz val="11"/>
        <color rgb="FF1F3864"/>
        <rFont val="Arial"/>
        <family val="0"/>
        <charset val="1"/>
      </rPr>
      <t xml:space="preserve">FRANK GOLF </t>
    </r>
    <r>
      <rPr>
        <b val="true"/>
        <sz val="11"/>
        <color rgb="FF1F3864"/>
        <rFont val="Noto Sans CJK SC"/>
        <family val="2"/>
      </rPr>
      <t xml:space="preserve">姫路　開業後の実績（</t>
    </r>
    <r>
      <rPr>
        <b val="true"/>
        <sz val="11"/>
        <color rgb="FF1F3864"/>
        <rFont val="Arial"/>
        <family val="0"/>
        <charset val="1"/>
      </rPr>
      <t xml:space="preserve">2026</t>
    </r>
    <r>
      <rPr>
        <b val="true"/>
        <sz val="11"/>
        <color rgb="FF1F3864"/>
        <rFont val="Noto Sans CJK SC"/>
        <family val="2"/>
      </rPr>
      <t xml:space="preserve">年</t>
    </r>
    <r>
      <rPr>
        <b val="true"/>
        <sz val="11"/>
        <color rgb="FF1F3864"/>
        <rFont val="Arial"/>
        <family val="0"/>
        <charset val="1"/>
      </rPr>
      <t xml:space="preserve">9</t>
    </r>
    <r>
      <rPr>
        <b val="true"/>
        <sz val="11"/>
        <color rgb="FF1F3864"/>
        <rFont val="Noto Sans CJK SC"/>
        <family val="2"/>
      </rPr>
      <t xml:space="preserve">月</t>
    </r>
    <r>
      <rPr>
        <b val="true"/>
        <sz val="11"/>
        <color rgb="FF1F3864"/>
        <rFont val="Arial"/>
        <family val="0"/>
        <charset val="1"/>
      </rPr>
      <t xml:space="preserve">2</t>
    </r>
    <r>
      <rPr>
        <b val="true"/>
        <sz val="11"/>
        <color rgb="FF1F3864"/>
        <rFont val="Noto Sans CJK SC"/>
        <family val="2"/>
      </rPr>
      <t xml:space="preserve">日開業〜</t>
    </r>
    <r>
      <rPr>
        <b val="true"/>
        <sz val="11"/>
        <color rgb="FF1F3864"/>
        <rFont val="Arial"/>
        <family val="0"/>
        <charset val="1"/>
      </rPr>
      <t xml:space="preserve">9</t>
    </r>
    <r>
      <rPr>
        <b val="true"/>
        <sz val="11"/>
        <color rgb="FF1F3864"/>
        <rFont val="Noto Sans CJK SC"/>
        <family val="2"/>
      </rPr>
      <t xml:space="preserve">月</t>
    </r>
    <r>
      <rPr>
        <b val="true"/>
        <sz val="11"/>
        <color rgb="FF1F3864"/>
        <rFont val="Arial"/>
        <family val="0"/>
        <charset val="1"/>
      </rPr>
      <t xml:space="preserve">10</t>
    </r>
    <r>
      <rPr>
        <b val="true"/>
        <sz val="11"/>
        <color rgb="FF1F3864"/>
        <rFont val="Noto Sans CJK SC"/>
        <family val="2"/>
      </rPr>
      <t xml:space="preserve">日）</t>
    </r>
  </si>
  <si>
    <t xml:space="preserve">実績</t>
  </si>
  <si>
    <t xml:space="preserve">単位</t>
  </si>
  <si>
    <t xml:space="preserve">内容</t>
  </si>
  <si>
    <t xml:space="preserve">体験レッスン 実施件数</t>
  </si>
  <si>
    <r>
      <rPr>
        <sz val="9"/>
        <color rgb="FF404040"/>
        <rFont val="Arial"/>
        <family val="0"/>
        <charset val="1"/>
      </rPr>
      <t xml:space="preserve">9/2:8 </t>
    </r>
    <r>
      <rPr>
        <sz val="9"/>
        <color rgb="FF404040"/>
        <rFont val="Noto Sans CJK SC"/>
        <family val="2"/>
      </rPr>
      <t xml:space="preserve">／</t>
    </r>
    <r>
      <rPr>
        <sz val="9"/>
        <color rgb="FF404040"/>
        <rFont val="Arial"/>
        <family val="0"/>
        <charset val="1"/>
      </rPr>
      <t xml:space="preserve">9/3:5 </t>
    </r>
    <r>
      <rPr>
        <sz val="9"/>
        <color rgb="FF404040"/>
        <rFont val="Noto Sans CJK SC"/>
        <family val="2"/>
      </rPr>
      <t xml:space="preserve">／</t>
    </r>
    <r>
      <rPr>
        <sz val="9"/>
        <color rgb="FF404040"/>
        <rFont val="Arial"/>
        <family val="0"/>
        <charset val="1"/>
      </rPr>
      <t xml:space="preserve">9/4:7 </t>
    </r>
    <r>
      <rPr>
        <sz val="9"/>
        <color rgb="FF404040"/>
        <rFont val="Noto Sans CJK SC"/>
        <family val="2"/>
      </rPr>
      <t xml:space="preserve">／</t>
    </r>
    <r>
      <rPr>
        <sz val="9"/>
        <color rgb="FF404040"/>
        <rFont val="Arial"/>
        <family val="0"/>
        <charset val="1"/>
      </rPr>
      <t xml:space="preserve">9/5:5 </t>
    </r>
    <r>
      <rPr>
        <sz val="9"/>
        <color rgb="FF404040"/>
        <rFont val="Noto Sans CJK SC"/>
        <family val="2"/>
      </rPr>
      <t xml:space="preserve">／</t>
    </r>
    <r>
      <rPr>
        <sz val="9"/>
        <color rgb="FF404040"/>
        <rFont val="Arial"/>
        <family val="0"/>
        <charset val="1"/>
      </rPr>
      <t xml:space="preserve">9/6:1 </t>
    </r>
    <r>
      <rPr>
        <sz val="9"/>
        <color rgb="FF404040"/>
        <rFont val="Noto Sans CJK SC"/>
        <family val="2"/>
      </rPr>
      <t xml:space="preserve">／</t>
    </r>
    <r>
      <rPr>
        <sz val="9"/>
        <color rgb="FF404040"/>
        <rFont val="Arial"/>
        <family val="0"/>
        <charset val="1"/>
      </rPr>
      <t xml:space="preserve">9/7:3 </t>
    </r>
    <r>
      <rPr>
        <sz val="9"/>
        <color rgb="FF404040"/>
        <rFont val="Noto Sans CJK SC"/>
        <family val="2"/>
      </rPr>
      <t xml:space="preserve">／</t>
    </r>
    <r>
      <rPr>
        <sz val="9"/>
        <color rgb="FF404040"/>
        <rFont val="Arial"/>
        <family val="0"/>
        <charset val="1"/>
      </rPr>
      <t xml:space="preserve">9/9:1 </t>
    </r>
    <r>
      <rPr>
        <sz val="9"/>
        <color rgb="FF404040"/>
        <rFont val="Noto Sans CJK SC"/>
        <family val="2"/>
      </rPr>
      <t xml:space="preserve">／</t>
    </r>
    <r>
      <rPr>
        <sz val="9"/>
        <color rgb="FF404040"/>
        <rFont val="Arial"/>
        <family val="0"/>
        <charset val="1"/>
      </rPr>
      <t xml:space="preserve">9/10:4</t>
    </r>
  </si>
  <si>
    <r>
      <rPr>
        <sz val="10"/>
        <color rgb="FF000000"/>
        <rFont val="Noto Sans CJK SC"/>
        <family val="2"/>
      </rPr>
      <t xml:space="preserve">体験レッスン 予約済（</t>
    </r>
    <r>
      <rPr>
        <sz val="10"/>
        <color rgb="FF000000"/>
        <rFont val="Arial"/>
        <family val="0"/>
        <charset val="1"/>
      </rPr>
      <t xml:space="preserve">9/11</t>
    </r>
    <r>
      <rPr>
        <sz val="10"/>
        <color rgb="FF000000"/>
        <rFont val="Noto Sans CJK SC"/>
        <family val="2"/>
      </rPr>
      <t xml:space="preserve">以降）</t>
    </r>
  </si>
  <si>
    <r>
      <rPr>
        <sz val="9"/>
        <color rgb="FF404040"/>
        <rFont val="Arial"/>
        <family val="0"/>
        <charset val="1"/>
      </rPr>
      <t xml:space="preserve">9/11:5 </t>
    </r>
    <r>
      <rPr>
        <sz val="9"/>
        <color rgb="FF404040"/>
        <rFont val="Noto Sans CJK SC"/>
        <family val="2"/>
      </rPr>
      <t xml:space="preserve">／</t>
    </r>
    <r>
      <rPr>
        <sz val="9"/>
        <color rgb="FF404040"/>
        <rFont val="Arial"/>
        <family val="0"/>
        <charset val="1"/>
      </rPr>
      <t xml:space="preserve">9/12:5 </t>
    </r>
    <r>
      <rPr>
        <sz val="9"/>
        <color rgb="FF404040"/>
        <rFont val="Noto Sans CJK SC"/>
        <family val="2"/>
      </rPr>
      <t xml:space="preserve">／</t>
    </r>
    <r>
      <rPr>
        <sz val="9"/>
        <color rgb="FF404040"/>
        <rFont val="Arial"/>
        <family val="0"/>
        <charset val="1"/>
      </rPr>
      <t xml:space="preserve">9/13:3 </t>
    </r>
    <r>
      <rPr>
        <sz val="9"/>
        <color rgb="FF404040"/>
        <rFont val="Noto Sans CJK SC"/>
        <family val="2"/>
      </rPr>
      <t xml:space="preserve">／</t>
    </r>
    <r>
      <rPr>
        <sz val="9"/>
        <color rgb="FF404040"/>
        <rFont val="Arial"/>
        <family val="0"/>
        <charset val="1"/>
      </rPr>
      <t xml:space="preserve">9/18:1 </t>
    </r>
    <r>
      <rPr>
        <sz val="9"/>
        <color rgb="FF404040"/>
        <rFont val="Noto Sans CJK SC"/>
        <family val="2"/>
      </rPr>
      <t xml:space="preserve">／</t>
    </r>
    <r>
      <rPr>
        <sz val="9"/>
        <color rgb="FF404040"/>
        <rFont val="Arial"/>
        <family val="0"/>
        <charset val="1"/>
      </rPr>
      <t xml:space="preserve">9/19:1 </t>
    </r>
    <r>
      <rPr>
        <sz val="9"/>
        <color rgb="FF404040"/>
        <rFont val="Noto Sans CJK SC"/>
        <family val="2"/>
      </rPr>
      <t xml:space="preserve">／</t>
    </r>
    <r>
      <rPr>
        <sz val="9"/>
        <color rgb="FF404040"/>
        <rFont val="Arial"/>
        <family val="0"/>
        <charset val="1"/>
      </rPr>
      <t xml:space="preserve">10/31:1</t>
    </r>
  </si>
  <si>
    <t xml:space="preserve">入会（個人）</t>
  </si>
  <si>
    <r>
      <rPr>
        <sz val="9"/>
        <color rgb="FF404040"/>
        <rFont val="Noto Sans CJK SC"/>
        <family val="2"/>
      </rPr>
      <t xml:space="preserve">レギュラー会員</t>
    </r>
    <r>
      <rPr>
        <sz val="9"/>
        <color rgb="FF404040"/>
        <rFont val="Arial"/>
        <family val="0"/>
        <charset val="1"/>
      </rPr>
      <t xml:space="preserve">9</t>
    </r>
    <r>
      <rPr>
        <sz val="9"/>
        <color rgb="FF404040"/>
        <rFont val="Noto Sans CJK SC"/>
        <family val="2"/>
      </rPr>
      <t xml:space="preserve">名（月</t>
    </r>
    <r>
      <rPr>
        <sz val="9"/>
        <color rgb="FF404040"/>
        <rFont val="Arial"/>
        <family val="0"/>
        <charset val="1"/>
      </rPr>
      <t xml:space="preserve">13,800</t>
    </r>
    <r>
      <rPr>
        <sz val="9"/>
        <color rgb="FF404040"/>
        <rFont val="Noto Sans CJK SC"/>
        <family val="2"/>
      </rPr>
      <t xml:space="preserve">円 税込）／ライト会員</t>
    </r>
    <r>
      <rPr>
        <sz val="9"/>
        <color rgb="FF404040"/>
        <rFont val="Arial"/>
        <family val="0"/>
        <charset val="1"/>
      </rPr>
      <t xml:space="preserve">3</t>
    </r>
    <r>
      <rPr>
        <sz val="9"/>
        <color rgb="FF404040"/>
        <rFont val="Noto Sans CJK SC"/>
        <family val="2"/>
      </rPr>
      <t xml:space="preserve">名（月</t>
    </r>
    <r>
      <rPr>
        <sz val="9"/>
        <color rgb="FF404040"/>
        <rFont val="Arial"/>
        <family val="0"/>
        <charset val="1"/>
      </rPr>
      <t xml:space="preserve">9,800</t>
    </r>
    <r>
      <rPr>
        <sz val="9"/>
        <color rgb="FF404040"/>
        <rFont val="Noto Sans CJK SC"/>
        <family val="2"/>
      </rPr>
      <t xml:space="preserve">円 税込）</t>
    </r>
  </si>
  <si>
    <t xml:space="preserve">入会（法人）</t>
  </si>
  <si>
    <t xml:space="preserve">社</t>
  </si>
  <si>
    <r>
      <rPr>
        <sz val="9"/>
        <color rgb="FF404040"/>
        <rFont val="Noto Sans CJK SC"/>
        <family val="2"/>
      </rPr>
      <t xml:space="preserve">小林電工（株）法人プレミアムプラン（月</t>
    </r>
    <r>
      <rPr>
        <sz val="9"/>
        <color rgb="FF404040"/>
        <rFont val="Arial"/>
        <family val="0"/>
        <charset val="1"/>
      </rPr>
      <t xml:space="preserve">59,800</t>
    </r>
    <r>
      <rPr>
        <sz val="9"/>
        <color rgb="FF404040"/>
        <rFont val="Noto Sans CJK SC"/>
        <family val="2"/>
      </rPr>
      <t xml:space="preserve">円 税込・利用者</t>
    </r>
    <r>
      <rPr>
        <sz val="9"/>
        <color rgb="FF404040"/>
        <rFont val="Arial"/>
        <family val="0"/>
        <charset val="1"/>
      </rPr>
      <t xml:space="preserve">22</t>
    </r>
    <r>
      <rPr>
        <sz val="9"/>
        <color rgb="FF404040"/>
        <rFont val="Noto Sans CJK SC"/>
        <family val="2"/>
      </rPr>
      <t xml:space="preserve">名を登録）</t>
    </r>
  </si>
  <si>
    <t xml:space="preserve">体験→入会 転換率（個人）</t>
  </si>
  <si>
    <r>
      <rPr>
        <sz val="9"/>
        <color rgb="FF404040"/>
        <rFont val="Arial"/>
        <family val="0"/>
        <charset val="1"/>
      </rPr>
      <t xml:space="preserve">12</t>
    </r>
    <r>
      <rPr>
        <sz val="9"/>
        <color rgb="FF404040"/>
        <rFont val="Noto Sans CJK SC"/>
        <family val="2"/>
      </rPr>
      <t xml:space="preserve">名 </t>
    </r>
    <r>
      <rPr>
        <sz val="9"/>
        <color rgb="FF404040"/>
        <rFont val="Arial"/>
        <family val="0"/>
        <charset val="1"/>
      </rPr>
      <t xml:space="preserve">÷ 34</t>
    </r>
    <r>
      <rPr>
        <sz val="9"/>
        <color rgb="FF404040"/>
        <rFont val="Noto Sans CJK SC"/>
        <family val="2"/>
      </rPr>
      <t xml:space="preserve">件。</t>
    </r>
    <r>
      <rPr>
        <sz val="9"/>
        <color rgb="FF404040"/>
        <rFont val="Arial"/>
        <family val="0"/>
        <charset val="1"/>
      </rPr>
      <t xml:space="preserve">7</t>
    </r>
    <r>
      <rPr>
        <sz val="9"/>
        <color rgb="FF404040"/>
        <rFont val="Noto Sans CJK SC"/>
        <family val="2"/>
      </rPr>
      <t xml:space="preserve">月に作成した収支計画の標準シナリオ（</t>
    </r>
    <r>
      <rPr>
        <sz val="9"/>
        <color rgb="FF404040"/>
        <rFont val="Arial"/>
        <family val="0"/>
        <charset val="1"/>
      </rPr>
      <t xml:space="preserve">35%</t>
    </r>
    <r>
      <rPr>
        <sz val="9"/>
        <color rgb="FF404040"/>
        <rFont val="Noto Sans CJK SC"/>
        <family val="2"/>
      </rPr>
      <t xml:space="preserve">）とほぼ一致</t>
    </r>
  </si>
  <si>
    <t xml:space="preserve">ビジター利用</t>
  </si>
  <si>
    <t xml:space="preserve">会員以外の都度利用</t>
  </si>
  <si>
    <t xml:space="preserve">会員以外の予約を含む来店予約</t>
  </si>
  <si>
    <r>
      <rPr>
        <sz val="9"/>
        <color rgb="FF404040"/>
        <rFont val="Arial"/>
        <family val="0"/>
        <charset val="1"/>
      </rPr>
      <t xml:space="preserve">9/2</t>
    </r>
    <r>
      <rPr>
        <sz val="9"/>
        <color rgb="FF404040"/>
        <rFont val="Noto Sans CJK SC"/>
        <family val="2"/>
      </rPr>
      <t xml:space="preserve">〜</t>
    </r>
    <r>
      <rPr>
        <sz val="9"/>
        <color rgb="FF404040"/>
        <rFont val="Arial"/>
        <family val="0"/>
        <charset val="1"/>
      </rPr>
      <t xml:space="preserve">9/10</t>
    </r>
    <r>
      <rPr>
        <sz val="9"/>
        <color rgb="FF404040"/>
        <rFont val="Noto Sans CJK SC"/>
        <family val="2"/>
      </rPr>
      <t xml:space="preserve">の予約件数（会員・体験・ビジターの合計）</t>
    </r>
  </si>
  <si>
    <r>
      <rPr>
        <sz val="10"/>
        <color rgb="FF000000"/>
        <rFont val="Noto Sans CJK SC"/>
        <family val="2"/>
      </rPr>
      <t xml:space="preserve">月会費（税込・</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10</t>
    </r>
    <r>
      <rPr>
        <sz val="10"/>
        <color rgb="FF000000"/>
        <rFont val="Noto Sans CJK SC"/>
        <family val="2"/>
      </rPr>
      <t xml:space="preserve">日時点）</t>
    </r>
  </si>
  <si>
    <r>
      <rPr>
        <sz val="9"/>
        <color rgb="FF000000"/>
        <rFont val="Noto Sans CJK SC"/>
        <family val="2"/>
      </rPr>
      <t xml:space="preserve">円</t>
    </r>
    <r>
      <rPr>
        <sz val="9"/>
        <color rgb="FF000000"/>
        <rFont val="Arial"/>
        <family val="0"/>
        <charset val="1"/>
      </rPr>
      <t xml:space="preserve">/</t>
    </r>
    <r>
      <rPr>
        <sz val="9"/>
        <color rgb="FF000000"/>
        <rFont val="Noto Sans CJK SC"/>
        <family val="2"/>
      </rPr>
      <t xml:space="preserve">月</t>
    </r>
  </si>
  <si>
    <r>
      <rPr>
        <sz val="9"/>
        <color rgb="FF404040"/>
        <rFont val="Arial"/>
        <family val="0"/>
        <charset val="1"/>
      </rPr>
      <t xml:space="preserve">13,800×9</t>
    </r>
    <r>
      <rPr>
        <sz val="9"/>
        <color rgb="FF404040"/>
        <rFont val="Noto Sans CJK SC"/>
        <family val="2"/>
      </rPr>
      <t xml:space="preserve">＋</t>
    </r>
    <r>
      <rPr>
        <sz val="9"/>
        <color rgb="FF404040"/>
        <rFont val="Arial"/>
        <family val="0"/>
        <charset val="1"/>
      </rPr>
      <t xml:space="preserve">9,800×3</t>
    </r>
    <r>
      <rPr>
        <sz val="9"/>
        <color rgb="FF404040"/>
        <rFont val="Noto Sans CJK SC"/>
        <family val="2"/>
      </rPr>
      <t xml:space="preserve">＋</t>
    </r>
    <r>
      <rPr>
        <sz val="9"/>
        <color rgb="FF404040"/>
        <rFont val="Arial"/>
        <family val="0"/>
        <charset val="1"/>
      </rPr>
      <t xml:space="preserve">59,800×1</t>
    </r>
  </si>
  <si>
    <t xml:space="preserve">稼働打席</t>
  </si>
  <si>
    <r>
      <rPr>
        <sz val="9"/>
        <color rgb="FF404040"/>
        <rFont val="Arial"/>
        <family val="0"/>
        <charset val="1"/>
      </rPr>
      <t xml:space="preserve">A</t>
    </r>
    <r>
      <rPr>
        <sz val="9"/>
        <color rgb="FF404040"/>
        <rFont val="Noto Sans CJK SC"/>
        <family val="2"/>
      </rPr>
      <t xml:space="preserve">打席</t>
    </r>
    <r>
      <rPr>
        <sz val="9"/>
        <color rgb="FF404040"/>
        <rFont val="Arial"/>
        <family val="0"/>
        <charset val="1"/>
      </rPr>
      <t xml:space="preserve">=DTECT </t>
    </r>
    <r>
      <rPr>
        <sz val="9"/>
        <color rgb="FF404040"/>
        <rFont val="Noto Sans CJK SC"/>
        <family val="2"/>
      </rPr>
      <t xml:space="preserve">／</t>
    </r>
    <r>
      <rPr>
        <sz val="9"/>
        <color rgb="FF404040"/>
        <rFont val="Arial"/>
        <family val="0"/>
        <charset val="1"/>
      </rPr>
      <t xml:space="preserve">B</t>
    </r>
    <r>
      <rPr>
        <sz val="9"/>
        <color rgb="FF404040"/>
        <rFont val="Noto Sans CJK SC"/>
        <family val="2"/>
      </rPr>
      <t xml:space="preserve">打席</t>
    </r>
    <r>
      <rPr>
        <sz val="9"/>
        <color rgb="FF404040"/>
        <rFont val="Arial"/>
        <family val="0"/>
        <charset val="1"/>
      </rPr>
      <t xml:space="preserve">=TrackMan 4</t>
    </r>
    <r>
      <rPr>
        <sz val="9"/>
        <color rgb="FF404040"/>
        <rFont val="Noto Sans CJK SC"/>
        <family val="2"/>
      </rPr>
      <t xml:space="preserve">（左右打席）／</t>
    </r>
    <r>
      <rPr>
        <sz val="9"/>
        <color rgb="FF404040"/>
        <rFont val="Arial"/>
        <family val="0"/>
        <charset val="1"/>
      </rPr>
      <t xml:space="preserve">C</t>
    </r>
    <r>
      <rPr>
        <sz val="9"/>
        <color rgb="FF404040"/>
        <rFont val="Noto Sans CJK SC"/>
        <family val="2"/>
      </rPr>
      <t xml:space="preserve">打席</t>
    </r>
    <r>
      <rPr>
        <sz val="9"/>
        <color rgb="FF404040"/>
        <rFont val="Arial"/>
        <family val="0"/>
        <charset val="1"/>
      </rPr>
      <t xml:space="preserve">=OKONGOLF </t>
    </r>
    <r>
      <rPr>
        <sz val="9"/>
        <color rgb="FF404040"/>
        <rFont val="Noto Sans CJK SC"/>
        <family val="2"/>
      </rPr>
      <t xml:space="preserve">／</t>
    </r>
    <r>
      <rPr>
        <sz val="9"/>
        <color rgb="FF404040"/>
        <rFont val="Arial"/>
        <family val="0"/>
        <charset val="1"/>
      </rPr>
      <t xml:space="preserve">D</t>
    </r>
    <r>
      <rPr>
        <sz val="9"/>
        <color rgb="FF404040"/>
        <rFont val="Noto Sans CJK SC"/>
        <family val="2"/>
      </rPr>
      <t xml:space="preserve">打席</t>
    </r>
    <r>
      <rPr>
        <sz val="9"/>
        <color rgb="FF404040"/>
        <rFont val="Arial"/>
        <family val="0"/>
        <charset val="1"/>
      </rPr>
      <t xml:space="preserve">=</t>
    </r>
    <r>
      <rPr>
        <sz val="9"/>
        <color rgb="FF404040"/>
        <rFont val="Noto Sans CJK SC"/>
        <family val="2"/>
      </rPr>
      <t xml:space="preserve">未稼働</t>
    </r>
  </si>
  <si>
    <t xml:space="preserve">退会・審査却下</t>
  </si>
  <si>
    <r>
      <rPr>
        <sz val="9"/>
        <color rgb="FF404040"/>
        <rFont val="Noto Sans CJK SC"/>
        <family val="2"/>
      </rPr>
      <t xml:space="preserve">退会</t>
    </r>
    <r>
      <rPr>
        <sz val="9"/>
        <color rgb="FF404040"/>
        <rFont val="Arial"/>
        <family val="0"/>
        <charset val="1"/>
      </rPr>
      <t xml:space="preserve">1</t>
    </r>
    <r>
      <rPr>
        <sz val="9"/>
        <color rgb="FF404040"/>
        <rFont val="Noto Sans CJK SC"/>
        <family val="2"/>
      </rPr>
      <t xml:space="preserve">名／決済未完了による申込却下</t>
    </r>
    <r>
      <rPr>
        <sz val="9"/>
        <color rgb="FF404040"/>
        <rFont val="Arial"/>
        <family val="0"/>
        <charset val="1"/>
      </rPr>
      <t xml:space="preserve">4</t>
    </r>
    <r>
      <rPr>
        <sz val="9"/>
        <color rgb="FF404040"/>
        <rFont val="Noto Sans CJK SC"/>
        <family val="2"/>
      </rPr>
      <t xml:space="preserve">名</t>
    </r>
  </si>
  <si>
    <r>
      <rPr>
        <b val="true"/>
        <sz val="11"/>
        <color rgb="FF1F3864"/>
        <rFont val="Noto Sans CJK SC"/>
        <family val="2"/>
      </rPr>
      <t xml:space="preserve">【</t>
    </r>
    <r>
      <rPr>
        <b val="true"/>
        <sz val="11"/>
        <color rgb="FF1F3864"/>
        <rFont val="Arial"/>
        <family val="0"/>
        <charset val="1"/>
      </rPr>
      <t xml:space="preserve">3</t>
    </r>
    <r>
      <rPr>
        <b val="true"/>
        <sz val="11"/>
        <color rgb="FF1F3864"/>
        <rFont val="Noto Sans CJK SC"/>
        <family val="2"/>
      </rPr>
      <t xml:space="preserve">】会計数値（税理士作成 残高試算表・令和</t>
    </r>
    <r>
      <rPr>
        <b val="true"/>
        <sz val="11"/>
        <color rgb="FF1F3864"/>
        <rFont val="Arial"/>
        <family val="0"/>
        <charset val="1"/>
      </rPr>
      <t xml:space="preserve">8</t>
    </r>
    <r>
      <rPr>
        <b val="true"/>
        <sz val="11"/>
        <color rgb="FF1F3864"/>
        <rFont val="Noto Sans CJK SC"/>
        <family val="2"/>
      </rPr>
      <t xml:space="preserve">年</t>
    </r>
    <r>
      <rPr>
        <b val="true"/>
        <sz val="11"/>
        <color rgb="FF1F3864"/>
        <rFont val="Arial"/>
        <family val="0"/>
        <charset val="1"/>
      </rPr>
      <t xml:space="preserve">7</t>
    </r>
    <r>
      <rPr>
        <b val="true"/>
        <sz val="11"/>
        <color rgb="FF1F3864"/>
        <rFont val="Noto Sans CJK SC"/>
        <family val="2"/>
      </rPr>
      <t xml:space="preserve">月</t>
    </r>
    <r>
      <rPr>
        <b val="true"/>
        <sz val="11"/>
        <color rgb="FF1F3864"/>
        <rFont val="Arial"/>
        <family val="0"/>
        <charset val="1"/>
      </rPr>
      <t xml:space="preserve">31</t>
    </r>
    <r>
      <rPr>
        <b val="true"/>
        <sz val="11"/>
        <color rgb="FF1F3864"/>
        <rFont val="Noto Sans CJK SC"/>
        <family val="2"/>
      </rPr>
      <t xml:space="preserve">日）</t>
    </r>
  </si>
  <si>
    <t xml:space="preserve">科目</t>
  </si>
  <si>
    <t xml:space="preserve">前期繰越</t>
  </si>
  <si>
    <r>
      <rPr>
        <b val="true"/>
        <sz val="11"/>
        <color rgb="FFFFFFFF"/>
        <rFont val="Noto Sans CJK SC"/>
        <family val="2"/>
      </rPr>
      <t xml:space="preserve">当期（</t>
    </r>
    <r>
      <rPr>
        <b val="true"/>
        <sz val="11"/>
        <color rgb="FFFFFFFF"/>
        <rFont val="Arial"/>
        <family val="0"/>
        <charset val="1"/>
      </rPr>
      <t xml:space="preserve">11</t>
    </r>
    <r>
      <rPr>
        <b val="true"/>
        <sz val="11"/>
        <color rgb="FFFFFFFF"/>
        <rFont val="Noto Sans CJK SC"/>
        <family val="2"/>
      </rPr>
      <t xml:space="preserve">か月）</t>
    </r>
  </si>
  <si>
    <t xml:space="preserve">普通預金</t>
  </si>
  <si>
    <t xml:space="preserve">売掛金</t>
  </si>
  <si>
    <t xml:space="preserve">経常運転資金の算定根拠</t>
  </si>
  <si>
    <t xml:space="preserve">棚卸資産</t>
  </si>
  <si>
    <t xml:space="preserve">買掛金</t>
  </si>
  <si>
    <t xml:space="preserve">仕入債務でファイナンスできていない＝運転資金需要の根拠</t>
  </si>
  <si>
    <t xml:space="preserve">未払金</t>
  </si>
  <si>
    <r>
      <rPr>
        <sz val="9"/>
        <color rgb="FF404040"/>
        <rFont val="Noto Sans CJK SC"/>
        <family val="2"/>
      </rPr>
      <t xml:space="preserve">うち</t>
    </r>
    <r>
      <rPr>
        <sz val="9"/>
        <color rgb="FF404040"/>
        <rFont val="Arial"/>
        <family val="0"/>
        <charset val="1"/>
      </rPr>
      <t xml:space="preserve">3,190,000</t>
    </r>
    <r>
      <rPr>
        <sz val="9"/>
        <color rgb="FF404040"/>
        <rFont val="Noto Sans CJK SC"/>
        <family val="2"/>
      </rPr>
      <t xml:space="preserve">円は</t>
    </r>
    <r>
      <rPr>
        <sz val="9"/>
        <color rgb="FF404040"/>
        <rFont val="Arial"/>
        <family val="0"/>
        <charset val="1"/>
      </rPr>
      <t xml:space="preserve">FRANK GOLF </t>
    </r>
    <r>
      <rPr>
        <sz val="9"/>
        <color rgb="FF404040"/>
        <rFont val="Noto Sans CJK SC"/>
        <family val="2"/>
      </rPr>
      <t xml:space="preserve">開業投資のカード決済分（対応資産を</t>
    </r>
    <r>
      <rPr>
        <sz val="9"/>
        <color rgb="FF404040"/>
        <rFont val="Arial"/>
        <family val="0"/>
        <charset val="1"/>
      </rPr>
      <t xml:space="preserve">BS</t>
    </r>
    <r>
      <rPr>
        <sz val="9"/>
        <color rgb="FF404040"/>
        <rFont val="Noto Sans CJK SC"/>
        <family val="2"/>
      </rPr>
      <t xml:space="preserve">に計上済）</t>
    </r>
  </si>
  <si>
    <t xml:space="preserve">未払費用</t>
  </si>
  <si>
    <t xml:space="preserve">長期借入金</t>
  </si>
  <si>
    <r>
      <rPr>
        <sz val="9"/>
        <color rgb="FF404040"/>
        <rFont val="Noto Sans CJK SC"/>
        <family val="2"/>
      </rPr>
      <t xml:space="preserve">毎月元金</t>
    </r>
    <r>
      <rPr>
        <sz val="9"/>
        <color rgb="FF404040"/>
        <rFont val="Arial"/>
        <family val="0"/>
        <charset val="1"/>
      </rPr>
      <t xml:space="preserve">108,108</t>
    </r>
    <r>
      <rPr>
        <sz val="9"/>
        <color rgb="FF404040"/>
        <rFont val="Noto Sans CJK SC"/>
        <family val="2"/>
      </rPr>
      <t xml:space="preserve">円を返済中</t>
    </r>
  </si>
  <si>
    <t xml:space="preserve">純資産</t>
  </si>
  <si>
    <r>
      <rPr>
        <sz val="9"/>
        <color rgb="FF404040"/>
        <rFont val="Noto Sans CJK SC"/>
        <family val="2"/>
      </rPr>
      <t xml:space="preserve">資本金</t>
    </r>
    <r>
      <rPr>
        <sz val="9"/>
        <color rgb="FF404040"/>
        <rFont val="Arial"/>
        <family val="0"/>
        <charset val="1"/>
      </rPr>
      <t xml:space="preserve">300,000</t>
    </r>
    <r>
      <rPr>
        <sz val="9"/>
        <color rgb="FF404040"/>
        <rFont val="Noto Sans CJK SC"/>
        <family val="2"/>
      </rPr>
      <t xml:space="preserve">＋繰越利益剰余金▲</t>
    </r>
    <r>
      <rPr>
        <sz val="9"/>
        <color rgb="FF404040"/>
        <rFont val="Arial"/>
        <family val="0"/>
        <charset val="1"/>
      </rPr>
      <t xml:space="preserve">1,581,921</t>
    </r>
  </si>
  <si>
    <r>
      <rPr>
        <sz val="9"/>
        <color rgb="FF404040"/>
        <rFont val="Noto Sans CJK SC"/>
        <family val="2"/>
      </rPr>
      <t xml:space="preserve">前期</t>
    </r>
    <r>
      <rPr>
        <sz val="9"/>
        <color rgb="FF404040"/>
        <rFont val="Arial"/>
        <family val="0"/>
        <charset val="1"/>
      </rPr>
      <t xml:space="preserve">12</t>
    </r>
    <r>
      <rPr>
        <sz val="9"/>
        <color rgb="FF404040"/>
        <rFont val="Noto Sans CJK SC"/>
        <family val="2"/>
      </rPr>
      <t xml:space="preserve">か月／当期</t>
    </r>
    <r>
      <rPr>
        <sz val="9"/>
        <color rgb="FF404040"/>
        <rFont val="Arial"/>
        <family val="0"/>
        <charset val="1"/>
      </rPr>
      <t xml:space="preserve">11</t>
    </r>
    <r>
      <rPr>
        <sz val="9"/>
        <color rgb="FF404040"/>
        <rFont val="Noto Sans CJK SC"/>
        <family val="2"/>
      </rPr>
      <t xml:space="preserve">か月。月商換算で</t>
    </r>
    <r>
      <rPr>
        <sz val="9"/>
        <color rgb="FF404040"/>
        <rFont val="Arial"/>
        <family val="0"/>
        <charset val="1"/>
      </rPr>
      <t xml:space="preserve">3.44</t>
    </r>
    <r>
      <rPr>
        <sz val="9"/>
        <color rgb="FF404040"/>
        <rFont val="Noto Sans CJK SC"/>
        <family val="2"/>
      </rPr>
      <t xml:space="preserve">倍</t>
    </r>
  </si>
  <si>
    <r>
      <rPr>
        <sz val="9"/>
        <color rgb="FF404040"/>
        <rFont val="Noto Sans CJK SC"/>
        <family val="2"/>
      </rPr>
      <t xml:space="preserve">当期</t>
    </r>
    <r>
      <rPr>
        <sz val="9"/>
        <color rgb="FF404040"/>
        <rFont val="Arial"/>
        <family val="0"/>
        <charset val="1"/>
      </rPr>
      <t xml:space="preserve">11</t>
    </r>
    <r>
      <rPr>
        <sz val="9"/>
        <color rgb="FF404040"/>
        <rFont val="Noto Sans CJK SC"/>
        <family val="2"/>
      </rPr>
      <t xml:space="preserve">か月</t>
    </r>
  </si>
  <si>
    <t xml:space="preserve">純資産の期中増減から導出</t>
  </si>
  <si>
    <t xml:space="preserve">⑨ 出典と注記</t>
  </si>
  <si>
    <t xml:space="preserve">会計数値</t>
  </si>
  <si>
    <r>
      <rPr>
        <sz val="9"/>
        <color rgb="FF000000"/>
        <rFont val="Noto Sans CJK SC"/>
        <family val="2"/>
      </rPr>
      <t xml:space="preserve">税理士作成 残高試算表（令和</t>
    </r>
    <r>
      <rPr>
        <sz val="9"/>
        <color rgb="FF000000"/>
        <rFont val="Arial"/>
        <family val="0"/>
        <charset val="1"/>
      </rPr>
      <t xml:space="preserve">8</t>
    </r>
    <r>
      <rPr>
        <sz val="9"/>
        <color rgb="FF000000"/>
        <rFont val="Noto Sans CJK SC"/>
        <family val="2"/>
      </rPr>
      <t xml:space="preserve">年</t>
    </r>
    <r>
      <rPr>
        <sz val="9"/>
        <color rgb="FF000000"/>
        <rFont val="Arial"/>
        <family val="0"/>
        <charset val="1"/>
      </rPr>
      <t xml:space="preserve">7</t>
    </r>
    <r>
      <rPr>
        <sz val="9"/>
        <color rgb="FF000000"/>
        <rFont val="Noto Sans CJK SC"/>
        <family val="2"/>
      </rPr>
      <t xml:space="preserve">月</t>
    </r>
    <r>
      <rPr>
        <sz val="9"/>
        <color rgb="FF000000"/>
        <rFont val="Arial"/>
        <family val="0"/>
        <charset val="1"/>
      </rPr>
      <t xml:space="preserve">31</t>
    </r>
    <r>
      <rPr>
        <sz val="9"/>
        <color rgb="FF000000"/>
        <rFont val="Noto Sans CJK SC"/>
        <family val="2"/>
      </rPr>
      <t xml:space="preserve">日）。当期＝</t>
    </r>
    <r>
      <rPr>
        <sz val="9"/>
        <color rgb="FF000000"/>
        <rFont val="Arial"/>
        <family val="0"/>
        <charset val="1"/>
      </rPr>
      <t xml:space="preserve">2025/9/1</t>
    </r>
    <r>
      <rPr>
        <sz val="9"/>
        <color rgb="FF000000"/>
        <rFont val="Noto Sans CJK SC"/>
        <family val="2"/>
      </rPr>
      <t xml:space="preserve">〜</t>
    </r>
    <r>
      <rPr>
        <sz val="9"/>
        <color rgb="FF000000"/>
        <rFont val="Arial"/>
        <family val="0"/>
        <charset val="1"/>
      </rPr>
      <t xml:space="preserve">2026/8/31</t>
    </r>
    <r>
      <rPr>
        <sz val="9"/>
        <color rgb="FF000000"/>
        <rFont val="Noto Sans CJK SC"/>
        <family val="2"/>
      </rPr>
      <t xml:space="preserve">の</t>
    </r>
    <r>
      <rPr>
        <sz val="9"/>
        <color rgb="FF000000"/>
        <rFont val="Arial"/>
        <family val="0"/>
        <charset val="1"/>
      </rPr>
      <t xml:space="preserve">11</t>
    </r>
    <r>
      <rPr>
        <sz val="9"/>
        <color rgb="FF000000"/>
        <rFont val="Noto Sans CJK SC"/>
        <family val="2"/>
      </rPr>
      <t xml:space="preserve">か月。</t>
    </r>
    <r>
      <rPr>
        <sz val="9"/>
        <color rgb="FF000000"/>
        <rFont val="Arial"/>
        <family val="0"/>
        <charset val="1"/>
      </rPr>
      <t xml:space="preserve">8</t>
    </r>
    <r>
      <rPr>
        <sz val="9"/>
        <color rgb="FF000000"/>
        <rFont val="Noto Sans CJK SC"/>
        <family val="2"/>
      </rPr>
      <t xml:space="preserve">月分を含む通期は決算確定後に差し替える。</t>
    </r>
  </si>
  <si>
    <t xml:space="preserve">部門別営業損益</t>
  </si>
  <si>
    <r>
      <rPr>
        <sz val="9"/>
        <color rgb="FF000000"/>
        <rFont val="Noto Sans CJK SC"/>
        <family val="2"/>
      </rPr>
      <t xml:space="preserve">全社資金繰り表 </t>
    </r>
    <r>
      <rPr>
        <sz val="9"/>
        <color rgb="FF000000"/>
        <rFont val="Arial"/>
        <family val="0"/>
        <charset val="1"/>
      </rPr>
      <t xml:space="preserve">2026-08-17</t>
    </r>
    <r>
      <rPr>
        <sz val="9"/>
        <color rgb="FF000000"/>
        <rFont val="Noto Sans CJK SC"/>
        <family val="2"/>
      </rPr>
      <t xml:space="preserve">「</t>
    </r>
    <r>
      <rPr>
        <sz val="9"/>
        <color rgb="FF000000"/>
        <rFont val="Arial"/>
        <family val="0"/>
        <charset val="1"/>
      </rPr>
      <t xml:space="preserve">4</t>
    </r>
    <r>
      <rPr>
        <sz val="9"/>
        <color rgb="FF000000"/>
        <rFont val="Noto Sans CJK SC"/>
        <family val="2"/>
      </rPr>
      <t xml:space="preserve">区分の収支」シート（月次平均）。</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9</t>
    </r>
    <r>
      <rPr>
        <sz val="9"/>
        <color rgb="FF000000"/>
        <rFont val="Noto Sans CJK SC"/>
        <family val="2"/>
      </rPr>
      <t xml:space="preserve">月</t>
    </r>
    <r>
      <rPr>
        <sz val="9"/>
        <color rgb="FF000000"/>
        <rFont val="Arial"/>
        <family val="0"/>
        <charset val="1"/>
      </rPr>
      <t xml:space="preserve">4</t>
    </r>
    <r>
      <rPr>
        <sz val="9"/>
        <color rgb="FF000000"/>
        <rFont val="Noto Sans CJK SC"/>
        <family val="2"/>
      </rPr>
      <t xml:space="preserve">日に保証協会へ提出済。</t>
    </r>
  </si>
  <si>
    <t xml:space="preserve">会員数（宝塚）</t>
  </si>
  <si>
    <r>
      <rPr>
        <sz val="9"/>
        <color rgb="FF000000"/>
        <rFont val="Arial"/>
        <family val="0"/>
        <charset val="1"/>
      </rPr>
      <t xml:space="preserve">Supabase </t>
    </r>
    <r>
      <rPr>
        <sz val="9"/>
        <color rgb="FF000000"/>
        <rFont val="Noto Sans CJK SC"/>
        <family val="2"/>
      </rPr>
      <t xml:space="preserve">プロジェクト </t>
    </r>
    <r>
      <rPr>
        <sz val="9"/>
        <color rgb="FF000000"/>
        <rFont val="Arial"/>
        <family val="0"/>
        <charset val="1"/>
      </rPr>
      <t xml:space="preserve">qrgpblnnhdudigarrtuz </t>
    </r>
    <r>
      <rPr>
        <sz val="9"/>
        <color rgb="FF000000"/>
        <rFont val="Noto Sans CJK SC"/>
        <family val="2"/>
      </rPr>
      <t xml:space="preserve">／ </t>
    </r>
    <r>
      <rPr>
        <sz val="9"/>
        <color rgb="FF000000"/>
        <rFont val="Arial"/>
        <family val="0"/>
        <charset val="1"/>
      </rPr>
      <t xml:space="preserve">rpt_member_snapshots</t>
    </r>
    <r>
      <rPr>
        <sz val="9"/>
        <color rgb="FF000000"/>
        <rFont val="Noto Sans CJK SC"/>
        <family val="2"/>
      </rPr>
      <t xml:space="preserve">。</t>
    </r>
    <r>
      <rPr>
        <sz val="9"/>
        <color rgb="FF000000"/>
        <rFont val="Arial"/>
        <family val="0"/>
        <charset val="1"/>
      </rPr>
      <t xml:space="preserve">2026-08</t>
    </r>
    <r>
      <rPr>
        <sz val="9"/>
        <color rgb="FF000000"/>
        <rFont val="Noto Sans CJK SC"/>
        <family val="2"/>
      </rPr>
      <t xml:space="preserve">＝</t>
    </r>
    <r>
      <rPr>
        <sz val="9"/>
        <color rgb="FF000000"/>
        <rFont val="Arial"/>
        <family val="0"/>
        <charset val="1"/>
      </rPr>
      <t xml:space="preserve">218</t>
    </r>
    <r>
      <rPr>
        <sz val="9"/>
        <color rgb="FF000000"/>
        <rFont val="Noto Sans CJK SC"/>
        <family val="2"/>
      </rPr>
      <t xml:space="preserve">名で確定。</t>
    </r>
  </si>
  <si>
    <r>
      <rPr>
        <b val="true"/>
        <sz val="10"/>
        <color rgb="FF000000"/>
        <rFont val="Arial"/>
        <family val="0"/>
        <charset val="1"/>
      </rPr>
      <t xml:space="preserve">FRANK </t>
    </r>
    <r>
      <rPr>
        <b val="true"/>
        <sz val="10"/>
        <color rgb="FF000000"/>
        <rFont val="Noto Sans CJK SC"/>
        <family val="2"/>
      </rPr>
      <t xml:space="preserve">開業実績</t>
    </r>
  </si>
  <si>
    <r>
      <rPr>
        <sz val="9"/>
        <color rgb="FF000000"/>
        <rFont val="Noto Sans CJK SC"/>
        <family val="2"/>
      </rPr>
      <t xml:space="preserve">同 </t>
    </r>
    <r>
      <rPr>
        <sz val="9"/>
        <color rgb="FF000000"/>
        <rFont val="Arial"/>
        <family val="0"/>
        <charset val="1"/>
      </rPr>
      <t xml:space="preserve">frunk_members </t>
    </r>
    <r>
      <rPr>
        <sz val="9"/>
        <color rgb="FF000000"/>
        <rFont val="Noto Sans CJK SC"/>
        <family val="2"/>
      </rPr>
      <t xml:space="preserve">／ </t>
    </r>
    <r>
      <rPr>
        <sz val="9"/>
        <color rgb="FF000000"/>
        <rFont val="Arial"/>
        <family val="0"/>
        <charset val="1"/>
      </rPr>
      <t xml:space="preserve">frunk_bookings </t>
    </r>
    <r>
      <rPr>
        <sz val="9"/>
        <color rgb="FF000000"/>
        <rFont val="Noto Sans CJK SC"/>
        <family val="2"/>
      </rPr>
      <t xml:space="preserve">／ </t>
    </r>
    <r>
      <rPr>
        <sz val="9"/>
        <color rgb="FF000000"/>
        <rFont val="Arial"/>
        <family val="0"/>
        <charset val="1"/>
      </rPr>
      <t xml:space="preserve">frunk_plans</t>
    </r>
    <r>
      <rPr>
        <sz val="9"/>
        <color rgb="FF000000"/>
        <rFont val="Noto Sans CJK SC"/>
        <family val="2"/>
      </rPr>
      <t xml:space="preserve">。</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9</t>
    </r>
    <r>
      <rPr>
        <sz val="9"/>
        <color rgb="FF000000"/>
        <rFont val="Noto Sans CJK SC"/>
        <family val="2"/>
      </rPr>
      <t xml:space="preserve">月</t>
    </r>
    <r>
      <rPr>
        <sz val="9"/>
        <color rgb="FF000000"/>
        <rFont val="Arial"/>
        <family val="0"/>
        <charset val="1"/>
      </rPr>
      <t xml:space="preserve">10</t>
    </r>
    <r>
      <rPr>
        <sz val="9"/>
        <color rgb="FF000000"/>
        <rFont val="Noto Sans CJK SC"/>
        <family val="2"/>
      </rPr>
      <t xml:space="preserve">日時点の抽出。</t>
    </r>
  </si>
  <si>
    <r>
      <rPr>
        <sz val="9"/>
        <color rgb="FF000000"/>
        <rFont val="Noto Sans CJK SC"/>
        <family val="2"/>
      </rPr>
      <t xml:space="preserve">同 </t>
    </r>
    <r>
      <rPr>
        <sz val="9"/>
        <color rgb="FF000000"/>
        <rFont val="Arial"/>
        <family val="0"/>
        <charset val="1"/>
      </rPr>
      <t xml:space="preserve">fin_entries </t>
    </r>
    <r>
      <rPr>
        <sz val="9"/>
        <color rgb="FF000000"/>
        <rFont val="Noto Sans CJK SC"/>
        <family val="2"/>
      </rPr>
      <t xml:space="preserve">／ </t>
    </r>
    <r>
      <rPr>
        <sz val="9"/>
        <color rgb="FF000000"/>
        <rFont val="Arial"/>
        <family val="0"/>
        <charset val="1"/>
      </rPr>
      <t xml:space="preserve">cad_dispatches</t>
    </r>
    <r>
      <rPr>
        <sz val="9"/>
        <color rgb="FF000000"/>
        <rFont val="Noto Sans CJK SC"/>
        <family val="2"/>
      </rPr>
      <t xml:space="preserve">。</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1</t>
    </r>
    <r>
      <rPr>
        <sz val="9"/>
        <color rgb="FF000000"/>
        <rFont val="Noto Sans CJK SC"/>
        <family val="2"/>
      </rPr>
      <t xml:space="preserve">月以降は </t>
    </r>
    <r>
      <rPr>
        <sz val="9"/>
        <color rgb="FF000000"/>
        <rFont val="Arial"/>
        <family val="0"/>
        <charset val="1"/>
      </rPr>
      <t xml:space="preserve">Caddy OS </t>
    </r>
    <r>
      <rPr>
        <sz val="9"/>
        <color rgb="FF000000"/>
        <rFont val="Noto Sans CJK SC"/>
        <family val="2"/>
      </rPr>
      <t xml:space="preserve">台帳（発生ベース）。</t>
    </r>
  </si>
  <si>
    <r>
      <rPr>
        <sz val="9"/>
        <color rgb="FF000000"/>
        <rFont val="Noto Sans CJK SC"/>
        <family val="2"/>
      </rPr>
      <t xml:space="preserve">同 </t>
    </r>
    <r>
      <rPr>
        <sz val="9"/>
        <color rgb="FF000000"/>
        <rFont val="Arial"/>
        <family val="0"/>
        <charset val="1"/>
      </rPr>
      <t xml:space="preserve">rpt_retail_sales</t>
    </r>
    <r>
      <rPr>
        <sz val="9"/>
        <color rgb="FF000000"/>
        <rFont val="Noto Sans CJK SC"/>
        <family val="2"/>
      </rPr>
      <t xml:space="preserve">（税抜）。当期</t>
    </r>
    <r>
      <rPr>
        <sz val="9"/>
        <color rgb="FF000000"/>
        <rFont val="Arial"/>
        <family val="0"/>
        <charset val="1"/>
      </rPr>
      <t xml:space="preserve">9,106,400</t>
    </r>
    <r>
      <rPr>
        <sz val="9"/>
        <color rgb="FF000000"/>
        <rFont val="Noto Sans CJK SC"/>
        <family val="2"/>
      </rPr>
      <t xml:space="preserve">円・前期比▲</t>
    </r>
    <r>
      <rPr>
        <sz val="9"/>
        <color rgb="FF000000"/>
        <rFont val="Arial"/>
        <family val="0"/>
        <charset val="1"/>
      </rPr>
      <t xml:space="preserve">21.1%</t>
    </r>
    <r>
      <rPr>
        <sz val="9"/>
        <color rgb="FF000000"/>
        <rFont val="Noto Sans CJK SC"/>
        <family val="2"/>
      </rPr>
      <t xml:space="preserve">。</t>
    </r>
  </si>
  <si>
    <t xml:space="preserve">ファイン精算</t>
  </si>
  <si>
    <r>
      <rPr>
        <sz val="9"/>
        <color rgb="FF000000"/>
        <rFont val="Noto Sans CJK SC"/>
        <family val="2"/>
      </rPr>
      <t xml:space="preserve">同 </t>
    </r>
    <r>
      <rPr>
        <sz val="9"/>
        <color rgb="FF000000"/>
        <rFont val="Arial"/>
        <family val="0"/>
        <charset val="1"/>
      </rPr>
      <t xml:space="preserve">mon_bank_txn</t>
    </r>
    <r>
      <rPr>
        <sz val="9"/>
        <color rgb="FF000000"/>
        <rFont val="Noto Sans CJK SC"/>
        <family val="2"/>
      </rPr>
      <t xml:space="preserve">（尼崎信用金庫 鴻池支店 通帳の取込）。摘要「ｶ</t>
    </r>
    <r>
      <rPr>
        <sz val="9"/>
        <color rgb="FF000000"/>
        <rFont val="Arial"/>
        <family val="0"/>
        <charset val="1"/>
      </rPr>
      <t xml:space="preserve">)</t>
    </r>
    <r>
      <rPr>
        <sz val="9"/>
        <color rgb="FF000000"/>
        <rFont val="Noto Sans CJK SC"/>
        <family val="2"/>
      </rPr>
      <t xml:space="preserve">ﾌｱｲﾝ」。当月分を翌月末に受領。</t>
    </r>
  </si>
  <si>
    <t xml:space="preserve">資金使途の内訳</t>
  </si>
  <si>
    <r>
      <rPr>
        <sz val="9"/>
        <color rgb="FF000000"/>
        <rFont val="Noto Sans CJK SC"/>
        <family val="2"/>
      </rPr>
      <t xml:space="preserve">「資金使途明細（運転資金</t>
    </r>
    <r>
      <rPr>
        <sz val="9"/>
        <color rgb="FF000000"/>
        <rFont val="Arial"/>
        <family val="0"/>
        <charset val="1"/>
      </rPr>
      <t xml:space="preserve">700</t>
    </r>
    <r>
      <rPr>
        <sz val="9"/>
        <color rgb="FF000000"/>
        <rFont val="Noto Sans CJK SC"/>
        <family val="2"/>
      </rPr>
      <t xml:space="preserve">万円）」</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8</t>
    </r>
    <r>
      <rPr>
        <sz val="9"/>
        <color rgb="FF000000"/>
        <rFont val="Noto Sans CJK SC"/>
        <family val="2"/>
      </rPr>
      <t xml:space="preserve">月</t>
    </r>
    <r>
      <rPr>
        <sz val="9"/>
        <color rgb="FF000000"/>
        <rFont val="Arial"/>
        <family val="0"/>
        <charset val="1"/>
      </rPr>
      <t xml:space="preserve">21</t>
    </r>
    <r>
      <rPr>
        <sz val="9"/>
        <color rgb="FF000000"/>
        <rFont val="Noto Sans CJK SC"/>
        <family val="2"/>
      </rPr>
      <t xml:space="preserve">日提出。経常運転資金</t>
    </r>
    <r>
      <rPr>
        <sz val="9"/>
        <color rgb="FF000000"/>
        <rFont val="Arial"/>
        <family val="0"/>
        <charset val="1"/>
      </rPr>
      <t xml:space="preserve">3,337,170</t>
    </r>
    <r>
      <rPr>
        <sz val="9"/>
        <color rgb="FF000000"/>
        <rFont val="Noto Sans CJK SC"/>
        <family val="2"/>
      </rPr>
      <t xml:space="preserve">＋増加運転資金</t>
    </r>
    <r>
      <rPr>
        <sz val="9"/>
        <color rgb="FF000000"/>
        <rFont val="Arial"/>
        <family val="0"/>
        <charset val="1"/>
      </rPr>
      <t xml:space="preserve">2,618,520</t>
    </r>
    <r>
      <rPr>
        <sz val="9"/>
        <color rgb="FF000000"/>
        <rFont val="Noto Sans CJK SC"/>
        <family val="2"/>
      </rPr>
      <t xml:space="preserve">＋季節資金</t>
    </r>
    <r>
      <rPr>
        <sz val="9"/>
        <color rgb="FF000000"/>
        <rFont val="Arial"/>
        <family val="0"/>
        <charset val="1"/>
      </rPr>
      <t xml:space="preserve">1,066,653</t>
    </r>
    <r>
      <rPr>
        <sz val="9"/>
        <color rgb="FF000000"/>
        <rFont val="Noto Sans CJK SC"/>
        <family val="2"/>
      </rPr>
      <t xml:space="preserve">。</t>
    </r>
  </si>
  <si>
    <t xml:space="preserve">既提出資料</t>
  </si>
  <si>
    <r>
      <rPr>
        <sz val="9"/>
        <color rgb="FF000000"/>
        <rFont val="Noto Sans CJK SC"/>
        <family val="2"/>
      </rPr>
      <t xml:space="preserve">業績計画差異のご説明（</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8</t>
    </r>
    <r>
      <rPr>
        <sz val="9"/>
        <color rgb="FF000000"/>
        <rFont val="Noto Sans CJK SC"/>
        <family val="2"/>
      </rPr>
      <t xml:space="preserve">月</t>
    </r>
    <r>
      <rPr>
        <sz val="9"/>
        <color rgb="FF000000"/>
        <rFont val="Arial"/>
        <family val="0"/>
        <charset val="1"/>
      </rPr>
      <t xml:space="preserve">31</t>
    </r>
    <r>
      <rPr>
        <sz val="9"/>
        <color rgb="FF000000"/>
        <rFont val="Noto Sans CJK SC"/>
        <family val="2"/>
      </rPr>
      <t xml:space="preserve">日）／売上高に関する補足説明・部門別収支（</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9</t>
    </r>
    <r>
      <rPr>
        <sz val="9"/>
        <color rgb="FF000000"/>
        <rFont val="Noto Sans CJK SC"/>
        <family val="2"/>
      </rPr>
      <t xml:space="preserve">月</t>
    </r>
    <r>
      <rPr>
        <sz val="9"/>
        <color rgb="FF000000"/>
        <rFont val="Arial"/>
        <family val="0"/>
        <charset val="1"/>
      </rPr>
      <t xml:space="preserve">4</t>
    </r>
    <r>
      <rPr>
        <sz val="9"/>
        <color rgb="FF000000"/>
        <rFont val="Noto Sans CJK SC"/>
        <family val="2"/>
      </rPr>
      <t xml:space="preserve">日）。本計画書の数字はこれらと整合させている。</t>
    </r>
  </si>
  <si>
    <t xml:space="preserve">【決算確定後に差し替える項目】</t>
  </si>
  <si>
    <r>
      <rPr>
        <sz val="10"/>
        <color rgb="FF000000"/>
        <rFont val="Noto Sans CJK SC"/>
        <family val="2"/>
      </rPr>
      <t xml:space="preserve">① 第</t>
    </r>
    <r>
      <rPr>
        <sz val="10"/>
        <color rgb="FF000000"/>
        <rFont val="Arial"/>
        <family val="0"/>
        <charset val="1"/>
      </rPr>
      <t xml:space="preserve">2</t>
    </r>
    <r>
      <rPr>
        <sz val="10"/>
        <color rgb="FF000000"/>
        <rFont val="Noto Sans CJK SC"/>
        <family val="2"/>
      </rPr>
      <t xml:space="preserve">期の通期数値</t>
    </r>
  </si>
  <si>
    <r>
      <rPr>
        <sz val="9"/>
        <color rgb="FF000000"/>
        <rFont val="Noto Sans CJK SC"/>
        <family val="2"/>
      </rPr>
      <t xml:space="preserve">試算表は</t>
    </r>
    <r>
      <rPr>
        <sz val="9"/>
        <color rgb="FF000000"/>
        <rFont val="Arial"/>
        <family val="0"/>
        <charset val="1"/>
      </rPr>
      <t xml:space="preserve">2026</t>
    </r>
    <r>
      <rPr>
        <sz val="9"/>
        <color rgb="FF000000"/>
        <rFont val="Noto Sans CJK SC"/>
        <family val="2"/>
      </rPr>
      <t xml:space="preserve">年</t>
    </r>
    <r>
      <rPr>
        <sz val="9"/>
        <color rgb="FF000000"/>
        <rFont val="Arial"/>
        <family val="0"/>
        <charset val="1"/>
      </rPr>
      <t xml:space="preserve">7</t>
    </r>
    <r>
      <rPr>
        <sz val="9"/>
        <color rgb="FF000000"/>
        <rFont val="Noto Sans CJK SC"/>
        <family val="2"/>
      </rPr>
      <t xml:space="preserve">月末まで。</t>
    </r>
    <r>
      <rPr>
        <sz val="9"/>
        <color rgb="FF000000"/>
        <rFont val="Arial"/>
        <family val="0"/>
        <charset val="1"/>
      </rPr>
      <t xml:space="preserve">8</t>
    </r>
    <r>
      <rPr>
        <sz val="9"/>
        <color rgb="FF000000"/>
        <rFont val="Noto Sans CJK SC"/>
        <family val="2"/>
      </rPr>
      <t xml:space="preserve">月分を加えた</t>
    </r>
    <r>
      <rPr>
        <sz val="9"/>
        <color rgb="FF000000"/>
        <rFont val="Arial"/>
        <family val="0"/>
        <charset val="1"/>
      </rPr>
      <t xml:space="preserve">12</t>
    </r>
    <r>
      <rPr>
        <sz val="9"/>
        <color rgb="FF000000"/>
        <rFont val="Noto Sans CJK SC"/>
        <family val="2"/>
      </rPr>
      <t xml:space="preserve">か月の確定値は決算後に差し替える（本計画では月商換算で見込みを置いている）。</t>
    </r>
  </si>
  <si>
    <t xml:space="preserve">② 部門別の期間合計</t>
  </si>
  <si>
    <r>
      <rPr>
        <sz val="9"/>
        <color rgb="FF000000"/>
        <rFont val="Noto Sans CJK SC"/>
        <family val="2"/>
      </rPr>
      <t xml:space="preserve">「</t>
    </r>
    <r>
      <rPr>
        <sz val="9"/>
        <color rgb="FF000000"/>
        <rFont val="Arial"/>
        <family val="0"/>
        <charset val="1"/>
      </rPr>
      <t xml:space="preserve">4</t>
    </r>
    <r>
      <rPr>
        <sz val="9"/>
        <color rgb="FF000000"/>
        <rFont val="Noto Sans CJK SC"/>
        <family val="2"/>
      </rPr>
      <t xml:space="preserve">区分の収支」は月次平均のみ。部門別の期間合計は税理士確認のうえ差し替える。本計画では会計の営業損益と一致するよう本社・共通で調整している。</t>
    </r>
  </si>
  <si>
    <t xml:space="preserve">③ 既存借入の条件</t>
  </si>
  <si>
    <r>
      <rPr>
        <sz val="9"/>
        <color rgb="FF000000"/>
        <rFont val="Noto Sans CJK SC"/>
        <family val="2"/>
      </rPr>
      <t xml:space="preserve">長期借入金</t>
    </r>
    <r>
      <rPr>
        <sz val="9"/>
        <color rgb="FF000000"/>
        <rFont val="Arial"/>
        <family val="0"/>
        <charset val="1"/>
      </rPr>
      <t xml:space="preserve">4,804,819</t>
    </r>
    <r>
      <rPr>
        <sz val="9"/>
        <color rgb="FF000000"/>
        <rFont val="Noto Sans CJK SC"/>
        <family val="2"/>
      </rPr>
      <t xml:space="preserve">円（毎月元金</t>
    </r>
    <r>
      <rPr>
        <sz val="9"/>
        <color rgb="FF000000"/>
        <rFont val="Arial"/>
        <family val="0"/>
        <charset val="1"/>
      </rPr>
      <t xml:space="preserve">108,108</t>
    </r>
    <r>
      <rPr>
        <sz val="9"/>
        <color rgb="FF000000"/>
        <rFont val="Noto Sans CJK SC"/>
        <family val="2"/>
      </rPr>
      <t xml:space="preserve">円）の借入先・金利・借入年月は返済予定表の受領待ち。本計画では金利年</t>
    </r>
    <r>
      <rPr>
        <sz val="9"/>
        <color rgb="FF000000"/>
        <rFont val="Arial"/>
        <family val="0"/>
        <charset val="1"/>
      </rPr>
      <t xml:space="preserve">2.0%</t>
    </r>
    <r>
      <rPr>
        <sz val="9"/>
        <color rgb="FF000000"/>
        <rFont val="Noto Sans CJK SC"/>
        <family val="2"/>
      </rPr>
      <t xml:space="preserve">と仮置きしている。</t>
    </r>
  </si>
  <si>
    <t xml:space="preserve">④ 出店投資の取得価額</t>
  </si>
  <si>
    <r>
      <rPr>
        <sz val="9"/>
        <color rgb="FF000000"/>
        <rFont val="Arial"/>
        <family val="0"/>
        <charset val="1"/>
      </rPr>
      <t xml:space="preserve">DTECT</t>
    </r>
    <r>
      <rPr>
        <sz val="9"/>
        <color rgb="FF000000"/>
        <rFont val="Noto Sans CJK SC"/>
        <family val="2"/>
      </rPr>
      <t xml:space="preserve">／</t>
    </r>
    <r>
      <rPr>
        <sz val="9"/>
        <color rgb="FF000000"/>
        <rFont val="Arial"/>
        <family val="0"/>
        <charset val="1"/>
      </rPr>
      <t xml:space="preserve">OKONGOLF</t>
    </r>
    <r>
      <rPr>
        <sz val="9"/>
        <color rgb="FF000000"/>
        <rFont val="Noto Sans CJK SC"/>
        <family val="2"/>
      </rPr>
      <t xml:space="preserve">／看板・</t>
    </r>
    <r>
      <rPr>
        <sz val="9"/>
        <color rgb="FF000000"/>
        <rFont val="Arial"/>
        <family val="0"/>
        <charset val="1"/>
      </rPr>
      <t xml:space="preserve">PC</t>
    </r>
    <r>
      <rPr>
        <sz val="9"/>
        <color rgb="FF000000"/>
        <rFont val="Noto Sans CJK SC"/>
        <family val="2"/>
      </rPr>
      <t xml:space="preserve">等の取得価額は請求書の確認待ち。減価償却費は年</t>
    </r>
    <r>
      <rPr>
        <sz val="9"/>
        <color rgb="FF000000"/>
        <rFont val="Arial"/>
        <family val="0"/>
        <charset val="1"/>
      </rPr>
      <t xml:space="preserve">700,000</t>
    </r>
    <r>
      <rPr>
        <sz val="9"/>
        <color rgb="FF000000"/>
        <rFont val="Noto Sans CJK SC"/>
        <family val="2"/>
      </rPr>
      <t xml:space="preserve">円で保守推計している。</t>
    </r>
  </si>
  <si>
    <t xml:space="preserve">⑤ 今回借入の金利</t>
  </si>
  <si>
    <r>
      <rPr>
        <sz val="9"/>
        <color rgb="FF000000"/>
        <rFont val="Noto Sans CJK SC"/>
        <family val="2"/>
      </rPr>
      <t xml:space="preserve">年</t>
    </r>
    <r>
      <rPr>
        <sz val="9"/>
        <color rgb="FF000000"/>
        <rFont val="Arial"/>
        <family val="0"/>
        <charset val="1"/>
      </rPr>
      <t xml:space="preserve">2.5%</t>
    </r>
    <r>
      <rPr>
        <sz val="9"/>
        <color rgb="FF000000"/>
        <rFont val="Noto Sans CJK SC"/>
        <family val="2"/>
      </rPr>
      <t xml:space="preserve">と仮置き。条件確定後に①前提条件シートで差し替える。</t>
    </r>
  </si>
</sst>
</file>

<file path=xl/styles.xml><?xml version="1.0" encoding="utf-8"?>
<styleSheet xmlns="http://schemas.openxmlformats.org/spreadsheetml/2006/main">
  <numFmts count="8">
    <numFmt numFmtId="164" formatCode="General"/>
    <numFmt numFmtId="165" formatCode="#,##0;[RED]\▲#,##0"/>
    <numFmt numFmtId="166" formatCode="@"/>
    <numFmt numFmtId="167" formatCode="#,##0"/>
    <numFmt numFmtId="168" formatCode="0.0%"/>
    <numFmt numFmtId="169" formatCode="yyyy/mm/dd"/>
    <numFmt numFmtId="170" formatCode="General"/>
    <numFmt numFmtId="171" formatCode="0.00\倍"/>
  </numFmts>
  <fonts count="31">
    <font>
      <sz val="11"/>
      <color theme="1"/>
      <name val="Calibri"/>
      <family val="2"/>
      <charset val="1"/>
    </font>
    <font>
      <sz val="10"/>
      <name val="Arial"/>
      <family val="0"/>
    </font>
    <font>
      <sz val="10"/>
      <name val="Arial"/>
      <family val="0"/>
    </font>
    <font>
      <sz val="10"/>
      <name val="Arial"/>
      <family val="0"/>
    </font>
    <font>
      <b val="true"/>
      <sz val="14"/>
      <color rgb="FF1F3864"/>
      <name val="Noto Sans CJK SC"/>
      <family val="2"/>
    </font>
    <font>
      <b val="true"/>
      <sz val="14"/>
      <color rgb="FF1F3864"/>
      <name val="Arial"/>
      <family val="0"/>
      <charset val="1"/>
    </font>
    <font>
      <sz val="9"/>
      <color rgb="FF595959"/>
      <name val="Noto Sans CJK SC"/>
      <family val="2"/>
    </font>
    <font>
      <sz val="9"/>
      <color rgb="FF595959"/>
      <name val="Arial"/>
      <family val="0"/>
      <charset val="1"/>
    </font>
    <font>
      <b val="true"/>
      <sz val="11"/>
      <color rgb="FF1F3864"/>
      <name val="Noto Sans CJK SC"/>
      <family val="2"/>
    </font>
    <font>
      <b val="true"/>
      <sz val="10"/>
      <color rgb="FF000000"/>
      <name val="Noto Sans CJK SC"/>
      <family val="2"/>
    </font>
    <font>
      <sz val="10"/>
      <color rgb="FF000000"/>
      <name val="Arial"/>
      <family val="0"/>
      <charset val="1"/>
    </font>
    <font>
      <sz val="10"/>
      <color rgb="FF000000"/>
      <name val="Noto Sans CJK SC"/>
      <family val="2"/>
    </font>
    <font>
      <b val="true"/>
      <sz val="11"/>
      <color rgb="FF1F3864"/>
      <name val="Arial"/>
      <family val="0"/>
      <charset val="1"/>
    </font>
    <font>
      <b val="true"/>
      <sz val="11"/>
      <color rgb="FFFFFFFF"/>
      <name val="Arial"/>
      <family val="0"/>
      <charset val="1"/>
    </font>
    <font>
      <b val="true"/>
      <sz val="11"/>
      <color rgb="FFFFFFFF"/>
      <name val="Noto Sans CJK SC"/>
      <family val="2"/>
    </font>
    <font>
      <sz val="9"/>
      <color rgb="FF000000"/>
      <name val="Noto Sans CJK SC"/>
      <family val="2"/>
    </font>
    <font>
      <sz val="9"/>
      <color rgb="FF000000"/>
      <name val="Arial"/>
      <family val="0"/>
      <charset val="1"/>
    </font>
    <font>
      <sz val="9"/>
      <color rgb="FF404040"/>
      <name val="Noto Sans CJK SC"/>
      <family val="2"/>
    </font>
    <font>
      <sz val="9"/>
      <color rgb="FF404040"/>
      <name val="Arial"/>
      <family val="0"/>
      <charset val="1"/>
    </font>
    <font>
      <sz val="8"/>
      <color rgb="FFBFBFBF"/>
      <name val="Arial"/>
      <family val="0"/>
      <charset val="1"/>
    </font>
    <font>
      <b val="true"/>
      <sz val="10"/>
      <color rgb="FF000000"/>
      <name val="Arial"/>
      <family val="0"/>
      <charset val="1"/>
    </font>
    <font>
      <sz val="11"/>
      <color theme="1"/>
      <name val="Noto Sans CJK SC"/>
      <family val="2"/>
    </font>
    <font>
      <b val="true"/>
      <sz val="11"/>
      <color rgb="FFC00000"/>
      <name val="Arial"/>
      <family val="0"/>
      <charset val="1"/>
    </font>
    <font>
      <b val="true"/>
      <sz val="10"/>
      <color rgb="FF1F3864"/>
      <name val="Noto Sans CJK SC"/>
      <family val="2"/>
    </font>
    <font>
      <b val="true"/>
      <sz val="11"/>
      <color rgb="FF000000"/>
      <name val="Noto Sans CJK SC"/>
      <family val="2"/>
    </font>
    <font>
      <b val="true"/>
      <sz val="11"/>
      <color rgb="FF000000"/>
      <name val="Arial"/>
      <family val="0"/>
      <charset val="1"/>
    </font>
    <font>
      <b val="true"/>
      <sz val="9"/>
      <color rgb="FF000000"/>
      <name val="Arial"/>
      <family val="0"/>
      <charset val="1"/>
    </font>
    <font>
      <sz val="9"/>
      <color rgb="FFC00000"/>
      <name val="Arial"/>
      <family val="0"/>
      <charset val="1"/>
    </font>
    <font>
      <b val="true"/>
      <sz val="9"/>
      <color rgb="FF000000"/>
      <name val="Noto Sans CJK SC"/>
      <family val="2"/>
    </font>
    <font>
      <sz val="8"/>
      <color rgb="FF000000"/>
      <name val="Noto Sans CJK SC"/>
      <family val="2"/>
    </font>
    <font>
      <sz val="8"/>
      <color rgb="FF000000"/>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D9E2F3"/>
        <bgColor rgb="FFF2F2F2"/>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center" vertical="bottom" textRotation="0" wrapText="false" indent="0" shrinkToFit="false"/>
      <protection locked="true" hidden="false"/>
    </xf>
    <xf numFmtId="166" fontId="16" fillId="0" borderId="1" xfId="0" applyFont="true" applyBorder="true" applyAlignment="true" applyProtection="false">
      <alignment horizontal="center" vertical="bottom" textRotation="0" wrapText="false" indent="0" shrinkToFit="false"/>
      <protection locked="true" hidden="false"/>
    </xf>
    <xf numFmtId="167" fontId="16" fillId="0" borderId="1" xfId="0" applyFont="true" applyBorder="true" applyAlignment="false" applyProtection="false">
      <alignment horizontal="general" vertical="bottom" textRotation="0" wrapText="false" indent="0" shrinkToFit="false"/>
      <protection locked="true" hidden="false"/>
    </xf>
    <xf numFmtId="167" fontId="16" fillId="4"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70" fontId="19"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7" fontId="20" fillId="3" borderId="1" xfId="0" applyFont="true" applyBorder="true" applyAlignment="false" applyProtection="false">
      <alignment horizontal="general" vertical="bottom" textRotation="0" wrapText="false" indent="0" shrinkToFit="false"/>
      <protection locked="true" hidden="false"/>
    </xf>
    <xf numFmtId="165" fontId="20" fillId="3"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7" fontId="2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20"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24" fillId="3" borderId="1" xfId="0" applyFont="true" applyBorder="true" applyAlignment="false" applyProtection="false">
      <alignment horizontal="general" vertical="bottom" textRotation="0" wrapText="false" indent="0" shrinkToFit="false"/>
      <protection locked="true" hidden="false"/>
    </xf>
    <xf numFmtId="165" fontId="25"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8" fillId="3" borderId="1" xfId="0" applyFont="true" applyBorder="true" applyAlignment="false" applyProtection="false">
      <alignment horizontal="general" vertical="bottom" textRotation="0" wrapText="false" indent="0" shrinkToFit="false"/>
      <protection locked="true" hidden="false"/>
    </xf>
    <xf numFmtId="165" fontId="20" fillId="5"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5" fontId="26" fillId="0" borderId="1" xfId="0" applyFont="true" applyBorder="true" applyAlignment="false" applyProtection="false">
      <alignment horizontal="general" vertical="bottom" textRotation="0" wrapText="false" indent="0" shrinkToFit="false"/>
      <protection locked="true" hidden="false"/>
    </xf>
    <xf numFmtId="165" fontId="27" fillId="0" borderId="1"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8" fillId="3" borderId="1" xfId="0" applyFont="true" applyBorder="true" applyAlignment="false" applyProtection="false">
      <alignment horizontal="general" vertical="bottom" textRotation="0" wrapText="false" indent="0" shrinkToFit="false"/>
      <protection locked="true" hidden="false"/>
    </xf>
    <xf numFmtId="164" fontId="28" fillId="3"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9" fontId="30" fillId="0"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8" fontId="16" fillId="0" borderId="1" xfId="0" applyFont="true" applyBorder="true" applyAlignment="false" applyProtection="false">
      <alignment horizontal="general" vertical="bottom" textRotation="0" wrapText="false" indent="0" shrinkToFit="false"/>
      <protection locked="true" hidden="false"/>
    </xf>
    <xf numFmtId="168" fontId="20" fillId="3" borderId="1" xfId="0" applyFont="true" applyBorder="true" applyAlignment="false" applyProtection="false">
      <alignment horizontal="general" vertical="bottom" textRotation="0" wrapText="false" indent="0" shrinkToFit="false"/>
      <protection locked="true" hidden="false"/>
    </xf>
    <xf numFmtId="167" fontId="20"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8" fontId="20"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8"/>
  </cols>
  <sheetData>
    <row r="1" customFormat="false" ht="21.6"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c r="C5" s="5"/>
      <c r="D5" s="5"/>
      <c r="E5" s="5"/>
      <c r="F5" s="5"/>
      <c r="G5" s="5"/>
    </row>
    <row r="6" customFormat="false" ht="15" hidden="false" customHeight="false" outlineLevel="0" collapsed="false">
      <c r="A6" s="4" t="s">
        <v>5</v>
      </c>
      <c r="B6" s="6" t="s">
        <v>6</v>
      </c>
      <c r="C6" s="6"/>
      <c r="D6" s="6"/>
      <c r="E6" s="6"/>
      <c r="F6" s="6"/>
      <c r="G6" s="6"/>
    </row>
    <row r="7" customFormat="false" ht="15" hidden="false" customHeight="false" outlineLevel="0" collapsed="false">
      <c r="A7" s="4" t="s">
        <v>7</v>
      </c>
      <c r="B7" s="5" t="s">
        <v>8</v>
      </c>
      <c r="C7" s="5"/>
      <c r="D7" s="5"/>
      <c r="E7" s="5"/>
      <c r="F7" s="5"/>
      <c r="G7" s="5"/>
    </row>
    <row r="8" customFormat="false" ht="15" hidden="false" customHeight="false" outlineLevel="0" collapsed="false">
      <c r="A8" s="4" t="s">
        <v>9</v>
      </c>
      <c r="B8" s="6" t="s">
        <v>10</v>
      </c>
      <c r="C8" s="6"/>
      <c r="D8" s="6"/>
      <c r="E8" s="6"/>
      <c r="F8" s="6"/>
      <c r="G8" s="6"/>
    </row>
    <row r="10" customFormat="false" ht="17.15" hidden="false" customHeight="false" outlineLevel="0" collapsed="false">
      <c r="A10" s="7" t="s">
        <v>11</v>
      </c>
    </row>
    <row r="11" customFormat="false" ht="30" hidden="false" customHeight="true" outlineLevel="0" collapsed="false">
      <c r="A11" s="8"/>
      <c r="B11" s="9" t="s">
        <v>12</v>
      </c>
      <c r="C11" s="9" t="s">
        <v>13</v>
      </c>
      <c r="D11" s="9" t="s">
        <v>14</v>
      </c>
      <c r="E11" s="9" t="s">
        <v>15</v>
      </c>
      <c r="F11" s="9" t="s">
        <v>16</v>
      </c>
      <c r="G11" s="9" t="s">
        <v>17</v>
      </c>
    </row>
    <row r="12" customFormat="false" ht="15" hidden="false" customHeight="false" outlineLevel="0" collapsed="false">
      <c r="A12" s="10" t="s">
        <v>18</v>
      </c>
      <c r="B12" s="11" t="n">
        <f aca="false">③3か年収支計画!B9</f>
        <v>7927283</v>
      </c>
      <c r="C12" s="11" t="n">
        <f aca="false">③3か年収支計画!C9</f>
        <v>24979520</v>
      </c>
      <c r="D12" s="11" t="n">
        <f aca="false">③3か年収支計画!D9</f>
        <v>27250000</v>
      </c>
      <c r="E12" s="11" t="n">
        <f aca="false">③3か年収支計画!E9</f>
        <v>47240607</v>
      </c>
      <c r="F12" s="11" t="n">
        <f aca="false">③3か年収支計画!F9</f>
        <v>62984833</v>
      </c>
      <c r="G12" s="11" t="n">
        <f aca="false">③3か年収支計画!G9</f>
        <v>69620683</v>
      </c>
    </row>
    <row r="13" customFormat="false" ht="15" hidden="false" customHeight="false" outlineLevel="0" collapsed="false">
      <c r="A13" s="10" t="s">
        <v>19</v>
      </c>
      <c r="B13" s="11" t="n">
        <f aca="false">③3か年収支計画!B13</f>
        <v>0</v>
      </c>
      <c r="C13" s="11" t="n">
        <f aca="false">③3か年収支計画!C13</f>
        <v>-1138361</v>
      </c>
      <c r="D13" s="11" t="n">
        <f aca="false">③3か年収支計画!D13</f>
        <v>-1568361</v>
      </c>
      <c r="E13" s="11" t="n">
        <f aca="false">③3か年収支計画!E13</f>
        <v>1430075</v>
      </c>
      <c r="F13" s="11" t="n">
        <f aca="false">③3か年収支計画!F13</f>
        <v>13033052</v>
      </c>
      <c r="G13" s="11" t="n">
        <f aca="false">③3か年収支計画!G13</f>
        <v>15212554</v>
      </c>
    </row>
    <row r="14" customFormat="false" ht="15" hidden="false" customHeight="false" outlineLevel="0" collapsed="false">
      <c r="A14" s="10" t="s">
        <v>20</v>
      </c>
      <c r="B14" s="11" t="n">
        <f aca="false">③3か年収支計画!B18</f>
        <v>-576759</v>
      </c>
      <c r="C14" s="11" t="n">
        <f aca="false">③3か年収支計画!C18</f>
        <v>-1005162</v>
      </c>
      <c r="D14" s="11" t="n">
        <f aca="false">③3か年収支計画!D18</f>
        <v>-1435162</v>
      </c>
      <c r="E14" s="11" t="n">
        <f aca="false">③3か年収支計画!E18</f>
        <v>1131163</v>
      </c>
      <c r="F14" s="11" t="n">
        <f aca="false">③3か年収支計画!F18</f>
        <v>8810790</v>
      </c>
      <c r="G14" s="11" t="n">
        <f aca="false">③3か年収支計画!G18</f>
        <v>10015831</v>
      </c>
    </row>
    <row r="15" customFormat="false" ht="15" hidden="false" customHeight="false" outlineLevel="0" collapsed="false">
      <c r="A15" s="10" t="s">
        <v>21</v>
      </c>
      <c r="B15" s="11" t="n">
        <f aca="false">③3か年収支計画!B22</f>
        <v>0</v>
      </c>
      <c r="C15" s="11" t="n">
        <f aca="false">③3か年収支計画!C22</f>
        <v>0</v>
      </c>
      <c r="D15" s="11" t="n">
        <f aca="false">③3か年収支計画!D22</f>
        <v>-1435162</v>
      </c>
      <c r="E15" s="11" t="n">
        <f aca="false">③3か年収支計画!E22</f>
        <v>1831163</v>
      </c>
      <c r="F15" s="11" t="n">
        <f aca="false">③3か年収支計画!F22</f>
        <v>9510790</v>
      </c>
      <c r="G15" s="11" t="n">
        <f aca="false">③3か年収支計画!G22</f>
        <v>10715831</v>
      </c>
    </row>
    <row r="16" customFormat="false" ht="15" hidden="false" customHeight="false" outlineLevel="0" collapsed="false">
      <c r="A16" s="10" t="s">
        <v>22</v>
      </c>
      <c r="B16" s="11" t="n">
        <f aca="false">③3か年収支計画!B25</f>
        <v>-276759</v>
      </c>
      <c r="C16" s="11" t="n">
        <f aca="false">③3か年収支計画!C25</f>
        <v>-1281921</v>
      </c>
      <c r="D16" s="11" t="n">
        <f aca="false">③3か年収支計画!D25</f>
        <v>-1711921</v>
      </c>
      <c r="E16" s="11" t="n">
        <f aca="false">③3か年収支計画!E25</f>
        <v>-580758</v>
      </c>
      <c r="F16" s="11" t="n">
        <f aca="false">③3か年収支計画!F25</f>
        <v>8230032</v>
      </c>
      <c r="G16" s="11" t="n">
        <f aca="false">③3か年収支計画!G25</f>
        <v>18245863</v>
      </c>
    </row>
    <row r="18" customFormat="false" ht="15" hidden="false" customHeight="false" outlineLevel="0" collapsed="false">
      <c r="A18" s="3" t="s">
        <v>23</v>
      </c>
    </row>
    <row r="19" customFormat="false" ht="15" hidden="false" customHeight="false" outlineLevel="0" collapsed="false">
      <c r="A19" s="5" t="s">
        <v>24</v>
      </c>
      <c r="B19" s="5"/>
      <c r="C19" s="5"/>
      <c r="D19" s="5"/>
      <c r="E19" s="5"/>
      <c r="F19" s="5"/>
      <c r="G19" s="5"/>
    </row>
    <row r="20" customFormat="false" ht="14.15" hidden="false" customHeight="false" outlineLevel="0" collapsed="false">
      <c r="A20" s="12" t="s">
        <v>25</v>
      </c>
      <c r="B20" s="12"/>
      <c r="C20" s="12"/>
      <c r="D20" s="12"/>
      <c r="E20" s="12"/>
      <c r="F20" s="12"/>
      <c r="G20" s="12"/>
    </row>
    <row r="21" customFormat="false" ht="15" hidden="false" customHeight="false" outlineLevel="0" collapsed="false">
      <c r="A21" s="5" t="s">
        <v>26</v>
      </c>
      <c r="B21" s="5"/>
      <c r="C21" s="5"/>
      <c r="D21" s="5"/>
      <c r="E21" s="5"/>
      <c r="F21" s="5"/>
      <c r="G21" s="5"/>
    </row>
    <row r="22" customFormat="false" ht="15" hidden="false" customHeight="false" outlineLevel="0" collapsed="false">
      <c r="A22" s="12" t="s">
        <v>27</v>
      </c>
      <c r="B22" s="12"/>
      <c r="C22" s="12"/>
      <c r="D22" s="12"/>
      <c r="E22" s="12"/>
      <c r="F22" s="12"/>
      <c r="G22" s="12"/>
    </row>
    <row r="23" customFormat="false" ht="15" hidden="false" customHeight="false" outlineLevel="0" collapsed="false">
      <c r="A23" s="5" t="s">
        <v>28</v>
      </c>
      <c r="B23" s="5"/>
      <c r="C23" s="5"/>
      <c r="D23" s="5"/>
      <c r="E23" s="5"/>
      <c r="F23" s="5"/>
      <c r="G23" s="5"/>
    </row>
    <row r="24" customFormat="false" ht="14.15" hidden="false" customHeight="false" outlineLevel="0" collapsed="false">
      <c r="A24" s="12" t="s">
        <v>29</v>
      </c>
      <c r="B24" s="12"/>
      <c r="C24" s="12"/>
      <c r="D24" s="12"/>
      <c r="E24" s="12"/>
      <c r="F24" s="12"/>
      <c r="G24" s="12"/>
    </row>
    <row r="25" customFormat="false" ht="14.15" hidden="false" customHeight="false" outlineLevel="0" collapsed="false">
      <c r="A25" s="12" t="s">
        <v>30</v>
      </c>
      <c r="B25" s="12"/>
      <c r="C25" s="12"/>
      <c r="D25" s="12"/>
      <c r="E25" s="12"/>
      <c r="F25" s="12"/>
      <c r="G25" s="12"/>
    </row>
    <row r="26" customFormat="false" ht="15" hidden="false" customHeight="false" outlineLevel="0" collapsed="false">
      <c r="A26" s="5" t="s">
        <v>31</v>
      </c>
      <c r="B26" s="5"/>
      <c r="C26" s="5"/>
      <c r="D26" s="5"/>
      <c r="E26" s="5"/>
      <c r="F26" s="5"/>
      <c r="G26" s="5"/>
    </row>
    <row r="27" customFormat="false" ht="15" hidden="false" customHeight="false" outlineLevel="0" collapsed="false">
      <c r="A27" s="5" t="s">
        <v>32</v>
      </c>
      <c r="B27" s="5"/>
      <c r="C27" s="5"/>
      <c r="D27" s="5"/>
      <c r="E27" s="5"/>
      <c r="F27" s="5"/>
      <c r="G27" s="5"/>
    </row>
    <row r="28" customFormat="false" ht="15" hidden="false" customHeight="false" outlineLevel="0" collapsed="false">
      <c r="A28" s="5" t="s">
        <v>33</v>
      </c>
      <c r="B28" s="5"/>
      <c r="C28" s="5"/>
      <c r="D28" s="5"/>
      <c r="E28" s="5"/>
      <c r="F28" s="5"/>
      <c r="G28" s="5"/>
    </row>
    <row r="29" customFormat="false" ht="15" hidden="false" customHeight="false" outlineLevel="0" collapsed="false">
      <c r="A29" s="3" t="s">
        <v>34</v>
      </c>
    </row>
    <row r="30" customFormat="false" ht="15" hidden="false" customHeight="false" outlineLevel="0" collapsed="false">
      <c r="A30" s="12" t="s">
        <v>35</v>
      </c>
      <c r="B30" s="12"/>
      <c r="C30" s="12"/>
      <c r="D30" s="12"/>
      <c r="E30" s="12"/>
      <c r="F30" s="12"/>
      <c r="G30" s="12"/>
    </row>
    <row r="31" customFormat="false" ht="14.15" hidden="false" customHeight="false" outlineLevel="0" collapsed="false">
      <c r="A31" s="13" t="s">
        <v>36</v>
      </c>
      <c r="B31" s="13"/>
      <c r="C31" s="13"/>
      <c r="D31" s="13"/>
      <c r="E31" s="13"/>
      <c r="F31" s="13"/>
      <c r="G31" s="13"/>
    </row>
    <row r="32" customFormat="false" ht="14.15" hidden="false" customHeight="false" outlineLevel="0" collapsed="false">
      <c r="A32" s="13" t="s">
        <v>37</v>
      </c>
      <c r="B32" s="13"/>
      <c r="C32" s="13"/>
      <c r="D32" s="13"/>
      <c r="E32" s="13"/>
      <c r="F32" s="13"/>
      <c r="G32" s="13"/>
    </row>
    <row r="33" customFormat="false" ht="14.15" hidden="false" customHeight="false" outlineLevel="0" collapsed="false">
      <c r="A33" s="12" t="s">
        <v>38</v>
      </c>
      <c r="B33" s="12"/>
      <c r="C33" s="12"/>
      <c r="D33" s="12"/>
      <c r="E33" s="12"/>
      <c r="F33" s="12"/>
      <c r="G33" s="12"/>
    </row>
    <row r="34" customFormat="false" ht="14.15" hidden="false" customHeight="false" outlineLevel="0" collapsed="false">
      <c r="A34" s="12" t="s">
        <v>39</v>
      </c>
      <c r="B34" s="12"/>
      <c r="C34" s="12"/>
      <c r="D34" s="12"/>
      <c r="E34" s="12"/>
      <c r="F34" s="12"/>
      <c r="G34" s="12"/>
    </row>
    <row r="35" customFormat="false" ht="14.15" hidden="false" customHeight="false" outlineLevel="0" collapsed="false">
      <c r="A35" s="12" t="s">
        <v>40</v>
      </c>
      <c r="B35" s="12"/>
      <c r="C35" s="12"/>
      <c r="D35" s="12"/>
      <c r="E35" s="12"/>
      <c r="F35" s="12"/>
      <c r="G35" s="12"/>
    </row>
    <row r="36" customFormat="false" ht="15" hidden="false" customHeight="false" outlineLevel="0" collapsed="false">
      <c r="A36" s="12" t="s">
        <v>41</v>
      </c>
      <c r="B36" s="12"/>
      <c r="C36" s="12"/>
      <c r="D36" s="12"/>
      <c r="E36" s="12"/>
      <c r="F36" s="12"/>
      <c r="G36" s="12"/>
    </row>
    <row r="37" customFormat="false" ht="14.15" hidden="false" customHeight="false" outlineLevel="0" collapsed="false">
      <c r="A37" s="12" t="s">
        <v>42</v>
      </c>
      <c r="B37" s="12"/>
      <c r="C37" s="12"/>
      <c r="D37" s="12"/>
      <c r="E37" s="12"/>
      <c r="F37" s="12"/>
      <c r="G37" s="12"/>
    </row>
    <row r="38" customFormat="false" ht="15" hidden="false" customHeight="false" outlineLevel="0" collapsed="false">
      <c r="A38" s="12" t="s">
        <v>43</v>
      </c>
      <c r="B38" s="12"/>
      <c r="C38" s="12"/>
      <c r="D38" s="12"/>
      <c r="E38" s="12"/>
      <c r="F38" s="12"/>
      <c r="G38" s="12"/>
    </row>
  </sheetData>
  <mergeCells count="23">
    <mergeCell ref="B5:G5"/>
    <mergeCell ref="B6:G6"/>
    <mergeCell ref="B7:G7"/>
    <mergeCell ref="B8:G8"/>
    <mergeCell ref="A19:G19"/>
    <mergeCell ref="A20:G20"/>
    <mergeCell ref="A21:G21"/>
    <mergeCell ref="A22:G22"/>
    <mergeCell ref="A23:G23"/>
    <mergeCell ref="A24:G24"/>
    <mergeCell ref="A25:G25"/>
    <mergeCell ref="A26:G26"/>
    <mergeCell ref="A27:G27"/>
    <mergeCell ref="A28:G28"/>
    <mergeCell ref="A30:G30"/>
    <mergeCell ref="A31:G31"/>
    <mergeCell ref="A32:G32"/>
    <mergeCell ref="A33:G33"/>
    <mergeCell ref="A34:G34"/>
    <mergeCell ref="A35:G35"/>
    <mergeCell ref="A36:G36"/>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 collapsed="false" customWidth="true" hidden="false" outlineLevel="0" max="5" min="5" style="0" width="62"/>
  </cols>
  <sheetData>
    <row r="1" customFormat="false" ht="21.6" hidden="false" customHeight="false" outlineLevel="0" collapsed="false">
      <c r="A1" s="1" t="s">
        <v>44</v>
      </c>
    </row>
    <row r="2" customFormat="false" ht="15" hidden="false" customHeight="false" outlineLevel="0" collapsed="false">
      <c r="A2" s="2" t="s">
        <v>45</v>
      </c>
    </row>
    <row r="4" customFormat="false" ht="15" hidden="false" customHeight="false" outlineLevel="0" collapsed="false">
      <c r="A4" s="14" t="s">
        <v>46</v>
      </c>
      <c r="B4" s="15"/>
      <c r="C4" s="15"/>
      <c r="D4" s="15"/>
      <c r="E4" s="15"/>
    </row>
    <row r="5" customFormat="false" ht="15" hidden="false" customHeight="true" outlineLevel="0" collapsed="false">
      <c r="A5" s="16" t="s">
        <v>47</v>
      </c>
      <c r="B5" s="17" t="s">
        <v>48</v>
      </c>
      <c r="E5" s="18" t="s">
        <v>49</v>
      </c>
    </row>
    <row r="6" customFormat="false" ht="15" hidden="false" customHeight="true" outlineLevel="0" collapsed="false">
      <c r="A6" s="16" t="s">
        <v>9</v>
      </c>
      <c r="B6" s="19" t="s">
        <v>50</v>
      </c>
      <c r="E6" s="18" t="s">
        <v>51</v>
      </c>
    </row>
    <row r="7" customFormat="false" ht="17.15" hidden="false" customHeight="false" outlineLevel="0" collapsed="false">
      <c r="A7" s="20" t="s">
        <v>52</v>
      </c>
      <c r="B7" s="15"/>
      <c r="C7" s="15"/>
      <c r="D7" s="15"/>
      <c r="E7" s="15"/>
    </row>
    <row r="8" customFormat="false" ht="15" hidden="false" customHeight="true" outlineLevel="0" collapsed="false">
      <c r="A8" s="16" t="s">
        <v>53</v>
      </c>
      <c r="B8" s="21" t="n">
        <v>3</v>
      </c>
      <c r="C8" s="2" t="s">
        <v>54</v>
      </c>
      <c r="E8" s="22" t="s">
        <v>55</v>
      </c>
    </row>
    <row r="9" customFormat="false" ht="15" hidden="false" customHeight="true" outlineLevel="0" collapsed="false">
      <c r="A9" s="16" t="s">
        <v>56</v>
      </c>
      <c r="B9" s="23" t="n">
        <v>11000</v>
      </c>
      <c r="E9" s="18" t="s">
        <v>57</v>
      </c>
    </row>
    <row r="10" customFormat="false" ht="15" hidden="false" customHeight="true" outlineLevel="0" collapsed="false">
      <c r="A10" s="16" t="s">
        <v>58</v>
      </c>
      <c r="B10" s="23" t="n">
        <v>54364</v>
      </c>
      <c r="E10" s="18" t="s">
        <v>59</v>
      </c>
    </row>
    <row r="11" customFormat="false" ht="15" hidden="false" customHeight="true" outlineLevel="0" collapsed="false">
      <c r="A11" s="16" t="s">
        <v>60</v>
      </c>
      <c r="B11" s="23" t="n">
        <v>4545</v>
      </c>
      <c r="E11" s="22" t="s">
        <v>61</v>
      </c>
    </row>
    <row r="12" customFormat="false" ht="15" hidden="false" customHeight="true" outlineLevel="0" collapsed="false">
      <c r="A12" s="16" t="s">
        <v>62</v>
      </c>
      <c r="B12" s="24" t="n">
        <v>0.03</v>
      </c>
      <c r="E12" s="22" t="s">
        <v>63</v>
      </c>
    </row>
    <row r="13" customFormat="false" ht="15" hidden="false" customHeight="true" outlineLevel="0" collapsed="false">
      <c r="A13" s="16" t="s">
        <v>64</v>
      </c>
      <c r="B13" s="21" t="n">
        <v>180</v>
      </c>
      <c r="C13" s="2" t="s">
        <v>65</v>
      </c>
      <c r="E13" s="18" t="s">
        <v>66</v>
      </c>
    </row>
    <row r="14" customFormat="false" ht="15" hidden="false" customHeight="true" outlineLevel="0" collapsed="false">
      <c r="A14" s="16" t="s">
        <v>67</v>
      </c>
      <c r="B14" s="21" t="n">
        <v>220</v>
      </c>
      <c r="C14" s="2" t="s">
        <v>65</v>
      </c>
      <c r="E14" s="18" t="s">
        <v>68</v>
      </c>
    </row>
    <row r="15" customFormat="false" ht="15" hidden="false" customHeight="true" outlineLevel="0" collapsed="false">
      <c r="A15" s="16" t="s">
        <v>69</v>
      </c>
      <c r="B15" s="23" t="n">
        <v>1309260</v>
      </c>
      <c r="E15" s="18" t="s">
        <v>70</v>
      </c>
    </row>
    <row r="16" customFormat="false" ht="15" hidden="false" customHeight="true" outlineLevel="0" collapsed="false">
      <c r="A16" s="16" t="s">
        <v>71</v>
      </c>
      <c r="B16" s="23" t="n">
        <v>18000000</v>
      </c>
      <c r="E16" s="18" t="s">
        <v>72</v>
      </c>
    </row>
    <row r="17" customFormat="false" ht="15" hidden="false" customHeight="true" outlineLevel="0" collapsed="false">
      <c r="A17" s="16" t="s">
        <v>73</v>
      </c>
      <c r="B17" s="23" t="n">
        <v>20000000</v>
      </c>
      <c r="E17" s="18" t="s">
        <v>74</v>
      </c>
    </row>
    <row r="18" customFormat="false" ht="15" hidden="false" customHeight="true" outlineLevel="0" collapsed="false">
      <c r="A18" s="16" t="s">
        <v>75</v>
      </c>
      <c r="B18" s="21" t="n">
        <v>25</v>
      </c>
      <c r="C18" s="2" t="s">
        <v>76</v>
      </c>
      <c r="E18" s="18" t="s">
        <v>77</v>
      </c>
    </row>
    <row r="19" customFormat="false" ht="15" hidden="false" customHeight="true" outlineLevel="0" collapsed="false">
      <c r="A19" s="16" t="s">
        <v>78</v>
      </c>
      <c r="B19" s="23" t="n">
        <v>2500</v>
      </c>
      <c r="E19" s="18"/>
    </row>
    <row r="20" customFormat="false" ht="15" hidden="false" customHeight="true" outlineLevel="0" collapsed="false">
      <c r="A20" s="16" t="s">
        <v>79</v>
      </c>
      <c r="B20" s="21" t="n">
        <v>40</v>
      </c>
      <c r="C20" s="2" t="s">
        <v>76</v>
      </c>
      <c r="E20" s="22" t="s">
        <v>80</v>
      </c>
    </row>
    <row r="21" customFormat="false" ht="15" hidden="false" customHeight="true" outlineLevel="0" collapsed="false">
      <c r="A21" s="16" t="s">
        <v>81</v>
      </c>
      <c r="B21" s="23" t="n">
        <v>2500</v>
      </c>
      <c r="E21" s="22" t="s">
        <v>82</v>
      </c>
    </row>
    <row r="22" customFormat="false" ht="15" hidden="false" customHeight="true" outlineLevel="0" collapsed="false">
      <c r="A22" s="16" t="s">
        <v>83</v>
      </c>
      <c r="B22" s="23" t="n">
        <v>150000</v>
      </c>
      <c r="E22" s="18" t="s">
        <v>84</v>
      </c>
    </row>
    <row r="23" customFormat="false" ht="15" hidden="false" customHeight="true" outlineLevel="0" collapsed="false">
      <c r="A23" s="16" t="s">
        <v>85</v>
      </c>
      <c r="B23" s="24" t="n">
        <v>0.65</v>
      </c>
      <c r="E23" s="18"/>
    </row>
    <row r="24" customFormat="false" ht="15" hidden="false" customHeight="true" outlineLevel="0" collapsed="false">
      <c r="A24" s="16" t="s">
        <v>86</v>
      </c>
      <c r="B24" s="24" t="n">
        <v>0.03</v>
      </c>
      <c r="E24" s="22" t="s">
        <v>87</v>
      </c>
    </row>
    <row r="25" customFormat="false" ht="17.15" hidden="false" customHeight="false" outlineLevel="0" collapsed="false">
      <c r="A25" s="14" t="s">
        <v>88</v>
      </c>
      <c r="B25" s="15"/>
      <c r="C25" s="15"/>
      <c r="D25" s="15"/>
      <c r="E25" s="15"/>
    </row>
    <row r="26" customFormat="false" ht="15" hidden="false" customHeight="true" outlineLevel="0" collapsed="false">
      <c r="A26" s="16" t="s">
        <v>89</v>
      </c>
      <c r="B26" s="23" t="n">
        <v>27250000</v>
      </c>
      <c r="E26" s="22" t="s">
        <v>90</v>
      </c>
    </row>
    <row r="27" customFormat="false" ht="15" hidden="false" customHeight="true" outlineLevel="0" collapsed="false">
      <c r="A27" s="16" t="s">
        <v>91</v>
      </c>
      <c r="B27" s="24" t="n">
        <v>0.03</v>
      </c>
      <c r="E27" s="18" t="s">
        <v>92</v>
      </c>
    </row>
    <row r="28" customFormat="false" ht="15" hidden="false" customHeight="false" outlineLevel="0" collapsed="false">
      <c r="A28" s="14" t="s">
        <v>93</v>
      </c>
      <c r="B28" s="15"/>
      <c r="C28" s="15"/>
      <c r="D28" s="15"/>
      <c r="E28" s="15"/>
    </row>
    <row r="29" customFormat="false" ht="15" hidden="false" customHeight="true" outlineLevel="0" collapsed="false">
      <c r="A29" s="16" t="s">
        <v>94</v>
      </c>
      <c r="B29" s="23" t="n">
        <v>2400000</v>
      </c>
      <c r="E29" s="18" t="s">
        <v>95</v>
      </c>
    </row>
    <row r="30" customFormat="false" ht="15" hidden="false" customHeight="true" outlineLevel="0" collapsed="false">
      <c r="A30" s="16" t="s">
        <v>96</v>
      </c>
      <c r="B30" s="23" t="n">
        <v>4200000</v>
      </c>
      <c r="E30" s="18"/>
    </row>
    <row r="31" customFormat="false" ht="15" hidden="false" customHeight="true" outlineLevel="0" collapsed="false">
      <c r="A31" s="16" t="s">
        <v>97</v>
      </c>
      <c r="B31" s="23" t="n">
        <v>6000000</v>
      </c>
      <c r="E31" s="18"/>
    </row>
    <row r="32" customFormat="false" ht="15" hidden="false" customHeight="true" outlineLevel="0" collapsed="false">
      <c r="A32" s="16" t="s">
        <v>98</v>
      </c>
      <c r="B32" s="24" t="n">
        <v>0.35</v>
      </c>
      <c r="E32" s="18" t="s">
        <v>99</v>
      </c>
    </row>
    <row r="33" customFormat="false" ht="17.15" hidden="false" customHeight="false" outlineLevel="0" collapsed="false">
      <c r="A33" s="14" t="s">
        <v>100</v>
      </c>
      <c r="B33" s="15"/>
      <c r="C33" s="15"/>
      <c r="D33" s="15"/>
      <c r="E33" s="15"/>
    </row>
    <row r="34" customFormat="false" ht="15" hidden="false" customHeight="true" outlineLevel="0" collapsed="false">
      <c r="A34" s="16" t="s">
        <v>101</v>
      </c>
      <c r="B34" s="23" t="n">
        <v>5842728</v>
      </c>
      <c r="E34" s="18" t="s">
        <v>102</v>
      </c>
    </row>
    <row r="35" customFormat="false" ht="15" hidden="false" customHeight="true" outlineLevel="0" collapsed="false">
      <c r="A35" s="25" t="s">
        <v>103</v>
      </c>
      <c r="B35" s="23" t="n">
        <v>5811816</v>
      </c>
      <c r="E35" s="18" t="s">
        <v>104</v>
      </c>
    </row>
    <row r="36" customFormat="false" ht="15" hidden="false" customHeight="true" outlineLevel="0" collapsed="false">
      <c r="A36" s="25" t="s">
        <v>105</v>
      </c>
      <c r="B36" s="23" t="n">
        <v>-770184</v>
      </c>
      <c r="E36" s="18" t="s">
        <v>106</v>
      </c>
    </row>
    <row r="37" customFormat="false" ht="15" hidden="false" customHeight="true" outlineLevel="0" collapsed="false">
      <c r="A37" s="16" t="s">
        <v>107</v>
      </c>
      <c r="B37" s="23" t="n">
        <v>-12452721</v>
      </c>
      <c r="E37" s="18" t="s">
        <v>108</v>
      </c>
    </row>
    <row r="38" customFormat="false" ht="15" hidden="false" customHeight="true" outlineLevel="0" collapsed="false">
      <c r="A38" s="16" t="s">
        <v>109</v>
      </c>
      <c r="B38" s="23" t="n">
        <v>1200000</v>
      </c>
      <c r="E38" s="18" t="s">
        <v>110</v>
      </c>
    </row>
    <row r="39" customFormat="false" ht="15" hidden="false" customHeight="true" outlineLevel="0" collapsed="false">
      <c r="A39" s="16" t="s">
        <v>111</v>
      </c>
      <c r="B39" s="23" t="n">
        <v>-11500000</v>
      </c>
      <c r="E39" s="18" t="s">
        <v>112</v>
      </c>
    </row>
    <row r="40" customFormat="false" ht="15" hidden="false" customHeight="true" outlineLevel="0" collapsed="false">
      <c r="A40" s="16" t="s">
        <v>113</v>
      </c>
      <c r="B40" s="23" t="n">
        <v>-12500000</v>
      </c>
      <c r="E40" s="18"/>
    </row>
    <row r="41" customFormat="false" ht="15" hidden="false" customHeight="true" outlineLevel="0" collapsed="false">
      <c r="A41" s="16" t="s">
        <v>114</v>
      </c>
      <c r="B41" s="23" t="n">
        <v>6400000</v>
      </c>
      <c r="E41" s="18" t="s">
        <v>115</v>
      </c>
    </row>
    <row r="42" customFormat="false" ht="15" hidden="false" customHeight="true" outlineLevel="0" collapsed="false">
      <c r="A42" s="16" t="s">
        <v>116</v>
      </c>
      <c r="B42" s="23" t="n">
        <v>7000000</v>
      </c>
      <c r="E42" s="18"/>
    </row>
    <row r="43" customFormat="false" ht="15" hidden="false" customHeight="true" outlineLevel="0" collapsed="false">
      <c r="A43" s="16" t="s">
        <v>117</v>
      </c>
      <c r="B43" s="23" t="n">
        <v>7500000</v>
      </c>
      <c r="E43" s="18"/>
    </row>
    <row r="44" customFormat="false" ht="15" hidden="false" customHeight="true" outlineLevel="0" collapsed="false">
      <c r="A44" s="25" t="s">
        <v>118</v>
      </c>
      <c r="B44" s="23" t="n">
        <v>6000000</v>
      </c>
      <c r="E44" s="18" t="s">
        <v>119</v>
      </c>
    </row>
    <row r="45" customFormat="false" ht="15" hidden="false" customHeight="true" outlineLevel="0" collapsed="false">
      <c r="A45" s="25" t="s">
        <v>120</v>
      </c>
      <c r="B45" s="23" t="n">
        <v>6200000</v>
      </c>
      <c r="E45" s="18"/>
    </row>
    <row r="46" customFormat="false" ht="15" hidden="false" customHeight="true" outlineLevel="0" collapsed="false">
      <c r="A46" s="25" t="s">
        <v>121</v>
      </c>
      <c r="B46" s="23" t="n">
        <v>6400000</v>
      </c>
      <c r="E46" s="18"/>
    </row>
    <row r="47" customFormat="false" ht="15" hidden="false" customHeight="false" outlineLevel="0" collapsed="false">
      <c r="A47" s="14" t="s">
        <v>122</v>
      </c>
      <c r="B47" s="15"/>
      <c r="C47" s="15"/>
      <c r="D47" s="15"/>
      <c r="E47" s="15"/>
    </row>
    <row r="48" customFormat="false" ht="15" hidden="false" customHeight="true" outlineLevel="0" collapsed="false">
      <c r="A48" s="16" t="s">
        <v>123</v>
      </c>
      <c r="B48" s="23" t="n">
        <v>7000000</v>
      </c>
      <c r="E48" s="18" t="s">
        <v>124</v>
      </c>
    </row>
    <row r="49" customFormat="false" ht="15" hidden="false" customHeight="true" outlineLevel="0" collapsed="false">
      <c r="A49" s="16" t="s">
        <v>125</v>
      </c>
      <c r="B49" s="24" t="n">
        <v>0.025</v>
      </c>
      <c r="E49" s="18" t="s">
        <v>126</v>
      </c>
    </row>
    <row r="50" customFormat="false" ht="15" hidden="false" customHeight="true" outlineLevel="0" collapsed="false">
      <c r="A50" s="16" t="s">
        <v>127</v>
      </c>
      <c r="B50" s="21" t="n">
        <v>84</v>
      </c>
      <c r="C50" s="2" t="s">
        <v>128</v>
      </c>
      <c r="E50" s="22" t="s">
        <v>129</v>
      </c>
    </row>
    <row r="51" customFormat="false" ht="15" hidden="false" customHeight="true" outlineLevel="0" collapsed="false">
      <c r="A51" s="16" t="s">
        <v>130</v>
      </c>
      <c r="B51" s="21" t="n">
        <v>6</v>
      </c>
      <c r="C51" s="2" t="s">
        <v>131</v>
      </c>
      <c r="E51" s="18" t="s">
        <v>132</v>
      </c>
    </row>
    <row r="52" customFormat="false" ht="15" hidden="false" customHeight="true" outlineLevel="0" collapsed="false">
      <c r="A52" s="16" t="s">
        <v>133</v>
      </c>
      <c r="B52" s="26" t="n">
        <v>46325</v>
      </c>
      <c r="E52" s="18" t="s">
        <v>134</v>
      </c>
    </row>
    <row r="53" customFormat="false" ht="15" hidden="false" customHeight="true" outlineLevel="0" collapsed="false">
      <c r="A53" s="16" t="s">
        <v>135</v>
      </c>
      <c r="B53" s="23" t="n">
        <v>4804819</v>
      </c>
      <c r="E53" s="18" t="s">
        <v>136</v>
      </c>
    </row>
    <row r="54" customFormat="false" ht="15" hidden="false" customHeight="true" outlineLevel="0" collapsed="false">
      <c r="A54" s="16" t="s">
        <v>137</v>
      </c>
      <c r="B54" s="23" t="n">
        <v>108108</v>
      </c>
      <c r="E54" s="18"/>
    </row>
    <row r="55" customFormat="false" ht="15" hidden="false" customHeight="true" outlineLevel="0" collapsed="false">
      <c r="A55" s="16" t="s">
        <v>138</v>
      </c>
      <c r="B55" s="23" t="n">
        <v>289050</v>
      </c>
      <c r="E55" s="22" t="s">
        <v>139</v>
      </c>
    </row>
    <row r="56" customFormat="false" ht="15" hidden="false" customHeight="true" outlineLevel="0" collapsed="false">
      <c r="A56" s="16" t="s">
        <v>140</v>
      </c>
      <c r="B56" s="23" t="n">
        <v>700000</v>
      </c>
      <c r="E56" s="22" t="s">
        <v>141</v>
      </c>
    </row>
    <row r="57" customFormat="false" ht="15" hidden="false" customHeight="true" outlineLevel="0" collapsed="false">
      <c r="A57" s="16" t="s">
        <v>142</v>
      </c>
      <c r="B57" s="24" t="n">
        <v>0.33</v>
      </c>
      <c r="E57" s="18"/>
    </row>
    <row r="58" customFormat="false" ht="15" hidden="false" customHeight="true" outlineLevel="0" collapsed="false">
      <c r="A58" s="16" t="s">
        <v>143</v>
      </c>
      <c r="B58" s="23" t="n">
        <v>5021382</v>
      </c>
      <c r="E58" s="22" t="s">
        <v>144</v>
      </c>
    </row>
    <row r="59" customFormat="false" ht="15" hidden="false" customHeight="true" outlineLevel="0" collapsed="false">
      <c r="A59" s="16" t="s">
        <v>145</v>
      </c>
      <c r="B59" s="23" t="n">
        <v>-1281921</v>
      </c>
      <c r="E59" s="18" t="s">
        <v>146</v>
      </c>
    </row>
    <row r="60" customFormat="false" ht="15" hidden="false" customHeight="true" outlineLevel="0" collapsed="false">
      <c r="A60" s="16" t="s">
        <v>147</v>
      </c>
      <c r="B60" s="23" t="n">
        <v>-430000</v>
      </c>
      <c r="E60" s="22" t="s">
        <v>148</v>
      </c>
    </row>
    <row r="61" customFormat="false" ht="15" hidden="false" customHeight="true" outlineLevel="0" collapsed="false">
      <c r="A61" s="16" t="s">
        <v>149</v>
      </c>
      <c r="B61" s="23" t="n">
        <v>1500000</v>
      </c>
      <c r="E61" s="22"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8"/>
    <col collapsed="false" customWidth="true" hidden="false" outlineLevel="0" max="5" min="4" style="0" width="7"/>
    <col collapsed="false" customWidth="true" hidden="false" outlineLevel="0" max="6" min="6" style="0" width="8"/>
    <col collapsed="false" customWidth="true" hidden="false" outlineLevel="0" max="7" min="7" style="0" width="7"/>
    <col collapsed="false" customWidth="true" hidden="false" outlineLevel="0" max="8" min="8" style="0" width="12"/>
    <col collapsed="false" customWidth="true" hidden="false" outlineLevel="0" max="9" min="9" style="0" width="11"/>
    <col collapsed="false" customWidth="true" hidden="false" outlineLevel="0" max="11" min="10" style="0" width="10"/>
    <col collapsed="false" customWidth="true" hidden="false" outlineLevel="0" max="13" min="12" style="0" width="11"/>
    <col collapsed="false" customWidth="true" hidden="false" outlineLevel="0" max="14" min="14" style="0" width="13"/>
    <col collapsed="false" customWidth="true" hidden="false" outlineLevel="0" max="15" min="15" style="0" width="11"/>
    <col collapsed="false" customWidth="true" hidden="false" outlineLevel="0" max="16" min="16" style="0" width="10"/>
    <col collapsed="false" customWidth="true" hidden="false" outlineLevel="0" max="17" min="17" style="0" width="11"/>
    <col collapsed="false" customWidth="true" hidden="false" outlineLevel="0" max="18" min="18" style="0" width="12"/>
    <col collapsed="false" customWidth="true" hidden="false" outlineLevel="0" max="19" min="19" style="0" width="13"/>
  </cols>
  <sheetData>
    <row r="1" customFormat="false" ht="21.6" hidden="false" customHeight="false" outlineLevel="0" collapsed="false">
      <c r="A1" s="27" t="s">
        <v>151</v>
      </c>
    </row>
    <row r="2" customFormat="false" ht="15" hidden="false" customHeight="false" outlineLevel="0" collapsed="false">
      <c r="A2" s="2" t="s">
        <v>152</v>
      </c>
    </row>
    <row r="4" customFormat="false" ht="30" hidden="false" customHeight="true" outlineLevel="0" collapsed="false">
      <c r="A4" s="9" t="s">
        <v>153</v>
      </c>
      <c r="B4" s="9" t="s">
        <v>154</v>
      </c>
      <c r="C4" s="9" t="s">
        <v>155</v>
      </c>
      <c r="D4" s="9" t="s">
        <v>156</v>
      </c>
      <c r="E4" s="9" t="s">
        <v>157</v>
      </c>
      <c r="F4" s="9" t="s">
        <v>158</v>
      </c>
      <c r="G4" s="9" t="s">
        <v>159</v>
      </c>
      <c r="H4" s="9" t="s">
        <v>160</v>
      </c>
      <c r="I4" s="9" t="s">
        <v>161</v>
      </c>
      <c r="J4" s="9" t="s">
        <v>162</v>
      </c>
      <c r="K4" s="9" t="s">
        <v>163</v>
      </c>
      <c r="L4" s="9" t="s">
        <v>164</v>
      </c>
      <c r="M4" s="9" t="s">
        <v>165</v>
      </c>
      <c r="N4" s="9" t="s">
        <v>166</v>
      </c>
      <c r="O4" s="9" t="s">
        <v>167</v>
      </c>
      <c r="P4" s="9" t="s">
        <v>168</v>
      </c>
      <c r="Q4" s="9" t="s">
        <v>169</v>
      </c>
      <c r="R4" s="9" t="s">
        <v>170</v>
      </c>
      <c r="S4" s="9" t="s">
        <v>19</v>
      </c>
    </row>
    <row r="5" customFormat="false" ht="15" hidden="false" customHeight="false" outlineLevel="0" collapsed="false">
      <c r="A5" s="28" t="s">
        <v>171</v>
      </c>
      <c r="B5" s="29" t="s">
        <v>172</v>
      </c>
      <c r="C5" s="30" t="n">
        <v>0</v>
      </c>
      <c r="D5" s="31" t="n">
        <v>22</v>
      </c>
      <c r="E5" s="30" t="n">
        <f aca="false">ROUND(C5*①前提条件!$B$12,0)</f>
        <v>0</v>
      </c>
      <c r="F5" s="30" t="n">
        <f aca="false">MIN(①前提条件!$B$13,C5+D5-E5)</f>
        <v>22</v>
      </c>
      <c r="G5" s="31" t="n">
        <v>1</v>
      </c>
      <c r="H5" s="32" t="n">
        <f aca="false">ROUND((C5+F5)/2*①前提条件!$B$9,0)</f>
        <v>121000</v>
      </c>
      <c r="I5" s="32" t="n">
        <f aca="false">G5*①前提条件!$B$10</f>
        <v>54364</v>
      </c>
      <c r="J5" s="32" t="n">
        <f aca="false">D5*①前提条件!$B$11</f>
        <v>99990</v>
      </c>
      <c r="K5" s="32" t="n">
        <f aca="false">①前提条件!$B$18*①前提条件!$B$19</f>
        <v>62500</v>
      </c>
      <c r="L5" s="32" t="n">
        <f aca="false">①前提条件!$B$20*①前提条件!$B$21</f>
        <v>100000</v>
      </c>
      <c r="M5" s="32" t="n">
        <f aca="false">①前提条件!$B$22</f>
        <v>150000</v>
      </c>
      <c r="N5" s="32" t="n">
        <f aca="false">SUM(H5:M5)</f>
        <v>587854</v>
      </c>
      <c r="O5" s="32" t="n">
        <f aca="false">ROUND(M5*①前提条件!$B$23,0)</f>
        <v>97500</v>
      </c>
      <c r="P5" s="32" t="n">
        <f aca="false">ROUND((N5-M5)*①前提条件!$B$24,0)</f>
        <v>13136</v>
      </c>
      <c r="Q5" s="32" t="n">
        <f aca="false">O5+P5</f>
        <v>110636</v>
      </c>
      <c r="R5" s="32" t="n">
        <f aca="false">ROUND(①前提条件!$B$15,0)</f>
        <v>1309260</v>
      </c>
      <c r="S5" s="32" t="n">
        <f aca="false">N5-Q5-R5</f>
        <v>-832042</v>
      </c>
      <c r="U5" s="33" t="n">
        <f aca="false">IF(F5&gt;=$H$46,1,0)</f>
        <v>0</v>
      </c>
    </row>
    <row r="6" customFormat="false" ht="15" hidden="false" customHeight="false" outlineLevel="0" collapsed="false">
      <c r="A6" s="28" t="s">
        <v>171</v>
      </c>
      <c r="B6" s="29" t="s">
        <v>173</v>
      </c>
      <c r="C6" s="30" t="n">
        <f aca="false">F5</f>
        <v>22</v>
      </c>
      <c r="D6" s="31" t="n">
        <v>15</v>
      </c>
      <c r="E6" s="30" t="n">
        <f aca="false">ROUND(C6*①前提条件!$B$12,0)</f>
        <v>1</v>
      </c>
      <c r="F6" s="30" t="n">
        <f aca="false">MIN(①前提条件!$B$13,C6+D6-E6)</f>
        <v>36</v>
      </c>
      <c r="G6" s="31" t="n">
        <v>1</v>
      </c>
      <c r="H6" s="32" t="n">
        <f aca="false">ROUND((C6+F6)/2*①前提条件!$B$9,0)</f>
        <v>319000</v>
      </c>
      <c r="I6" s="32" t="n">
        <f aca="false">G6*①前提条件!$B$10</f>
        <v>54364</v>
      </c>
      <c r="J6" s="32" t="n">
        <f aca="false">D6*①前提条件!$B$11</f>
        <v>68175</v>
      </c>
      <c r="K6" s="32" t="n">
        <f aca="false">①前提条件!$B$18*①前提条件!$B$19</f>
        <v>62500</v>
      </c>
      <c r="L6" s="32" t="n">
        <f aca="false">①前提条件!$B$20*①前提条件!$B$21</f>
        <v>100000</v>
      </c>
      <c r="M6" s="32" t="n">
        <f aca="false">①前提条件!$B$22</f>
        <v>150000</v>
      </c>
      <c r="N6" s="32" t="n">
        <f aca="false">SUM(H6:M6)</f>
        <v>754039</v>
      </c>
      <c r="O6" s="32" t="n">
        <f aca="false">ROUND(M6*①前提条件!$B$23,0)</f>
        <v>97500</v>
      </c>
      <c r="P6" s="32" t="n">
        <f aca="false">ROUND((N6-M6)*①前提条件!$B$24,0)</f>
        <v>18121</v>
      </c>
      <c r="Q6" s="32" t="n">
        <f aca="false">O6+P6</f>
        <v>115621</v>
      </c>
      <c r="R6" s="32" t="n">
        <f aca="false">ROUND(①前提条件!$B$15,0)</f>
        <v>1309260</v>
      </c>
      <c r="S6" s="32" t="n">
        <f aca="false">N6-Q6-R6</f>
        <v>-670842</v>
      </c>
      <c r="U6" s="33" t="n">
        <f aca="false">IF(F6&gt;=$H$46,1,0)</f>
        <v>0</v>
      </c>
    </row>
    <row r="7" customFormat="false" ht="15" hidden="false" customHeight="false" outlineLevel="0" collapsed="false">
      <c r="A7" s="28" t="s">
        <v>171</v>
      </c>
      <c r="B7" s="29" t="s">
        <v>174</v>
      </c>
      <c r="C7" s="30" t="n">
        <f aca="false">F6</f>
        <v>36</v>
      </c>
      <c r="D7" s="31" t="n">
        <v>15</v>
      </c>
      <c r="E7" s="30" t="n">
        <f aca="false">ROUND(C7*①前提条件!$B$12,0)</f>
        <v>1</v>
      </c>
      <c r="F7" s="30" t="n">
        <f aca="false">MIN(①前提条件!$B$13,C7+D7-E7)</f>
        <v>50</v>
      </c>
      <c r="G7" s="31" t="n">
        <v>1</v>
      </c>
      <c r="H7" s="32" t="n">
        <f aca="false">ROUND((C7+F7)/2*①前提条件!$B$9,0)</f>
        <v>473000</v>
      </c>
      <c r="I7" s="32" t="n">
        <f aca="false">G7*①前提条件!$B$10</f>
        <v>54364</v>
      </c>
      <c r="J7" s="32" t="n">
        <f aca="false">D7*①前提条件!$B$11</f>
        <v>68175</v>
      </c>
      <c r="K7" s="32" t="n">
        <f aca="false">①前提条件!$B$18*①前提条件!$B$19</f>
        <v>62500</v>
      </c>
      <c r="L7" s="32" t="n">
        <f aca="false">①前提条件!$B$20*①前提条件!$B$21</f>
        <v>100000</v>
      </c>
      <c r="M7" s="32" t="n">
        <f aca="false">①前提条件!$B$22</f>
        <v>150000</v>
      </c>
      <c r="N7" s="32" t="n">
        <f aca="false">SUM(H7:M7)</f>
        <v>908039</v>
      </c>
      <c r="O7" s="32" t="n">
        <f aca="false">ROUND(M7*①前提条件!$B$23,0)</f>
        <v>97500</v>
      </c>
      <c r="P7" s="32" t="n">
        <f aca="false">ROUND((N7-M7)*①前提条件!$B$24,0)</f>
        <v>22741</v>
      </c>
      <c r="Q7" s="32" t="n">
        <f aca="false">O7+P7</f>
        <v>120241</v>
      </c>
      <c r="R7" s="32" t="n">
        <f aca="false">ROUND(①前提条件!$B$15,0)</f>
        <v>1309260</v>
      </c>
      <c r="S7" s="32" t="n">
        <f aca="false">N7-Q7-R7</f>
        <v>-521462</v>
      </c>
      <c r="U7" s="33" t="n">
        <f aca="false">IF(F7&gt;=$H$46,1,0)</f>
        <v>0</v>
      </c>
    </row>
    <row r="8" customFormat="false" ht="15" hidden="false" customHeight="false" outlineLevel="0" collapsed="false">
      <c r="A8" s="28" t="s">
        <v>171</v>
      </c>
      <c r="B8" s="29" t="s">
        <v>175</v>
      </c>
      <c r="C8" s="30" t="n">
        <f aca="false">F7</f>
        <v>50</v>
      </c>
      <c r="D8" s="31" t="n">
        <v>15</v>
      </c>
      <c r="E8" s="30" t="n">
        <f aca="false">ROUND(C8*①前提条件!$B$12,0)</f>
        <v>2</v>
      </c>
      <c r="F8" s="30" t="n">
        <f aca="false">MIN(①前提条件!$B$13,C8+D8-E8)</f>
        <v>63</v>
      </c>
      <c r="G8" s="31" t="n">
        <v>1</v>
      </c>
      <c r="H8" s="32" t="n">
        <f aca="false">ROUND((C8+F8)/2*①前提条件!$B$9,0)</f>
        <v>621500</v>
      </c>
      <c r="I8" s="32" t="n">
        <f aca="false">G8*①前提条件!$B$10</f>
        <v>54364</v>
      </c>
      <c r="J8" s="32" t="n">
        <f aca="false">D8*①前提条件!$B$11</f>
        <v>68175</v>
      </c>
      <c r="K8" s="32" t="n">
        <f aca="false">①前提条件!$B$18*①前提条件!$B$19</f>
        <v>62500</v>
      </c>
      <c r="L8" s="32" t="n">
        <f aca="false">①前提条件!$B$20*①前提条件!$B$21</f>
        <v>100000</v>
      </c>
      <c r="M8" s="32" t="n">
        <f aca="false">①前提条件!$B$22</f>
        <v>150000</v>
      </c>
      <c r="N8" s="32" t="n">
        <f aca="false">SUM(H8:M8)</f>
        <v>1056539</v>
      </c>
      <c r="O8" s="32" t="n">
        <f aca="false">ROUND(M8*①前提条件!$B$23,0)</f>
        <v>97500</v>
      </c>
      <c r="P8" s="32" t="n">
        <f aca="false">ROUND((N8-M8)*①前提条件!$B$24,0)</f>
        <v>27196</v>
      </c>
      <c r="Q8" s="32" t="n">
        <f aca="false">O8+P8</f>
        <v>124696</v>
      </c>
      <c r="R8" s="32" t="n">
        <f aca="false">ROUND(①前提条件!$B$15,0)</f>
        <v>1309260</v>
      </c>
      <c r="S8" s="32" t="n">
        <f aca="false">N8-Q8-R8</f>
        <v>-377417</v>
      </c>
      <c r="U8" s="33" t="n">
        <f aca="false">IF(F8&gt;=$H$46,1,0)</f>
        <v>0</v>
      </c>
    </row>
    <row r="9" customFormat="false" ht="15" hidden="false" customHeight="false" outlineLevel="0" collapsed="false">
      <c r="A9" s="28" t="s">
        <v>171</v>
      </c>
      <c r="B9" s="29" t="s">
        <v>176</v>
      </c>
      <c r="C9" s="30" t="n">
        <f aca="false">F8</f>
        <v>63</v>
      </c>
      <c r="D9" s="31" t="n">
        <v>15</v>
      </c>
      <c r="E9" s="30" t="n">
        <f aca="false">ROUND(C9*①前提条件!$B$12,0)</f>
        <v>2</v>
      </c>
      <c r="F9" s="30" t="n">
        <f aca="false">MIN(①前提条件!$B$13,C9+D9-E9)</f>
        <v>76</v>
      </c>
      <c r="G9" s="31" t="n">
        <v>1</v>
      </c>
      <c r="H9" s="32" t="n">
        <f aca="false">ROUND((C9+F9)/2*①前提条件!$B$9,0)</f>
        <v>764500</v>
      </c>
      <c r="I9" s="32" t="n">
        <f aca="false">G9*①前提条件!$B$10</f>
        <v>54364</v>
      </c>
      <c r="J9" s="32" t="n">
        <f aca="false">D9*①前提条件!$B$11</f>
        <v>68175</v>
      </c>
      <c r="K9" s="32" t="n">
        <f aca="false">①前提条件!$B$18*①前提条件!$B$19</f>
        <v>62500</v>
      </c>
      <c r="L9" s="32" t="n">
        <f aca="false">①前提条件!$B$20*①前提条件!$B$21</f>
        <v>100000</v>
      </c>
      <c r="M9" s="32" t="n">
        <f aca="false">①前提条件!$B$22</f>
        <v>150000</v>
      </c>
      <c r="N9" s="32" t="n">
        <f aca="false">SUM(H9:M9)</f>
        <v>1199539</v>
      </c>
      <c r="O9" s="32" t="n">
        <f aca="false">ROUND(M9*①前提条件!$B$23,0)</f>
        <v>97500</v>
      </c>
      <c r="P9" s="32" t="n">
        <f aca="false">ROUND((N9-M9)*①前提条件!$B$24,0)</f>
        <v>31486</v>
      </c>
      <c r="Q9" s="32" t="n">
        <f aca="false">O9+P9</f>
        <v>128986</v>
      </c>
      <c r="R9" s="32" t="n">
        <f aca="false">ROUND(①前提条件!$B$15,0)</f>
        <v>1309260</v>
      </c>
      <c r="S9" s="32" t="n">
        <f aca="false">N9-Q9-R9</f>
        <v>-238707</v>
      </c>
      <c r="U9" s="33" t="n">
        <f aca="false">IF(F9&gt;=$H$46,1,0)</f>
        <v>0</v>
      </c>
    </row>
    <row r="10" customFormat="false" ht="15" hidden="false" customHeight="false" outlineLevel="0" collapsed="false">
      <c r="A10" s="28" t="s">
        <v>171</v>
      </c>
      <c r="B10" s="29" t="s">
        <v>177</v>
      </c>
      <c r="C10" s="30" t="n">
        <f aca="false">F9</f>
        <v>76</v>
      </c>
      <c r="D10" s="31" t="n">
        <v>15</v>
      </c>
      <c r="E10" s="30" t="n">
        <f aca="false">ROUND(C10*①前提条件!$B$12,0)</f>
        <v>2</v>
      </c>
      <c r="F10" s="30" t="n">
        <f aca="false">MIN(①前提条件!$B$13,C10+D10-E10)</f>
        <v>89</v>
      </c>
      <c r="G10" s="31" t="n">
        <v>1</v>
      </c>
      <c r="H10" s="32" t="n">
        <f aca="false">ROUND((C10+F10)/2*①前提条件!$B$9,0)</f>
        <v>907500</v>
      </c>
      <c r="I10" s="32" t="n">
        <f aca="false">G10*①前提条件!$B$10</f>
        <v>54364</v>
      </c>
      <c r="J10" s="32" t="n">
        <f aca="false">D10*①前提条件!$B$11</f>
        <v>68175</v>
      </c>
      <c r="K10" s="32" t="n">
        <f aca="false">①前提条件!$B$18*①前提条件!$B$19</f>
        <v>62500</v>
      </c>
      <c r="L10" s="32" t="n">
        <f aca="false">①前提条件!$B$20*①前提条件!$B$21</f>
        <v>100000</v>
      </c>
      <c r="M10" s="32" t="n">
        <f aca="false">①前提条件!$B$22</f>
        <v>150000</v>
      </c>
      <c r="N10" s="32" t="n">
        <f aca="false">SUM(H10:M10)</f>
        <v>1342539</v>
      </c>
      <c r="O10" s="32" t="n">
        <f aca="false">ROUND(M10*①前提条件!$B$23,0)</f>
        <v>97500</v>
      </c>
      <c r="P10" s="32" t="n">
        <f aca="false">ROUND((N10-M10)*①前提条件!$B$24,0)</f>
        <v>35776</v>
      </c>
      <c r="Q10" s="32" t="n">
        <f aca="false">O10+P10</f>
        <v>133276</v>
      </c>
      <c r="R10" s="32" t="n">
        <f aca="false">ROUND(①前提条件!$B$15,0)</f>
        <v>1309260</v>
      </c>
      <c r="S10" s="32" t="n">
        <f aca="false">N10-Q10-R10</f>
        <v>-99997</v>
      </c>
      <c r="U10" s="33" t="n">
        <f aca="false">IF(F10&gt;=$H$46,1,0)</f>
        <v>0</v>
      </c>
    </row>
    <row r="11" customFormat="false" ht="15" hidden="false" customHeight="false" outlineLevel="0" collapsed="false">
      <c r="A11" s="28" t="s">
        <v>171</v>
      </c>
      <c r="B11" s="29" t="s">
        <v>178</v>
      </c>
      <c r="C11" s="30" t="n">
        <f aca="false">F10</f>
        <v>89</v>
      </c>
      <c r="D11" s="31" t="n">
        <v>15</v>
      </c>
      <c r="E11" s="30" t="n">
        <f aca="false">ROUND(C11*①前提条件!$B$12,0)</f>
        <v>3</v>
      </c>
      <c r="F11" s="30" t="n">
        <f aca="false">MIN(①前提条件!$B$13,C11+D11-E11)</f>
        <v>101</v>
      </c>
      <c r="G11" s="31" t="n">
        <v>2</v>
      </c>
      <c r="H11" s="32" t="n">
        <f aca="false">ROUND((C11+F11)/2*①前提条件!$B$9,0)</f>
        <v>1045000</v>
      </c>
      <c r="I11" s="32" t="n">
        <f aca="false">G11*①前提条件!$B$10</f>
        <v>108728</v>
      </c>
      <c r="J11" s="32" t="n">
        <f aca="false">D11*①前提条件!$B$11</f>
        <v>68175</v>
      </c>
      <c r="K11" s="32" t="n">
        <f aca="false">①前提条件!$B$18*①前提条件!$B$19</f>
        <v>62500</v>
      </c>
      <c r="L11" s="32" t="n">
        <f aca="false">①前提条件!$B$20*①前提条件!$B$21</f>
        <v>100000</v>
      </c>
      <c r="M11" s="32" t="n">
        <f aca="false">①前提条件!$B$22</f>
        <v>150000</v>
      </c>
      <c r="N11" s="32" t="n">
        <f aca="false">SUM(H11:M11)</f>
        <v>1534403</v>
      </c>
      <c r="O11" s="32" t="n">
        <f aca="false">ROUND(M11*①前提条件!$B$23,0)</f>
        <v>97500</v>
      </c>
      <c r="P11" s="32" t="n">
        <f aca="false">ROUND((N11-M11)*①前提条件!$B$24,0)</f>
        <v>41532</v>
      </c>
      <c r="Q11" s="32" t="n">
        <f aca="false">O11+P11</f>
        <v>139032</v>
      </c>
      <c r="R11" s="32" t="n">
        <f aca="false">ROUND(①前提条件!$B$15,0)</f>
        <v>1309260</v>
      </c>
      <c r="S11" s="32" t="n">
        <f aca="false">N11-Q11-R11</f>
        <v>86111</v>
      </c>
      <c r="U11" s="33" t="n">
        <f aca="false">IF(F11&gt;=$H$46,1,0)</f>
        <v>0</v>
      </c>
    </row>
    <row r="12" customFormat="false" ht="15" hidden="false" customHeight="false" outlineLevel="0" collapsed="false">
      <c r="A12" s="28" t="s">
        <v>171</v>
      </c>
      <c r="B12" s="29" t="s">
        <v>179</v>
      </c>
      <c r="C12" s="30" t="n">
        <f aca="false">F11</f>
        <v>101</v>
      </c>
      <c r="D12" s="31" t="n">
        <v>15</v>
      </c>
      <c r="E12" s="30" t="n">
        <f aca="false">ROUND(C12*①前提条件!$B$12,0)</f>
        <v>3</v>
      </c>
      <c r="F12" s="30" t="n">
        <f aca="false">MIN(①前提条件!$B$13,C12+D12-E12)</f>
        <v>113</v>
      </c>
      <c r="G12" s="31" t="n">
        <v>2</v>
      </c>
      <c r="H12" s="32" t="n">
        <f aca="false">ROUND((C12+F12)/2*①前提条件!$B$9,0)</f>
        <v>1177000</v>
      </c>
      <c r="I12" s="32" t="n">
        <f aca="false">G12*①前提条件!$B$10</f>
        <v>108728</v>
      </c>
      <c r="J12" s="32" t="n">
        <f aca="false">D12*①前提条件!$B$11</f>
        <v>68175</v>
      </c>
      <c r="K12" s="32" t="n">
        <f aca="false">①前提条件!$B$18*①前提条件!$B$19</f>
        <v>62500</v>
      </c>
      <c r="L12" s="32" t="n">
        <f aca="false">①前提条件!$B$20*①前提条件!$B$21</f>
        <v>100000</v>
      </c>
      <c r="M12" s="32" t="n">
        <f aca="false">①前提条件!$B$22</f>
        <v>150000</v>
      </c>
      <c r="N12" s="32" t="n">
        <f aca="false">SUM(H12:M12)</f>
        <v>1666403</v>
      </c>
      <c r="O12" s="32" t="n">
        <f aca="false">ROUND(M12*①前提条件!$B$23,0)</f>
        <v>97500</v>
      </c>
      <c r="P12" s="32" t="n">
        <f aca="false">ROUND((N12-M12)*①前提条件!$B$24,0)</f>
        <v>45492</v>
      </c>
      <c r="Q12" s="32" t="n">
        <f aca="false">O12+P12</f>
        <v>142992</v>
      </c>
      <c r="R12" s="32" t="n">
        <f aca="false">ROUND(①前提条件!$B$15,0)</f>
        <v>1309260</v>
      </c>
      <c r="S12" s="32" t="n">
        <f aca="false">N12-Q12-R12</f>
        <v>214151</v>
      </c>
      <c r="U12" s="33" t="n">
        <f aca="false">IF(F12&gt;=$H$46,1,0)</f>
        <v>0</v>
      </c>
    </row>
    <row r="13" customFormat="false" ht="15" hidden="false" customHeight="false" outlineLevel="0" collapsed="false">
      <c r="A13" s="28" t="s">
        <v>171</v>
      </c>
      <c r="B13" s="29" t="s">
        <v>180</v>
      </c>
      <c r="C13" s="30" t="n">
        <f aca="false">F12</f>
        <v>113</v>
      </c>
      <c r="D13" s="31" t="n">
        <v>13</v>
      </c>
      <c r="E13" s="30" t="n">
        <f aca="false">ROUND(C13*①前提条件!$B$12,0)</f>
        <v>3</v>
      </c>
      <c r="F13" s="30" t="n">
        <f aca="false">MIN(①前提条件!$B$13,C13+D13-E13)</f>
        <v>123</v>
      </c>
      <c r="G13" s="31" t="n">
        <v>2</v>
      </c>
      <c r="H13" s="32" t="n">
        <f aca="false">ROUND((C13+F13)/2*①前提条件!$B$9,0)</f>
        <v>1298000</v>
      </c>
      <c r="I13" s="32" t="n">
        <f aca="false">G13*①前提条件!$B$10</f>
        <v>108728</v>
      </c>
      <c r="J13" s="32" t="n">
        <f aca="false">D13*①前提条件!$B$11</f>
        <v>59085</v>
      </c>
      <c r="K13" s="32" t="n">
        <f aca="false">①前提条件!$B$18*①前提条件!$B$19</f>
        <v>62500</v>
      </c>
      <c r="L13" s="32" t="n">
        <f aca="false">①前提条件!$B$20*①前提条件!$B$21</f>
        <v>100000</v>
      </c>
      <c r="M13" s="32" t="n">
        <f aca="false">①前提条件!$B$22</f>
        <v>150000</v>
      </c>
      <c r="N13" s="32" t="n">
        <f aca="false">SUM(H13:M13)</f>
        <v>1778313</v>
      </c>
      <c r="O13" s="32" t="n">
        <f aca="false">ROUND(M13*①前提条件!$B$23,0)</f>
        <v>97500</v>
      </c>
      <c r="P13" s="32" t="n">
        <f aca="false">ROUND((N13-M13)*①前提条件!$B$24,0)</f>
        <v>48849</v>
      </c>
      <c r="Q13" s="32" t="n">
        <f aca="false">O13+P13</f>
        <v>146349</v>
      </c>
      <c r="R13" s="32" t="n">
        <f aca="false">ROUND(①前提条件!$B$15,0)</f>
        <v>1309260</v>
      </c>
      <c r="S13" s="32" t="n">
        <f aca="false">N13-Q13-R13</f>
        <v>322704</v>
      </c>
      <c r="U13" s="33" t="n">
        <f aca="false">IF(F13&gt;=$H$46,1,0)</f>
        <v>1</v>
      </c>
    </row>
    <row r="14" customFormat="false" ht="15" hidden="false" customHeight="false" outlineLevel="0" collapsed="false">
      <c r="A14" s="28" t="s">
        <v>171</v>
      </c>
      <c r="B14" s="29" t="s">
        <v>181</v>
      </c>
      <c r="C14" s="30" t="n">
        <f aca="false">F13</f>
        <v>123</v>
      </c>
      <c r="D14" s="31" t="n">
        <v>13</v>
      </c>
      <c r="E14" s="30" t="n">
        <f aca="false">ROUND(C14*①前提条件!$B$12,0)</f>
        <v>4</v>
      </c>
      <c r="F14" s="30" t="n">
        <f aca="false">MIN(①前提条件!$B$13,C14+D14-E14)</f>
        <v>132</v>
      </c>
      <c r="G14" s="31" t="n">
        <v>2</v>
      </c>
      <c r="H14" s="32" t="n">
        <f aca="false">ROUND((C14+F14)/2*①前提条件!$B$9,0)</f>
        <v>1402500</v>
      </c>
      <c r="I14" s="32" t="n">
        <f aca="false">G14*①前提条件!$B$10</f>
        <v>108728</v>
      </c>
      <c r="J14" s="32" t="n">
        <f aca="false">D14*①前提条件!$B$11</f>
        <v>59085</v>
      </c>
      <c r="K14" s="32" t="n">
        <f aca="false">①前提条件!$B$18*①前提条件!$B$19</f>
        <v>62500</v>
      </c>
      <c r="L14" s="32" t="n">
        <f aca="false">①前提条件!$B$20*①前提条件!$B$21</f>
        <v>100000</v>
      </c>
      <c r="M14" s="32" t="n">
        <f aca="false">①前提条件!$B$22</f>
        <v>150000</v>
      </c>
      <c r="N14" s="32" t="n">
        <f aca="false">SUM(H14:M14)</f>
        <v>1882813</v>
      </c>
      <c r="O14" s="32" t="n">
        <f aca="false">ROUND(M14*①前提条件!$B$23,0)</f>
        <v>97500</v>
      </c>
      <c r="P14" s="32" t="n">
        <f aca="false">ROUND((N14-M14)*①前提条件!$B$24,0)</f>
        <v>51984</v>
      </c>
      <c r="Q14" s="32" t="n">
        <f aca="false">O14+P14</f>
        <v>149484</v>
      </c>
      <c r="R14" s="32" t="n">
        <f aca="false">ROUND(①前提条件!$B$15,0)</f>
        <v>1309260</v>
      </c>
      <c r="S14" s="32" t="n">
        <f aca="false">N14-Q14-R14</f>
        <v>424069</v>
      </c>
      <c r="U14" s="33" t="n">
        <f aca="false">IF(F14&gt;=$H$46,1,0)</f>
        <v>1</v>
      </c>
    </row>
    <row r="15" customFormat="false" ht="15" hidden="false" customHeight="false" outlineLevel="0" collapsed="false">
      <c r="A15" s="28" t="s">
        <v>171</v>
      </c>
      <c r="B15" s="29" t="s">
        <v>182</v>
      </c>
      <c r="C15" s="30" t="n">
        <f aca="false">F14</f>
        <v>132</v>
      </c>
      <c r="D15" s="31" t="n">
        <v>13</v>
      </c>
      <c r="E15" s="30" t="n">
        <f aca="false">ROUND(C15*①前提条件!$B$12,0)</f>
        <v>4</v>
      </c>
      <c r="F15" s="30" t="n">
        <f aca="false">MIN(①前提条件!$B$13,C15+D15-E15)</f>
        <v>141</v>
      </c>
      <c r="G15" s="31" t="n">
        <v>2</v>
      </c>
      <c r="H15" s="32" t="n">
        <f aca="false">ROUND((C15+F15)/2*①前提条件!$B$9,0)</f>
        <v>1501500</v>
      </c>
      <c r="I15" s="32" t="n">
        <f aca="false">G15*①前提条件!$B$10</f>
        <v>108728</v>
      </c>
      <c r="J15" s="32" t="n">
        <f aca="false">D15*①前提条件!$B$11</f>
        <v>59085</v>
      </c>
      <c r="K15" s="32" t="n">
        <f aca="false">①前提条件!$B$18*①前提条件!$B$19</f>
        <v>62500</v>
      </c>
      <c r="L15" s="32" t="n">
        <f aca="false">①前提条件!$B$20*①前提条件!$B$21</f>
        <v>100000</v>
      </c>
      <c r="M15" s="32" t="n">
        <f aca="false">①前提条件!$B$22</f>
        <v>150000</v>
      </c>
      <c r="N15" s="32" t="n">
        <f aca="false">SUM(H15:M15)</f>
        <v>1981813</v>
      </c>
      <c r="O15" s="32" t="n">
        <f aca="false">ROUND(M15*①前提条件!$B$23,0)</f>
        <v>97500</v>
      </c>
      <c r="P15" s="32" t="n">
        <f aca="false">ROUND((N15-M15)*①前提条件!$B$24,0)</f>
        <v>54954</v>
      </c>
      <c r="Q15" s="32" t="n">
        <f aca="false">O15+P15</f>
        <v>152454</v>
      </c>
      <c r="R15" s="32" t="n">
        <f aca="false">ROUND(①前提条件!$B$15,0)</f>
        <v>1309260</v>
      </c>
      <c r="S15" s="32" t="n">
        <f aca="false">N15-Q15-R15</f>
        <v>520099</v>
      </c>
      <c r="U15" s="33" t="n">
        <f aca="false">IF(F15&gt;=$H$46,1,0)</f>
        <v>1</v>
      </c>
    </row>
    <row r="16" customFormat="false" ht="15" hidden="false" customHeight="false" outlineLevel="0" collapsed="false">
      <c r="A16" s="28" t="s">
        <v>171</v>
      </c>
      <c r="B16" s="29" t="s">
        <v>183</v>
      </c>
      <c r="C16" s="30" t="n">
        <f aca="false">F15</f>
        <v>141</v>
      </c>
      <c r="D16" s="31" t="n">
        <v>13</v>
      </c>
      <c r="E16" s="30" t="n">
        <f aca="false">ROUND(C16*①前提条件!$B$12,0)</f>
        <v>4</v>
      </c>
      <c r="F16" s="30" t="n">
        <f aca="false">MIN(①前提条件!$B$13,C16+D16-E16)</f>
        <v>150</v>
      </c>
      <c r="G16" s="31" t="n">
        <v>2</v>
      </c>
      <c r="H16" s="32" t="n">
        <f aca="false">ROUND((C16+F16)/2*①前提条件!$B$9,0)</f>
        <v>1600500</v>
      </c>
      <c r="I16" s="32" t="n">
        <f aca="false">G16*①前提条件!$B$10</f>
        <v>108728</v>
      </c>
      <c r="J16" s="32" t="n">
        <f aca="false">D16*①前提条件!$B$11</f>
        <v>59085</v>
      </c>
      <c r="K16" s="32" t="n">
        <f aca="false">①前提条件!$B$18*①前提条件!$B$19</f>
        <v>62500</v>
      </c>
      <c r="L16" s="32" t="n">
        <f aca="false">①前提条件!$B$20*①前提条件!$B$21</f>
        <v>100000</v>
      </c>
      <c r="M16" s="32" t="n">
        <f aca="false">①前提条件!$B$22</f>
        <v>150000</v>
      </c>
      <c r="N16" s="32" t="n">
        <f aca="false">SUM(H16:M16)</f>
        <v>2080813</v>
      </c>
      <c r="O16" s="32" t="n">
        <f aca="false">ROUND(M16*①前提条件!$B$23,0)</f>
        <v>97500</v>
      </c>
      <c r="P16" s="32" t="n">
        <f aca="false">ROUND((N16-M16)*①前提条件!$B$24,0)</f>
        <v>57924</v>
      </c>
      <c r="Q16" s="32" t="n">
        <f aca="false">O16+P16</f>
        <v>155424</v>
      </c>
      <c r="R16" s="32" t="n">
        <f aca="false">ROUND(①前提条件!$B$15,0)</f>
        <v>1309260</v>
      </c>
      <c r="S16" s="32" t="n">
        <f aca="false">N16-Q16-R16</f>
        <v>616129</v>
      </c>
      <c r="U16" s="33" t="n">
        <f aca="false">IF(F16&gt;=$H$46,1,0)</f>
        <v>1</v>
      </c>
    </row>
    <row r="17" customFormat="false" ht="15" hidden="false" customHeight="false" outlineLevel="0" collapsed="false">
      <c r="A17" s="28" t="s">
        <v>184</v>
      </c>
      <c r="B17" s="29" t="s">
        <v>185</v>
      </c>
      <c r="C17" s="30" t="n">
        <f aca="false">F16</f>
        <v>150</v>
      </c>
      <c r="D17" s="31" t="n">
        <v>13</v>
      </c>
      <c r="E17" s="30" t="n">
        <f aca="false">ROUND(C17*①前提条件!$B$12,0)</f>
        <v>5</v>
      </c>
      <c r="F17" s="30" t="n">
        <f aca="false">MIN(①前提条件!$B$13,C17+D17-E17)</f>
        <v>158</v>
      </c>
      <c r="G17" s="31" t="n">
        <v>3</v>
      </c>
      <c r="H17" s="32" t="n">
        <f aca="false">ROUND((C17+F17)/2*①前提条件!$B$9,0)</f>
        <v>1694000</v>
      </c>
      <c r="I17" s="32" t="n">
        <f aca="false">G17*①前提条件!$B$10</f>
        <v>163092</v>
      </c>
      <c r="J17" s="32" t="n">
        <f aca="false">D17*①前提条件!$B$11</f>
        <v>59085</v>
      </c>
      <c r="K17" s="32" t="n">
        <f aca="false">①前提条件!$B$18*①前提条件!$B$19</f>
        <v>62500</v>
      </c>
      <c r="L17" s="32" t="n">
        <f aca="false">①前提条件!$B$20*①前提条件!$B$21</f>
        <v>100000</v>
      </c>
      <c r="M17" s="32" t="n">
        <f aca="false">①前提条件!$B$22</f>
        <v>150000</v>
      </c>
      <c r="N17" s="32" t="n">
        <f aca="false">SUM(H17:M17)</f>
        <v>2228677</v>
      </c>
      <c r="O17" s="32" t="n">
        <f aca="false">ROUND(M17*①前提条件!$B$23,0)</f>
        <v>97500</v>
      </c>
      <c r="P17" s="32" t="n">
        <f aca="false">ROUND((N17-M17)*①前提条件!$B$24,0)</f>
        <v>62360</v>
      </c>
      <c r="Q17" s="32" t="n">
        <f aca="false">O17+P17</f>
        <v>159860</v>
      </c>
      <c r="R17" s="32" t="n">
        <f aca="false">ROUND(①前提条件!$B$16/12,0)</f>
        <v>1500000</v>
      </c>
      <c r="S17" s="32" t="n">
        <f aca="false">N17-Q17-R17</f>
        <v>568817</v>
      </c>
      <c r="U17" s="33" t="n">
        <f aca="false">IF(F17&gt;=$H$46,1,0)</f>
        <v>1</v>
      </c>
    </row>
    <row r="18" customFormat="false" ht="15" hidden="false" customHeight="false" outlineLevel="0" collapsed="false">
      <c r="A18" s="28" t="s">
        <v>184</v>
      </c>
      <c r="B18" s="29" t="s">
        <v>186</v>
      </c>
      <c r="C18" s="30" t="n">
        <f aca="false">F17</f>
        <v>158</v>
      </c>
      <c r="D18" s="31" t="n">
        <v>13</v>
      </c>
      <c r="E18" s="30" t="n">
        <f aca="false">ROUND(C18*①前提条件!$B$12,0)</f>
        <v>5</v>
      </c>
      <c r="F18" s="30" t="n">
        <f aca="false">MIN(①前提条件!$B$13,C18+D18-E18)</f>
        <v>166</v>
      </c>
      <c r="G18" s="31" t="n">
        <v>3</v>
      </c>
      <c r="H18" s="32" t="n">
        <f aca="false">ROUND((C18+F18)/2*①前提条件!$B$9,0)</f>
        <v>1782000</v>
      </c>
      <c r="I18" s="32" t="n">
        <f aca="false">G18*①前提条件!$B$10</f>
        <v>163092</v>
      </c>
      <c r="J18" s="32" t="n">
        <f aca="false">D18*①前提条件!$B$11</f>
        <v>59085</v>
      </c>
      <c r="K18" s="32" t="n">
        <f aca="false">①前提条件!$B$18*①前提条件!$B$19</f>
        <v>62500</v>
      </c>
      <c r="L18" s="32" t="n">
        <f aca="false">①前提条件!$B$20*①前提条件!$B$21</f>
        <v>100000</v>
      </c>
      <c r="M18" s="32" t="n">
        <f aca="false">①前提条件!$B$22</f>
        <v>150000</v>
      </c>
      <c r="N18" s="32" t="n">
        <f aca="false">SUM(H18:M18)</f>
        <v>2316677</v>
      </c>
      <c r="O18" s="32" t="n">
        <f aca="false">ROUND(M18*①前提条件!$B$23,0)</f>
        <v>97500</v>
      </c>
      <c r="P18" s="32" t="n">
        <f aca="false">ROUND((N18-M18)*①前提条件!$B$24,0)</f>
        <v>65000</v>
      </c>
      <c r="Q18" s="32" t="n">
        <f aca="false">O18+P18</f>
        <v>162500</v>
      </c>
      <c r="R18" s="32" t="n">
        <f aca="false">ROUND(①前提条件!$B$16/12,0)</f>
        <v>1500000</v>
      </c>
      <c r="S18" s="32" t="n">
        <f aca="false">N18-Q18-R18</f>
        <v>654177</v>
      </c>
      <c r="U18" s="33" t="n">
        <f aca="false">IF(F18&gt;=$H$46,1,0)</f>
        <v>1</v>
      </c>
    </row>
    <row r="19" customFormat="false" ht="15" hidden="false" customHeight="false" outlineLevel="0" collapsed="false">
      <c r="A19" s="28" t="s">
        <v>184</v>
      </c>
      <c r="B19" s="29" t="s">
        <v>187</v>
      </c>
      <c r="C19" s="30" t="n">
        <f aca="false">F18</f>
        <v>166</v>
      </c>
      <c r="D19" s="31" t="n">
        <v>13</v>
      </c>
      <c r="E19" s="30" t="n">
        <f aca="false">ROUND(C19*①前提条件!$B$12,0)</f>
        <v>5</v>
      </c>
      <c r="F19" s="30" t="n">
        <f aca="false">MIN(①前提条件!$B$13,C19+D19-E19)</f>
        <v>174</v>
      </c>
      <c r="G19" s="31" t="n">
        <v>3</v>
      </c>
      <c r="H19" s="32" t="n">
        <f aca="false">ROUND((C19+F19)/2*①前提条件!$B$9,0)</f>
        <v>1870000</v>
      </c>
      <c r="I19" s="32" t="n">
        <f aca="false">G19*①前提条件!$B$10</f>
        <v>163092</v>
      </c>
      <c r="J19" s="32" t="n">
        <f aca="false">D19*①前提条件!$B$11</f>
        <v>59085</v>
      </c>
      <c r="K19" s="32" t="n">
        <f aca="false">①前提条件!$B$18*①前提条件!$B$19</f>
        <v>62500</v>
      </c>
      <c r="L19" s="32" t="n">
        <f aca="false">①前提条件!$B$20*①前提条件!$B$21</f>
        <v>100000</v>
      </c>
      <c r="M19" s="32" t="n">
        <f aca="false">①前提条件!$B$22</f>
        <v>150000</v>
      </c>
      <c r="N19" s="32" t="n">
        <f aca="false">SUM(H19:M19)</f>
        <v>2404677</v>
      </c>
      <c r="O19" s="32" t="n">
        <f aca="false">ROUND(M19*①前提条件!$B$23,0)</f>
        <v>97500</v>
      </c>
      <c r="P19" s="32" t="n">
        <f aca="false">ROUND((N19-M19)*①前提条件!$B$24,0)</f>
        <v>67640</v>
      </c>
      <c r="Q19" s="32" t="n">
        <f aca="false">O19+P19</f>
        <v>165140</v>
      </c>
      <c r="R19" s="32" t="n">
        <f aca="false">ROUND(①前提条件!$B$16/12,0)</f>
        <v>1500000</v>
      </c>
      <c r="S19" s="32" t="n">
        <f aca="false">N19-Q19-R19</f>
        <v>739537</v>
      </c>
      <c r="U19" s="33" t="n">
        <f aca="false">IF(F19&gt;=$H$46,1,0)</f>
        <v>1</v>
      </c>
    </row>
    <row r="20" customFormat="false" ht="15" hidden="false" customHeight="false" outlineLevel="0" collapsed="false">
      <c r="A20" s="28" t="s">
        <v>184</v>
      </c>
      <c r="B20" s="29" t="s">
        <v>188</v>
      </c>
      <c r="C20" s="30" t="n">
        <f aca="false">F19</f>
        <v>174</v>
      </c>
      <c r="D20" s="31" t="n">
        <v>13</v>
      </c>
      <c r="E20" s="30" t="n">
        <f aca="false">ROUND(C20*①前提条件!$B$12,0)</f>
        <v>5</v>
      </c>
      <c r="F20" s="30" t="n">
        <f aca="false">MIN(①前提条件!$B$13,C20+D20-E20)</f>
        <v>180</v>
      </c>
      <c r="G20" s="31" t="n">
        <v>3</v>
      </c>
      <c r="H20" s="32" t="n">
        <f aca="false">ROUND((C20+F20)/2*①前提条件!$B$9,0)</f>
        <v>1947000</v>
      </c>
      <c r="I20" s="32" t="n">
        <f aca="false">G20*①前提条件!$B$10</f>
        <v>163092</v>
      </c>
      <c r="J20" s="32" t="n">
        <f aca="false">D20*①前提条件!$B$11</f>
        <v>59085</v>
      </c>
      <c r="K20" s="32" t="n">
        <f aca="false">①前提条件!$B$18*①前提条件!$B$19</f>
        <v>62500</v>
      </c>
      <c r="L20" s="32" t="n">
        <f aca="false">①前提条件!$B$20*①前提条件!$B$21</f>
        <v>100000</v>
      </c>
      <c r="M20" s="32" t="n">
        <f aca="false">①前提条件!$B$22</f>
        <v>150000</v>
      </c>
      <c r="N20" s="32" t="n">
        <f aca="false">SUM(H20:M20)</f>
        <v>2481677</v>
      </c>
      <c r="O20" s="32" t="n">
        <f aca="false">ROUND(M20*①前提条件!$B$23,0)</f>
        <v>97500</v>
      </c>
      <c r="P20" s="32" t="n">
        <f aca="false">ROUND((N20-M20)*①前提条件!$B$24,0)</f>
        <v>69950</v>
      </c>
      <c r="Q20" s="32" t="n">
        <f aca="false">O20+P20</f>
        <v>167450</v>
      </c>
      <c r="R20" s="32" t="n">
        <f aca="false">ROUND(①前提条件!$B$16/12,0)</f>
        <v>1500000</v>
      </c>
      <c r="S20" s="32" t="n">
        <f aca="false">N20-Q20-R20</f>
        <v>814227</v>
      </c>
      <c r="U20" s="33" t="n">
        <f aca="false">IF(F20&gt;=$H$46,1,0)</f>
        <v>1</v>
      </c>
    </row>
    <row r="21" customFormat="false" ht="15" hidden="false" customHeight="false" outlineLevel="0" collapsed="false">
      <c r="A21" s="28" t="s">
        <v>184</v>
      </c>
      <c r="B21" s="29" t="s">
        <v>189</v>
      </c>
      <c r="C21" s="30" t="n">
        <f aca="false">F20</f>
        <v>180</v>
      </c>
      <c r="D21" s="31" t="n">
        <v>13</v>
      </c>
      <c r="E21" s="30" t="n">
        <f aca="false">ROUND(C21*①前提条件!$B$12,0)</f>
        <v>5</v>
      </c>
      <c r="F21" s="30" t="n">
        <f aca="false">MIN(①前提条件!$B$13,C21+D21-E21)</f>
        <v>180</v>
      </c>
      <c r="G21" s="31" t="n">
        <v>3</v>
      </c>
      <c r="H21" s="32" t="n">
        <f aca="false">ROUND((C21+F21)/2*①前提条件!$B$9,0)</f>
        <v>1980000</v>
      </c>
      <c r="I21" s="32" t="n">
        <f aca="false">G21*①前提条件!$B$10</f>
        <v>163092</v>
      </c>
      <c r="J21" s="32" t="n">
        <f aca="false">D21*①前提条件!$B$11</f>
        <v>59085</v>
      </c>
      <c r="K21" s="32" t="n">
        <f aca="false">①前提条件!$B$18*①前提条件!$B$19</f>
        <v>62500</v>
      </c>
      <c r="L21" s="32" t="n">
        <f aca="false">①前提条件!$B$20*①前提条件!$B$21</f>
        <v>100000</v>
      </c>
      <c r="M21" s="32" t="n">
        <f aca="false">①前提条件!$B$22</f>
        <v>150000</v>
      </c>
      <c r="N21" s="32" t="n">
        <f aca="false">SUM(H21:M21)</f>
        <v>2514677</v>
      </c>
      <c r="O21" s="32" t="n">
        <f aca="false">ROUND(M21*①前提条件!$B$23,0)</f>
        <v>97500</v>
      </c>
      <c r="P21" s="32" t="n">
        <f aca="false">ROUND((N21-M21)*①前提条件!$B$24,0)</f>
        <v>70940</v>
      </c>
      <c r="Q21" s="32" t="n">
        <f aca="false">O21+P21</f>
        <v>168440</v>
      </c>
      <c r="R21" s="32" t="n">
        <f aca="false">ROUND(①前提条件!$B$16/12,0)</f>
        <v>1500000</v>
      </c>
      <c r="S21" s="32" t="n">
        <f aca="false">N21-Q21-R21</f>
        <v>846237</v>
      </c>
      <c r="U21" s="33" t="n">
        <f aca="false">IF(F21&gt;=$H$46,1,0)</f>
        <v>1</v>
      </c>
    </row>
    <row r="22" customFormat="false" ht="15" hidden="false" customHeight="false" outlineLevel="0" collapsed="false">
      <c r="A22" s="28" t="s">
        <v>184</v>
      </c>
      <c r="B22" s="29" t="s">
        <v>190</v>
      </c>
      <c r="C22" s="30" t="n">
        <f aca="false">F21</f>
        <v>180</v>
      </c>
      <c r="D22" s="31" t="n">
        <v>13</v>
      </c>
      <c r="E22" s="30" t="n">
        <f aca="false">ROUND(C22*①前提条件!$B$12,0)</f>
        <v>5</v>
      </c>
      <c r="F22" s="30" t="n">
        <f aca="false">MIN(①前提条件!$B$13,C22+D22-E22)</f>
        <v>180</v>
      </c>
      <c r="G22" s="31" t="n">
        <v>3</v>
      </c>
      <c r="H22" s="32" t="n">
        <f aca="false">ROUND((C22+F22)/2*①前提条件!$B$9,0)</f>
        <v>1980000</v>
      </c>
      <c r="I22" s="32" t="n">
        <f aca="false">G22*①前提条件!$B$10</f>
        <v>163092</v>
      </c>
      <c r="J22" s="32" t="n">
        <f aca="false">D22*①前提条件!$B$11</f>
        <v>59085</v>
      </c>
      <c r="K22" s="32" t="n">
        <f aca="false">①前提条件!$B$18*①前提条件!$B$19</f>
        <v>62500</v>
      </c>
      <c r="L22" s="32" t="n">
        <f aca="false">①前提条件!$B$20*①前提条件!$B$21</f>
        <v>100000</v>
      </c>
      <c r="M22" s="32" t="n">
        <f aca="false">①前提条件!$B$22</f>
        <v>150000</v>
      </c>
      <c r="N22" s="32" t="n">
        <f aca="false">SUM(H22:M22)</f>
        <v>2514677</v>
      </c>
      <c r="O22" s="32" t="n">
        <f aca="false">ROUND(M22*①前提条件!$B$23,0)</f>
        <v>97500</v>
      </c>
      <c r="P22" s="32" t="n">
        <f aca="false">ROUND((N22-M22)*①前提条件!$B$24,0)</f>
        <v>70940</v>
      </c>
      <c r="Q22" s="32" t="n">
        <f aca="false">O22+P22</f>
        <v>168440</v>
      </c>
      <c r="R22" s="32" t="n">
        <f aca="false">ROUND(①前提条件!$B$16/12,0)</f>
        <v>1500000</v>
      </c>
      <c r="S22" s="32" t="n">
        <f aca="false">N22-Q22-R22</f>
        <v>846237</v>
      </c>
      <c r="U22" s="33" t="n">
        <f aca="false">IF(F22&gt;=$H$46,1,0)</f>
        <v>1</v>
      </c>
    </row>
    <row r="23" customFormat="false" ht="15" hidden="false" customHeight="false" outlineLevel="0" collapsed="false">
      <c r="A23" s="28" t="s">
        <v>184</v>
      </c>
      <c r="B23" s="29" t="s">
        <v>191</v>
      </c>
      <c r="C23" s="30" t="n">
        <f aca="false">F22</f>
        <v>180</v>
      </c>
      <c r="D23" s="31" t="n">
        <v>13</v>
      </c>
      <c r="E23" s="30" t="n">
        <f aca="false">ROUND(C23*①前提条件!$B$12,0)</f>
        <v>5</v>
      </c>
      <c r="F23" s="30" t="n">
        <f aca="false">MIN(①前提条件!$B$13,C23+D23-E23)</f>
        <v>180</v>
      </c>
      <c r="G23" s="31" t="n">
        <v>4</v>
      </c>
      <c r="H23" s="32" t="n">
        <f aca="false">ROUND((C23+F23)/2*①前提条件!$B$9,0)</f>
        <v>1980000</v>
      </c>
      <c r="I23" s="32" t="n">
        <f aca="false">G23*①前提条件!$B$10</f>
        <v>217456</v>
      </c>
      <c r="J23" s="32" t="n">
        <f aca="false">D23*①前提条件!$B$11</f>
        <v>59085</v>
      </c>
      <c r="K23" s="32" t="n">
        <f aca="false">①前提条件!$B$18*①前提条件!$B$19</f>
        <v>62500</v>
      </c>
      <c r="L23" s="32" t="n">
        <f aca="false">①前提条件!$B$20*①前提条件!$B$21</f>
        <v>100000</v>
      </c>
      <c r="M23" s="32" t="n">
        <f aca="false">①前提条件!$B$22</f>
        <v>150000</v>
      </c>
      <c r="N23" s="32" t="n">
        <f aca="false">SUM(H23:M23)</f>
        <v>2569041</v>
      </c>
      <c r="O23" s="32" t="n">
        <f aca="false">ROUND(M23*①前提条件!$B$23,0)</f>
        <v>97500</v>
      </c>
      <c r="P23" s="32" t="n">
        <f aca="false">ROUND((N23-M23)*①前提条件!$B$24,0)</f>
        <v>72571</v>
      </c>
      <c r="Q23" s="32" t="n">
        <f aca="false">O23+P23</f>
        <v>170071</v>
      </c>
      <c r="R23" s="32" t="n">
        <f aca="false">ROUND(①前提条件!$B$16/12,0)</f>
        <v>1500000</v>
      </c>
      <c r="S23" s="32" t="n">
        <f aca="false">N23-Q23-R23</f>
        <v>898970</v>
      </c>
      <c r="U23" s="33" t="n">
        <f aca="false">IF(F23&gt;=$H$46,1,0)</f>
        <v>1</v>
      </c>
    </row>
    <row r="24" customFormat="false" ht="15" hidden="false" customHeight="false" outlineLevel="0" collapsed="false">
      <c r="A24" s="28" t="s">
        <v>184</v>
      </c>
      <c r="B24" s="29" t="s">
        <v>192</v>
      </c>
      <c r="C24" s="30" t="n">
        <f aca="false">F23</f>
        <v>180</v>
      </c>
      <c r="D24" s="31" t="n">
        <v>13</v>
      </c>
      <c r="E24" s="30" t="n">
        <f aca="false">ROUND(C24*①前提条件!$B$12,0)</f>
        <v>5</v>
      </c>
      <c r="F24" s="30" t="n">
        <f aca="false">MIN(①前提条件!$B$13,C24+D24-E24)</f>
        <v>180</v>
      </c>
      <c r="G24" s="31" t="n">
        <v>4</v>
      </c>
      <c r="H24" s="32" t="n">
        <f aca="false">ROUND((C24+F24)/2*①前提条件!$B$9,0)</f>
        <v>1980000</v>
      </c>
      <c r="I24" s="32" t="n">
        <f aca="false">G24*①前提条件!$B$10</f>
        <v>217456</v>
      </c>
      <c r="J24" s="32" t="n">
        <f aca="false">D24*①前提条件!$B$11</f>
        <v>59085</v>
      </c>
      <c r="K24" s="32" t="n">
        <f aca="false">①前提条件!$B$18*①前提条件!$B$19</f>
        <v>62500</v>
      </c>
      <c r="L24" s="32" t="n">
        <f aca="false">①前提条件!$B$20*①前提条件!$B$21</f>
        <v>100000</v>
      </c>
      <c r="M24" s="32" t="n">
        <f aca="false">①前提条件!$B$22</f>
        <v>150000</v>
      </c>
      <c r="N24" s="32" t="n">
        <f aca="false">SUM(H24:M24)</f>
        <v>2569041</v>
      </c>
      <c r="O24" s="32" t="n">
        <f aca="false">ROUND(M24*①前提条件!$B$23,0)</f>
        <v>97500</v>
      </c>
      <c r="P24" s="32" t="n">
        <f aca="false">ROUND((N24-M24)*①前提条件!$B$24,0)</f>
        <v>72571</v>
      </c>
      <c r="Q24" s="32" t="n">
        <f aca="false">O24+P24</f>
        <v>170071</v>
      </c>
      <c r="R24" s="32" t="n">
        <f aca="false">ROUND(①前提条件!$B$16/12,0)</f>
        <v>1500000</v>
      </c>
      <c r="S24" s="32" t="n">
        <f aca="false">N24-Q24-R24</f>
        <v>898970</v>
      </c>
      <c r="U24" s="33" t="n">
        <f aca="false">IF(F24&gt;=$H$46,1,0)</f>
        <v>1</v>
      </c>
    </row>
    <row r="25" customFormat="false" ht="15" hidden="false" customHeight="false" outlineLevel="0" collapsed="false">
      <c r="A25" s="28" t="s">
        <v>184</v>
      </c>
      <c r="B25" s="29" t="s">
        <v>193</v>
      </c>
      <c r="C25" s="30" t="n">
        <f aca="false">F24</f>
        <v>180</v>
      </c>
      <c r="D25" s="31" t="n">
        <v>13</v>
      </c>
      <c r="E25" s="30" t="n">
        <f aca="false">ROUND(C25*①前提条件!$B$12,0)</f>
        <v>5</v>
      </c>
      <c r="F25" s="30" t="n">
        <f aca="false">MIN(①前提条件!$B$13,C25+D25-E25)</f>
        <v>180</v>
      </c>
      <c r="G25" s="31" t="n">
        <v>4</v>
      </c>
      <c r="H25" s="32" t="n">
        <f aca="false">ROUND((C25+F25)/2*①前提条件!$B$9,0)</f>
        <v>1980000</v>
      </c>
      <c r="I25" s="32" t="n">
        <f aca="false">G25*①前提条件!$B$10</f>
        <v>217456</v>
      </c>
      <c r="J25" s="32" t="n">
        <f aca="false">D25*①前提条件!$B$11</f>
        <v>59085</v>
      </c>
      <c r="K25" s="32" t="n">
        <f aca="false">①前提条件!$B$18*①前提条件!$B$19</f>
        <v>62500</v>
      </c>
      <c r="L25" s="32" t="n">
        <f aca="false">①前提条件!$B$20*①前提条件!$B$21</f>
        <v>100000</v>
      </c>
      <c r="M25" s="32" t="n">
        <f aca="false">①前提条件!$B$22</f>
        <v>150000</v>
      </c>
      <c r="N25" s="32" t="n">
        <f aca="false">SUM(H25:M25)</f>
        <v>2569041</v>
      </c>
      <c r="O25" s="32" t="n">
        <f aca="false">ROUND(M25*①前提条件!$B$23,0)</f>
        <v>97500</v>
      </c>
      <c r="P25" s="32" t="n">
        <f aca="false">ROUND((N25-M25)*①前提条件!$B$24,0)</f>
        <v>72571</v>
      </c>
      <c r="Q25" s="32" t="n">
        <f aca="false">O25+P25</f>
        <v>170071</v>
      </c>
      <c r="R25" s="32" t="n">
        <f aca="false">ROUND(①前提条件!$B$16/12,0)</f>
        <v>1500000</v>
      </c>
      <c r="S25" s="32" t="n">
        <f aca="false">N25-Q25-R25</f>
        <v>898970</v>
      </c>
      <c r="U25" s="33" t="n">
        <f aca="false">IF(F25&gt;=$H$46,1,0)</f>
        <v>1</v>
      </c>
    </row>
    <row r="26" customFormat="false" ht="15" hidden="false" customHeight="false" outlineLevel="0" collapsed="false">
      <c r="A26" s="28" t="s">
        <v>184</v>
      </c>
      <c r="B26" s="29" t="s">
        <v>194</v>
      </c>
      <c r="C26" s="30" t="n">
        <f aca="false">F25</f>
        <v>180</v>
      </c>
      <c r="D26" s="31" t="n">
        <v>13</v>
      </c>
      <c r="E26" s="30" t="n">
        <f aca="false">ROUND(C26*①前提条件!$B$12,0)</f>
        <v>5</v>
      </c>
      <c r="F26" s="30" t="n">
        <f aca="false">MIN(①前提条件!$B$13,C26+D26-E26)</f>
        <v>180</v>
      </c>
      <c r="G26" s="31" t="n">
        <v>4</v>
      </c>
      <c r="H26" s="32" t="n">
        <f aca="false">ROUND((C26+F26)/2*①前提条件!$B$9,0)</f>
        <v>1980000</v>
      </c>
      <c r="I26" s="32" t="n">
        <f aca="false">G26*①前提条件!$B$10</f>
        <v>217456</v>
      </c>
      <c r="J26" s="32" t="n">
        <f aca="false">D26*①前提条件!$B$11</f>
        <v>59085</v>
      </c>
      <c r="K26" s="32" t="n">
        <f aca="false">①前提条件!$B$18*①前提条件!$B$19</f>
        <v>62500</v>
      </c>
      <c r="L26" s="32" t="n">
        <f aca="false">①前提条件!$B$20*①前提条件!$B$21</f>
        <v>100000</v>
      </c>
      <c r="M26" s="32" t="n">
        <f aca="false">①前提条件!$B$22</f>
        <v>150000</v>
      </c>
      <c r="N26" s="32" t="n">
        <f aca="false">SUM(H26:M26)</f>
        <v>2569041</v>
      </c>
      <c r="O26" s="32" t="n">
        <f aca="false">ROUND(M26*①前提条件!$B$23,0)</f>
        <v>97500</v>
      </c>
      <c r="P26" s="32" t="n">
        <f aca="false">ROUND((N26-M26)*①前提条件!$B$24,0)</f>
        <v>72571</v>
      </c>
      <c r="Q26" s="32" t="n">
        <f aca="false">O26+P26</f>
        <v>170071</v>
      </c>
      <c r="R26" s="32" t="n">
        <f aca="false">ROUND(①前提条件!$B$16/12,0)</f>
        <v>1500000</v>
      </c>
      <c r="S26" s="32" t="n">
        <f aca="false">N26-Q26-R26</f>
        <v>898970</v>
      </c>
      <c r="U26" s="33" t="n">
        <f aca="false">IF(F26&gt;=$H$46,1,0)</f>
        <v>1</v>
      </c>
    </row>
    <row r="27" customFormat="false" ht="15" hidden="false" customHeight="false" outlineLevel="0" collapsed="false">
      <c r="A27" s="28" t="s">
        <v>184</v>
      </c>
      <c r="B27" s="29" t="s">
        <v>195</v>
      </c>
      <c r="C27" s="30" t="n">
        <f aca="false">F26</f>
        <v>180</v>
      </c>
      <c r="D27" s="31" t="n">
        <v>13</v>
      </c>
      <c r="E27" s="30" t="n">
        <f aca="false">ROUND(C27*①前提条件!$B$12,0)</f>
        <v>5</v>
      </c>
      <c r="F27" s="30" t="n">
        <f aca="false">MIN(①前提条件!$B$13,C27+D27-E27)</f>
        <v>180</v>
      </c>
      <c r="G27" s="31" t="n">
        <v>4</v>
      </c>
      <c r="H27" s="32" t="n">
        <f aca="false">ROUND((C27+F27)/2*①前提条件!$B$9,0)</f>
        <v>1980000</v>
      </c>
      <c r="I27" s="32" t="n">
        <f aca="false">G27*①前提条件!$B$10</f>
        <v>217456</v>
      </c>
      <c r="J27" s="32" t="n">
        <f aca="false">D27*①前提条件!$B$11</f>
        <v>59085</v>
      </c>
      <c r="K27" s="32" t="n">
        <f aca="false">①前提条件!$B$18*①前提条件!$B$19</f>
        <v>62500</v>
      </c>
      <c r="L27" s="32" t="n">
        <f aca="false">①前提条件!$B$20*①前提条件!$B$21</f>
        <v>100000</v>
      </c>
      <c r="M27" s="32" t="n">
        <f aca="false">①前提条件!$B$22</f>
        <v>150000</v>
      </c>
      <c r="N27" s="32" t="n">
        <f aca="false">SUM(H27:M27)</f>
        <v>2569041</v>
      </c>
      <c r="O27" s="32" t="n">
        <f aca="false">ROUND(M27*①前提条件!$B$23,0)</f>
        <v>97500</v>
      </c>
      <c r="P27" s="32" t="n">
        <f aca="false">ROUND((N27-M27)*①前提条件!$B$24,0)</f>
        <v>72571</v>
      </c>
      <c r="Q27" s="32" t="n">
        <f aca="false">O27+P27</f>
        <v>170071</v>
      </c>
      <c r="R27" s="32" t="n">
        <f aca="false">ROUND(①前提条件!$B$16/12,0)</f>
        <v>1500000</v>
      </c>
      <c r="S27" s="32" t="n">
        <f aca="false">N27-Q27-R27</f>
        <v>898970</v>
      </c>
      <c r="U27" s="33" t="n">
        <f aca="false">IF(F27&gt;=$H$46,1,0)</f>
        <v>1</v>
      </c>
    </row>
    <row r="28" customFormat="false" ht="15" hidden="false" customHeight="false" outlineLevel="0" collapsed="false">
      <c r="A28" s="28" t="s">
        <v>184</v>
      </c>
      <c r="B28" s="29" t="s">
        <v>196</v>
      </c>
      <c r="C28" s="30" t="n">
        <f aca="false">F27</f>
        <v>180</v>
      </c>
      <c r="D28" s="31" t="n">
        <v>13</v>
      </c>
      <c r="E28" s="30" t="n">
        <f aca="false">ROUND(C28*①前提条件!$B$12,0)</f>
        <v>5</v>
      </c>
      <c r="F28" s="30" t="n">
        <f aca="false">MIN(①前提条件!$B$13,C28+D28-E28)</f>
        <v>180</v>
      </c>
      <c r="G28" s="31" t="n">
        <v>4</v>
      </c>
      <c r="H28" s="32" t="n">
        <f aca="false">ROUND((C28+F28)/2*①前提条件!$B$9,0)</f>
        <v>1980000</v>
      </c>
      <c r="I28" s="32" t="n">
        <f aca="false">G28*①前提条件!$B$10</f>
        <v>217456</v>
      </c>
      <c r="J28" s="32" t="n">
        <f aca="false">D28*①前提条件!$B$11</f>
        <v>59085</v>
      </c>
      <c r="K28" s="32" t="n">
        <f aca="false">①前提条件!$B$18*①前提条件!$B$19</f>
        <v>62500</v>
      </c>
      <c r="L28" s="32" t="n">
        <f aca="false">①前提条件!$B$20*①前提条件!$B$21</f>
        <v>100000</v>
      </c>
      <c r="M28" s="32" t="n">
        <f aca="false">①前提条件!$B$22</f>
        <v>150000</v>
      </c>
      <c r="N28" s="32" t="n">
        <f aca="false">SUM(H28:M28)</f>
        <v>2569041</v>
      </c>
      <c r="O28" s="32" t="n">
        <f aca="false">ROUND(M28*①前提条件!$B$23,0)</f>
        <v>97500</v>
      </c>
      <c r="P28" s="32" t="n">
        <f aca="false">ROUND((N28-M28)*①前提条件!$B$24,0)</f>
        <v>72571</v>
      </c>
      <c r="Q28" s="32" t="n">
        <f aca="false">O28+P28</f>
        <v>170071</v>
      </c>
      <c r="R28" s="32" t="n">
        <f aca="false">ROUND(①前提条件!$B$16/12,0)</f>
        <v>1500000</v>
      </c>
      <c r="S28" s="32" t="n">
        <f aca="false">N28-Q28-R28</f>
        <v>898970</v>
      </c>
      <c r="U28" s="33" t="n">
        <f aca="false">IF(F28&gt;=$H$46,1,0)</f>
        <v>1</v>
      </c>
    </row>
    <row r="29" customFormat="false" ht="15" hidden="false" customHeight="false" outlineLevel="0" collapsed="false">
      <c r="A29" s="28" t="s">
        <v>197</v>
      </c>
      <c r="B29" s="29" t="s">
        <v>198</v>
      </c>
      <c r="C29" s="30" t="n">
        <f aca="false">F28</f>
        <v>180</v>
      </c>
      <c r="D29" s="31" t="n">
        <v>10</v>
      </c>
      <c r="E29" s="30" t="n">
        <f aca="false">ROUND(C29*①前提条件!$B$12,0)</f>
        <v>5</v>
      </c>
      <c r="F29" s="30" t="n">
        <f aca="false">MIN(①前提条件!$B$14,C29+D29-E29)</f>
        <v>185</v>
      </c>
      <c r="G29" s="31" t="n">
        <v>4</v>
      </c>
      <c r="H29" s="32" t="n">
        <f aca="false">ROUND((C29+F29)/2*①前提条件!$B$9,0)</f>
        <v>2007500</v>
      </c>
      <c r="I29" s="32" t="n">
        <f aca="false">G29*①前提条件!$B$10</f>
        <v>217456</v>
      </c>
      <c r="J29" s="32" t="n">
        <f aca="false">D29*①前提条件!$B$11</f>
        <v>45450</v>
      </c>
      <c r="K29" s="32" t="n">
        <f aca="false">①前提条件!$B$18*①前提条件!$B$19</f>
        <v>62500</v>
      </c>
      <c r="L29" s="32" t="n">
        <f aca="false">①前提条件!$B$20*①前提条件!$B$21</f>
        <v>100000</v>
      </c>
      <c r="M29" s="32" t="n">
        <f aca="false">①前提条件!$B$22</f>
        <v>150000</v>
      </c>
      <c r="N29" s="32" t="n">
        <f aca="false">SUM(H29:M29)</f>
        <v>2582906</v>
      </c>
      <c r="O29" s="32" t="n">
        <f aca="false">ROUND(M29*①前提条件!$B$23,0)</f>
        <v>97500</v>
      </c>
      <c r="P29" s="32" t="n">
        <f aca="false">ROUND((N29-M29)*①前提条件!$B$24,0)</f>
        <v>72987</v>
      </c>
      <c r="Q29" s="32" t="n">
        <f aca="false">O29+P29</f>
        <v>170487</v>
      </c>
      <c r="R29" s="32" t="n">
        <f aca="false">ROUND(①前提条件!$B$17/12,0)</f>
        <v>1666667</v>
      </c>
      <c r="S29" s="32" t="n">
        <f aca="false">N29-Q29-R29</f>
        <v>745752</v>
      </c>
      <c r="U29" s="33" t="n">
        <f aca="false">IF(F29&gt;=$H$46,1,0)</f>
        <v>1</v>
      </c>
    </row>
    <row r="30" customFormat="false" ht="15" hidden="false" customHeight="false" outlineLevel="0" collapsed="false">
      <c r="A30" s="28" t="s">
        <v>197</v>
      </c>
      <c r="B30" s="29" t="s">
        <v>199</v>
      </c>
      <c r="C30" s="30" t="n">
        <f aca="false">F29</f>
        <v>185</v>
      </c>
      <c r="D30" s="31" t="n">
        <v>10</v>
      </c>
      <c r="E30" s="30" t="n">
        <f aca="false">ROUND(C30*①前提条件!$B$12,0)</f>
        <v>6</v>
      </c>
      <c r="F30" s="30" t="n">
        <f aca="false">MIN(①前提条件!$B$14,C30+D30-E30)</f>
        <v>189</v>
      </c>
      <c r="G30" s="31" t="n">
        <v>4</v>
      </c>
      <c r="H30" s="32" t="n">
        <f aca="false">ROUND((C30+F30)/2*①前提条件!$B$9,0)</f>
        <v>2057000</v>
      </c>
      <c r="I30" s="32" t="n">
        <f aca="false">G30*①前提条件!$B$10</f>
        <v>217456</v>
      </c>
      <c r="J30" s="32" t="n">
        <f aca="false">D30*①前提条件!$B$11</f>
        <v>45450</v>
      </c>
      <c r="K30" s="32" t="n">
        <f aca="false">①前提条件!$B$18*①前提条件!$B$19</f>
        <v>62500</v>
      </c>
      <c r="L30" s="32" t="n">
        <f aca="false">①前提条件!$B$20*①前提条件!$B$21</f>
        <v>100000</v>
      </c>
      <c r="M30" s="32" t="n">
        <f aca="false">①前提条件!$B$22</f>
        <v>150000</v>
      </c>
      <c r="N30" s="32" t="n">
        <f aca="false">SUM(H30:M30)</f>
        <v>2632406</v>
      </c>
      <c r="O30" s="32" t="n">
        <f aca="false">ROUND(M30*①前提条件!$B$23,0)</f>
        <v>97500</v>
      </c>
      <c r="P30" s="32" t="n">
        <f aca="false">ROUND((N30-M30)*①前提条件!$B$24,0)</f>
        <v>74472</v>
      </c>
      <c r="Q30" s="32" t="n">
        <f aca="false">O30+P30</f>
        <v>171972</v>
      </c>
      <c r="R30" s="32" t="n">
        <f aca="false">ROUND(①前提条件!$B$17/12,0)</f>
        <v>1666667</v>
      </c>
      <c r="S30" s="32" t="n">
        <f aca="false">N30-Q30-R30</f>
        <v>793767</v>
      </c>
      <c r="U30" s="33" t="n">
        <f aca="false">IF(F30&gt;=$H$46,1,0)</f>
        <v>1</v>
      </c>
    </row>
    <row r="31" customFormat="false" ht="15" hidden="false" customHeight="false" outlineLevel="0" collapsed="false">
      <c r="A31" s="28" t="s">
        <v>197</v>
      </c>
      <c r="B31" s="29" t="s">
        <v>200</v>
      </c>
      <c r="C31" s="30" t="n">
        <f aca="false">F30</f>
        <v>189</v>
      </c>
      <c r="D31" s="31" t="n">
        <v>10</v>
      </c>
      <c r="E31" s="30" t="n">
        <f aca="false">ROUND(C31*①前提条件!$B$12,0)</f>
        <v>6</v>
      </c>
      <c r="F31" s="30" t="n">
        <f aca="false">MIN(①前提条件!$B$14,C31+D31-E31)</f>
        <v>193</v>
      </c>
      <c r="G31" s="31" t="n">
        <v>4</v>
      </c>
      <c r="H31" s="32" t="n">
        <f aca="false">ROUND((C31+F31)/2*①前提条件!$B$9,0)</f>
        <v>2101000</v>
      </c>
      <c r="I31" s="32" t="n">
        <f aca="false">G31*①前提条件!$B$10</f>
        <v>217456</v>
      </c>
      <c r="J31" s="32" t="n">
        <f aca="false">D31*①前提条件!$B$11</f>
        <v>45450</v>
      </c>
      <c r="K31" s="32" t="n">
        <f aca="false">①前提条件!$B$18*①前提条件!$B$19</f>
        <v>62500</v>
      </c>
      <c r="L31" s="32" t="n">
        <f aca="false">①前提条件!$B$20*①前提条件!$B$21</f>
        <v>100000</v>
      </c>
      <c r="M31" s="32" t="n">
        <f aca="false">①前提条件!$B$22</f>
        <v>150000</v>
      </c>
      <c r="N31" s="32" t="n">
        <f aca="false">SUM(H31:M31)</f>
        <v>2676406</v>
      </c>
      <c r="O31" s="32" t="n">
        <f aca="false">ROUND(M31*①前提条件!$B$23,0)</f>
        <v>97500</v>
      </c>
      <c r="P31" s="32" t="n">
        <f aca="false">ROUND((N31-M31)*①前提条件!$B$24,0)</f>
        <v>75792</v>
      </c>
      <c r="Q31" s="32" t="n">
        <f aca="false">O31+P31</f>
        <v>173292</v>
      </c>
      <c r="R31" s="32" t="n">
        <f aca="false">ROUND(①前提条件!$B$17/12,0)</f>
        <v>1666667</v>
      </c>
      <c r="S31" s="32" t="n">
        <f aca="false">N31-Q31-R31</f>
        <v>836447</v>
      </c>
      <c r="U31" s="33" t="n">
        <f aca="false">IF(F31&gt;=$H$46,1,0)</f>
        <v>1</v>
      </c>
    </row>
    <row r="32" customFormat="false" ht="15" hidden="false" customHeight="false" outlineLevel="0" collapsed="false">
      <c r="A32" s="28" t="s">
        <v>197</v>
      </c>
      <c r="B32" s="29" t="s">
        <v>201</v>
      </c>
      <c r="C32" s="30" t="n">
        <f aca="false">F31</f>
        <v>193</v>
      </c>
      <c r="D32" s="31" t="n">
        <v>10</v>
      </c>
      <c r="E32" s="30" t="n">
        <f aca="false">ROUND(C32*①前提条件!$B$12,0)</f>
        <v>6</v>
      </c>
      <c r="F32" s="30" t="n">
        <f aca="false">MIN(①前提条件!$B$14,C32+D32-E32)</f>
        <v>197</v>
      </c>
      <c r="G32" s="31" t="n">
        <v>4</v>
      </c>
      <c r="H32" s="32" t="n">
        <f aca="false">ROUND((C32+F32)/2*①前提条件!$B$9,0)</f>
        <v>2145000</v>
      </c>
      <c r="I32" s="32" t="n">
        <f aca="false">G32*①前提条件!$B$10</f>
        <v>217456</v>
      </c>
      <c r="J32" s="32" t="n">
        <f aca="false">D32*①前提条件!$B$11</f>
        <v>45450</v>
      </c>
      <c r="K32" s="32" t="n">
        <f aca="false">①前提条件!$B$18*①前提条件!$B$19</f>
        <v>62500</v>
      </c>
      <c r="L32" s="32" t="n">
        <f aca="false">①前提条件!$B$20*①前提条件!$B$21</f>
        <v>100000</v>
      </c>
      <c r="M32" s="32" t="n">
        <f aca="false">①前提条件!$B$22</f>
        <v>150000</v>
      </c>
      <c r="N32" s="32" t="n">
        <f aca="false">SUM(H32:M32)</f>
        <v>2720406</v>
      </c>
      <c r="O32" s="32" t="n">
        <f aca="false">ROUND(M32*①前提条件!$B$23,0)</f>
        <v>97500</v>
      </c>
      <c r="P32" s="32" t="n">
        <f aca="false">ROUND((N32-M32)*①前提条件!$B$24,0)</f>
        <v>77112</v>
      </c>
      <c r="Q32" s="32" t="n">
        <f aca="false">O32+P32</f>
        <v>174612</v>
      </c>
      <c r="R32" s="32" t="n">
        <f aca="false">ROUND(①前提条件!$B$17/12,0)</f>
        <v>1666667</v>
      </c>
      <c r="S32" s="32" t="n">
        <f aca="false">N32-Q32-R32</f>
        <v>879127</v>
      </c>
      <c r="U32" s="33" t="n">
        <f aca="false">IF(F32&gt;=$H$46,1,0)</f>
        <v>1</v>
      </c>
    </row>
    <row r="33" customFormat="false" ht="15" hidden="false" customHeight="false" outlineLevel="0" collapsed="false">
      <c r="A33" s="28" t="s">
        <v>197</v>
      </c>
      <c r="B33" s="29" t="s">
        <v>202</v>
      </c>
      <c r="C33" s="30" t="n">
        <f aca="false">F32</f>
        <v>197</v>
      </c>
      <c r="D33" s="31" t="n">
        <v>10</v>
      </c>
      <c r="E33" s="30" t="n">
        <f aca="false">ROUND(C33*①前提条件!$B$12,0)</f>
        <v>6</v>
      </c>
      <c r="F33" s="30" t="n">
        <f aca="false">MIN(①前提条件!$B$14,C33+D33-E33)</f>
        <v>201</v>
      </c>
      <c r="G33" s="31" t="n">
        <v>4</v>
      </c>
      <c r="H33" s="32" t="n">
        <f aca="false">ROUND((C33+F33)/2*①前提条件!$B$9,0)</f>
        <v>2189000</v>
      </c>
      <c r="I33" s="32" t="n">
        <f aca="false">G33*①前提条件!$B$10</f>
        <v>217456</v>
      </c>
      <c r="J33" s="32" t="n">
        <f aca="false">D33*①前提条件!$B$11</f>
        <v>45450</v>
      </c>
      <c r="K33" s="32" t="n">
        <f aca="false">①前提条件!$B$18*①前提条件!$B$19</f>
        <v>62500</v>
      </c>
      <c r="L33" s="32" t="n">
        <f aca="false">①前提条件!$B$20*①前提条件!$B$21</f>
        <v>100000</v>
      </c>
      <c r="M33" s="32" t="n">
        <f aca="false">①前提条件!$B$22</f>
        <v>150000</v>
      </c>
      <c r="N33" s="32" t="n">
        <f aca="false">SUM(H33:M33)</f>
        <v>2764406</v>
      </c>
      <c r="O33" s="32" t="n">
        <f aca="false">ROUND(M33*①前提条件!$B$23,0)</f>
        <v>97500</v>
      </c>
      <c r="P33" s="32" t="n">
        <f aca="false">ROUND((N33-M33)*①前提条件!$B$24,0)</f>
        <v>78432</v>
      </c>
      <c r="Q33" s="32" t="n">
        <f aca="false">O33+P33</f>
        <v>175932</v>
      </c>
      <c r="R33" s="32" t="n">
        <f aca="false">ROUND(①前提条件!$B$17/12,0)</f>
        <v>1666667</v>
      </c>
      <c r="S33" s="32" t="n">
        <f aca="false">N33-Q33-R33</f>
        <v>921807</v>
      </c>
      <c r="U33" s="33" t="n">
        <f aca="false">IF(F33&gt;=$H$46,1,0)</f>
        <v>1</v>
      </c>
    </row>
    <row r="34" customFormat="false" ht="15" hidden="false" customHeight="false" outlineLevel="0" collapsed="false">
      <c r="A34" s="28" t="s">
        <v>197</v>
      </c>
      <c r="B34" s="29" t="s">
        <v>203</v>
      </c>
      <c r="C34" s="30" t="n">
        <f aca="false">F33</f>
        <v>201</v>
      </c>
      <c r="D34" s="31" t="n">
        <v>10</v>
      </c>
      <c r="E34" s="30" t="n">
        <f aca="false">ROUND(C34*①前提条件!$B$12,0)</f>
        <v>6</v>
      </c>
      <c r="F34" s="30" t="n">
        <f aca="false">MIN(①前提条件!$B$14,C34+D34-E34)</f>
        <v>205</v>
      </c>
      <c r="G34" s="31" t="n">
        <v>4</v>
      </c>
      <c r="H34" s="32" t="n">
        <f aca="false">ROUND((C34+F34)/2*①前提条件!$B$9,0)</f>
        <v>2233000</v>
      </c>
      <c r="I34" s="32" t="n">
        <f aca="false">G34*①前提条件!$B$10</f>
        <v>217456</v>
      </c>
      <c r="J34" s="32" t="n">
        <f aca="false">D34*①前提条件!$B$11</f>
        <v>45450</v>
      </c>
      <c r="K34" s="32" t="n">
        <f aca="false">①前提条件!$B$18*①前提条件!$B$19</f>
        <v>62500</v>
      </c>
      <c r="L34" s="32" t="n">
        <f aca="false">①前提条件!$B$20*①前提条件!$B$21</f>
        <v>100000</v>
      </c>
      <c r="M34" s="32" t="n">
        <f aca="false">①前提条件!$B$22</f>
        <v>150000</v>
      </c>
      <c r="N34" s="32" t="n">
        <f aca="false">SUM(H34:M34)</f>
        <v>2808406</v>
      </c>
      <c r="O34" s="32" t="n">
        <f aca="false">ROUND(M34*①前提条件!$B$23,0)</f>
        <v>97500</v>
      </c>
      <c r="P34" s="32" t="n">
        <f aca="false">ROUND((N34-M34)*①前提条件!$B$24,0)</f>
        <v>79752</v>
      </c>
      <c r="Q34" s="32" t="n">
        <f aca="false">O34+P34</f>
        <v>177252</v>
      </c>
      <c r="R34" s="32" t="n">
        <f aca="false">ROUND(①前提条件!$B$17/12,0)</f>
        <v>1666667</v>
      </c>
      <c r="S34" s="32" t="n">
        <f aca="false">N34-Q34-R34</f>
        <v>964487</v>
      </c>
      <c r="U34" s="33" t="n">
        <f aca="false">IF(F34&gt;=$H$46,1,0)</f>
        <v>1</v>
      </c>
    </row>
    <row r="35" customFormat="false" ht="15" hidden="false" customHeight="false" outlineLevel="0" collapsed="false">
      <c r="A35" s="28" t="s">
        <v>197</v>
      </c>
      <c r="B35" s="29" t="s">
        <v>204</v>
      </c>
      <c r="C35" s="30" t="n">
        <f aca="false">F34</f>
        <v>205</v>
      </c>
      <c r="D35" s="31" t="n">
        <v>10</v>
      </c>
      <c r="E35" s="30" t="n">
        <f aca="false">ROUND(C35*①前提条件!$B$12,0)</f>
        <v>6</v>
      </c>
      <c r="F35" s="30" t="n">
        <f aca="false">MIN(①前提条件!$B$14,C35+D35-E35)</f>
        <v>209</v>
      </c>
      <c r="G35" s="31" t="n">
        <v>4</v>
      </c>
      <c r="H35" s="32" t="n">
        <f aca="false">ROUND((C35+F35)/2*①前提条件!$B$9,0)</f>
        <v>2277000</v>
      </c>
      <c r="I35" s="32" t="n">
        <f aca="false">G35*①前提条件!$B$10</f>
        <v>217456</v>
      </c>
      <c r="J35" s="32" t="n">
        <f aca="false">D35*①前提条件!$B$11</f>
        <v>45450</v>
      </c>
      <c r="K35" s="32" t="n">
        <f aca="false">①前提条件!$B$18*①前提条件!$B$19</f>
        <v>62500</v>
      </c>
      <c r="L35" s="32" t="n">
        <f aca="false">①前提条件!$B$20*①前提条件!$B$21</f>
        <v>100000</v>
      </c>
      <c r="M35" s="32" t="n">
        <f aca="false">①前提条件!$B$22</f>
        <v>150000</v>
      </c>
      <c r="N35" s="32" t="n">
        <f aca="false">SUM(H35:M35)</f>
        <v>2852406</v>
      </c>
      <c r="O35" s="32" t="n">
        <f aca="false">ROUND(M35*①前提条件!$B$23,0)</f>
        <v>97500</v>
      </c>
      <c r="P35" s="32" t="n">
        <f aca="false">ROUND((N35-M35)*①前提条件!$B$24,0)</f>
        <v>81072</v>
      </c>
      <c r="Q35" s="32" t="n">
        <f aca="false">O35+P35</f>
        <v>178572</v>
      </c>
      <c r="R35" s="32" t="n">
        <f aca="false">ROUND(①前提条件!$B$17/12,0)</f>
        <v>1666667</v>
      </c>
      <c r="S35" s="32" t="n">
        <f aca="false">N35-Q35-R35</f>
        <v>1007167</v>
      </c>
      <c r="U35" s="33" t="n">
        <f aca="false">IF(F35&gt;=$H$46,1,0)</f>
        <v>1</v>
      </c>
    </row>
    <row r="36" customFormat="false" ht="15" hidden="false" customHeight="false" outlineLevel="0" collapsed="false">
      <c r="A36" s="28" t="s">
        <v>197</v>
      </c>
      <c r="B36" s="29" t="s">
        <v>205</v>
      </c>
      <c r="C36" s="30" t="n">
        <f aca="false">F35</f>
        <v>209</v>
      </c>
      <c r="D36" s="31" t="n">
        <v>10</v>
      </c>
      <c r="E36" s="30" t="n">
        <f aca="false">ROUND(C36*①前提条件!$B$12,0)</f>
        <v>6</v>
      </c>
      <c r="F36" s="30" t="n">
        <f aca="false">MIN(①前提条件!$B$14,C36+D36-E36)</f>
        <v>213</v>
      </c>
      <c r="G36" s="31" t="n">
        <v>4</v>
      </c>
      <c r="H36" s="32" t="n">
        <f aca="false">ROUND((C36+F36)/2*①前提条件!$B$9,0)</f>
        <v>2321000</v>
      </c>
      <c r="I36" s="32" t="n">
        <f aca="false">G36*①前提条件!$B$10</f>
        <v>217456</v>
      </c>
      <c r="J36" s="32" t="n">
        <f aca="false">D36*①前提条件!$B$11</f>
        <v>45450</v>
      </c>
      <c r="K36" s="32" t="n">
        <f aca="false">①前提条件!$B$18*①前提条件!$B$19</f>
        <v>62500</v>
      </c>
      <c r="L36" s="32" t="n">
        <f aca="false">①前提条件!$B$20*①前提条件!$B$21</f>
        <v>100000</v>
      </c>
      <c r="M36" s="32" t="n">
        <f aca="false">①前提条件!$B$22</f>
        <v>150000</v>
      </c>
      <c r="N36" s="32" t="n">
        <f aca="false">SUM(H36:M36)</f>
        <v>2896406</v>
      </c>
      <c r="O36" s="32" t="n">
        <f aca="false">ROUND(M36*①前提条件!$B$23,0)</f>
        <v>97500</v>
      </c>
      <c r="P36" s="32" t="n">
        <f aca="false">ROUND((N36-M36)*①前提条件!$B$24,0)</f>
        <v>82392</v>
      </c>
      <c r="Q36" s="32" t="n">
        <f aca="false">O36+P36</f>
        <v>179892</v>
      </c>
      <c r="R36" s="32" t="n">
        <f aca="false">ROUND(①前提条件!$B$17/12,0)</f>
        <v>1666667</v>
      </c>
      <c r="S36" s="32" t="n">
        <f aca="false">N36-Q36-R36</f>
        <v>1049847</v>
      </c>
      <c r="U36" s="33" t="n">
        <f aca="false">IF(F36&gt;=$H$46,1,0)</f>
        <v>1</v>
      </c>
    </row>
    <row r="37" customFormat="false" ht="15" hidden="false" customHeight="false" outlineLevel="0" collapsed="false">
      <c r="A37" s="28" t="s">
        <v>197</v>
      </c>
      <c r="B37" s="29" t="s">
        <v>206</v>
      </c>
      <c r="C37" s="30" t="n">
        <f aca="false">F36</f>
        <v>213</v>
      </c>
      <c r="D37" s="31" t="n">
        <v>10</v>
      </c>
      <c r="E37" s="30" t="n">
        <f aca="false">ROUND(C37*①前提条件!$B$12,0)</f>
        <v>6</v>
      </c>
      <c r="F37" s="30" t="n">
        <f aca="false">MIN(①前提条件!$B$14,C37+D37-E37)</f>
        <v>217</v>
      </c>
      <c r="G37" s="31" t="n">
        <v>4</v>
      </c>
      <c r="H37" s="32" t="n">
        <f aca="false">ROUND((C37+F37)/2*①前提条件!$B$9,0)</f>
        <v>2365000</v>
      </c>
      <c r="I37" s="32" t="n">
        <f aca="false">G37*①前提条件!$B$10</f>
        <v>217456</v>
      </c>
      <c r="J37" s="32" t="n">
        <f aca="false">D37*①前提条件!$B$11</f>
        <v>45450</v>
      </c>
      <c r="K37" s="32" t="n">
        <f aca="false">①前提条件!$B$18*①前提条件!$B$19</f>
        <v>62500</v>
      </c>
      <c r="L37" s="32" t="n">
        <f aca="false">①前提条件!$B$20*①前提条件!$B$21</f>
        <v>100000</v>
      </c>
      <c r="M37" s="32" t="n">
        <f aca="false">①前提条件!$B$22</f>
        <v>150000</v>
      </c>
      <c r="N37" s="32" t="n">
        <f aca="false">SUM(H37:M37)</f>
        <v>2940406</v>
      </c>
      <c r="O37" s="32" t="n">
        <f aca="false">ROUND(M37*①前提条件!$B$23,0)</f>
        <v>97500</v>
      </c>
      <c r="P37" s="32" t="n">
        <f aca="false">ROUND((N37-M37)*①前提条件!$B$24,0)</f>
        <v>83712</v>
      </c>
      <c r="Q37" s="32" t="n">
        <f aca="false">O37+P37</f>
        <v>181212</v>
      </c>
      <c r="R37" s="32" t="n">
        <f aca="false">ROUND(①前提条件!$B$17/12,0)</f>
        <v>1666667</v>
      </c>
      <c r="S37" s="32" t="n">
        <f aca="false">N37-Q37-R37</f>
        <v>1092527</v>
      </c>
      <c r="U37" s="33" t="n">
        <f aca="false">IF(F37&gt;=$H$46,1,0)</f>
        <v>1</v>
      </c>
    </row>
    <row r="38" customFormat="false" ht="15" hidden="false" customHeight="false" outlineLevel="0" collapsed="false">
      <c r="A38" s="28" t="s">
        <v>197</v>
      </c>
      <c r="B38" s="29" t="s">
        <v>207</v>
      </c>
      <c r="C38" s="30" t="n">
        <f aca="false">F37</f>
        <v>217</v>
      </c>
      <c r="D38" s="31" t="n">
        <v>10</v>
      </c>
      <c r="E38" s="30" t="n">
        <f aca="false">ROUND(C38*①前提条件!$B$12,0)</f>
        <v>7</v>
      </c>
      <c r="F38" s="30" t="n">
        <f aca="false">MIN(①前提条件!$B$14,C38+D38-E38)</f>
        <v>220</v>
      </c>
      <c r="G38" s="31" t="n">
        <v>4</v>
      </c>
      <c r="H38" s="32" t="n">
        <f aca="false">ROUND((C38+F38)/2*①前提条件!$B$9,0)</f>
        <v>2403500</v>
      </c>
      <c r="I38" s="32" t="n">
        <f aca="false">G38*①前提条件!$B$10</f>
        <v>217456</v>
      </c>
      <c r="J38" s="32" t="n">
        <f aca="false">D38*①前提条件!$B$11</f>
        <v>45450</v>
      </c>
      <c r="K38" s="32" t="n">
        <f aca="false">①前提条件!$B$18*①前提条件!$B$19</f>
        <v>62500</v>
      </c>
      <c r="L38" s="32" t="n">
        <f aca="false">①前提条件!$B$20*①前提条件!$B$21</f>
        <v>100000</v>
      </c>
      <c r="M38" s="32" t="n">
        <f aca="false">①前提条件!$B$22</f>
        <v>150000</v>
      </c>
      <c r="N38" s="32" t="n">
        <f aca="false">SUM(H38:M38)</f>
        <v>2978906</v>
      </c>
      <c r="O38" s="32" t="n">
        <f aca="false">ROUND(M38*①前提条件!$B$23,0)</f>
        <v>97500</v>
      </c>
      <c r="P38" s="32" t="n">
        <f aca="false">ROUND((N38-M38)*①前提条件!$B$24,0)</f>
        <v>84867</v>
      </c>
      <c r="Q38" s="32" t="n">
        <f aca="false">O38+P38</f>
        <v>182367</v>
      </c>
      <c r="R38" s="32" t="n">
        <f aca="false">ROUND(①前提条件!$B$17/12,0)</f>
        <v>1666667</v>
      </c>
      <c r="S38" s="32" t="n">
        <f aca="false">N38-Q38-R38</f>
        <v>1129872</v>
      </c>
      <c r="U38" s="33" t="n">
        <f aca="false">IF(F38&gt;=$H$46,1,0)</f>
        <v>1</v>
      </c>
    </row>
    <row r="39" customFormat="false" ht="15" hidden="false" customHeight="false" outlineLevel="0" collapsed="false">
      <c r="A39" s="28" t="s">
        <v>197</v>
      </c>
      <c r="B39" s="29" t="s">
        <v>208</v>
      </c>
      <c r="C39" s="30" t="n">
        <f aca="false">F38</f>
        <v>220</v>
      </c>
      <c r="D39" s="31" t="n">
        <v>10</v>
      </c>
      <c r="E39" s="30" t="n">
        <f aca="false">ROUND(C39*①前提条件!$B$12,0)</f>
        <v>7</v>
      </c>
      <c r="F39" s="30" t="n">
        <f aca="false">MIN(①前提条件!$B$14,C39+D39-E39)</f>
        <v>220</v>
      </c>
      <c r="G39" s="31" t="n">
        <v>4</v>
      </c>
      <c r="H39" s="32" t="n">
        <f aca="false">ROUND((C39+F39)/2*①前提条件!$B$9,0)</f>
        <v>2420000</v>
      </c>
      <c r="I39" s="32" t="n">
        <f aca="false">G39*①前提条件!$B$10</f>
        <v>217456</v>
      </c>
      <c r="J39" s="32" t="n">
        <f aca="false">D39*①前提条件!$B$11</f>
        <v>45450</v>
      </c>
      <c r="K39" s="32" t="n">
        <f aca="false">①前提条件!$B$18*①前提条件!$B$19</f>
        <v>62500</v>
      </c>
      <c r="L39" s="32" t="n">
        <f aca="false">①前提条件!$B$20*①前提条件!$B$21</f>
        <v>100000</v>
      </c>
      <c r="M39" s="32" t="n">
        <f aca="false">①前提条件!$B$22</f>
        <v>150000</v>
      </c>
      <c r="N39" s="32" t="n">
        <f aca="false">SUM(H39:M39)</f>
        <v>2995406</v>
      </c>
      <c r="O39" s="32" t="n">
        <f aca="false">ROUND(M39*①前提条件!$B$23,0)</f>
        <v>97500</v>
      </c>
      <c r="P39" s="32" t="n">
        <f aca="false">ROUND((N39-M39)*①前提条件!$B$24,0)</f>
        <v>85362</v>
      </c>
      <c r="Q39" s="32" t="n">
        <f aca="false">O39+P39</f>
        <v>182862</v>
      </c>
      <c r="R39" s="32" t="n">
        <f aca="false">ROUND(①前提条件!$B$17/12,0)</f>
        <v>1666667</v>
      </c>
      <c r="S39" s="32" t="n">
        <f aca="false">N39-Q39-R39</f>
        <v>1145877</v>
      </c>
      <c r="U39" s="33" t="n">
        <f aca="false">IF(F39&gt;=$H$46,1,0)</f>
        <v>1</v>
      </c>
    </row>
    <row r="40" customFormat="false" ht="15" hidden="false" customHeight="false" outlineLevel="0" collapsed="false">
      <c r="A40" s="28" t="s">
        <v>197</v>
      </c>
      <c r="B40" s="29" t="s">
        <v>209</v>
      </c>
      <c r="C40" s="30" t="n">
        <f aca="false">F39</f>
        <v>220</v>
      </c>
      <c r="D40" s="31" t="n">
        <v>10</v>
      </c>
      <c r="E40" s="30" t="n">
        <f aca="false">ROUND(C40*①前提条件!$B$12,0)</f>
        <v>7</v>
      </c>
      <c r="F40" s="30" t="n">
        <f aca="false">MIN(①前提条件!$B$14,C40+D40-E40)</f>
        <v>220</v>
      </c>
      <c r="G40" s="31" t="n">
        <v>4</v>
      </c>
      <c r="H40" s="32" t="n">
        <f aca="false">ROUND((C40+F40)/2*①前提条件!$B$9,0)</f>
        <v>2420000</v>
      </c>
      <c r="I40" s="32" t="n">
        <f aca="false">G40*①前提条件!$B$10</f>
        <v>217456</v>
      </c>
      <c r="J40" s="32" t="n">
        <f aca="false">D40*①前提条件!$B$11</f>
        <v>45450</v>
      </c>
      <c r="K40" s="32" t="n">
        <f aca="false">①前提条件!$B$18*①前提条件!$B$19</f>
        <v>62500</v>
      </c>
      <c r="L40" s="32" t="n">
        <f aca="false">①前提条件!$B$20*①前提条件!$B$21</f>
        <v>100000</v>
      </c>
      <c r="M40" s="32" t="n">
        <f aca="false">①前提条件!$B$22</f>
        <v>150000</v>
      </c>
      <c r="N40" s="32" t="n">
        <f aca="false">SUM(H40:M40)</f>
        <v>2995406</v>
      </c>
      <c r="O40" s="32" t="n">
        <f aca="false">ROUND(M40*①前提条件!$B$23,0)</f>
        <v>97500</v>
      </c>
      <c r="P40" s="32" t="n">
        <f aca="false">ROUND((N40-M40)*①前提条件!$B$24,0)</f>
        <v>85362</v>
      </c>
      <c r="Q40" s="32" t="n">
        <f aca="false">O40+P40</f>
        <v>182862</v>
      </c>
      <c r="R40" s="32" t="n">
        <f aca="false">ROUND(①前提条件!$B$17/12,0)</f>
        <v>1666667</v>
      </c>
      <c r="S40" s="32" t="n">
        <f aca="false">N40-Q40-R40</f>
        <v>1145877</v>
      </c>
      <c r="U40" s="33" t="n">
        <f aca="false">IF(F40&gt;=$H$46,1,0)</f>
        <v>1</v>
      </c>
    </row>
    <row r="41" customFormat="false" ht="15" hidden="false" customHeight="false" outlineLevel="0" collapsed="false">
      <c r="A41" s="34" t="s">
        <v>210</v>
      </c>
      <c r="B41" s="34"/>
      <c r="C41" s="34"/>
      <c r="D41" s="35" t="n">
        <f aca="false">SUM(D5:D16)</f>
        <v>179</v>
      </c>
      <c r="E41" s="34"/>
      <c r="F41" s="35" t="n">
        <f aca="false">F16</f>
        <v>150</v>
      </c>
      <c r="G41" s="34"/>
      <c r="H41" s="36" t="n">
        <f aca="false">SUM(H5:H16)</f>
        <v>11231000</v>
      </c>
      <c r="I41" s="36" t="n">
        <f aca="false">SUM(I5:I16)</f>
        <v>978552</v>
      </c>
      <c r="J41" s="36" t="n">
        <f aca="false">SUM(J5:J16)</f>
        <v>813555</v>
      </c>
      <c r="K41" s="36" t="n">
        <f aca="false">SUM(K5:K16)</f>
        <v>750000</v>
      </c>
      <c r="L41" s="36" t="n">
        <f aca="false">SUM(L5:L16)</f>
        <v>1200000</v>
      </c>
      <c r="M41" s="36" t="n">
        <f aca="false">SUM(M5:M16)</f>
        <v>1800000</v>
      </c>
      <c r="N41" s="36" t="n">
        <f aca="false">SUM(N5:N16)</f>
        <v>16773107</v>
      </c>
      <c r="O41" s="36" t="n">
        <f aca="false">SUM(O5:O16)</f>
        <v>1170000</v>
      </c>
      <c r="P41" s="36" t="n">
        <f aca="false">SUM(P5:P16)</f>
        <v>449191</v>
      </c>
      <c r="Q41" s="36" t="n">
        <f aca="false">SUM(Q5:Q16)</f>
        <v>1619191</v>
      </c>
      <c r="R41" s="36" t="n">
        <f aca="false">SUM(R5:R16)</f>
        <v>15711120</v>
      </c>
      <c r="S41" s="36" t="n">
        <f aca="false">SUM(S5:S16)</f>
        <v>-557204</v>
      </c>
    </row>
    <row r="42" customFormat="false" ht="15" hidden="false" customHeight="false" outlineLevel="0" collapsed="false">
      <c r="A42" s="34" t="s">
        <v>211</v>
      </c>
      <c r="B42" s="34"/>
      <c r="C42" s="34"/>
      <c r="D42" s="35" t="n">
        <f aca="false">SUM(D17:D28)</f>
        <v>156</v>
      </c>
      <c r="E42" s="34"/>
      <c r="F42" s="35" t="n">
        <f aca="false">F28</f>
        <v>180</v>
      </c>
      <c r="G42" s="34"/>
      <c r="H42" s="36" t="n">
        <f aca="false">SUM(H17:H28)</f>
        <v>23133000</v>
      </c>
      <c r="I42" s="36" t="n">
        <f aca="false">SUM(I17:I28)</f>
        <v>2283288</v>
      </c>
      <c r="J42" s="36" t="n">
        <f aca="false">SUM(J17:J28)</f>
        <v>709020</v>
      </c>
      <c r="K42" s="36" t="n">
        <f aca="false">SUM(K17:K28)</f>
        <v>750000</v>
      </c>
      <c r="L42" s="36" t="n">
        <f aca="false">SUM(L17:L28)</f>
        <v>1200000</v>
      </c>
      <c r="M42" s="36" t="n">
        <f aca="false">SUM(M17:M28)</f>
        <v>1800000</v>
      </c>
      <c r="N42" s="36" t="n">
        <f aca="false">SUM(N17:N28)</f>
        <v>29875308</v>
      </c>
      <c r="O42" s="36" t="n">
        <f aca="false">SUM(O17:O28)</f>
        <v>1170000</v>
      </c>
      <c r="P42" s="36" t="n">
        <f aca="false">SUM(P17:P28)</f>
        <v>842256</v>
      </c>
      <c r="Q42" s="36" t="n">
        <f aca="false">SUM(Q17:Q28)</f>
        <v>2012256</v>
      </c>
      <c r="R42" s="36" t="n">
        <f aca="false">SUM(R17:R28)</f>
        <v>18000000</v>
      </c>
      <c r="S42" s="36" t="n">
        <f aca="false">SUM(S17:S28)</f>
        <v>9863052</v>
      </c>
    </row>
    <row r="43" customFormat="false" ht="15" hidden="false" customHeight="false" outlineLevel="0" collapsed="false">
      <c r="A43" s="34" t="s">
        <v>212</v>
      </c>
      <c r="B43" s="34"/>
      <c r="C43" s="34"/>
      <c r="D43" s="35" t="n">
        <f aca="false">SUM(D29:D40)</f>
        <v>120</v>
      </c>
      <c r="E43" s="34"/>
      <c r="F43" s="35" t="n">
        <f aca="false">F40</f>
        <v>220</v>
      </c>
      <c r="G43" s="34"/>
      <c r="H43" s="36" t="n">
        <f aca="false">SUM(H29:H40)</f>
        <v>26939000</v>
      </c>
      <c r="I43" s="36" t="n">
        <f aca="false">SUM(I29:I40)</f>
        <v>2609472</v>
      </c>
      <c r="J43" s="36" t="n">
        <f aca="false">SUM(J29:J40)</f>
        <v>545400</v>
      </c>
      <c r="K43" s="36" t="n">
        <f aca="false">SUM(K29:K40)</f>
        <v>750000</v>
      </c>
      <c r="L43" s="36" t="n">
        <f aca="false">SUM(L29:L40)</f>
        <v>1200000</v>
      </c>
      <c r="M43" s="36" t="n">
        <f aca="false">SUM(M29:M40)</f>
        <v>1800000</v>
      </c>
      <c r="N43" s="36" t="n">
        <f aca="false">SUM(N29:N40)</f>
        <v>33843872</v>
      </c>
      <c r="O43" s="36" t="n">
        <f aca="false">SUM(O29:O40)</f>
        <v>1170000</v>
      </c>
      <c r="P43" s="36" t="n">
        <f aca="false">SUM(P29:P40)</f>
        <v>961314</v>
      </c>
      <c r="Q43" s="36" t="n">
        <f aca="false">SUM(Q29:Q40)</f>
        <v>2131314</v>
      </c>
      <c r="R43" s="36" t="n">
        <f aca="false">SUM(R29:R40)</f>
        <v>20000004</v>
      </c>
      <c r="S43" s="36" t="n">
        <f aca="false">SUM(S29:S40)</f>
        <v>11712554</v>
      </c>
    </row>
    <row r="45" customFormat="false" ht="15" hidden="false" customHeight="false" outlineLevel="0" collapsed="false">
      <c r="A45" s="4" t="s">
        <v>213</v>
      </c>
    </row>
    <row r="46" customFormat="false" ht="17.15" hidden="false" customHeight="false" outlineLevel="0" collapsed="false">
      <c r="A46" s="37" t="s">
        <v>214</v>
      </c>
      <c r="H46" s="38" t="n">
        <f aca="false">ROUND(①前提条件!$B$15/(①前提条件!$B$9*(1-①前提条件!$B$24)),0)</f>
        <v>123</v>
      </c>
      <c r="I46" s="16" t="s">
        <v>65</v>
      </c>
    </row>
    <row r="47" customFormat="false" ht="15" hidden="false" customHeight="false" outlineLevel="0" collapsed="false">
      <c r="A47" s="16" t="s">
        <v>215</v>
      </c>
      <c r="H47" s="39" t="str">
        <f aca="false">INDEX(B5:B40,MATCH(1,U5:U40,0))</f>
        <v>2027-05</v>
      </c>
    </row>
    <row r="48" customFormat="false" ht="15" hidden="false" customHeight="false" outlineLevel="0" collapsed="false">
      <c r="A48" s="40"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7"/>
    <col collapsed="false" customWidth="true" hidden="false" outlineLevel="0" max="4" min="3" style="0" width="19"/>
    <col collapsed="false" customWidth="true" hidden="false" outlineLevel="0" max="7" min="5" style="0" width="18"/>
    <col collapsed="false" customWidth="true" hidden="false" outlineLevel="0" max="8" min="8" style="0" width="52"/>
  </cols>
  <sheetData>
    <row r="1" customFormat="false" ht="21.6" hidden="false" customHeight="false" outlineLevel="0" collapsed="false">
      <c r="A1" s="1" t="s">
        <v>217</v>
      </c>
    </row>
    <row r="2" customFormat="false" ht="15" hidden="false" customHeight="false" outlineLevel="0" collapsed="false">
      <c r="A2" s="2" t="s">
        <v>218</v>
      </c>
    </row>
    <row r="4" customFormat="false" ht="33.75" hidden="false" customHeight="true" outlineLevel="0" collapsed="false">
      <c r="A4" s="9" t="s">
        <v>219</v>
      </c>
      <c r="B4" s="9" t="s">
        <v>220</v>
      </c>
      <c r="C4" s="9" t="s">
        <v>221</v>
      </c>
      <c r="D4" s="9" t="s">
        <v>222</v>
      </c>
      <c r="E4" s="9" t="s">
        <v>223</v>
      </c>
      <c r="F4" s="9" t="s">
        <v>224</v>
      </c>
      <c r="G4" s="9" t="s">
        <v>225</v>
      </c>
      <c r="H4" s="9" t="s">
        <v>226</v>
      </c>
    </row>
    <row r="5" customFormat="false" ht="15" hidden="false" customHeight="true" outlineLevel="0" collapsed="false">
      <c r="A5" s="41" t="s">
        <v>227</v>
      </c>
    </row>
    <row r="6" customFormat="false" ht="15" hidden="false" customHeight="true" outlineLevel="0" collapsed="false">
      <c r="A6" s="42" t="s">
        <v>228</v>
      </c>
      <c r="B6" s="11" t="n">
        <v>7927283</v>
      </c>
      <c r="C6" s="11" t="n">
        <v>24979520</v>
      </c>
      <c r="D6" s="11" t="n">
        <f aca="false">①前提条件!$B$26</f>
        <v>27250000</v>
      </c>
      <c r="E6" s="11" t="n">
        <f aca="false">ROUND(D6*(1+①前提条件!$B$27),0)</f>
        <v>28067500</v>
      </c>
      <c r="F6" s="11" t="n">
        <f aca="false">ROUND(E6*(1+①前提条件!$B$27),0)</f>
        <v>28909525</v>
      </c>
      <c r="G6" s="11" t="n">
        <f aca="false">ROUND(F6*(1+①前提条件!$B$27),0)</f>
        <v>29776811</v>
      </c>
      <c r="H6" s="43" t="s">
        <v>229</v>
      </c>
    </row>
    <row r="7" customFormat="false" ht="15" hidden="false" customHeight="true" outlineLevel="0" collapsed="false">
      <c r="A7" s="42" t="s">
        <v>230</v>
      </c>
      <c r="B7" s="11" t="n">
        <v>0</v>
      </c>
      <c r="C7" s="11" t="n">
        <v>0</v>
      </c>
      <c r="D7" s="11" t="n">
        <v>0</v>
      </c>
      <c r="E7" s="11" t="n">
        <f aca="false">②FRANK月次計画!N41</f>
        <v>16773107</v>
      </c>
      <c r="F7" s="11" t="n">
        <f aca="false">②FRANK月次計画!N42</f>
        <v>29875308</v>
      </c>
      <c r="G7" s="11" t="n">
        <f aca="false">②FRANK月次計画!N43</f>
        <v>33843872</v>
      </c>
      <c r="H7" s="43" t="s">
        <v>231</v>
      </c>
    </row>
    <row r="8" customFormat="false" ht="15" hidden="false" customHeight="true" outlineLevel="0" collapsed="false">
      <c r="A8" s="42" t="s">
        <v>232</v>
      </c>
      <c r="B8" s="11" t="n">
        <v>0</v>
      </c>
      <c r="C8" s="11" t="n">
        <v>0</v>
      </c>
      <c r="D8" s="11" t="n">
        <v>0</v>
      </c>
      <c r="E8" s="11" t="n">
        <f aca="false">①前提条件!$B$29</f>
        <v>2400000</v>
      </c>
      <c r="F8" s="11" t="n">
        <f aca="false">①前提条件!$B$30</f>
        <v>4200000</v>
      </c>
      <c r="G8" s="11" t="n">
        <f aca="false">①前提条件!$B$31</f>
        <v>6000000</v>
      </c>
      <c r="H8" s="43" t="s">
        <v>233</v>
      </c>
    </row>
    <row r="9" customFormat="false" ht="15" hidden="false" customHeight="true" outlineLevel="0" collapsed="false">
      <c r="A9" s="34" t="s">
        <v>234</v>
      </c>
      <c r="B9" s="36" t="n">
        <f aca="false">B6</f>
        <v>7927283</v>
      </c>
      <c r="C9" s="36" t="n">
        <f aca="false">C6</f>
        <v>24979520</v>
      </c>
      <c r="D9" s="36" t="n">
        <f aca="false">D6</f>
        <v>27250000</v>
      </c>
      <c r="E9" s="36" t="n">
        <f aca="false">SUM(E6:E8)</f>
        <v>47240607</v>
      </c>
      <c r="F9" s="36" t="n">
        <f aca="false">SUM(F6:F8)</f>
        <v>62984833</v>
      </c>
      <c r="G9" s="36" t="n">
        <f aca="false">SUM(G6:G8)</f>
        <v>69620683</v>
      </c>
      <c r="H9" s="43"/>
    </row>
    <row r="10" customFormat="false" ht="15" hidden="false" customHeight="true" outlineLevel="0" collapsed="false">
      <c r="A10" s="42" t="s">
        <v>235</v>
      </c>
      <c r="B10" s="44"/>
      <c r="C10" s="44"/>
      <c r="D10" s="44" t="n">
        <f aca="false">D9/B9</f>
        <v>3.43749554544729</v>
      </c>
      <c r="E10" s="44" t="n">
        <f aca="false">E9/D9</f>
        <v>1.73360025688073</v>
      </c>
      <c r="F10" s="44" t="n">
        <f aca="false">F9/E9</f>
        <v>1.33327738570336</v>
      </c>
      <c r="G10" s="44" t="n">
        <f aca="false">G9/F9</f>
        <v>1.10535631649607</v>
      </c>
      <c r="H10" s="43" t="s">
        <v>236</v>
      </c>
    </row>
    <row r="11" customFormat="false" ht="15" hidden="false" customHeight="true" outlineLevel="0" collapsed="false"/>
    <row r="12" customFormat="false" ht="15" hidden="false" customHeight="true" outlineLevel="0" collapsed="false">
      <c r="A12" s="41" t="s">
        <v>237</v>
      </c>
    </row>
    <row r="13" customFormat="false" ht="15" hidden="false" customHeight="true" outlineLevel="0" collapsed="false">
      <c r="A13" s="42" t="s">
        <v>19</v>
      </c>
      <c r="B13" s="11"/>
      <c r="C13" s="11" t="n">
        <v>-1138361</v>
      </c>
      <c r="D13" s="11" t="n">
        <f aca="false">C13+①前提条件!$B$60</f>
        <v>-1568361</v>
      </c>
      <c r="E13" s="11" t="n">
        <f aca="false">④部門別営業損益!E10</f>
        <v>1430075</v>
      </c>
      <c r="F13" s="11" t="n">
        <f aca="false">④部門別営業損益!F10</f>
        <v>13033052</v>
      </c>
      <c r="G13" s="11" t="n">
        <f aca="false">④部門別営業損益!G10</f>
        <v>15212554</v>
      </c>
      <c r="H13" s="43" t="s">
        <v>238</v>
      </c>
    </row>
    <row r="14" customFormat="false" ht="15" hidden="false" customHeight="true" outlineLevel="0" collapsed="false">
      <c r="A14" s="42" t="s">
        <v>239</v>
      </c>
      <c r="B14" s="45"/>
      <c r="C14" s="45" t="n">
        <f aca="false">C13/C9</f>
        <v>-0.0455717723959468</v>
      </c>
      <c r="D14" s="45" t="n">
        <f aca="false">D13/D9</f>
        <v>-0.0575545321100917</v>
      </c>
      <c r="E14" s="45" t="n">
        <f aca="false">E13/E9</f>
        <v>0.0302721554784425</v>
      </c>
      <c r="F14" s="45" t="n">
        <f aca="false">F13/F9</f>
        <v>0.206923657319215</v>
      </c>
      <c r="G14" s="45" t="n">
        <f aca="false">G13/G9</f>
        <v>0.218506244760627</v>
      </c>
      <c r="H14" s="43"/>
    </row>
    <row r="15" customFormat="false" ht="15" hidden="false" customHeight="true" outlineLevel="0" collapsed="false">
      <c r="A15" s="42" t="s">
        <v>240</v>
      </c>
      <c r="B15" s="11"/>
      <c r="C15" s="11"/>
      <c r="D15" s="11"/>
      <c r="E15" s="11" t="n">
        <f aca="false">-ROUND(⑥返済計画!G6,0)</f>
        <v>-228912</v>
      </c>
      <c r="F15" s="11" t="n">
        <f aca="false">-ROUND(⑥返済計画!G7,0)</f>
        <v>-211948</v>
      </c>
      <c r="G15" s="11" t="n">
        <f aca="false">-ROUND(⑥返済計画!G8,0)</f>
        <v>-159075</v>
      </c>
      <c r="H15" s="43" t="s">
        <v>241</v>
      </c>
    </row>
    <row r="16" customFormat="false" ht="15" hidden="false" customHeight="true" outlineLevel="0" collapsed="false">
      <c r="A16" s="10" t="s">
        <v>242</v>
      </c>
      <c r="B16" s="46"/>
      <c r="C16" s="46"/>
      <c r="D16" s="46" t="n">
        <f aca="false">D13</f>
        <v>-1568361</v>
      </c>
      <c r="E16" s="46" t="n">
        <f aca="false">E13+E15</f>
        <v>1201163</v>
      </c>
      <c r="F16" s="46" t="n">
        <f aca="false">F13+F15</f>
        <v>12821104</v>
      </c>
      <c r="G16" s="46" t="n">
        <f aca="false">G13+G15</f>
        <v>15053479</v>
      </c>
      <c r="H16" s="43"/>
    </row>
    <row r="17" customFormat="false" ht="15" hidden="false" customHeight="true" outlineLevel="0" collapsed="false">
      <c r="A17" s="42" t="s">
        <v>243</v>
      </c>
      <c r="B17" s="11"/>
      <c r="C17" s="11"/>
      <c r="D17" s="11"/>
      <c r="E17" s="11" t="n">
        <f aca="false">-ROUND(MAX(0,E16+⑦純資産と債務超過!D8)*①前提条件!$B$57,0)-70000</f>
        <v>-70000</v>
      </c>
      <c r="F17" s="11" t="n">
        <f aca="false">-ROUND(MAX(0,F16+⑦純資産と債務超過!E8)*①前提条件!$B$57,0)-70000</f>
        <v>-4010314</v>
      </c>
      <c r="G17" s="11" t="n">
        <f aca="false">-ROUND(MAX(0,G16+⑦純資産と債務超過!F8)*①前提条件!$B$57,0)-70000</f>
        <v>-5037648</v>
      </c>
      <c r="H17" s="43" t="s">
        <v>244</v>
      </c>
    </row>
    <row r="18" customFormat="false" ht="15" hidden="false" customHeight="true" outlineLevel="0" collapsed="false">
      <c r="A18" s="34" t="s">
        <v>20</v>
      </c>
      <c r="B18" s="36" t="n">
        <v>-576759</v>
      </c>
      <c r="C18" s="36" t="n">
        <v>-1005162</v>
      </c>
      <c r="D18" s="36" t="n">
        <f aca="false">C18+①前提条件!$B$60</f>
        <v>-1435162</v>
      </c>
      <c r="E18" s="36" t="n">
        <f aca="false">E16+E17</f>
        <v>1131163</v>
      </c>
      <c r="F18" s="36" t="n">
        <f aca="false">F16+F17</f>
        <v>8810790</v>
      </c>
      <c r="G18" s="36" t="n">
        <f aca="false">G16+G17</f>
        <v>10015831</v>
      </c>
      <c r="H18" s="43" t="s">
        <v>245</v>
      </c>
    </row>
    <row r="19" customFormat="false" ht="15" hidden="false" customHeight="true" outlineLevel="0" collapsed="false"/>
    <row r="20" customFormat="false" ht="15" hidden="false" customHeight="true" outlineLevel="0" collapsed="false">
      <c r="A20" s="41" t="s">
        <v>246</v>
      </c>
    </row>
    <row r="21" customFormat="false" ht="15" hidden="false" customHeight="true" outlineLevel="0" collapsed="false">
      <c r="A21" s="42" t="s">
        <v>247</v>
      </c>
      <c r="B21" s="11"/>
      <c r="C21" s="11"/>
      <c r="D21" s="11"/>
      <c r="E21" s="11" t="n">
        <f aca="false">①前提条件!$B$56</f>
        <v>700000</v>
      </c>
      <c r="F21" s="11" t="n">
        <f aca="false">①前提条件!$B$56</f>
        <v>700000</v>
      </c>
      <c r="G21" s="11" t="n">
        <f aca="false">①前提条件!$B$56</f>
        <v>700000</v>
      </c>
      <c r="H21" s="43"/>
    </row>
    <row r="22" customFormat="false" ht="15" hidden="false" customHeight="true" outlineLevel="0" collapsed="false">
      <c r="A22" s="10" t="s">
        <v>248</v>
      </c>
      <c r="B22" s="46"/>
      <c r="C22" s="46"/>
      <c r="D22" s="46" t="n">
        <f aca="false">D18</f>
        <v>-1435162</v>
      </c>
      <c r="E22" s="46" t="n">
        <f aca="false">E18+E21</f>
        <v>1831163</v>
      </c>
      <c r="F22" s="46" t="n">
        <f aca="false">F18+F21</f>
        <v>9510790</v>
      </c>
      <c r="G22" s="46" t="n">
        <f aca="false">G18+G21</f>
        <v>10715831</v>
      </c>
      <c r="H22" s="43"/>
    </row>
    <row r="23" customFormat="false" ht="15" hidden="false" customHeight="true" outlineLevel="0" collapsed="false">
      <c r="A23" s="42" t="s">
        <v>249</v>
      </c>
      <c r="B23" s="11"/>
      <c r="C23" s="11"/>
      <c r="D23" s="11"/>
      <c r="E23" s="11" t="n">
        <f aca="false">⑥返済計画!H6</f>
        <v>1656272</v>
      </c>
      <c r="F23" s="11" t="n">
        <f aca="false">⑥返済計画!H7</f>
        <v>2374224</v>
      </c>
      <c r="G23" s="11" t="n">
        <f aca="false">⑥返済計画!H8</f>
        <v>2374224</v>
      </c>
      <c r="H23" s="43"/>
    </row>
    <row r="24" customFormat="false" ht="15" hidden="false" customHeight="true" outlineLevel="0" collapsed="false">
      <c r="A24" s="42" t="s">
        <v>250</v>
      </c>
      <c r="B24" s="44"/>
      <c r="C24" s="44"/>
      <c r="D24" s="44"/>
      <c r="E24" s="44" t="n">
        <f aca="false">E22/E23</f>
        <v>1.10559316344175</v>
      </c>
      <c r="F24" s="44" t="n">
        <f aca="false">F22/F23</f>
        <v>4.00585201733282</v>
      </c>
      <c r="G24" s="44" t="n">
        <f aca="false">G22/G23</f>
        <v>4.5134035373242</v>
      </c>
      <c r="H24" s="47" t="s">
        <v>251</v>
      </c>
    </row>
    <row r="25" customFormat="false" ht="15" hidden="false" customHeight="true" outlineLevel="0" collapsed="false">
      <c r="A25" s="34" t="s">
        <v>22</v>
      </c>
      <c r="B25" s="36" t="n">
        <v>-276759</v>
      </c>
      <c r="C25" s="36" t="n">
        <v>-1281921</v>
      </c>
      <c r="D25" s="36" t="n">
        <f aca="false">⑦純資産と債務超過!C6</f>
        <v>-1711921</v>
      </c>
      <c r="E25" s="36" t="n">
        <f aca="false">⑦純資産と債務超過!D6</f>
        <v>-580758</v>
      </c>
      <c r="F25" s="36" t="n">
        <f aca="false">⑦純資産と債務超過!E6</f>
        <v>8230032</v>
      </c>
      <c r="G25" s="36" t="n">
        <f aca="false">⑦純資産と債務超過!F6</f>
        <v>18245863</v>
      </c>
      <c r="H25" s="43" t="s">
        <v>252</v>
      </c>
    </row>
    <row r="26"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
    <col collapsed="false" customWidth="true" hidden="false" outlineLevel="0" max="3" min="3" style="0" width="17"/>
    <col collapsed="false" customWidth="true" hidden="false" outlineLevel="0" max="4" min="4" style="0" width="2"/>
    <col collapsed="false" customWidth="true" hidden="false" outlineLevel="0" max="7" min="5" style="0" width="17"/>
    <col collapsed="false" customWidth="true" hidden="false" outlineLevel="0" max="8" min="8" style="0" width="58"/>
  </cols>
  <sheetData>
    <row r="1" customFormat="false" ht="21.6" hidden="false" customHeight="false" outlineLevel="0" collapsed="false">
      <c r="A1" s="1" t="s">
        <v>253</v>
      </c>
    </row>
    <row r="2" customFormat="false" ht="15" hidden="false" customHeight="false" outlineLevel="0" collapsed="false">
      <c r="A2" s="2" t="s">
        <v>254</v>
      </c>
    </row>
    <row r="4" customFormat="false" ht="30" hidden="false" customHeight="true" outlineLevel="0" collapsed="false">
      <c r="A4" s="9" t="s">
        <v>255</v>
      </c>
      <c r="B4" s="9" t="s">
        <v>256</v>
      </c>
      <c r="C4" s="9" t="s">
        <v>257</v>
      </c>
      <c r="D4" s="8"/>
      <c r="E4" s="9" t="s">
        <v>223</v>
      </c>
      <c r="F4" s="9" t="s">
        <v>224</v>
      </c>
      <c r="G4" s="9" t="s">
        <v>225</v>
      </c>
      <c r="H4" s="9" t="s">
        <v>226</v>
      </c>
    </row>
    <row r="5" customFormat="false" ht="27.75" hidden="false" customHeight="true" outlineLevel="0" collapsed="false">
      <c r="A5" s="42" t="s">
        <v>101</v>
      </c>
      <c r="B5" s="11" t="n">
        <f aca="false">ROUND(①前提条件!$B$34/12,0)</f>
        <v>486894</v>
      </c>
      <c r="C5" s="11" t="n">
        <f aca="false">①前提条件!$B$34</f>
        <v>5842728</v>
      </c>
      <c r="D5" s="11"/>
      <c r="E5" s="11" t="n">
        <f aca="false">①前提条件!$B$41</f>
        <v>6400000</v>
      </c>
      <c r="F5" s="11" t="n">
        <f aca="false">①前提条件!$B$42</f>
        <v>7000000</v>
      </c>
      <c r="G5" s="11" t="n">
        <f aca="false">①前提条件!$B$43</f>
        <v>7500000</v>
      </c>
      <c r="H5" s="43" t="s">
        <v>258</v>
      </c>
    </row>
    <row r="6" customFormat="false" ht="27.75" hidden="false" customHeight="true" outlineLevel="0" collapsed="false">
      <c r="A6" s="48" t="s">
        <v>259</v>
      </c>
      <c r="B6" s="11" t="n">
        <f aca="false">ROUND(①前提条件!$B$35/12,0)</f>
        <v>484318</v>
      </c>
      <c r="C6" s="11" t="n">
        <f aca="false">①前提条件!$B$35</f>
        <v>5811816</v>
      </c>
      <c r="D6" s="11"/>
      <c r="E6" s="11" t="n">
        <f aca="false">①前提条件!$B$44</f>
        <v>6000000</v>
      </c>
      <c r="F6" s="11" t="n">
        <f aca="false">①前提条件!$B$45</f>
        <v>6200000</v>
      </c>
      <c r="G6" s="11" t="n">
        <f aca="false">①前提条件!$B$46</f>
        <v>6400000</v>
      </c>
      <c r="H6" s="43" t="s">
        <v>260</v>
      </c>
    </row>
    <row r="7" customFormat="false" ht="27.75" hidden="false" customHeight="true" outlineLevel="0" collapsed="false">
      <c r="A7" s="48" t="s">
        <v>261</v>
      </c>
      <c r="B7" s="11" t="n">
        <f aca="false">ROUND(①前提条件!$B$36/12,0)</f>
        <v>-64182</v>
      </c>
      <c r="C7" s="11" t="n">
        <f aca="false">①前提条件!$B$36</f>
        <v>-770184</v>
      </c>
      <c r="D7" s="11"/>
      <c r="E7" s="11" t="n">
        <f aca="false">②FRANK月次計画!S41</f>
        <v>-557204</v>
      </c>
      <c r="F7" s="11" t="n">
        <f aca="false">②FRANK月次計画!S42</f>
        <v>9863052</v>
      </c>
      <c r="G7" s="11" t="n">
        <f aca="false">②FRANK月次計画!S43</f>
        <v>11712554</v>
      </c>
      <c r="H7" s="43" t="s">
        <v>262</v>
      </c>
    </row>
    <row r="8" customFormat="false" ht="27.75" hidden="false" customHeight="true" outlineLevel="0" collapsed="false">
      <c r="A8" s="42" t="s">
        <v>263</v>
      </c>
      <c r="B8" s="11"/>
      <c r="C8" s="11" t="n">
        <v>0</v>
      </c>
      <c r="D8" s="11"/>
      <c r="E8" s="11" t="n">
        <f aca="false">ROUND(①前提条件!$B$29*①前提条件!$B$32,0)</f>
        <v>840000</v>
      </c>
      <c r="F8" s="11" t="n">
        <f aca="false">ROUND(①前提条件!$B$30*①前提条件!$B$32,0)</f>
        <v>1470000</v>
      </c>
      <c r="G8" s="11" t="n">
        <f aca="false">ROUND(①前提条件!$B$31*①前提条件!$B$32,0)</f>
        <v>2100000</v>
      </c>
      <c r="H8" s="43" t="s">
        <v>264</v>
      </c>
    </row>
    <row r="9" customFormat="false" ht="27.75" hidden="false" customHeight="true" outlineLevel="0" collapsed="false">
      <c r="A9" s="42" t="s">
        <v>107</v>
      </c>
      <c r="B9" s="11" t="n">
        <f aca="false">ROUND(①前提条件!$B$37/12,0)</f>
        <v>-1037727</v>
      </c>
      <c r="C9" s="11" t="n">
        <f aca="false">①前提条件!$B$37</f>
        <v>-12452721</v>
      </c>
      <c r="D9" s="11"/>
      <c r="E9" s="11" t="n">
        <f aca="false">①前提条件!$B$37+①前提条件!$B$38</f>
        <v>-11252721</v>
      </c>
      <c r="F9" s="11" t="n">
        <f aca="false">①前提条件!$B$39</f>
        <v>-11500000</v>
      </c>
      <c r="G9" s="11" t="n">
        <f aca="false">①前提条件!$B$40</f>
        <v>-12500000</v>
      </c>
      <c r="H9" s="43" t="s">
        <v>265</v>
      </c>
    </row>
    <row r="10" customFormat="false" ht="15" hidden="false" customHeight="false" outlineLevel="0" collapsed="false">
      <c r="A10" s="49" t="s">
        <v>266</v>
      </c>
      <c r="B10" s="50" t="n">
        <f aca="false">SUM(B5:B9)</f>
        <v>-130697</v>
      </c>
      <c r="C10" s="50" t="n">
        <f aca="false">SUM(C5:C9)</f>
        <v>-1568361</v>
      </c>
      <c r="D10" s="51"/>
      <c r="E10" s="50" t="n">
        <f aca="false">SUM(E5:E9)</f>
        <v>1430075</v>
      </c>
      <c r="F10" s="50" t="n">
        <f aca="false">SUM(F5:F9)</f>
        <v>13033052</v>
      </c>
      <c r="G10" s="50" t="n">
        <f aca="false">SUM(G5:G9)</f>
        <v>15212554</v>
      </c>
      <c r="H10" s="52" t="s">
        <v>267</v>
      </c>
    </row>
    <row r="12" customFormat="false" ht="15" hidden="false" customHeight="false" outlineLevel="0" collapsed="false">
      <c r="A12" s="10" t="s">
        <v>268</v>
      </c>
      <c r="B12" s="53" t="n">
        <f aca="false">SUM(B5:B8)</f>
        <v>907030</v>
      </c>
      <c r="C12" s="53" t="n">
        <f aca="false">SUM(C5:C8)</f>
        <v>10884360</v>
      </c>
      <c r="E12" s="53" t="n">
        <f aca="false">SUM(E5:E8)</f>
        <v>12682796</v>
      </c>
      <c r="F12" s="53" t="n">
        <f aca="false">SUM(F5:F8)</f>
        <v>24533052</v>
      </c>
      <c r="G12" s="53" t="n">
        <f aca="false">SUM(G5:G8)</f>
        <v>27712554</v>
      </c>
      <c r="H12" s="40" t="s">
        <v>269</v>
      </c>
    </row>
    <row r="14" customFormat="false" ht="15" hidden="false" customHeight="false" outlineLevel="0" collapsed="false">
      <c r="A14" s="4" t="s">
        <v>270</v>
      </c>
    </row>
    <row r="15" customFormat="false" ht="15" hidden="false" customHeight="false" outlineLevel="0" collapsed="false">
      <c r="A15" s="54" t="s">
        <v>271</v>
      </c>
    </row>
    <row r="16" customFormat="false" ht="15" hidden="false" customHeight="false" outlineLevel="0" collapsed="false">
      <c r="A16" s="54" t="s">
        <v>272</v>
      </c>
    </row>
    <row r="17" customFormat="false" ht="15" hidden="false" customHeight="false" outlineLevel="0" collapsed="false">
      <c r="A17" s="54" t="s">
        <v>273</v>
      </c>
    </row>
    <row r="18" customFormat="false" ht="15" hidden="false" customHeight="false" outlineLevel="0" collapsed="false">
      <c r="A18" s="54"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3"/>
    <col collapsed="false" customWidth="true" hidden="false" outlineLevel="0" max="5" min="4" style="0" width="11"/>
    <col collapsed="false" customWidth="true" hidden="false" outlineLevel="0" max="7" min="6" style="0" width="12"/>
    <col collapsed="false" customWidth="true" hidden="false" outlineLevel="0" max="8" min="8" style="0" width="11"/>
    <col collapsed="false" customWidth="true" hidden="false" outlineLevel="0" max="10" min="9" style="0" width="12"/>
    <col collapsed="false" customWidth="true" hidden="false" outlineLevel="0" max="11" min="11" style="0" width="11"/>
    <col collapsed="false" customWidth="true" hidden="false" outlineLevel="0" max="13" min="12" style="0" width="12"/>
    <col collapsed="false" customWidth="true" hidden="false" outlineLevel="0" max="14" min="14" style="0" width="14"/>
    <col collapsed="false" customWidth="true" hidden="false" outlineLevel="0" max="15" min="15" style="0" width="2"/>
    <col collapsed="false" customWidth="true" hidden="false" outlineLevel="0" max="16" min="16" style="0" width="15"/>
  </cols>
  <sheetData>
    <row r="1" customFormat="false" ht="21.6" hidden="false" customHeight="false" outlineLevel="0" collapsed="false">
      <c r="A1" s="1" t="s">
        <v>275</v>
      </c>
    </row>
    <row r="2" customFormat="false" ht="15" hidden="false" customHeight="false" outlineLevel="0" collapsed="false">
      <c r="A2" s="2" t="s">
        <v>276</v>
      </c>
    </row>
    <row r="4" customFormat="false" ht="30" hidden="false" customHeight="true" outlineLevel="0" collapsed="false">
      <c r="A4" s="9" t="s">
        <v>154</v>
      </c>
      <c r="B4" s="9" t="s">
        <v>277</v>
      </c>
      <c r="C4" s="9" t="s">
        <v>278</v>
      </c>
      <c r="D4" s="9" t="s">
        <v>279</v>
      </c>
      <c r="E4" s="9" t="s">
        <v>243</v>
      </c>
      <c r="F4" s="9" t="s">
        <v>280</v>
      </c>
      <c r="G4" s="9" t="s">
        <v>281</v>
      </c>
      <c r="H4" s="9" t="s">
        <v>282</v>
      </c>
      <c r="I4" s="9" t="s">
        <v>283</v>
      </c>
      <c r="J4" s="9" t="s">
        <v>284</v>
      </c>
      <c r="K4" s="9" t="s">
        <v>240</v>
      </c>
      <c r="L4" s="9" t="s">
        <v>285</v>
      </c>
      <c r="M4" s="9" t="s">
        <v>286</v>
      </c>
      <c r="N4" s="9" t="s">
        <v>287</v>
      </c>
      <c r="O4" s="8"/>
      <c r="P4" s="9" t="s">
        <v>288</v>
      </c>
    </row>
    <row r="5" customFormat="false" ht="15" hidden="false" customHeight="false" outlineLevel="0" collapsed="false">
      <c r="A5" s="55" t="s">
        <v>172</v>
      </c>
      <c r="B5" s="32" t="n">
        <f aca="false">①前提条件!$B$58</f>
        <v>5021382</v>
      </c>
      <c r="C5" s="32" t="n">
        <f aca="false">ROUND(②FRANK月次計画!S5+(④部門別営業損益!E5+④部門別営業損益!E6+④部門別営業損益!E8+④部門別営業損益!E9)/12,0)</f>
        <v>-666435</v>
      </c>
      <c r="D5" s="32" t="n">
        <f aca="false">ROUND(①前提条件!$B$56/12,0)</f>
        <v>58333</v>
      </c>
      <c r="E5" s="32" t="n">
        <f aca="false">ROUND(③3か年収支計画!E17/12,0)</f>
        <v>-5833</v>
      </c>
      <c r="F5" s="32" t="n">
        <v>0</v>
      </c>
      <c r="G5" s="32" t="n">
        <v>-100000</v>
      </c>
      <c r="H5" s="32" t="n">
        <v>0</v>
      </c>
      <c r="I5" s="32" t="n">
        <v>0</v>
      </c>
      <c r="J5" s="32" t="n">
        <f aca="false">-(0+⑥返済計画!J21)</f>
        <v>-108108</v>
      </c>
      <c r="K5" s="32" t="n">
        <f aca="false">-(0+⑥返済計画!K21)</f>
        <v>-8008</v>
      </c>
      <c r="L5" s="32" t="n">
        <f aca="false">-①前提条件!$B$55</f>
        <v>-289050</v>
      </c>
      <c r="M5" s="32" t="n">
        <f aca="false">SUM(C5:L5)</f>
        <v>-1119101</v>
      </c>
      <c r="N5" s="56" t="n">
        <f aca="false">B5+M5</f>
        <v>3902281</v>
      </c>
      <c r="P5" s="57" t="n">
        <f aca="false">①前提条件!$B$58+SUM(C5:H5)+⑥返済計画!J21*-1+⑥返済計画!K21*-1+L5</f>
        <v>3902281</v>
      </c>
    </row>
    <row r="6" customFormat="false" ht="15" hidden="false" customHeight="false" outlineLevel="0" collapsed="false">
      <c r="A6" s="55" t="s">
        <v>173</v>
      </c>
      <c r="B6" s="32" t="n">
        <f aca="false">N5</f>
        <v>3902281</v>
      </c>
      <c r="C6" s="32" t="n">
        <f aca="false">ROUND(②FRANK月次計画!S6+(④部門別営業損益!E5+④部門別営業損益!E6+④部門別営業損益!E8+④部門別営業損益!E9)/12,0)</f>
        <v>-505235</v>
      </c>
      <c r="D6" s="32" t="n">
        <f aca="false">ROUND(①前提条件!$B$56/12,0)</f>
        <v>58333</v>
      </c>
      <c r="E6" s="32" t="n">
        <f aca="false">ROUND(③3か年収支計画!E17/12,0)</f>
        <v>-5833</v>
      </c>
      <c r="F6" s="32" t="n">
        <v>0</v>
      </c>
      <c r="G6" s="32" t="n">
        <v>-100000</v>
      </c>
      <c r="H6" s="32" t="n">
        <v>-213083</v>
      </c>
      <c r="I6" s="32" t="n">
        <f aca="false">①前提条件!$B$48</f>
        <v>7000000</v>
      </c>
      <c r="J6" s="32" t="n">
        <f aca="false">-(0+⑥返済計画!J22)</f>
        <v>-108108</v>
      </c>
      <c r="K6" s="32" t="n">
        <f aca="false">-(0+⑥返済計画!K22)</f>
        <v>-7828</v>
      </c>
      <c r="L6" s="32" t="n">
        <f aca="false">-①前提条件!$B$55</f>
        <v>-289050</v>
      </c>
      <c r="M6" s="32" t="n">
        <f aca="false">SUM(C6:L6)</f>
        <v>5829196</v>
      </c>
      <c r="N6" s="56" t="n">
        <f aca="false">B6+M6</f>
        <v>9731477</v>
      </c>
      <c r="P6" s="57" t="n">
        <f aca="false">P5+SUM(C6:H6)+⑥返済計画!J22*-1+⑥返済計画!K22*-1+L6</f>
        <v>2731477</v>
      </c>
    </row>
    <row r="7" customFormat="false" ht="15" hidden="false" customHeight="false" outlineLevel="0" collapsed="false">
      <c r="A7" s="55" t="s">
        <v>174</v>
      </c>
      <c r="B7" s="32" t="n">
        <f aca="false">N6</f>
        <v>9731477</v>
      </c>
      <c r="C7" s="32" t="n">
        <f aca="false">ROUND(②FRANK月次計画!S7+(④部門別営業損益!E5+④部門別営業損益!E6+④部門別営業損益!E8+④部門別営業損益!E9)/12,0)</f>
        <v>-355855</v>
      </c>
      <c r="D7" s="32" t="n">
        <f aca="false">ROUND(①前提条件!$B$56/12,0)</f>
        <v>58333</v>
      </c>
      <c r="E7" s="32" t="n">
        <f aca="false">ROUND(③3か年収支計画!E17/12,0)</f>
        <v>-5833</v>
      </c>
      <c r="F7" s="32" t="n">
        <v>-355551</v>
      </c>
      <c r="G7" s="32" t="n">
        <v>-100000</v>
      </c>
      <c r="H7" s="32" t="n">
        <v>-213083</v>
      </c>
      <c r="I7" s="32" t="n">
        <v>0</v>
      </c>
      <c r="J7" s="32" t="n">
        <f aca="false">-(⑥返済計画!D21+⑥返済計画!J23)</f>
        <v>-108108</v>
      </c>
      <c r="K7" s="32" t="n">
        <f aca="false">-(⑥返済計画!E21+⑥返済計画!K23)</f>
        <v>-22231</v>
      </c>
      <c r="L7" s="32" t="n">
        <f aca="false">-①前提条件!$B$55</f>
        <v>-289050</v>
      </c>
      <c r="M7" s="32" t="n">
        <f aca="false">SUM(C7:L7)</f>
        <v>-1391378</v>
      </c>
      <c r="N7" s="56" t="n">
        <f aca="false">B7+M7</f>
        <v>8340099</v>
      </c>
      <c r="P7" s="57" t="n">
        <f aca="false">P6+SUM(C7:H7)+⑥返済計画!J23*-1+⑥返済計画!K23*-1+L7</f>
        <v>1354682</v>
      </c>
    </row>
    <row r="8" customFormat="false" ht="15" hidden="false" customHeight="false" outlineLevel="0" collapsed="false">
      <c r="A8" s="55" t="s">
        <v>175</v>
      </c>
      <c r="B8" s="32" t="n">
        <f aca="false">N7</f>
        <v>8340099</v>
      </c>
      <c r="C8" s="32" t="n">
        <f aca="false">ROUND(②FRANK月次計画!S8+(④部門別営業損益!E5+④部門別営業損益!E6+④部門別営業損益!E8+④部門別営業損益!E9)/12,0)</f>
        <v>-211810</v>
      </c>
      <c r="D8" s="32" t="n">
        <f aca="false">ROUND(①前提条件!$B$56/12,0)</f>
        <v>58333</v>
      </c>
      <c r="E8" s="32" t="n">
        <f aca="false">ROUND(③3か年収支計画!E17/12,0)</f>
        <v>-5833</v>
      </c>
      <c r="F8" s="32" t="n">
        <v>0</v>
      </c>
      <c r="G8" s="32" t="n">
        <v>-100000</v>
      </c>
      <c r="H8" s="32" t="n">
        <v>-213083</v>
      </c>
      <c r="I8" s="32" t="n">
        <v>0</v>
      </c>
      <c r="J8" s="32" t="n">
        <f aca="false">-(⑥返済計画!D22+⑥返済計画!J24)</f>
        <v>-108108</v>
      </c>
      <c r="K8" s="32" t="n">
        <f aca="false">-(⑥返済計画!E22+⑥返済計画!K24)</f>
        <v>-22050</v>
      </c>
      <c r="L8" s="32" t="n">
        <f aca="false">-①前提条件!$B$55</f>
        <v>-289050</v>
      </c>
      <c r="M8" s="32" t="n">
        <f aca="false">SUM(C8:L8)</f>
        <v>-891601</v>
      </c>
      <c r="N8" s="56" t="n">
        <f aca="false">B8+M8</f>
        <v>7448498</v>
      </c>
      <c r="P8" s="57" t="n">
        <f aca="false">P7+SUM(C8:H8)+⑥返済計画!J24*-1+⑥返済計画!K24*-1+L8</f>
        <v>477664</v>
      </c>
    </row>
    <row r="9" customFormat="false" ht="15" hidden="false" customHeight="false" outlineLevel="0" collapsed="false">
      <c r="A9" s="55" t="s">
        <v>176</v>
      </c>
      <c r="B9" s="32" t="n">
        <f aca="false">N8</f>
        <v>7448498</v>
      </c>
      <c r="C9" s="32" t="n">
        <f aca="false">ROUND(②FRANK月次計画!S9+(④部門別営業損益!E5+④部門別営業損益!E6+④部門別営業損益!E8+④部門別営業損益!E9)/12,0)</f>
        <v>-73100</v>
      </c>
      <c r="D9" s="32" t="n">
        <f aca="false">ROUND(①前提条件!$B$56/12,0)</f>
        <v>58333</v>
      </c>
      <c r="E9" s="32" t="n">
        <f aca="false">ROUND(③3か年収支計画!E17/12,0)</f>
        <v>-5833</v>
      </c>
      <c r="F9" s="32" t="n">
        <v>0</v>
      </c>
      <c r="G9" s="32" t="n">
        <v>-100000</v>
      </c>
      <c r="H9" s="32" t="n">
        <v>-213083</v>
      </c>
      <c r="I9" s="32" t="n">
        <v>0</v>
      </c>
      <c r="J9" s="32" t="n">
        <f aca="false">-(⑥返済計画!D23+⑥返済計画!J25)</f>
        <v>-108108</v>
      </c>
      <c r="K9" s="32" t="n">
        <f aca="false">-(⑥返済計画!E23+⑥返済計画!K25)</f>
        <v>-21870</v>
      </c>
      <c r="L9" s="32" t="n">
        <f aca="false">-①前提条件!$B$55</f>
        <v>-289050</v>
      </c>
      <c r="M9" s="32" t="n">
        <f aca="false">SUM(C9:L9)</f>
        <v>-752711</v>
      </c>
      <c r="N9" s="56" t="n">
        <f aca="false">B9+M9</f>
        <v>6695787</v>
      </c>
      <c r="P9" s="57" t="n">
        <f aca="false">P8+SUM(C9:H9)+⑥返済計画!J25*-1+⑥返済計画!K25*-1+L9</f>
        <v>-260464</v>
      </c>
    </row>
    <row r="10" customFormat="false" ht="15" hidden="false" customHeight="false" outlineLevel="0" collapsed="false">
      <c r="A10" s="55" t="s">
        <v>177</v>
      </c>
      <c r="B10" s="32" t="n">
        <f aca="false">N9</f>
        <v>6695787</v>
      </c>
      <c r="C10" s="32" t="n">
        <f aca="false">ROUND(②FRANK月次計画!S10+(④部門別営業損益!E5+④部門別営業損益!E6+④部門別営業損益!E8+④部門別営業損益!E9)/12,0)</f>
        <v>65610</v>
      </c>
      <c r="D10" s="32" t="n">
        <f aca="false">ROUND(①前提条件!$B$56/12,0)</f>
        <v>58333</v>
      </c>
      <c r="E10" s="32" t="n">
        <f aca="false">ROUND(③3か年収支計画!E17/12,0)</f>
        <v>-5833</v>
      </c>
      <c r="F10" s="32" t="n">
        <v>0</v>
      </c>
      <c r="G10" s="32" t="n">
        <v>-100000</v>
      </c>
      <c r="H10" s="32" t="n">
        <v>-213083</v>
      </c>
      <c r="I10" s="32" t="n">
        <v>0</v>
      </c>
      <c r="J10" s="32" t="n">
        <f aca="false">-(⑥返済計画!D24+⑥返済計画!J26)</f>
        <v>-108108</v>
      </c>
      <c r="K10" s="32" t="n">
        <f aca="false">-(⑥返済計画!E24+⑥返済計画!K26)</f>
        <v>-21690</v>
      </c>
      <c r="L10" s="32" t="n">
        <f aca="false">-①前提条件!$B$55</f>
        <v>-289050</v>
      </c>
      <c r="M10" s="32" t="n">
        <f aca="false">SUM(C10:L10)</f>
        <v>-613821</v>
      </c>
      <c r="N10" s="56" t="n">
        <f aca="false">B10+M10</f>
        <v>6081966</v>
      </c>
      <c r="P10" s="57" t="n">
        <f aca="false">P9+SUM(C10:H10)+⑥返済計画!J26*-1+⑥返済計画!K26*-1+L10</f>
        <v>-859702</v>
      </c>
    </row>
    <row r="11" customFormat="false" ht="15" hidden="false" customHeight="false" outlineLevel="0" collapsed="false">
      <c r="A11" s="55" t="s">
        <v>178</v>
      </c>
      <c r="B11" s="32" t="n">
        <f aca="false">N10</f>
        <v>6081966</v>
      </c>
      <c r="C11" s="32" t="n">
        <f aca="false">ROUND(②FRANK月次計画!S11+(④部門別営業損益!E5+④部門別営業損益!E6+④部門別営業損益!E8+④部門別営業損益!E9)/12,0)</f>
        <v>251718</v>
      </c>
      <c r="D11" s="32" t="n">
        <f aca="false">ROUND(①前提条件!$B$56/12,0)</f>
        <v>58333</v>
      </c>
      <c r="E11" s="32" t="n">
        <f aca="false">ROUND(③3か年収支計画!E17/12,0)</f>
        <v>-5833</v>
      </c>
      <c r="F11" s="32" t="n">
        <v>-355551</v>
      </c>
      <c r="G11" s="32" t="n">
        <v>-100000</v>
      </c>
      <c r="H11" s="32" t="n">
        <v>-213083</v>
      </c>
      <c r="I11" s="32" t="n">
        <v>0</v>
      </c>
      <c r="J11" s="32" t="n">
        <f aca="false">-(⑥返済計画!D25+⑥返済計画!J27)</f>
        <v>-108108</v>
      </c>
      <c r="K11" s="32" t="n">
        <f aca="false">-(⑥返済計画!E25+⑥返済計画!K27)</f>
        <v>-21510</v>
      </c>
      <c r="L11" s="32" t="n">
        <f aca="false">-①前提条件!$B$55</f>
        <v>-289050</v>
      </c>
      <c r="M11" s="32" t="n">
        <f aca="false">SUM(C11:L11)</f>
        <v>-783084</v>
      </c>
      <c r="N11" s="56" t="n">
        <f aca="false">B11+M11</f>
        <v>5298882</v>
      </c>
      <c r="P11" s="57" t="n">
        <f aca="false">P10+SUM(C11:H11)+⑥返済計画!J27*-1+⑥返済計画!K27*-1+L11</f>
        <v>-1628203</v>
      </c>
    </row>
    <row r="12" customFormat="false" ht="15" hidden="false" customHeight="false" outlineLevel="0" collapsed="false">
      <c r="A12" s="55" t="s">
        <v>179</v>
      </c>
      <c r="B12" s="32" t="n">
        <f aca="false">N11</f>
        <v>5298882</v>
      </c>
      <c r="C12" s="32" t="n">
        <f aca="false">ROUND(②FRANK月次計画!S12+(④部門別営業損益!E5+④部門別営業損益!E6+④部門別営業損益!E8+④部門別営業損益!E9)/12,0)</f>
        <v>379758</v>
      </c>
      <c r="D12" s="32" t="n">
        <f aca="false">ROUND(①前提条件!$B$56/12,0)</f>
        <v>58333</v>
      </c>
      <c r="E12" s="32" t="n">
        <f aca="false">ROUND(③3か年収支計画!E17/12,0)</f>
        <v>-5833</v>
      </c>
      <c r="F12" s="32" t="n">
        <v>0</v>
      </c>
      <c r="G12" s="32" t="n">
        <v>-100000</v>
      </c>
      <c r="H12" s="32" t="n">
        <v>0</v>
      </c>
      <c r="I12" s="32" t="n">
        <v>0</v>
      </c>
      <c r="J12" s="32" t="n">
        <f aca="false">-(⑥返済計画!D26+⑥返済計画!J28)</f>
        <v>-108108</v>
      </c>
      <c r="K12" s="32" t="n">
        <f aca="false">-(⑥返済計画!E26+⑥返済計画!K28)</f>
        <v>-21330</v>
      </c>
      <c r="L12" s="32" t="n">
        <f aca="false">-①前提条件!$B$55</f>
        <v>-289050</v>
      </c>
      <c r="M12" s="32" t="n">
        <f aca="false">SUM(C12:L12)</f>
        <v>-86230</v>
      </c>
      <c r="N12" s="56" t="n">
        <f aca="false">B12+M12</f>
        <v>5212652</v>
      </c>
      <c r="P12" s="57" t="n">
        <f aca="false">P11+SUM(C12:H12)+⑥返済計画!J28*-1+⑥返済計画!K28*-1+L12</f>
        <v>-1699850</v>
      </c>
    </row>
    <row r="13" customFormat="false" ht="15" hidden="false" customHeight="false" outlineLevel="0" collapsed="false">
      <c r="A13" s="55" t="s">
        <v>180</v>
      </c>
      <c r="B13" s="32" t="n">
        <f aca="false">N12</f>
        <v>5212652</v>
      </c>
      <c r="C13" s="32" t="n">
        <f aca="false">ROUND(②FRANK月次計画!S13+(④部門別営業損益!E5+④部門別営業損益!E6+④部門別営業損益!E8+④部門別営業損益!E9)/12,0)</f>
        <v>488311</v>
      </c>
      <c r="D13" s="32" t="n">
        <f aca="false">ROUND(①前提条件!$B$56/12,0)</f>
        <v>58333</v>
      </c>
      <c r="E13" s="32" t="n">
        <f aca="false">ROUND(③3か年収支計画!E17/12,0)</f>
        <v>-5833</v>
      </c>
      <c r="F13" s="32" t="n">
        <v>0</v>
      </c>
      <c r="G13" s="32" t="n">
        <v>-100000</v>
      </c>
      <c r="H13" s="32" t="n">
        <v>0</v>
      </c>
      <c r="I13" s="32" t="n">
        <v>0</v>
      </c>
      <c r="J13" s="32" t="n">
        <f aca="false">-(⑥返済計画!D27+⑥返済計画!J29)</f>
        <v>-197852</v>
      </c>
      <c r="K13" s="32" t="n">
        <f aca="false">-(⑥返済計画!E27+⑥返済計画!K29)</f>
        <v>-21150</v>
      </c>
      <c r="L13" s="32" t="n">
        <f aca="false">-①前提条件!$B$55</f>
        <v>-289050</v>
      </c>
      <c r="M13" s="32" t="n">
        <f aca="false">SUM(C13:L13)</f>
        <v>-67241</v>
      </c>
      <c r="N13" s="56" t="n">
        <f aca="false">B13+M13</f>
        <v>5145411</v>
      </c>
      <c r="P13" s="57" t="n">
        <f aca="false">P12+SUM(C13:H13)+⑥返済計画!J29*-1+⑥返済計画!K29*-1+L13</f>
        <v>-1662764</v>
      </c>
    </row>
    <row r="14" customFormat="false" ht="15" hidden="false" customHeight="false" outlineLevel="0" collapsed="false">
      <c r="A14" s="55" t="s">
        <v>181</v>
      </c>
      <c r="B14" s="32" t="n">
        <f aca="false">N13</f>
        <v>5145411</v>
      </c>
      <c r="C14" s="32" t="n">
        <f aca="false">ROUND(②FRANK月次計画!S14+(④部門別営業損益!E5+④部門別営業損益!E6+④部門別営業損益!E8+④部門別営業損益!E9)/12,0)</f>
        <v>589676</v>
      </c>
      <c r="D14" s="32" t="n">
        <f aca="false">ROUND(①前提条件!$B$56/12,0)</f>
        <v>58333</v>
      </c>
      <c r="E14" s="32" t="n">
        <f aca="false">ROUND(③3か年収支計画!E17/12,0)</f>
        <v>-5833</v>
      </c>
      <c r="F14" s="32" t="n">
        <v>0</v>
      </c>
      <c r="G14" s="32" t="n">
        <v>-100000</v>
      </c>
      <c r="H14" s="32" t="n">
        <v>0</v>
      </c>
      <c r="I14" s="32" t="n">
        <v>0</v>
      </c>
      <c r="J14" s="32" t="n">
        <f aca="false">-(⑥返済計画!D28+⑥返済計画!J30)</f>
        <v>-197852</v>
      </c>
      <c r="K14" s="32" t="n">
        <f aca="false">-(⑥返済計画!E28+⑥返済計画!K30)</f>
        <v>-20782</v>
      </c>
      <c r="L14" s="32" t="n">
        <v>0</v>
      </c>
      <c r="M14" s="32" t="n">
        <f aca="false">SUM(C14:L14)</f>
        <v>323542</v>
      </c>
      <c r="N14" s="56" t="n">
        <f aca="false">B14+M14</f>
        <v>5468953</v>
      </c>
      <c r="P14" s="57" t="n">
        <f aca="false">P13+SUM(C14:H14)+⑥返済計画!J30*-1+⑥返済計画!K30*-1+L14</f>
        <v>-1235082</v>
      </c>
    </row>
    <row r="15" customFormat="false" ht="15" hidden="false" customHeight="false" outlineLevel="0" collapsed="false">
      <c r="A15" s="55" t="s">
        <v>182</v>
      </c>
      <c r="B15" s="32" t="n">
        <f aca="false">N14</f>
        <v>5468953</v>
      </c>
      <c r="C15" s="32" t="n">
        <f aca="false">ROUND(②FRANK月次計画!S15+(④部門別営業損益!E5+④部門別営業損益!E6+④部門別営業損益!E8+④部門別営業損益!E9)/12,0)</f>
        <v>685706</v>
      </c>
      <c r="D15" s="32" t="n">
        <f aca="false">ROUND(①前提条件!$B$56/12,0)</f>
        <v>58333</v>
      </c>
      <c r="E15" s="32" t="n">
        <f aca="false">ROUND(③3か年収支計画!E17/12,0)</f>
        <v>-5833</v>
      </c>
      <c r="F15" s="32" t="n">
        <v>0</v>
      </c>
      <c r="G15" s="32" t="n">
        <v>-100000</v>
      </c>
      <c r="H15" s="32" t="n">
        <v>0</v>
      </c>
      <c r="I15" s="32" t="n">
        <v>0</v>
      </c>
      <c r="J15" s="32" t="n">
        <f aca="false">-(⑥返済計画!D29+⑥返済計画!J31)</f>
        <v>-197852</v>
      </c>
      <c r="K15" s="32" t="n">
        <f aca="false">-(⑥返済計画!E29+⑥返済計画!K31)</f>
        <v>-20415</v>
      </c>
      <c r="L15" s="32" t="n">
        <v>0</v>
      </c>
      <c r="M15" s="32" t="n">
        <f aca="false">SUM(C15:L15)</f>
        <v>419939</v>
      </c>
      <c r="N15" s="56" t="n">
        <f aca="false">B15+M15</f>
        <v>5888892</v>
      </c>
      <c r="P15" s="57" t="n">
        <f aca="false">P14+SUM(C15:H15)+⑥返済計画!J31*-1+⑥返済計画!K31*-1+L15</f>
        <v>-711190</v>
      </c>
    </row>
    <row r="16" customFormat="false" ht="15" hidden="false" customHeight="false" outlineLevel="0" collapsed="false">
      <c r="A16" s="55" t="s">
        <v>183</v>
      </c>
      <c r="B16" s="32" t="n">
        <f aca="false">N15</f>
        <v>5888892</v>
      </c>
      <c r="C16" s="32" t="n">
        <f aca="false">ROUND(②FRANK月次計画!S16+(④部門別営業損益!E5+④部門別営業損益!E6+④部門別営業損益!E8+④部門別営業損益!E9)/12,0)</f>
        <v>781736</v>
      </c>
      <c r="D16" s="32" t="n">
        <f aca="false">ROUND(①前提条件!$B$56/12,0)</f>
        <v>58333</v>
      </c>
      <c r="E16" s="32" t="n">
        <f aca="false">ROUND(③3か年収支計画!E17/12,0)</f>
        <v>-5833</v>
      </c>
      <c r="F16" s="32" t="n">
        <v>-355551</v>
      </c>
      <c r="G16" s="32" t="n">
        <v>-100000</v>
      </c>
      <c r="H16" s="32" t="n">
        <v>0</v>
      </c>
      <c r="I16" s="32" t="n">
        <v>0</v>
      </c>
      <c r="J16" s="32" t="n">
        <f aca="false">-(⑥返済計画!D30+⑥返済計画!J32)</f>
        <v>-197852</v>
      </c>
      <c r="K16" s="32" t="n">
        <f aca="false">-(⑥返済計画!E30+⑥返済計画!K32)</f>
        <v>-20048</v>
      </c>
      <c r="L16" s="32" t="n">
        <v>0</v>
      </c>
      <c r="M16" s="32" t="n">
        <f aca="false">SUM(C16:L16)</f>
        <v>160785</v>
      </c>
      <c r="N16" s="56" t="n">
        <f aca="false">B16+M16</f>
        <v>6049677</v>
      </c>
      <c r="P16" s="57" t="n">
        <f aca="false">P15+SUM(C16:H16)+⑥返済計画!J32*-1+⑥返済計画!K32*-1+L16</f>
        <v>-446639</v>
      </c>
    </row>
    <row r="17" customFormat="false" ht="15" hidden="false" customHeight="false" outlineLevel="0" collapsed="false">
      <c r="A17" s="55" t="s">
        <v>185</v>
      </c>
      <c r="B17" s="32" t="n">
        <f aca="false">N16</f>
        <v>6049677</v>
      </c>
      <c r="C17" s="32" t="n">
        <f aca="false">ROUND(②FRANK月次計画!S17+(④部門別営業損益!F5+④部門別営業損益!F6+④部門別営業損益!F8+④部門別営業損益!F9)/12,0)</f>
        <v>832984</v>
      </c>
      <c r="D17" s="32" t="n">
        <f aca="false">ROUND(①前提条件!$B$56/12,0)</f>
        <v>58333</v>
      </c>
      <c r="E17" s="32" t="n">
        <f aca="false">ROUND(③3か年収支計画!F17/12,0)</f>
        <v>-334193</v>
      </c>
      <c r="F17" s="32" t="n">
        <v>0</v>
      </c>
      <c r="G17" s="32" t="n">
        <v>-100000</v>
      </c>
      <c r="H17" s="32" t="n">
        <v>0</v>
      </c>
      <c r="I17" s="32" t="n">
        <v>0</v>
      </c>
      <c r="J17" s="32" t="n">
        <f aca="false">-(⑥返済計画!D31+⑥返済計画!J33)</f>
        <v>-197852</v>
      </c>
      <c r="K17" s="32" t="n">
        <f aca="false">-(⑥返済計画!E31+⑥返済計画!K33)</f>
        <v>-19681</v>
      </c>
      <c r="L17" s="32" t="n">
        <v>0</v>
      </c>
      <c r="M17" s="32" t="n">
        <f aca="false">SUM(C17:L17)</f>
        <v>239591</v>
      </c>
      <c r="N17" s="56" t="n">
        <f aca="false">B17+M17</f>
        <v>6289268</v>
      </c>
      <c r="P17" s="57" t="n">
        <f aca="false">P16+SUM(C17:H17)+⑥返済計画!J33*-1+⑥返済計画!K33*-1+L17</f>
        <v>-103469</v>
      </c>
    </row>
    <row r="18" customFormat="false" ht="15" hidden="false" customHeight="false" outlineLevel="0" collapsed="false">
      <c r="A18" s="55" t="s">
        <v>186</v>
      </c>
      <c r="B18" s="32" t="n">
        <f aca="false">N17</f>
        <v>6289268</v>
      </c>
      <c r="C18" s="32" t="n">
        <f aca="false">ROUND(②FRANK月次計画!S18+(④部門別営業損益!F5+④部門別営業損益!F6+④部門別営業損益!F8+④部門別営業損益!F9)/12,0)</f>
        <v>918344</v>
      </c>
      <c r="D18" s="32" t="n">
        <f aca="false">ROUND(①前提条件!$B$56/12,0)</f>
        <v>58333</v>
      </c>
      <c r="E18" s="32" t="n">
        <f aca="false">ROUND(③3か年収支計画!F17/12,0)</f>
        <v>-334193</v>
      </c>
      <c r="F18" s="32" t="n">
        <v>0</v>
      </c>
      <c r="G18" s="32" t="n">
        <v>-100000</v>
      </c>
      <c r="H18" s="32" t="n">
        <v>0</v>
      </c>
      <c r="I18" s="32" t="n">
        <v>0</v>
      </c>
      <c r="J18" s="32" t="n">
        <f aca="false">-(⑥返済計画!D32+⑥返済計画!J34)</f>
        <v>-197852</v>
      </c>
      <c r="K18" s="32" t="n">
        <f aca="false">-(⑥返済計画!E32+⑥返済計画!K34)</f>
        <v>-19315</v>
      </c>
      <c r="L18" s="32" t="n">
        <v>0</v>
      </c>
      <c r="M18" s="32" t="n">
        <f aca="false">SUM(C18:L18)</f>
        <v>325317</v>
      </c>
      <c r="N18" s="56" t="n">
        <f aca="false">B18+M18</f>
        <v>6614585</v>
      </c>
      <c r="P18" s="57" t="n">
        <f aca="false">P17+SUM(C18:H18)+⑥返済計画!J34*-1+⑥返済計画!K34*-1+L18</f>
        <v>325241</v>
      </c>
    </row>
    <row r="19" customFormat="false" ht="15" hidden="false" customHeight="false" outlineLevel="0" collapsed="false">
      <c r="A19" s="55" t="s">
        <v>187</v>
      </c>
      <c r="B19" s="32" t="n">
        <f aca="false">N18</f>
        <v>6614585</v>
      </c>
      <c r="C19" s="32" t="n">
        <f aca="false">ROUND(②FRANK月次計画!S19+(④部門別営業損益!F5+④部門別営業損益!F6+④部門別営業損益!F8+④部門別営業損益!F9)/12,0)</f>
        <v>1003704</v>
      </c>
      <c r="D19" s="32" t="n">
        <f aca="false">ROUND(①前提条件!$B$56/12,0)</f>
        <v>58333</v>
      </c>
      <c r="E19" s="32" t="n">
        <f aca="false">ROUND(③3か年収支計画!F17/12,0)</f>
        <v>-334193</v>
      </c>
      <c r="F19" s="32" t="n">
        <v>-355551</v>
      </c>
      <c r="G19" s="32" t="n">
        <v>-100000</v>
      </c>
      <c r="H19" s="32" t="n">
        <v>0</v>
      </c>
      <c r="I19" s="32" t="n">
        <v>0</v>
      </c>
      <c r="J19" s="32" t="n">
        <f aca="false">-(⑥返済計画!D33+⑥返済計画!J35)</f>
        <v>-197852</v>
      </c>
      <c r="K19" s="32" t="n">
        <f aca="false">-(⑥返済計画!E33+⑥返済計画!K35)</f>
        <v>-18948</v>
      </c>
      <c r="L19" s="32" t="n">
        <v>0</v>
      </c>
      <c r="M19" s="32" t="n">
        <f aca="false">SUM(C19:L19)</f>
        <v>55493</v>
      </c>
      <c r="N19" s="56" t="n">
        <f aca="false">B19+M19</f>
        <v>6670078</v>
      </c>
      <c r="P19" s="57" t="n">
        <f aca="false">P18+SUM(C19:H19)+⑥返済計画!J35*-1+⑥返済計画!K35*-1+L19</f>
        <v>483940</v>
      </c>
    </row>
    <row r="20" customFormat="false" ht="15" hidden="false" customHeight="false" outlineLevel="0" collapsed="false">
      <c r="A20" s="55" t="s">
        <v>188</v>
      </c>
      <c r="B20" s="32" t="n">
        <f aca="false">N19</f>
        <v>6670078</v>
      </c>
      <c r="C20" s="32" t="n">
        <f aca="false">ROUND(②FRANK月次計画!S20+(④部門別営業損益!F5+④部門別営業損益!F6+④部門別営業損益!F8+④部門別営業損益!F9)/12,0)</f>
        <v>1078394</v>
      </c>
      <c r="D20" s="32" t="n">
        <f aca="false">ROUND(①前提条件!$B$56/12,0)</f>
        <v>58333</v>
      </c>
      <c r="E20" s="32" t="n">
        <f aca="false">ROUND(③3か年収支計画!F17/12,0)</f>
        <v>-334193</v>
      </c>
      <c r="F20" s="32" t="n">
        <v>0</v>
      </c>
      <c r="G20" s="32" t="n">
        <v>-100000</v>
      </c>
      <c r="H20" s="32" t="n">
        <v>0</v>
      </c>
      <c r="I20" s="32" t="n">
        <v>0</v>
      </c>
      <c r="J20" s="32" t="n">
        <f aca="false">-(⑥返済計画!D34+⑥返済計画!J36)</f>
        <v>-197852</v>
      </c>
      <c r="K20" s="32" t="n">
        <f aca="false">-(⑥返済計画!E34+⑥返済計画!K36)</f>
        <v>-18580</v>
      </c>
      <c r="L20" s="32" t="n">
        <v>0</v>
      </c>
      <c r="M20" s="32" t="n">
        <f aca="false">SUM(C20:L20)</f>
        <v>486102</v>
      </c>
      <c r="N20" s="56" t="n">
        <f aca="false">B20+M20</f>
        <v>7156180</v>
      </c>
      <c r="P20" s="57" t="n">
        <f aca="false">P19+SUM(C20:H20)+⑥返済計画!J36*-1+⑥返済計画!K36*-1+L20</f>
        <v>1073061</v>
      </c>
    </row>
    <row r="21" customFormat="false" ht="15" hidden="false" customHeight="false" outlineLevel="0" collapsed="false">
      <c r="A21" s="55" t="s">
        <v>189</v>
      </c>
      <c r="B21" s="32" t="n">
        <f aca="false">N20</f>
        <v>7156180</v>
      </c>
      <c r="C21" s="32" t="n">
        <f aca="false">ROUND(②FRANK月次計画!S21+(④部門別営業損益!F5+④部門別営業損益!F6+④部門別営業損益!F8+④部門別営業損益!F9)/12,0)</f>
        <v>1110404</v>
      </c>
      <c r="D21" s="32" t="n">
        <f aca="false">ROUND(①前提条件!$B$56/12,0)</f>
        <v>58333</v>
      </c>
      <c r="E21" s="32" t="n">
        <f aca="false">ROUND(③3か年収支計画!F17/12,0)</f>
        <v>-334193</v>
      </c>
      <c r="F21" s="32" t="n">
        <v>0</v>
      </c>
      <c r="G21" s="32" t="n">
        <v>-100000</v>
      </c>
      <c r="H21" s="32" t="n">
        <v>0</v>
      </c>
      <c r="I21" s="32" t="n">
        <v>0</v>
      </c>
      <c r="J21" s="32" t="n">
        <f aca="false">-(⑥返済計画!D35+⑥返済計画!J37)</f>
        <v>-197852</v>
      </c>
      <c r="K21" s="32" t="n">
        <f aca="false">-(⑥返済計画!E35+⑥返済計画!K37)</f>
        <v>-18213</v>
      </c>
      <c r="L21" s="32" t="n">
        <v>0</v>
      </c>
      <c r="M21" s="32" t="n">
        <f aca="false">SUM(C21:L21)</f>
        <v>518479</v>
      </c>
      <c r="N21" s="56" t="n">
        <f aca="false">B21+M21</f>
        <v>7674659</v>
      </c>
      <c r="P21" s="57" t="n">
        <f aca="false">P20+SUM(C21:H21)+⑥返済計画!J37*-1+⑥返済計画!K37*-1+L21</f>
        <v>1694372</v>
      </c>
    </row>
    <row r="22" customFormat="false" ht="15" hidden="false" customHeight="false" outlineLevel="0" collapsed="false">
      <c r="A22" s="55" t="s">
        <v>190</v>
      </c>
      <c r="B22" s="32" t="n">
        <f aca="false">N21</f>
        <v>7674659</v>
      </c>
      <c r="C22" s="32" t="n">
        <f aca="false">ROUND(②FRANK月次計画!S22+(④部門別営業損益!F5+④部門別営業損益!F6+④部門別営業損益!F8+④部門別営業損益!F9)/12,0)</f>
        <v>1110404</v>
      </c>
      <c r="D22" s="32" t="n">
        <f aca="false">ROUND(①前提条件!$B$56/12,0)</f>
        <v>58333</v>
      </c>
      <c r="E22" s="32" t="n">
        <f aca="false">ROUND(③3か年収支計画!F17/12,0)</f>
        <v>-334193</v>
      </c>
      <c r="F22" s="32" t="n">
        <v>0</v>
      </c>
      <c r="G22" s="32" t="n">
        <v>-100000</v>
      </c>
      <c r="H22" s="32" t="n">
        <v>0</v>
      </c>
      <c r="I22" s="32" t="n">
        <v>0</v>
      </c>
      <c r="J22" s="32" t="n">
        <f aca="false">-(⑥返済計画!D36+⑥返済計画!J38)</f>
        <v>-197852</v>
      </c>
      <c r="K22" s="32" t="n">
        <f aca="false">-(⑥返済計画!E36+⑥返済計画!K38)</f>
        <v>-17846</v>
      </c>
      <c r="L22" s="32" t="n">
        <v>0</v>
      </c>
      <c r="M22" s="32" t="n">
        <f aca="false">SUM(C22:L22)</f>
        <v>518846</v>
      </c>
      <c r="N22" s="56" t="n">
        <f aca="false">B22+M22</f>
        <v>8193505</v>
      </c>
      <c r="P22" s="57" t="n">
        <f aca="false">P21+SUM(C22:H22)+⑥返済計画!J38*-1+⑥返済計画!K38*-1+L22</f>
        <v>2315863</v>
      </c>
    </row>
    <row r="23" customFormat="false" ht="15" hidden="false" customHeight="false" outlineLevel="0" collapsed="false">
      <c r="A23" s="55" t="s">
        <v>191</v>
      </c>
      <c r="B23" s="32" t="n">
        <f aca="false">N22</f>
        <v>8193505</v>
      </c>
      <c r="C23" s="32" t="n">
        <f aca="false">ROUND(②FRANK月次計画!S23+(④部門別営業損益!F5+④部門別営業損益!F6+④部門別営業損益!F8+④部門別営業損益!F9)/12,0)</f>
        <v>1163137</v>
      </c>
      <c r="D23" s="32" t="n">
        <f aca="false">ROUND(①前提条件!$B$56/12,0)</f>
        <v>58333</v>
      </c>
      <c r="E23" s="32" t="n">
        <f aca="false">ROUND(③3か年収支計画!F17/12,0)</f>
        <v>-334193</v>
      </c>
      <c r="F23" s="32" t="n">
        <v>-355551</v>
      </c>
      <c r="G23" s="32" t="n">
        <v>-100000</v>
      </c>
      <c r="H23" s="32" t="n">
        <v>0</v>
      </c>
      <c r="I23" s="32" t="n">
        <v>0</v>
      </c>
      <c r="J23" s="32" t="n">
        <f aca="false">-(⑥返済計画!D37+⑥返済計画!J39)</f>
        <v>-197852</v>
      </c>
      <c r="K23" s="32" t="n">
        <f aca="false">-(⑥返済計画!E37+⑥返済計画!K39)</f>
        <v>-17479</v>
      </c>
      <c r="L23" s="32" t="n">
        <v>0</v>
      </c>
      <c r="M23" s="32" t="n">
        <f aca="false">SUM(C23:L23)</f>
        <v>216395</v>
      </c>
      <c r="N23" s="56" t="n">
        <f aca="false">B23+M23</f>
        <v>8409900</v>
      </c>
      <c r="P23" s="57" t="n">
        <f aca="false">P22+SUM(C23:H23)+⑥返済計画!J39*-1+⑥返済計画!K39*-1+L23</f>
        <v>2634716</v>
      </c>
    </row>
    <row r="24" customFormat="false" ht="15" hidden="false" customHeight="false" outlineLevel="0" collapsed="false">
      <c r="A24" s="55" t="s">
        <v>192</v>
      </c>
      <c r="B24" s="32" t="n">
        <f aca="false">N23</f>
        <v>8409900</v>
      </c>
      <c r="C24" s="32" t="n">
        <f aca="false">ROUND(②FRANK月次計画!S24+(④部門別営業損益!F5+④部門別営業損益!F6+④部門別営業損益!F8+④部門別営業損益!F9)/12,0)</f>
        <v>1163137</v>
      </c>
      <c r="D24" s="32" t="n">
        <f aca="false">ROUND(①前提条件!$B$56/12,0)</f>
        <v>58333</v>
      </c>
      <c r="E24" s="32" t="n">
        <f aca="false">ROUND(③3か年収支計画!F17/12,0)</f>
        <v>-334193</v>
      </c>
      <c r="F24" s="32" t="n">
        <v>0</v>
      </c>
      <c r="G24" s="32" t="n">
        <v>-100000</v>
      </c>
      <c r="H24" s="32" t="n">
        <v>0</v>
      </c>
      <c r="I24" s="32" t="n">
        <v>0</v>
      </c>
      <c r="J24" s="32" t="n">
        <f aca="false">-(⑥返済計画!D38+⑥返済計画!J40)</f>
        <v>-197852</v>
      </c>
      <c r="K24" s="32" t="n">
        <f aca="false">-(⑥返済計画!E38+⑥返済計画!K40)</f>
        <v>-17112</v>
      </c>
      <c r="L24" s="32" t="n">
        <v>0</v>
      </c>
      <c r="M24" s="32" t="n">
        <f aca="false">SUM(C24:L24)</f>
        <v>572313</v>
      </c>
      <c r="N24" s="56" t="n">
        <f aca="false">B24+M24</f>
        <v>8982213</v>
      </c>
      <c r="P24" s="57" t="n">
        <f aca="false">P23+SUM(C24:H24)+⑥返済計画!J40*-1+⑥返済計画!K40*-1+L24</f>
        <v>3309300</v>
      </c>
    </row>
    <row r="25" customFormat="false" ht="15" hidden="false" customHeight="false" outlineLevel="0" collapsed="false">
      <c r="A25" s="55" t="s">
        <v>193</v>
      </c>
      <c r="B25" s="32" t="n">
        <f aca="false">N24</f>
        <v>8982213</v>
      </c>
      <c r="C25" s="32" t="n">
        <f aca="false">ROUND(②FRANK月次計画!S25+(④部門別営業損益!F5+④部門別営業損益!F6+④部門別営業損益!F8+④部門別営業損益!F9)/12,0)</f>
        <v>1163137</v>
      </c>
      <c r="D25" s="32" t="n">
        <f aca="false">ROUND(①前提条件!$B$56/12,0)</f>
        <v>58333</v>
      </c>
      <c r="E25" s="32" t="n">
        <f aca="false">ROUND(③3か年収支計画!F17/12,0)</f>
        <v>-334193</v>
      </c>
      <c r="F25" s="32" t="n">
        <v>0</v>
      </c>
      <c r="G25" s="32" t="n">
        <v>-100000</v>
      </c>
      <c r="H25" s="32" t="n">
        <v>0</v>
      </c>
      <c r="I25" s="32" t="n">
        <v>0</v>
      </c>
      <c r="J25" s="32" t="n">
        <f aca="false">-(⑥返済計画!D39+⑥返済計画!J41)</f>
        <v>-197852</v>
      </c>
      <c r="K25" s="32" t="n">
        <f aca="false">-(⑥返済計画!E39+⑥返済計画!K41)</f>
        <v>-16744</v>
      </c>
      <c r="L25" s="32" t="n">
        <v>0</v>
      </c>
      <c r="M25" s="32" t="n">
        <f aca="false">SUM(C25:L25)</f>
        <v>572681</v>
      </c>
      <c r="N25" s="56" t="n">
        <f aca="false">B25+M25</f>
        <v>9554894</v>
      </c>
      <c r="P25" s="57" t="n">
        <f aca="false">P24+SUM(C25:H25)+⑥返済計画!J41*-1+⑥返済計画!K41*-1+L25</f>
        <v>3984065</v>
      </c>
    </row>
    <row r="26" customFormat="false" ht="15" hidden="false" customHeight="false" outlineLevel="0" collapsed="false">
      <c r="A26" s="55" t="s">
        <v>194</v>
      </c>
      <c r="B26" s="32" t="n">
        <f aca="false">N25</f>
        <v>9554894</v>
      </c>
      <c r="C26" s="32" t="n">
        <f aca="false">ROUND(②FRANK月次計画!S26+(④部門別営業損益!F5+④部門別営業損益!F6+④部門別営業損益!F8+④部門別営業損益!F9)/12,0)</f>
        <v>1163137</v>
      </c>
      <c r="D26" s="32" t="n">
        <f aca="false">ROUND(①前提条件!$B$56/12,0)</f>
        <v>58333</v>
      </c>
      <c r="E26" s="32" t="n">
        <f aca="false">ROUND(③3か年収支計画!F17/12,0)</f>
        <v>-334193</v>
      </c>
      <c r="F26" s="32" t="n">
        <v>0</v>
      </c>
      <c r="G26" s="32" t="n">
        <v>-100000</v>
      </c>
      <c r="H26" s="32" t="n">
        <v>0</v>
      </c>
      <c r="I26" s="32" t="n">
        <v>0</v>
      </c>
      <c r="J26" s="32" t="n">
        <f aca="false">-(⑥返済計画!D40+⑥返済計画!J42)</f>
        <v>-197852</v>
      </c>
      <c r="K26" s="32" t="n">
        <f aca="false">-(⑥返済計画!E40+⑥返済計画!K42)</f>
        <v>-16377</v>
      </c>
      <c r="L26" s="32" t="n">
        <v>0</v>
      </c>
      <c r="M26" s="32" t="n">
        <f aca="false">SUM(C26:L26)</f>
        <v>573048</v>
      </c>
      <c r="N26" s="56" t="n">
        <f aca="false">B26+M26</f>
        <v>10127942</v>
      </c>
      <c r="P26" s="57" t="n">
        <f aca="false">P25+SUM(C26:H26)+⑥返済計画!J42*-1+⑥返済計画!K42*-1+L26</f>
        <v>4659010</v>
      </c>
    </row>
    <row r="27" customFormat="false" ht="15" hidden="false" customHeight="false" outlineLevel="0" collapsed="false">
      <c r="A27" s="55" t="s">
        <v>195</v>
      </c>
      <c r="B27" s="32" t="n">
        <f aca="false">N26</f>
        <v>10127942</v>
      </c>
      <c r="C27" s="32" t="n">
        <f aca="false">ROUND(②FRANK月次計画!S27+(④部門別営業損益!F5+④部門別営業損益!F6+④部門別営業損益!F8+④部門別営業損益!F9)/12,0)</f>
        <v>1163137</v>
      </c>
      <c r="D27" s="32" t="n">
        <f aca="false">ROUND(①前提条件!$B$56/12,0)</f>
        <v>58333</v>
      </c>
      <c r="E27" s="32" t="n">
        <f aca="false">ROUND(③3か年収支計画!F17/12,0)</f>
        <v>-334193</v>
      </c>
      <c r="F27" s="32" t="n">
        <v>0</v>
      </c>
      <c r="G27" s="32" t="n">
        <v>-100000</v>
      </c>
      <c r="H27" s="32" t="n">
        <v>0</v>
      </c>
      <c r="I27" s="32" t="n">
        <v>0</v>
      </c>
      <c r="J27" s="32" t="n">
        <f aca="false">-(⑥返済計画!D41+⑥返済計画!J43)</f>
        <v>-197852</v>
      </c>
      <c r="K27" s="32" t="n">
        <f aca="false">-(⑥返済計画!E41+⑥返済計画!K43)</f>
        <v>-16010</v>
      </c>
      <c r="L27" s="32" t="n">
        <v>0</v>
      </c>
      <c r="M27" s="32" t="n">
        <f aca="false">SUM(C27:L27)</f>
        <v>573415</v>
      </c>
      <c r="N27" s="56" t="n">
        <f aca="false">B27+M27</f>
        <v>10701357</v>
      </c>
      <c r="P27" s="57" t="n">
        <f aca="false">P26+SUM(C27:H27)+⑥返済計画!J43*-1+⑥返済計画!K43*-1+L27</f>
        <v>5334135</v>
      </c>
    </row>
    <row r="28" customFormat="false" ht="15" hidden="false" customHeight="false" outlineLevel="0" collapsed="false">
      <c r="A28" s="55" t="s">
        <v>196</v>
      </c>
      <c r="B28" s="32" t="n">
        <f aca="false">N27</f>
        <v>10701357</v>
      </c>
      <c r="C28" s="32" t="n">
        <f aca="false">ROUND(②FRANK月次計画!S28+(④部門別営業損益!F5+④部門別営業損益!F6+④部門別営業損益!F8+④部門別営業損益!F9)/12,0)</f>
        <v>1163137</v>
      </c>
      <c r="D28" s="32" t="n">
        <f aca="false">ROUND(①前提条件!$B$56/12,0)</f>
        <v>58333</v>
      </c>
      <c r="E28" s="32" t="n">
        <f aca="false">ROUND(③3か年収支計画!F17/12,0)</f>
        <v>-334193</v>
      </c>
      <c r="F28" s="32" t="n">
        <v>-355551</v>
      </c>
      <c r="G28" s="32" t="n">
        <v>-100000</v>
      </c>
      <c r="H28" s="32" t="n">
        <v>0</v>
      </c>
      <c r="I28" s="32" t="n">
        <v>0</v>
      </c>
      <c r="J28" s="32" t="n">
        <f aca="false">-(⑥返済計画!D42+⑥返済計画!J44)</f>
        <v>-197852</v>
      </c>
      <c r="K28" s="32" t="n">
        <f aca="false">-(⑥返済計画!E42+⑥返済計画!K44)</f>
        <v>-15643</v>
      </c>
      <c r="L28" s="32" t="n">
        <v>0</v>
      </c>
      <c r="M28" s="32" t="n">
        <f aca="false">SUM(C28:L28)</f>
        <v>218231</v>
      </c>
      <c r="N28" s="56" t="n">
        <f aca="false">B28+M28</f>
        <v>10919588</v>
      </c>
      <c r="P28" s="57" t="n">
        <f aca="false">P27+SUM(C28:H28)+⑥返済計画!J44*-1+⑥返済計画!K44*-1+L28</f>
        <v>5653889</v>
      </c>
    </row>
    <row r="30" customFormat="false" ht="15" hidden="false" customHeight="false" outlineLevel="0" collapsed="false">
      <c r="A30" s="4" t="s">
        <v>289</v>
      </c>
    </row>
    <row r="31" customFormat="false" ht="15" hidden="false" customHeight="false" outlineLevel="0" collapsed="false">
      <c r="A31" s="16" t="s">
        <v>290</v>
      </c>
      <c r="E31" s="58" t="n">
        <f aca="false">MIN(N5:N28)</f>
        <v>3902281</v>
      </c>
      <c r="G31" s="59" t="str">
        <f aca="false">INDEX(A5:A28,MATCH(MIN(N5:N28),N5:N28,0))</f>
        <v>2026-09</v>
      </c>
      <c r="H31" s="54" t="s">
        <v>291</v>
      </c>
    </row>
    <row r="32" customFormat="false" ht="15" hidden="false" customHeight="false" outlineLevel="0" collapsed="false">
      <c r="A32" s="16" t="s">
        <v>292</v>
      </c>
      <c r="E32" s="58" t="n">
        <f aca="false">MIN(N7:N28)</f>
        <v>5145411</v>
      </c>
      <c r="G32" s="59" t="str">
        <f aca="false">INDEX(A7:A28,MATCH(MIN(N7:N28),N7:N28,0))</f>
        <v>2027-05</v>
      </c>
      <c r="H32" s="54" t="s">
        <v>291</v>
      </c>
    </row>
    <row r="33" customFormat="false" ht="15" hidden="false" customHeight="false" outlineLevel="0" collapsed="false">
      <c r="A33" s="16" t="s">
        <v>293</v>
      </c>
      <c r="E33" s="60" t="n">
        <f aca="false">MIN(P5:P28)</f>
        <v>-1699850</v>
      </c>
      <c r="G33" s="59" t="str">
        <f aca="false">INDEX(A5:A28,MATCH(MIN(P5:P28),P5:P28,0))</f>
        <v>2027-04</v>
      </c>
      <c r="H33" s="54" t="s">
        <v>291</v>
      </c>
    </row>
    <row r="34" customFormat="false" ht="15" hidden="false" customHeight="false" outlineLevel="0" collapsed="false">
      <c r="A34" s="16" t="s">
        <v>294</v>
      </c>
      <c r="E34" s="58" t="n">
        <f aca="false">MIN(N7:N28)-ABS(SUM(C5:C28))*0.1</f>
        <v>3699097.4</v>
      </c>
    </row>
    <row r="36" customFormat="false" ht="15" hidden="false" customHeight="false" outlineLevel="0" collapsed="false">
      <c r="A36" s="40" t="s">
        <v>295</v>
      </c>
    </row>
    <row r="37" customFormat="false" ht="15" hidden="false" customHeight="false" outlineLevel="0" collapsed="false">
      <c r="A37" s="40" t="s">
        <v>296</v>
      </c>
    </row>
    <row r="38" customFormat="false" ht="15" hidden="false" customHeight="false" outlineLevel="0" collapsed="false">
      <c r="A38" s="40" t="s">
        <v>297</v>
      </c>
    </row>
    <row r="39" customFormat="false" ht="15" hidden="false" customHeight="false" outlineLevel="0" collapsed="false">
      <c r="A39" s="40" t="s">
        <v>298</v>
      </c>
    </row>
    <row r="40" customFormat="false" ht="15" hidden="false" customHeight="false" outlineLevel="0" collapsed="false">
      <c r="A40" s="40" t="s">
        <v>299</v>
      </c>
    </row>
    <row r="41" customFormat="false" ht="15" hidden="false" customHeight="false" outlineLevel="0" collapsed="false">
      <c r="A41" s="40" t="s">
        <v>300</v>
      </c>
    </row>
    <row r="42" customFormat="false" ht="15" hidden="false" customHeight="false" outlineLevel="0" collapsed="false">
      <c r="A42" s="61" t="s">
        <v>301</v>
      </c>
    </row>
    <row r="43" customFormat="false" ht="15" hidden="false" customHeight="false" outlineLevel="0" collapsed="false">
      <c r="A43" s="61"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8" min="3" style="0" width="14"/>
    <col collapsed="false" customWidth="true" hidden="false" outlineLevel="0" max="9" min="9" style="0" width="16"/>
    <col collapsed="false" customWidth="true" hidden="false" outlineLevel="0" max="11" min="10" style="0" width="13"/>
    <col collapsed="false" customWidth="true" hidden="false" outlineLevel="0" max="12" min="12" style="0" width="14"/>
  </cols>
  <sheetData>
    <row r="1" customFormat="false" ht="17.35" hidden="false" customHeight="false" outlineLevel="0" collapsed="false">
      <c r="A1" s="1" t="s">
        <v>303</v>
      </c>
    </row>
    <row r="2" customFormat="false" ht="15" hidden="false" customHeight="false" outlineLevel="0" collapsed="false">
      <c r="A2" s="2" t="s">
        <v>304</v>
      </c>
    </row>
    <row r="4" customFormat="false" ht="30" hidden="false" customHeight="true" outlineLevel="0" collapsed="false">
      <c r="A4" s="9" t="s">
        <v>47</v>
      </c>
      <c r="B4" s="9" t="s">
        <v>305</v>
      </c>
      <c r="C4" s="9" t="s">
        <v>306</v>
      </c>
      <c r="D4" s="9" t="s">
        <v>307</v>
      </c>
      <c r="E4" s="9" t="s">
        <v>308</v>
      </c>
      <c r="F4" s="9" t="s">
        <v>309</v>
      </c>
      <c r="G4" s="9" t="s">
        <v>310</v>
      </c>
      <c r="H4" s="9" t="s">
        <v>311</v>
      </c>
      <c r="I4" s="9" t="s">
        <v>312</v>
      </c>
    </row>
    <row r="5" customFormat="false" ht="15" hidden="false" customHeight="false" outlineLevel="0" collapsed="false">
      <c r="A5" s="42" t="s">
        <v>313</v>
      </c>
      <c r="B5" s="42" t="s">
        <v>314</v>
      </c>
      <c r="C5" s="11" t="n">
        <f aca="false">SUMIF($A$21:$A$104,$A5,$D$21:$D$104)</f>
        <v>0</v>
      </c>
      <c r="D5" s="11" t="n">
        <f aca="false">SUMIF($A$21:$A$104,$A5,$E$21:$E$104)</f>
        <v>0</v>
      </c>
      <c r="E5" s="11" t="n">
        <f aca="false">SUMIF($H$21:$H$104,$A5,$J$21:$J$104)</f>
        <v>0</v>
      </c>
      <c r="F5" s="11" t="n">
        <f aca="false">SUMIF($H$21:$H$104,$A5,$K$21:$K$104)</f>
        <v>0</v>
      </c>
      <c r="G5" s="11" t="n">
        <f aca="false">D5+F5</f>
        <v>0</v>
      </c>
      <c r="H5" s="11" t="n">
        <f aca="false">C5+E5</f>
        <v>0</v>
      </c>
      <c r="I5" s="11" t="n">
        <f aca="false">①前提条件!$B$48+①前提条件!$B$53</f>
        <v>11804819</v>
      </c>
    </row>
    <row r="6" customFormat="false" ht="15" hidden="false" customHeight="false" outlineLevel="0" collapsed="false">
      <c r="A6" s="42" t="s">
        <v>315</v>
      </c>
      <c r="B6" s="48" t="s">
        <v>316</v>
      </c>
      <c r="C6" s="11" t="n">
        <f aca="false">SUMIF($A$21:$A$104,$A6,$D$21:$D$104)</f>
        <v>358976</v>
      </c>
      <c r="D6" s="11" t="n">
        <f aca="false">SUMIF($A$21:$A$104,$A6,$E$21:$E$104)</f>
        <v>144708</v>
      </c>
      <c r="E6" s="11" t="n">
        <f aca="false">SUMIF($H$21:$H$104,$A6,$J$21:$J$104)</f>
        <v>1297296</v>
      </c>
      <c r="F6" s="11" t="n">
        <f aca="false">SUMIF($H$21:$H$104,$A6,$K$21:$K$104)</f>
        <v>84204</v>
      </c>
      <c r="G6" s="11" t="n">
        <f aca="false">D6+F6</f>
        <v>228912</v>
      </c>
      <c r="H6" s="11" t="n">
        <f aca="false">C6+E6</f>
        <v>1656272</v>
      </c>
      <c r="I6" s="11" t="n">
        <f aca="false">I5-C6-E6</f>
        <v>10148547</v>
      </c>
    </row>
    <row r="7" customFormat="false" ht="15" hidden="false" customHeight="false" outlineLevel="0" collapsed="false">
      <c r="A7" s="42" t="s">
        <v>317</v>
      </c>
      <c r="B7" s="48" t="s">
        <v>318</v>
      </c>
      <c r="C7" s="11" t="n">
        <f aca="false">SUMIF($A$21:$A$104,$A7,$D$21:$D$104)</f>
        <v>1076928</v>
      </c>
      <c r="D7" s="11" t="n">
        <f aca="false">SUMIF($A$21:$A$104,$A7,$E$21:$E$104)</f>
        <v>153689</v>
      </c>
      <c r="E7" s="11" t="n">
        <f aca="false">SUMIF($H$21:$H$104,$A7,$J$21:$J$104)</f>
        <v>1297296</v>
      </c>
      <c r="F7" s="11" t="n">
        <f aca="false">SUMIF($H$21:$H$104,$A7,$K$21:$K$104)</f>
        <v>58259</v>
      </c>
      <c r="G7" s="11" t="n">
        <f aca="false">D7+F7</f>
        <v>211948</v>
      </c>
      <c r="H7" s="11" t="n">
        <f aca="false">C7+E7</f>
        <v>2374224</v>
      </c>
      <c r="I7" s="11" t="n">
        <f aca="false">I6-C7-E7</f>
        <v>7774323</v>
      </c>
    </row>
    <row r="8" customFormat="false" ht="15" hidden="false" customHeight="false" outlineLevel="0" collapsed="false">
      <c r="A8" s="42" t="s">
        <v>319</v>
      </c>
      <c r="B8" s="48" t="s">
        <v>320</v>
      </c>
      <c r="C8" s="11" t="n">
        <f aca="false">SUMIF($A$21:$A$104,$A8,$D$21:$D$104)</f>
        <v>1076928</v>
      </c>
      <c r="D8" s="11" t="n">
        <f aca="false">SUMIF($A$21:$A$104,$A8,$E$21:$E$104)</f>
        <v>126762</v>
      </c>
      <c r="E8" s="11" t="n">
        <f aca="false">SUMIF($H$21:$H$104,$A8,$J$21:$J$104)</f>
        <v>1297296</v>
      </c>
      <c r="F8" s="11" t="n">
        <f aca="false">SUMIF($H$21:$H$104,$A8,$K$21:$K$104)</f>
        <v>32313</v>
      </c>
      <c r="G8" s="11" t="n">
        <f aca="false">D8+F8</f>
        <v>159075</v>
      </c>
      <c r="H8" s="11" t="n">
        <f aca="false">C8+E8</f>
        <v>2374224</v>
      </c>
      <c r="I8" s="11" t="n">
        <f aca="false">I7-C8-E8</f>
        <v>5400099</v>
      </c>
    </row>
    <row r="9" customFormat="false" ht="15" hidden="false" customHeight="false" outlineLevel="0" collapsed="false">
      <c r="A9" s="42" t="s">
        <v>321</v>
      </c>
      <c r="B9" s="48" t="s">
        <v>322</v>
      </c>
      <c r="C9" s="11" t="n">
        <f aca="false">SUMIF($A$21:$A$104,$A9,$D$21:$D$104)</f>
        <v>1076928</v>
      </c>
      <c r="D9" s="11" t="n">
        <f aca="false">SUMIF($A$21:$A$104,$A9,$E$21:$E$104)</f>
        <v>99839</v>
      </c>
      <c r="E9" s="11" t="n">
        <f aca="false">SUMIF($H$21:$H$104,$A9,$J$21:$J$104)</f>
        <v>912931</v>
      </c>
      <c r="F9" s="11" t="n">
        <f aca="false">SUMIF($H$21:$H$104,$A9,$K$21:$K$104)</f>
        <v>7207</v>
      </c>
      <c r="G9" s="11" t="n">
        <f aca="false">D9+F9</f>
        <v>107046</v>
      </c>
      <c r="H9" s="11" t="n">
        <f aca="false">C9+E9</f>
        <v>1989859</v>
      </c>
      <c r="I9" s="11" t="n">
        <f aca="false">I8-C9-E9</f>
        <v>3410240</v>
      </c>
    </row>
    <row r="10" customFormat="false" ht="15" hidden="false" customHeight="false" outlineLevel="0" collapsed="false">
      <c r="A10" s="42" t="s">
        <v>323</v>
      </c>
      <c r="B10" s="48" t="s">
        <v>324</v>
      </c>
      <c r="C10" s="11" t="n">
        <f aca="false">SUMIF($A$21:$A$104,$A10,$D$21:$D$104)</f>
        <v>1076928</v>
      </c>
      <c r="D10" s="11" t="n">
        <f aca="false">SUMIF($A$21:$A$104,$A10,$E$21:$E$104)</f>
        <v>72918</v>
      </c>
      <c r="E10" s="11" t="n">
        <f aca="false">SUMIF($H$21:$H$104,$A10,$J$21:$J$104)</f>
        <v>0</v>
      </c>
      <c r="F10" s="11" t="n">
        <f aca="false">SUMIF($H$21:$H$104,$A10,$K$21:$K$104)</f>
        <v>0</v>
      </c>
      <c r="G10" s="11" t="n">
        <f aca="false">D10+F10</f>
        <v>72918</v>
      </c>
      <c r="H10" s="11" t="n">
        <f aca="false">C10+E10</f>
        <v>1076928</v>
      </c>
      <c r="I10" s="11" t="n">
        <f aca="false">I9-C10-E10</f>
        <v>2333312</v>
      </c>
    </row>
    <row r="13" customFormat="false" ht="15" hidden="false" customHeight="false" outlineLevel="0" collapsed="false">
      <c r="A13" s="4" t="s">
        <v>325</v>
      </c>
    </row>
    <row r="14" customFormat="false" ht="15" hidden="false" customHeight="false" outlineLevel="0" collapsed="false">
      <c r="A14" s="54" t="s">
        <v>326</v>
      </c>
    </row>
    <row r="15" customFormat="false" ht="15" hidden="false" customHeight="false" outlineLevel="0" collapsed="false">
      <c r="A15" s="54" t="s">
        <v>327</v>
      </c>
    </row>
    <row r="16" customFormat="false" ht="15" hidden="false" customHeight="false" outlineLevel="0" collapsed="false">
      <c r="A16" s="54" t="s">
        <v>328</v>
      </c>
    </row>
    <row r="19" customFormat="false" ht="15" hidden="false" customHeight="false" outlineLevel="0" collapsed="false">
      <c r="A19" s="4" t="s">
        <v>329</v>
      </c>
    </row>
    <row r="20" customFormat="false" ht="15" hidden="false" customHeight="false" outlineLevel="0" collapsed="false">
      <c r="A20" s="62" t="s">
        <v>47</v>
      </c>
      <c r="B20" s="62" t="s">
        <v>128</v>
      </c>
      <c r="C20" s="62" t="s">
        <v>330</v>
      </c>
      <c r="D20" s="62" t="s">
        <v>331</v>
      </c>
      <c r="E20" s="62" t="s">
        <v>332</v>
      </c>
      <c r="F20" s="62" t="s">
        <v>287</v>
      </c>
      <c r="G20" s="62"/>
      <c r="H20" s="62" t="s">
        <v>47</v>
      </c>
      <c r="I20" s="62" t="s">
        <v>128</v>
      </c>
      <c r="J20" s="62" t="s">
        <v>333</v>
      </c>
      <c r="K20" s="62" t="s">
        <v>332</v>
      </c>
      <c r="L20" s="63" t="s">
        <v>334</v>
      </c>
    </row>
    <row r="21" customFormat="false" ht="15" hidden="false" customHeight="false" outlineLevel="0" collapsed="false">
      <c r="A21" s="64" t="s">
        <v>335</v>
      </c>
      <c r="B21" s="64" t="n">
        <v>1</v>
      </c>
      <c r="C21" s="65" t="n">
        <v>46331</v>
      </c>
      <c r="D21" s="66" t="n">
        <f aca="false">IF(1&lt;=①前提条件!$B$51,0,MIN(①前提条件!$B$48,ROUND(①前提条件!$B$48/(①前提条件!$B$50-①前提条件!$B$51),0)))</f>
        <v>0</v>
      </c>
      <c r="E21" s="66" t="n">
        <f aca="false">ROUND(①前提条件!$B$48*①前提条件!$B$49/12,0)</f>
        <v>14583</v>
      </c>
      <c r="F21" s="66" t="n">
        <f aca="false">①前提条件!$B$48-D21</f>
        <v>7000000</v>
      </c>
      <c r="H21" s="64" t="s">
        <v>335</v>
      </c>
      <c r="I21" s="64" t="n">
        <v>1</v>
      </c>
      <c r="J21" s="66" t="n">
        <f aca="false">MIN(①前提条件!$B$53,①前提条件!$B$54)</f>
        <v>108108</v>
      </c>
      <c r="K21" s="66" t="n">
        <f aca="false">ROUND(①前提条件!$B$53*0.02/12,0)</f>
        <v>8008</v>
      </c>
      <c r="L21" s="66" t="n">
        <f aca="false">①前提条件!$B$53-J21</f>
        <v>4696711</v>
      </c>
    </row>
    <row r="22" customFormat="false" ht="15" hidden="false" customHeight="false" outlineLevel="0" collapsed="false">
      <c r="A22" s="64" t="s">
        <v>335</v>
      </c>
      <c r="B22" s="64" t="n">
        <v>2</v>
      </c>
      <c r="C22" s="65" t="n">
        <v>46361</v>
      </c>
      <c r="D22" s="66" t="n">
        <f aca="false">IF(2&lt;=①前提条件!$B$51,0,MIN(F21,ROUND(①前提条件!$B$48/(①前提条件!$B$50-①前提条件!$B$51),0)))</f>
        <v>0</v>
      </c>
      <c r="E22" s="66" t="n">
        <f aca="false">ROUND(F21*①前提条件!$B$49/12,0)</f>
        <v>14583</v>
      </c>
      <c r="F22" s="66" t="n">
        <f aca="false">F21-D22</f>
        <v>7000000</v>
      </c>
      <c r="H22" s="64" t="s">
        <v>335</v>
      </c>
      <c r="I22" s="64" t="n">
        <v>2</v>
      </c>
      <c r="J22" s="66" t="n">
        <f aca="false">MIN(L21,①前提条件!$B$54)</f>
        <v>108108</v>
      </c>
      <c r="K22" s="66" t="n">
        <f aca="false">ROUND(L21*0.02/12,0)</f>
        <v>7828</v>
      </c>
      <c r="L22" s="66" t="n">
        <f aca="false">L21-J22</f>
        <v>4588603</v>
      </c>
    </row>
    <row r="23" customFormat="false" ht="15" hidden="false" customHeight="false" outlineLevel="0" collapsed="false">
      <c r="A23" s="64" t="s">
        <v>335</v>
      </c>
      <c r="B23" s="64" t="n">
        <v>3</v>
      </c>
      <c r="C23" s="65" t="n">
        <v>46392</v>
      </c>
      <c r="D23" s="66" t="n">
        <f aca="false">IF(3&lt;=①前提条件!$B$51,0,MIN(F22,ROUND(①前提条件!$B$48/(①前提条件!$B$50-①前提条件!$B$51),0)))</f>
        <v>0</v>
      </c>
      <c r="E23" s="66" t="n">
        <f aca="false">ROUND(F22*①前提条件!$B$49/12,0)</f>
        <v>14583</v>
      </c>
      <c r="F23" s="66" t="n">
        <f aca="false">F22-D23</f>
        <v>7000000</v>
      </c>
      <c r="H23" s="64" t="s">
        <v>335</v>
      </c>
      <c r="I23" s="64" t="n">
        <v>3</v>
      </c>
      <c r="J23" s="66" t="n">
        <f aca="false">MIN(L22,①前提条件!$B$54)</f>
        <v>108108</v>
      </c>
      <c r="K23" s="66" t="n">
        <f aca="false">ROUND(L22*0.02/12,0)</f>
        <v>7648</v>
      </c>
      <c r="L23" s="66" t="n">
        <f aca="false">L22-J23</f>
        <v>4480495</v>
      </c>
    </row>
    <row r="24" customFormat="false" ht="15" hidden="false" customHeight="false" outlineLevel="0" collapsed="false">
      <c r="A24" s="64" t="s">
        <v>335</v>
      </c>
      <c r="B24" s="64" t="n">
        <v>4</v>
      </c>
      <c r="C24" s="65" t="n">
        <v>46423</v>
      </c>
      <c r="D24" s="66" t="n">
        <f aca="false">IF(4&lt;=①前提条件!$B$51,0,MIN(F23,ROUND(①前提条件!$B$48/(①前提条件!$B$50-①前提条件!$B$51),0)))</f>
        <v>0</v>
      </c>
      <c r="E24" s="66" t="n">
        <f aca="false">ROUND(F23*①前提条件!$B$49/12,0)</f>
        <v>14583</v>
      </c>
      <c r="F24" s="66" t="n">
        <f aca="false">F23-D24</f>
        <v>7000000</v>
      </c>
      <c r="H24" s="64" t="s">
        <v>335</v>
      </c>
      <c r="I24" s="64" t="n">
        <v>4</v>
      </c>
      <c r="J24" s="66" t="n">
        <f aca="false">MIN(L23,①前提条件!$B$54)</f>
        <v>108108</v>
      </c>
      <c r="K24" s="66" t="n">
        <f aca="false">ROUND(L23*0.02/12,0)</f>
        <v>7467</v>
      </c>
      <c r="L24" s="66" t="n">
        <f aca="false">L23-J24</f>
        <v>4372387</v>
      </c>
    </row>
    <row r="25" customFormat="false" ht="15" hidden="false" customHeight="false" outlineLevel="0" collapsed="false">
      <c r="A25" s="64" t="s">
        <v>335</v>
      </c>
      <c r="B25" s="64" t="n">
        <v>5</v>
      </c>
      <c r="C25" s="65" t="n">
        <v>46451</v>
      </c>
      <c r="D25" s="66" t="n">
        <f aca="false">IF(5&lt;=①前提条件!$B$51,0,MIN(F24,ROUND(①前提条件!$B$48/(①前提条件!$B$50-①前提条件!$B$51),0)))</f>
        <v>0</v>
      </c>
      <c r="E25" s="66" t="n">
        <f aca="false">ROUND(F24*①前提条件!$B$49/12,0)</f>
        <v>14583</v>
      </c>
      <c r="F25" s="66" t="n">
        <f aca="false">F24-D25</f>
        <v>7000000</v>
      </c>
      <c r="H25" s="64" t="s">
        <v>335</v>
      </c>
      <c r="I25" s="64" t="n">
        <v>5</v>
      </c>
      <c r="J25" s="66" t="n">
        <f aca="false">MIN(L24,①前提条件!$B$54)</f>
        <v>108108</v>
      </c>
      <c r="K25" s="66" t="n">
        <f aca="false">ROUND(L24*0.02/12,0)</f>
        <v>7287</v>
      </c>
      <c r="L25" s="66" t="n">
        <f aca="false">L24-J25</f>
        <v>4264279</v>
      </c>
    </row>
    <row r="26" customFormat="false" ht="15" hidden="false" customHeight="false" outlineLevel="0" collapsed="false">
      <c r="A26" s="64" t="s">
        <v>335</v>
      </c>
      <c r="B26" s="64" t="n">
        <v>6</v>
      </c>
      <c r="C26" s="65" t="n">
        <v>46482</v>
      </c>
      <c r="D26" s="66" t="n">
        <f aca="false">IF(6&lt;=①前提条件!$B$51,0,MIN(F25,ROUND(①前提条件!$B$48/(①前提条件!$B$50-①前提条件!$B$51),0)))</f>
        <v>0</v>
      </c>
      <c r="E26" s="66" t="n">
        <f aca="false">ROUND(F25*①前提条件!$B$49/12,0)</f>
        <v>14583</v>
      </c>
      <c r="F26" s="66" t="n">
        <f aca="false">F25-D26</f>
        <v>7000000</v>
      </c>
      <c r="H26" s="64" t="s">
        <v>335</v>
      </c>
      <c r="I26" s="64" t="n">
        <v>6</v>
      </c>
      <c r="J26" s="66" t="n">
        <f aca="false">MIN(L25,①前提条件!$B$54)</f>
        <v>108108</v>
      </c>
      <c r="K26" s="66" t="n">
        <f aca="false">ROUND(L25*0.02/12,0)</f>
        <v>7107</v>
      </c>
      <c r="L26" s="66" t="n">
        <f aca="false">L25-J26</f>
        <v>4156171</v>
      </c>
    </row>
    <row r="27" customFormat="false" ht="15" hidden="false" customHeight="false" outlineLevel="0" collapsed="false">
      <c r="A27" s="64" t="s">
        <v>335</v>
      </c>
      <c r="B27" s="64" t="n">
        <v>7</v>
      </c>
      <c r="C27" s="65" t="n">
        <v>46512</v>
      </c>
      <c r="D27" s="66" t="n">
        <f aca="false">IF(7&lt;=①前提条件!$B$51,0,MIN(F26,ROUND(①前提条件!$B$48/(①前提条件!$B$50-①前提条件!$B$51),0)))</f>
        <v>89744</v>
      </c>
      <c r="E27" s="66" t="n">
        <f aca="false">ROUND(F26*①前提条件!$B$49/12,0)</f>
        <v>14583</v>
      </c>
      <c r="F27" s="66" t="n">
        <f aca="false">F26-D27</f>
        <v>6910256</v>
      </c>
      <c r="H27" s="64" t="s">
        <v>335</v>
      </c>
      <c r="I27" s="64" t="n">
        <v>7</v>
      </c>
      <c r="J27" s="66" t="n">
        <f aca="false">MIN(L26,①前提条件!$B$54)</f>
        <v>108108</v>
      </c>
      <c r="K27" s="66" t="n">
        <f aca="false">ROUND(L26*0.02/12,0)</f>
        <v>6927</v>
      </c>
      <c r="L27" s="66" t="n">
        <f aca="false">L26-J27</f>
        <v>4048063</v>
      </c>
    </row>
    <row r="28" customFormat="false" ht="15" hidden="false" customHeight="false" outlineLevel="0" collapsed="false">
      <c r="A28" s="64" t="s">
        <v>335</v>
      </c>
      <c r="B28" s="64" t="n">
        <v>8</v>
      </c>
      <c r="C28" s="65" t="n">
        <v>46543</v>
      </c>
      <c r="D28" s="66" t="n">
        <f aca="false">IF(8&lt;=①前提条件!$B$51,0,MIN(F27,ROUND(①前提条件!$B$48/(①前提条件!$B$50-①前提条件!$B$51),0)))</f>
        <v>89744</v>
      </c>
      <c r="E28" s="66" t="n">
        <f aca="false">ROUND(F27*①前提条件!$B$49/12,0)</f>
        <v>14396</v>
      </c>
      <c r="F28" s="66" t="n">
        <f aca="false">F27-D28</f>
        <v>6820512</v>
      </c>
      <c r="H28" s="64" t="s">
        <v>335</v>
      </c>
      <c r="I28" s="64" t="n">
        <v>8</v>
      </c>
      <c r="J28" s="66" t="n">
        <f aca="false">MIN(L27,①前提条件!$B$54)</f>
        <v>108108</v>
      </c>
      <c r="K28" s="66" t="n">
        <f aca="false">ROUND(L27*0.02/12,0)</f>
        <v>6747</v>
      </c>
      <c r="L28" s="66" t="n">
        <f aca="false">L27-J28</f>
        <v>3939955</v>
      </c>
    </row>
    <row r="29" customFormat="false" ht="15" hidden="false" customHeight="false" outlineLevel="0" collapsed="false">
      <c r="A29" s="64" t="s">
        <v>335</v>
      </c>
      <c r="B29" s="64" t="n">
        <v>9</v>
      </c>
      <c r="C29" s="65" t="n">
        <v>46573</v>
      </c>
      <c r="D29" s="66" t="n">
        <f aca="false">IF(9&lt;=①前提条件!$B$51,0,MIN(F28,ROUND(①前提条件!$B$48/(①前提条件!$B$50-①前提条件!$B$51),0)))</f>
        <v>89744</v>
      </c>
      <c r="E29" s="66" t="n">
        <f aca="false">ROUND(F28*①前提条件!$B$49/12,0)</f>
        <v>14209</v>
      </c>
      <c r="F29" s="66" t="n">
        <f aca="false">F28-D29</f>
        <v>6730768</v>
      </c>
      <c r="H29" s="64" t="s">
        <v>335</v>
      </c>
      <c r="I29" s="64" t="n">
        <v>9</v>
      </c>
      <c r="J29" s="66" t="n">
        <f aca="false">MIN(L28,①前提条件!$B$54)</f>
        <v>108108</v>
      </c>
      <c r="K29" s="66" t="n">
        <f aca="false">ROUND(L28*0.02/12,0)</f>
        <v>6567</v>
      </c>
      <c r="L29" s="66" t="n">
        <f aca="false">L28-J29</f>
        <v>3831847</v>
      </c>
    </row>
    <row r="30" customFormat="false" ht="15" hidden="false" customHeight="false" outlineLevel="0" collapsed="false">
      <c r="A30" s="64" t="s">
        <v>335</v>
      </c>
      <c r="B30" s="64" t="n">
        <v>10</v>
      </c>
      <c r="C30" s="65" t="n">
        <v>46604</v>
      </c>
      <c r="D30" s="66" t="n">
        <f aca="false">IF(10&lt;=①前提条件!$B$51,0,MIN(F29,ROUND(①前提条件!$B$48/(①前提条件!$B$50-①前提条件!$B$51),0)))</f>
        <v>89744</v>
      </c>
      <c r="E30" s="66" t="n">
        <f aca="false">ROUND(F29*①前提条件!$B$49/12,0)</f>
        <v>14022</v>
      </c>
      <c r="F30" s="66" t="n">
        <f aca="false">F29-D30</f>
        <v>6641024</v>
      </c>
      <c r="H30" s="64" t="s">
        <v>335</v>
      </c>
      <c r="I30" s="64" t="n">
        <v>10</v>
      </c>
      <c r="J30" s="66" t="n">
        <f aca="false">MIN(L29,①前提条件!$B$54)</f>
        <v>108108</v>
      </c>
      <c r="K30" s="66" t="n">
        <f aca="false">ROUND(L29*0.02/12,0)</f>
        <v>6386</v>
      </c>
      <c r="L30" s="66" t="n">
        <f aca="false">L29-J30</f>
        <v>3723739</v>
      </c>
    </row>
    <row r="31" customFormat="false" ht="15" hidden="false" customHeight="false" outlineLevel="0" collapsed="false">
      <c r="A31" s="64" t="s">
        <v>336</v>
      </c>
      <c r="B31" s="64" t="n">
        <v>11</v>
      </c>
      <c r="C31" s="65" t="n">
        <v>46635</v>
      </c>
      <c r="D31" s="66" t="n">
        <f aca="false">IF(11&lt;=①前提条件!$B$51,0,MIN(F30,ROUND(①前提条件!$B$48/(①前提条件!$B$50-①前提条件!$B$51),0)))</f>
        <v>89744</v>
      </c>
      <c r="E31" s="66" t="n">
        <f aca="false">ROUND(F30*①前提条件!$B$49/12,0)</f>
        <v>13835</v>
      </c>
      <c r="F31" s="66" t="n">
        <f aca="false">F30-D31</f>
        <v>6551280</v>
      </c>
      <c r="H31" s="64" t="s">
        <v>335</v>
      </c>
      <c r="I31" s="64" t="n">
        <v>11</v>
      </c>
      <c r="J31" s="66" t="n">
        <f aca="false">MIN(L30,①前提条件!$B$54)</f>
        <v>108108</v>
      </c>
      <c r="K31" s="66" t="n">
        <f aca="false">ROUND(L30*0.02/12,0)</f>
        <v>6206</v>
      </c>
      <c r="L31" s="66" t="n">
        <f aca="false">L30-J31</f>
        <v>3615631</v>
      </c>
    </row>
    <row r="32" customFormat="false" ht="15" hidden="false" customHeight="false" outlineLevel="0" collapsed="false">
      <c r="A32" s="64" t="s">
        <v>336</v>
      </c>
      <c r="B32" s="64" t="n">
        <v>12</v>
      </c>
      <c r="C32" s="65" t="n">
        <v>46665</v>
      </c>
      <c r="D32" s="66" t="n">
        <f aca="false">IF(12&lt;=①前提条件!$B$51,0,MIN(F31,ROUND(①前提条件!$B$48/(①前提条件!$B$50-①前提条件!$B$51),0)))</f>
        <v>89744</v>
      </c>
      <c r="E32" s="66" t="n">
        <f aca="false">ROUND(F31*①前提条件!$B$49/12,0)</f>
        <v>13649</v>
      </c>
      <c r="F32" s="66" t="n">
        <f aca="false">F31-D32</f>
        <v>6461536</v>
      </c>
      <c r="H32" s="64" t="s">
        <v>335</v>
      </c>
      <c r="I32" s="64" t="n">
        <v>12</v>
      </c>
      <c r="J32" s="66" t="n">
        <f aca="false">MIN(L31,①前提条件!$B$54)</f>
        <v>108108</v>
      </c>
      <c r="K32" s="66" t="n">
        <f aca="false">ROUND(L31*0.02/12,0)</f>
        <v>6026</v>
      </c>
      <c r="L32" s="66" t="n">
        <f aca="false">L31-J32</f>
        <v>3507523</v>
      </c>
    </row>
    <row r="33" customFormat="false" ht="15" hidden="false" customHeight="false" outlineLevel="0" collapsed="false">
      <c r="A33" s="64" t="s">
        <v>336</v>
      </c>
      <c r="B33" s="64" t="n">
        <v>13</v>
      </c>
      <c r="C33" s="65" t="n">
        <v>46696</v>
      </c>
      <c r="D33" s="66" t="n">
        <f aca="false">IF(13&lt;=①前提条件!$B$51,0,MIN(F32,ROUND(①前提条件!$B$48/(①前提条件!$B$50-①前提条件!$B$51),0)))</f>
        <v>89744</v>
      </c>
      <c r="E33" s="66" t="n">
        <f aca="false">ROUND(F32*①前提条件!$B$49/12,0)</f>
        <v>13462</v>
      </c>
      <c r="F33" s="66" t="n">
        <f aca="false">F32-D33</f>
        <v>6371792</v>
      </c>
      <c r="H33" s="64" t="s">
        <v>336</v>
      </c>
      <c r="I33" s="64" t="n">
        <v>13</v>
      </c>
      <c r="J33" s="66" t="n">
        <f aca="false">MIN(L32,①前提条件!$B$54)</f>
        <v>108108</v>
      </c>
      <c r="K33" s="66" t="n">
        <f aca="false">ROUND(L32*0.02/12,0)</f>
        <v>5846</v>
      </c>
      <c r="L33" s="66" t="n">
        <f aca="false">L32-J33</f>
        <v>3399415</v>
      </c>
    </row>
    <row r="34" customFormat="false" ht="15" hidden="false" customHeight="false" outlineLevel="0" collapsed="false">
      <c r="A34" s="64" t="s">
        <v>336</v>
      </c>
      <c r="B34" s="64" t="n">
        <v>14</v>
      </c>
      <c r="C34" s="65" t="n">
        <v>46726</v>
      </c>
      <c r="D34" s="66" t="n">
        <f aca="false">IF(14&lt;=①前提条件!$B$51,0,MIN(F33,ROUND(①前提条件!$B$48/(①前提条件!$B$50-①前提条件!$B$51),0)))</f>
        <v>89744</v>
      </c>
      <c r="E34" s="66" t="n">
        <f aca="false">ROUND(F33*①前提条件!$B$49/12,0)</f>
        <v>13275</v>
      </c>
      <c r="F34" s="66" t="n">
        <f aca="false">F33-D34</f>
        <v>6282048</v>
      </c>
      <c r="H34" s="64" t="s">
        <v>336</v>
      </c>
      <c r="I34" s="64" t="n">
        <v>14</v>
      </c>
      <c r="J34" s="66" t="n">
        <f aca="false">MIN(L33,①前提条件!$B$54)</f>
        <v>108108</v>
      </c>
      <c r="K34" s="66" t="n">
        <f aca="false">ROUND(L33*0.02/12,0)</f>
        <v>5666</v>
      </c>
      <c r="L34" s="66" t="n">
        <f aca="false">L33-J34</f>
        <v>3291307</v>
      </c>
    </row>
    <row r="35" customFormat="false" ht="15" hidden="false" customHeight="false" outlineLevel="0" collapsed="false">
      <c r="A35" s="64" t="s">
        <v>336</v>
      </c>
      <c r="B35" s="64" t="n">
        <v>15</v>
      </c>
      <c r="C35" s="65" t="n">
        <v>46757</v>
      </c>
      <c r="D35" s="66" t="n">
        <f aca="false">IF(15&lt;=①前提条件!$B$51,0,MIN(F34,ROUND(①前提条件!$B$48/(①前提条件!$B$50-①前提条件!$B$51),0)))</f>
        <v>89744</v>
      </c>
      <c r="E35" s="66" t="n">
        <f aca="false">ROUND(F34*①前提条件!$B$49/12,0)</f>
        <v>13088</v>
      </c>
      <c r="F35" s="66" t="n">
        <f aca="false">F34-D35</f>
        <v>6192304</v>
      </c>
      <c r="H35" s="64" t="s">
        <v>336</v>
      </c>
      <c r="I35" s="64" t="n">
        <v>15</v>
      </c>
      <c r="J35" s="66" t="n">
        <f aca="false">MIN(L34,①前提条件!$B$54)</f>
        <v>108108</v>
      </c>
      <c r="K35" s="66" t="n">
        <f aca="false">ROUND(L34*0.02/12,0)</f>
        <v>5486</v>
      </c>
      <c r="L35" s="66" t="n">
        <f aca="false">L34-J35</f>
        <v>3183199</v>
      </c>
    </row>
    <row r="36" customFormat="false" ht="15" hidden="false" customHeight="false" outlineLevel="0" collapsed="false">
      <c r="A36" s="64" t="s">
        <v>336</v>
      </c>
      <c r="B36" s="64" t="n">
        <v>16</v>
      </c>
      <c r="C36" s="65" t="n">
        <v>46788</v>
      </c>
      <c r="D36" s="66" t="n">
        <f aca="false">IF(16&lt;=①前提条件!$B$51,0,MIN(F35,ROUND(①前提条件!$B$48/(①前提条件!$B$50-①前提条件!$B$51),0)))</f>
        <v>89744</v>
      </c>
      <c r="E36" s="66" t="n">
        <f aca="false">ROUND(F35*①前提条件!$B$49/12,0)</f>
        <v>12901</v>
      </c>
      <c r="F36" s="66" t="n">
        <f aca="false">F35-D36</f>
        <v>6102560</v>
      </c>
      <c r="H36" s="64" t="s">
        <v>336</v>
      </c>
      <c r="I36" s="64" t="n">
        <v>16</v>
      </c>
      <c r="J36" s="66" t="n">
        <f aca="false">MIN(L35,①前提条件!$B$54)</f>
        <v>108108</v>
      </c>
      <c r="K36" s="66" t="n">
        <f aca="false">ROUND(L35*0.02/12,0)</f>
        <v>5305</v>
      </c>
      <c r="L36" s="66" t="n">
        <f aca="false">L35-J36</f>
        <v>3075091</v>
      </c>
    </row>
    <row r="37" customFormat="false" ht="15" hidden="false" customHeight="false" outlineLevel="0" collapsed="false">
      <c r="A37" s="64" t="s">
        <v>336</v>
      </c>
      <c r="B37" s="64" t="n">
        <v>17</v>
      </c>
      <c r="C37" s="65" t="n">
        <v>46817</v>
      </c>
      <c r="D37" s="66" t="n">
        <f aca="false">IF(17&lt;=①前提条件!$B$51,0,MIN(F36,ROUND(①前提条件!$B$48/(①前提条件!$B$50-①前提条件!$B$51),0)))</f>
        <v>89744</v>
      </c>
      <c r="E37" s="66" t="n">
        <f aca="false">ROUND(F36*①前提条件!$B$49/12,0)</f>
        <v>12714</v>
      </c>
      <c r="F37" s="66" t="n">
        <f aca="false">F36-D37</f>
        <v>6012816</v>
      </c>
      <c r="H37" s="64" t="s">
        <v>336</v>
      </c>
      <c r="I37" s="64" t="n">
        <v>17</v>
      </c>
      <c r="J37" s="66" t="n">
        <f aca="false">MIN(L36,①前提条件!$B$54)</f>
        <v>108108</v>
      </c>
      <c r="K37" s="66" t="n">
        <f aca="false">ROUND(L36*0.02/12,0)</f>
        <v>5125</v>
      </c>
      <c r="L37" s="66" t="n">
        <f aca="false">L36-J37</f>
        <v>2966983</v>
      </c>
    </row>
    <row r="38" customFormat="false" ht="15" hidden="false" customHeight="false" outlineLevel="0" collapsed="false">
      <c r="A38" s="64" t="s">
        <v>336</v>
      </c>
      <c r="B38" s="64" t="n">
        <v>18</v>
      </c>
      <c r="C38" s="65" t="n">
        <v>46848</v>
      </c>
      <c r="D38" s="66" t="n">
        <f aca="false">IF(18&lt;=①前提条件!$B$51,0,MIN(F37,ROUND(①前提条件!$B$48/(①前提条件!$B$50-①前提条件!$B$51),0)))</f>
        <v>89744</v>
      </c>
      <c r="E38" s="66" t="n">
        <f aca="false">ROUND(F37*①前提条件!$B$49/12,0)</f>
        <v>12527</v>
      </c>
      <c r="F38" s="66" t="n">
        <f aca="false">F37-D38</f>
        <v>5923072</v>
      </c>
      <c r="H38" s="64" t="s">
        <v>336</v>
      </c>
      <c r="I38" s="64" t="n">
        <v>18</v>
      </c>
      <c r="J38" s="66" t="n">
        <f aca="false">MIN(L37,①前提条件!$B$54)</f>
        <v>108108</v>
      </c>
      <c r="K38" s="66" t="n">
        <f aca="false">ROUND(L37*0.02/12,0)</f>
        <v>4945</v>
      </c>
      <c r="L38" s="66" t="n">
        <f aca="false">L37-J38</f>
        <v>2858875</v>
      </c>
    </row>
    <row r="39" customFormat="false" ht="15" hidden="false" customHeight="false" outlineLevel="0" collapsed="false">
      <c r="A39" s="64" t="s">
        <v>336</v>
      </c>
      <c r="B39" s="64" t="n">
        <v>19</v>
      </c>
      <c r="C39" s="65" t="n">
        <v>46878</v>
      </c>
      <c r="D39" s="66" t="n">
        <f aca="false">IF(19&lt;=①前提条件!$B$51,0,MIN(F38,ROUND(①前提条件!$B$48/(①前提条件!$B$50-①前提条件!$B$51),0)))</f>
        <v>89744</v>
      </c>
      <c r="E39" s="66" t="n">
        <f aca="false">ROUND(F38*①前提条件!$B$49/12,0)</f>
        <v>12340</v>
      </c>
      <c r="F39" s="66" t="n">
        <f aca="false">F38-D39</f>
        <v>5833328</v>
      </c>
      <c r="H39" s="64" t="s">
        <v>336</v>
      </c>
      <c r="I39" s="64" t="n">
        <v>19</v>
      </c>
      <c r="J39" s="66" t="n">
        <f aca="false">MIN(L38,①前提条件!$B$54)</f>
        <v>108108</v>
      </c>
      <c r="K39" s="66" t="n">
        <f aca="false">ROUND(L38*0.02/12,0)</f>
        <v>4765</v>
      </c>
      <c r="L39" s="66" t="n">
        <f aca="false">L38-J39</f>
        <v>2750767</v>
      </c>
    </row>
    <row r="40" customFormat="false" ht="15" hidden="false" customHeight="false" outlineLevel="0" collapsed="false">
      <c r="A40" s="64" t="s">
        <v>336</v>
      </c>
      <c r="B40" s="64" t="n">
        <v>20</v>
      </c>
      <c r="C40" s="65" t="n">
        <v>46909</v>
      </c>
      <c r="D40" s="66" t="n">
        <f aca="false">IF(20&lt;=①前提条件!$B$51,0,MIN(F39,ROUND(①前提条件!$B$48/(①前提条件!$B$50-①前提条件!$B$51),0)))</f>
        <v>89744</v>
      </c>
      <c r="E40" s="66" t="n">
        <f aca="false">ROUND(F39*①前提条件!$B$49/12,0)</f>
        <v>12153</v>
      </c>
      <c r="F40" s="66" t="n">
        <f aca="false">F39-D40</f>
        <v>5743584</v>
      </c>
      <c r="H40" s="64" t="s">
        <v>336</v>
      </c>
      <c r="I40" s="64" t="n">
        <v>20</v>
      </c>
      <c r="J40" s="66" t="n">
        <f aca="false">MIN(L39,①前提条件!$B$54)</f>
        <v>108108</v>
      </c>
      <c r="K40" s="66" t="n">
        <f aca="false">ROUND(L39*0.02/12,0)</f>
        <v>4585</v>
      </c>
      <c r="L40" s="66" t="n">
        <f aca="false">L39-J40</f>
        <v>2642659</v>
      </c>
    </row>
    <row r="41" customFormat="false" ht="15" hidden="false" customHeight="false" outlineLevel="0" collapsed="false">
      <c r="A41" s="64" t="s">
        <v>336</v>
      </c>
      <c r="B41" s="64" t="n">
        <v>21</v>
      </c>
      <c r="C41" s="65" t="n">
        <v>46939</v>
      </c>
      <c r="D41" s="66" t="n">
        <f aca="false">IF(21&lt;=①前提条件!$B$51,0,MIN(F40,ROUND(①前提条件!$B$48/(①前提条件!$B$50-①前提条件!$B$51),0)))</f>
        <v>89744</v>
      </c>
      <c r="E41" s="66" t="n">
        <f aca="false">ROUND(F40*①前提条件!$B$49/12,0)</f>
        <v>11966</v>
      </c>
      <c r="F41" s="66" t="n">
        <f aca="false">F40-D41</f>
        <v>5653840</v>
      </c>
      <c r="H41" s="64" t="s">
        <v>336</v>
      </c>
      <c r="I41" s="64" t="n">
        <v>21</v>
      </c>
      <c r="J41" s="66" t="n">
        <f aca="false">MIN(L40,①前提条件!$B$54)</f>
        <v>108108</v>
      </c>
      <c r="K41" s="66" t="n">
        <f aca="false">ROUND(L40*0.02/12,0)</f>
        <v>4404</v>
      </c>
      <c r="L41" s="66" t="n">
        <f aca="false">L40-J41</f>
        <v>2534551</v>
      </c>
    </row>
    <row r="42" customFormat="false" ht="15" hidden="false" customHeight="false" outlineLevel="0" collapsed="false">
      <c r="A42" s="64" t="s">
        <v>336</v>
      </c>
      <c r="B42" s="64" t="n">
        <v>22</v>
      </c>
      <c r="C42" s="65" t="n">
        <v>46970</v>
      </c>
      <c r="D42" s="66" t="n">
        <f aca="false">IF(22&lt;=①前提条件!$B$51,0,MIN(F41,ROUND(①前提条件!$B$48/(①前提条件!$B$50-①前提条件!$B$51),0)))</f>
        <v>89744</v>
      </c>
      <c r="E42" s="66" t="n">
        <f aca="false">ROUND(F41*①前提条件!$B$49/12,0)</f>
        <v>11779</v>
      </c>
      <c r="F42" s="66" t="n">
        <f aca="false">F41-D42</f>
        <v>5564096</v>
      </c>
      <c r="H42" s="64" t="s">
        <v>336</v>
      </c>
      <c r="I42" s="64" t="n">
        <v>22</v>
      </c>
      <c r="J42" s="66" t="n">
        <f aca="false">MIN(L41,①前提条件!$B$54)</f>
        <v>108108</v>
      </c>
      <c r="K42" s="66" t="n">
        <f aca="false">ROUND(L41*0.02/12,0)</f>
        <v>4224</v>
      </c>
      <c r="L42" s="66" t="n">
        <f aca="false">L41-J42</f>
        <v>2426443</v>
      </c>
    </row>
    <row r="43" customFormat="false" ht="15" hidden="false" customHeight="false" outlineLevel="0" collapsed="false">
      <c r="A43" s="64" t="s">
        <v>337</v>
      </c>
      <c r="B43" s="64" t="n">
        <v>23</v>
      </c>
      <c r="C43" s="65" t="n">
        <v>47001</v>
      </c>
      <c r="D43" s="66" t="n">
        <f aca="false">IF(23&lt;=①前提条件!$B$51,0,MIN(F42,ROUND(①前提条件!$B$48/(①前提条件!$B$50-①前提条件!$B$51),0)))</f>
        <v>89744</v>
      </c>
      <c r="E43" s="66" t="n">
        <f aca="false">ROUND(F42*①前提条件!$B$49/12,0)</f>
        <v>11592</v>
      </c>
      <c r="F43" s="66" t="n">
        <f aca="false">F42-D43</f>
        <v>5474352</v>
      </c>
      <c r="H43" s="64" t="s">
        <v>336</v>
      </c>
      <c r="I43" s="64" t="n">
        <v>23</v>
      </c>
      <c r="J43" s="66" t="n">
        <f aca="false">MIN(L42,①前提条件!$B$54)</f>
        <v>108108</v>
      </c>
      <c r="K43" s="66" t="n">
        <f aca="false">ROUND(L42*0.02/12,0)</f>
        <v>4044</v>
      </c>
      <c r="L43" s="66" t="n">
        <f aca="false">L42-J43</f>
        <v>2318335</v>
      </c>
    </row>
    <row r="44" customFormat="false" ht="15" hidden="false" customHeight="false" outlineLevel="0" collapsed="false">
      <c r="A44" s="64" t="s">
        <v>337</v>
      </c>
      <c r="B44" s="64" t="n">
        <v>24</v>
      </c>
      <c r="C44" s="65" t="n">
        <v>47031</v>
      </c>
      <c r="D44" s="66" t="n">
        <f aca="false">IF(24&lt;=①前提条件!$B$51,0,MIN(F43,ROUND(①前提条件!$B$48/(①前提条件!$B$50-①前提条件!$B$51),0)))</f>
        <v>89744</v>
      </c>
      <c r="E44" s="66" t="n">
        <f aca="false">ROUND(F43*①前提条件!$B$49/12,0)</f>
        <v>11405</v>
      </c>
      <c r="F44" s="66" t="n">
        <f aca="false">F43-D44</f>
        <v>5384608</v>
      </c>
      <c r="H44" s="64" t="s">
        <v>336</v>
      </c>
      <c r="I44" s="64" t="n">
        <v>24</v>
      </c>
      <c r="J44" s="66" t="n">
        <f aca="false">MIN(L43,①前提条件!$B$54)</f>
        <v>108108</v>
      </c>
      <c r="K44" s="66" t="n">
        <f aca="false">ROUND(L43*0.02/12,0)</f>
        <v>3864</v>
      </c>
      <c r="L44" s="66" t="n">
        <f aca="false">L43-J44</f>
        <v>2210227</v>
      </c>
    </row>
    <row r="45" customFormat="false" ht="15" hidden="false" customHeight="false" outlineLevel="0" collapsed="false">
      <c r="A45" s="64" t="s">
        <v>337</v>
      </c>
      <c r="B45" s="64" t="n">
        <v>25</v>
      </c>
      <c r="C45" s="65" t="n">
        <v>47062</v>
      </c>
      <c r="D45" s="66" t="n">
        <f aca="false">IF(25&lt;=①前提条件!$B$51,0,MIN(F44,ROUND(①前提条件!$B$48/(①前提条件!$B$50-①前提条件!$B$51),0)))</f>
        <v>89744</v>
      </c>
      <c r="E45" s="66" t="n">
        <f aca="false">ROUND(F44*①前提条件!$B$49/12,0)</f>
        <v>11218</v>
      </c>
      <c r="F45" s="66" t="n">
        <f aca="false">F44-D45</f>
        <v>5294864</v>
      </c>
      <c r="H45" s="64" t="s">
        <v>337</v>
      </c>
      <c r="I45" s="64" t="n">
        <v>25</v>
      </c>
      <c r="J45" s="66" t="n">
        <f aca="false">MIN(L44,①前提条件!$B$54)</f>
        <v>108108</v>
      </c>
      <c r="K45" s="66" t="n">
        <f aca="false">ROUND(L44*0.02/12,0)</f>
        <v>3684</v>
      </c>
      <c r="L45" s="66" t="n">
        <f aca="false">L44-J45</f>
        <v>2102119</v>
      </c>
    </row>
    <row r="46" customFormat="false" ht="15" hidden="false" customHeight="false" outlineLevel="0" collapsed="false">
      <c r="A46" s="64" t="s">
        <v>337</v>
      </c>
      <c r="B46" s="64" t="n">
        <v>26</v>
      </c>
      <c r="C46" s="65" t="n">
        <v>47092</v>
      </c>
      <c r="D46" s="66" t="n">
        <f aca="false">IF(26&lt;=①前提条件!$B$51,0,MIN(F45,ROUND(①前提条件!$B$48/(①前提条件!$B$50-①前提条件!$B$51),0)))</f>
        <v>89744</v>
      </c>
      <c r="E46" s="66" t="n">
        <f aca="false">ROUND(F45*①前提条件!$B$49/12,0)</f>
        <v>11031</v>
      </c>
      <c r="F46" s="66" t="n">
        <f aca="false">F45-D46</f>
        <v>5205120</v>
      </c>
      <c r="H46" s="64" t="s">
        <v>337</v>
      </c>
      <c r="I46" s="64" t="n">
        <v>26</v>
      </c>
      <c r="J46" s="66" t="n">
        <f aca="false">MIN(L45,①前提条件!$B$54)</f>
        <v>108108</v>
      </c>
      <c r="K46" s="66" t="n">
        <f aca="false">ROUND(L45*0.02/12,0)</f>
        <v>3504</v>
      </c>
      <c r="L46" s="66" t="n">
        <f aca="false">L45-J46</f>
        <v>1994011</v>
      </c>
    </row>
    <row r="47" customFormat="false" ht="15" hidden="false" customHeight="false" outlineLevel="0" collapsed="false">
      <c r="A47" s="64" t="s">
        <v>337</v>
      </c>
      <c r="B47" s="64" t="n">
        <v>27</v>
      </c>
      <c r="C47" s="65" t="n">
        <v>47123</v>
      </c>
      <c r="D47" s="66" t="n">
        <f aca="false">IF(27&lt;=①前提条件!$B$51,0,MIN(F46,ROUND(①前提条件!$B$48/(①前提条件!$B$50-①前提条件!$B$51),0)))</f>
        <v>89744</v>
      </c>
      <c r="E47" s="66" t="n">
        <f aca="false">ROUND(F46*①前提条件!$B$49/12,0)</f>
        <v>10844</v>
      </c>
      <c r="F47" s="66" t="n">
        <f aca="false">F46-D47</f>
        <v>5115376</v>
      </c>
      <c r="H47" s="64" t="s">
        <v>337</v>
      </c>
      <c r="I47" s="64" t="n">
        <v>27</v>
      </c>
      <c r="J47" s="66" t="n">
        <f aca="false">MIN(L46,①前提条件!$B$54)</f>
        <v>108108</v>
      </c>
      <c r="K47" s="66" t="n">
        <f aca="false">ROUND(L46*0.02/12,0)</f>
        <v>3323</v>
      </c>
      <c r="L47" s="66" t="n">
        <f aca="false">L46-J47</f>
        <v>1885903</v>
      </c>
    </row>
    <row r="48" customFormat="false" ht="15" hidden="false" customHeight="false" outlineLevel="0" collapsed="false">
      <c r="A48" s="64" t="s">
        <v>337</v>
      </c>
      <c r="B48" s="64" t="n">
        <v>28</v>
      </c>
      <c r="C48" s="65" t="n">
        <v>47154</v>
      </c>
      <c r="D48" s="66" t="n">
        <f aca="false">IF(28&lt;=①前提条件!$B$51,0,MIN(F47,ROUND(①前提条件!$B$48/(①前提条件!$B$50-①前提条件!$B$51),0)))</f>
        <v>89744</v>
      </c>
      <c r="E48" s="66" t="n">
        <f aca="false">ROUND(F47*①前提条件!$B$49/12,0)</f>
        <v>10657</v>
      </c>
      <c r="F48" s="66" t="n">
        <f aca="false">F47-D48</f>
        <v>5025632</v>
      </c>
      <c r="H48" s="64" t="s">
        <v>337</v>
      </c>
      <c r="I48" s="64" t="n">
        <v>28</v>
      </c>
      <c r="J48" s="66" t="n">
        <f aca="false">MIN(L47,①前提条件!$B$54)</f>
        <v>108108</v>
      </c>
      <c r="K48" s="66" t="n">
        <f aca="false">ROUND(L47*0.02/12,0)</f>
        <v>3143</v>
      </c>
      <c r="L48" s="66" t="n">
        <f aca="false">L47-J48</f>
        <v>1777795</v>
      </c>
    </row>
    <row r="49" customFormat="false" ht="15" hidden="false" customHeight="false" outlineLevel="0" collapsed="false">
      <c r="A49" s="64" t="s">
        <v>337</v>
      </c>
      <c r="B49" s="64" t="n">
        <v>29</v>
      </c>
      <c r="C49" s="65" t="n">
        <v>47182</v>
      </c>
      <c r="D49" s="66" t="n">
        <f aca="false">IF(29&lt;=①前提条件!$B$51,0,MIN(F48,ROUND(①前提条件!$B$48/(①前提条件!$B$50-①前提条件!$B$51),0)))</f>
        <v>89744</v>
      </c>
      <c r="E49" s="66" t="n">
        <f aca="false">ROUND(F48*①前提条件!$B$49/12,0)</f>
        <v>10470</v>
      </c>
      <c r="F49" s="66" t="n">
        <f aca="false">F48-D49</f>
        <v>4935888</v>
      </c>
      <c r="H49" s="64" t="s">
        <v>337</v>
      </c>
      <c r="I49" s="64" t="n">
        <v>29</v>
      </c>
      <c r="J49" s="66" t="n">
        <f aca="false">MIN(L48,①前提条件!$B$54)</f>
        <v>108108</v>
      </c>
      <c r="K49" s="66" t="n">
        <f aca="false">ROUND(L48*0.02/12,0)</f>
        <v>2963</v>
      </c>
      <c r="L49" s="66" t="n">
        <f aca="false">L48-J49</f>
        <v>1669687</v>
      </c>
    </row>
    <row r="50" customFormat="false" ht="15" hidden="false" customHeight="false" outlineLevel="0" collapsed="false">
      <c r="A50" s="64" t="s">
        <v>337</v>
      </c>
      <c r="B50" s="64" t="n">
        <v>30</v>
      </c>
      <c r="C50" s="65" t="n">
        <v>47213</v>
      </c>
      <c r="D50" s="66" t="n">
        <f aca="false">IF(30&lt;=①前提条件!$B$51,0,MIN(F49,ROUND(①前提条件!$B$48/(①前提条件!$B$50-①前提条件!$B$51),0)))</f>
        <v>89744</v>
      </c>
      <c r="E50" s="66" t="n">
        <f aca="false">ROUND(F49*①前提条件!$B$49/12,0)</f>
        <v>10283</v>
      </c>
      <c r="F50" s="66" t="n">
        <f aca="false">F49-D50</f>
        <v>4846144</v>
      </c>
      <c r="H50" s="64" t="s">
        <v>337</v>
      </c>
      <c r="I50" s="64" t="n">
        <v>30</v>
      </c>
      <c r="J50" s="66" t="n">
        <f aca="false">MIN(L49,①前提条件!$B$54)</f>
        <v>108108</v>
      </c>
      <c r="K50" s="66" t="n">
        <f aca="false">ROUND(L49*0.02/12,0)</f>
        <v>2783</v>
      </c>
      <c r="L50" s="66" t="n">
        <f aca="false">L49-J50</f>
        <v>1561579</v>
      </c>
    </row>
    <row r="51" customFormat="false" ht="15" hidden="false" customHeight="false" outlineLevel="0" collapsed="false">
      <c r="A51" s="64" t="s">
        <v>337</v>
      </c>
      <c r="B51" s="64" t="n">
        <v>31</v>
      </c>
      <c r="C51" s="65" t="n">
        <v>47243</v>
      </c>
      <c r="D51" s="66" t="n">
        <f aca="false">IF(31&lt;=①前提条件!$B$51,0,MIN(F50,ROUND(①前提条件!$B$48/(①前提条件!$B$50-①前提条件!$B$51),0)))</f>
        <v>89744</v>
      </c>
      <c r="E51" s="66" t="n">
        <f aca="false">ROUND(F50*①前提条件!$B$49/12,0)</f>
        <v>10096</v>
      </c>
      <c r="F51" s="66" t="n">
        <f aca="false">F50-D51</f>
        <v>4756400</v>
      </c>
      <c r="H51" s="64" t="s">
        <v>337</v>
      </c>
      <c r="I51" s="64" t="n">
        <v>31</v>
      </c>
      <c r="J51" s="66" t="n">
        <f aca="false">MIN(L50,①前提条件!$B$54)</f>
        <v>108108</v>
      </c>
      <c r="K51" s="66" t="n">
        <f aca="false">ROUND(L50*0.02/12,0)</f>
        <v>2603</v>
      </c>
      <c r="L51" s="66" t="n">
        <f aca="false">L50-J51</f>
        <v>1453471</v>
      </c>
    </row>
    <row r="52" customFormat="false" ht="15" hidden="false" customHeight="false" outlineLevel="0" collapsed="false">
      <c r="A52" s="64" t="s">
        <v>337</v>
      </c>
      <c r="B52" s="64" t="n">
        <v>32</v>
      </c>
      <c r="C52" s="65" t="n">
        <v>47274</v>
      </c>
      <c r="D52" s="66" t="n">
        <f aca="false">IF(32&lt;=①前提条件!$B$51,0,MIN(F51,ROUND(①前提条件!$B$48/(①前提条件!$B$50-①前提条件!$B$51),0)))</f>
        <v>89744</v>
      </c>
      <c r="E52" s="66" t="n">
        <f aca="false">ROUND(F51*①前提条件!$B$49/12,0)</f>
        <v>9909</v>
      </c>
      <c r="F52" s="66" t="n">
        <f aca="false">F51-D52</f>
        <v>4666656</v>
      </c>
      <c r="H52" s="64" t="s">
        <v>337</v>
      </c>
      <c r="I52" s="64" t="n">
        <v>32</v>
      </c>
      <c r="J52" s="66" t="n">
        <f aca="false">MIN(L51,①前提条件!$B$54)</f>
        <v>108108</v>
      </c>
      <c r="K52" s="66" t="n">
        <f aca="false">ROUND(L51*0.02/12,0)</f>
        <v>2422</v>
      </c>
      <c r="L52" s="66" t="n">
        <f aca="false">L51-J52</f>
        <v>1345363</v>
      </c>
    </row>
    <row r="53" customFormat="false" ht="15" hidden="false" customHeight="false" outlineLevel="0" collapsed="false">
      <c r="A53" s="64" t="s">
        <v>337</v>
      </c>
      <c r="B53" s="64" t="n">
        <v>33</v>
      </c>
      <c r="C53" s="65" t="n">
        <v>47304</v>
      </c>
      <c r="D53" s="66" t="n">
        <f aca="false">IF(33&lt;=①前提条件!$B$51,0,MIN(F52,ROUND(①前提条件!$B$48/(①前提条件!$B$50-①前提条件!$B$51),0)))</f>
        <v>89744</v>
      </c>
      <c r="E53" s="66" t="n">
        <f aca="false">ROUND(F52*①前提条件!$B$49/12,0)</f>
        <v>9722</v>
      </c>
      <c r="F53" s="66" t="n">
        <f aca="false">F52-D53</f>
        <v>4576912</v>
      </c>
      <c r="H53" s="64" t="s">
        <v>337</v>
      </c>
      <c r="I53" s="64" t="n">
        <v>33</v>
      </c>
      <c r="J53" s="66" t="n">
        <f aca="false">MIN(L52,①前提条件!$B$54)</f>
        <v>108108</v>
      </c>
      <c r="K53" s="66" t="n">
        <f aca="false">ROUND(L52*0.02/12,0)</f>
        <v>2242</v>
      </c>
      <c r="L53" s="66" t="n">
        <f aca="false">L52-J53</f>
        <v>1237255</v>
      </c>
    </row>
    <row r="54" customFormat="false" ht="15" hidden="false" customHeight="false" outlineLevel="0" collapsed="false">
      <c r="A54" s="64" t="s">
        <v>337</v>
      </c>
      <c r="B54" s="64" t="n">
        <v>34</v>
      </c>
      <c r="C54" s="65" t="n">
        <v>47335</v>
      </c>
      <c r="D54" s="66" t="n">
        <f aca="false">IF(34&lt;=①前提条件!$B$51,0,MIN(F53,ROUND(①前提条件!$B$48/(①前提条件!$B$50-①前提条件!$B$51),0)))</f>
        <v>89744</v>
      </c>
      <c r="E54" s="66" t="n">
        <f aca="false">ROUND(F53*①前提条件!$B$49/12,0)</f>
        <v>9535</v>
      </c>
      <c r="F54" s="66" t="n">
        <f aca="false">F53-D54</f>
        <v>4487168</v>
      </c>
      <c r="H54" s="64" t="s">
        <v>337</v>
      </c>
      <c r="I54" s="64" t="n">
        <v>34</v>
      </c>
      <c r="J54" s="66" t="n">
        <f aca="false">MIN(L53,①前提条件!$B$54)</f>
        <v>108108</v>
      </c>
      <c r="K54" s="66" t="n">
        <f aca="false">ROUND(L53*0.02/12,0)</f>
        <v>2062</v>
      </c>
      <c r="L54" s="66" t="n">
        <f aca="false">L53-J54</f>
        <v>1129147</v>
      </c>
    </row>
    <row r="55" customFormat="false" ht="15" hidden="false" customHeight="false" outlineLevel="0" collapsed="false">
      <c r="A55" s="64" t="s">
        <v>338</v>
      </c>
      <c r="B55" s="64" t="n">
        <v>35</v>
      </c>
      <c r="C55" s="65" t="n">
        <v>47366</v>
      </c>
      <c r="D55" s="66" t="n">
        <f aca="false">IF(35&lt;=①前提条件!$B$51,0,MIN(F54,ROUND(①前提条件!$B$48/(①前提条件!$B$50-①前提条件!$B$51),0)))</f>
        <v>89744</v>
      </c>
      <c r="E55" s="66" t="n">
        <f aca="false">ROUND(F54*①前提条件!$B$49/12,0)</f>
        <v>9348</v>
      </c>
      <c r="F55" s="66" t="n">
        <f aca="false">F54-D55</f>
        <v>4397424</v>
      </c>
      <c r="H55" s="64" t="s">
        <v>337</v>
      </c>
      <c r="I55" s="64" t="n">
        <v>35</v>
      </c>
      <c r="J55" s="66" t="n">
        <f aca="false">MIN(L54,①前提条件!$B$54)</f>
        <v>108108</v>
      </c>
      <c r="K55" s="66" t="n">
        <f aca="false">ROUND(L54*0.02/12,0)</f>
        <v>1882</v>
      </c>
      <c r="L55" s="66" t="n">
        <f aca="false">L54-J55</f>
        <v>1021039</v>
      </c>
    </row>
    <row r="56" customFormat="false" ht="15" hidden="false" customHeight="false" outlineLevel="0" collapsed="false">
      <c r="A56" s="64" t="s">
        <v>338</v>
      </c>
      <c r="B56" s="64" t="n">
        <v>36</v>
      </c>
      <c r="C56" s="65" t="n">
        <v>47396</v>
      </c>
      <c r="D56" s="66" t="n">
        <f aca="false">IF(36&lt;=①前提条件!$B$51,0,MIN(F55,ROUND(①前提条件!$B$48/(①前提条件!$B$50-①前提条件!$B$51),0)))</f>
        <v>89744</v>
      </c>
      <c r="E56" s="66" t="n">
        <f aca="false">ROUND(F55*①前提条件!$B$49/12,0)</f>
        <v>9161</v>
      </c>
      <c r="F56" s="66" t="n">
        <f aca="false">F55-D56</f>
        <v>4307680</v>
      </c>
      <c r="H56" s="64" t="s">
        <v>337</v>
      </c>
      <c r="I56" s="64" t="n">
        <v>36</v>
      </c>
      <c r="J56" s="66" t="n">
        <f aca="false">MIN(L55,①前提条件!$B$54)</f>
        <v>108108</v>
      </c>
      <c r="K56" s="66" t="n">
        <f aca="false">ROUND(L55*0.02/12,0)</f>
        <v>1702</v>
      </c>
      <c r="L56" s="66" t="n">
        <f aca="false">L55-J56</f>
        <v>912931</v>
      </c>
    </row>
    <row r="57" customFormat="false" ht="15" hidden="false" customHeight="false" outlineLevel="0" collapsed="false">
      <c r="A57" s="64" t="s">
        <v>338</v>
      </c>
      <c r="B57" s="64" t="n">
        <v>37</v>
      </c>
      <c r="C57" s="65" t="n">
        <v>47427</v>
      </c>
      <c r="D57" s="66" t="n">
        <f aca="false">IF(37&lt;=①前提条件!$B$51,0,MIN(F56,ROUND(①前提条件!$B$48/(①前提条件!$B$50-①前提条件!$B$51),0)))</f>
        <v>89744</v>
      </c>
      <c r="E57" s="66" t="n">
        <f aca="false">ROUND(F56*①前提条件!$B$49/12,0)</f>
        <v>8974</v>
      </c>
      <c r="F57" s="66" t="n">
        <f aca="false">F56-D57</f>
        <v>4217936</v>
      </c>
      <c r="H57" s="64" t="s">
        <v>338</v>
      </c>
      <c r="I57" s="64" t="n">
        <v>37</v>
      </c>
      <c r="J57" s="66" t="n">
        <f aca="false">MIN(L56,①前提条件!$B$54)</f>
        <v>108108</v>
      </c>
      <c r="K57" s="66" t="n">
        <f aca="false">ROUND(L56*0.02/12,0)</f>
        <v>1522</v>
      </c>
      <c r="L57" s="66" t="n">
        <f aca="false">L56-J57</f>
        <v>804823</v>
      </c>
    </row>
    <row r="58" customFormat="false" ht="15" hidden="false" customHeight="false" outlineLevel="0" collapsed="false">
      <c r="A58" s="64" t="s">
        <v>338</v>
      </c>
      <c r="B58" s="64" t="n">
        <v>38</v>
      </c>
      <c r="C58" s="65" t="n">
        <v>47457</v>
      </c>
      <c r="D58" s="66" t="n">
        <f aca="false">IF(38&lt;=①前提条件!$B$51,0,MIN(F57,ROUND(①前提条件!$B$48/(①前提条件!$B$50-①前提条件!$B$51),0)))</f>
        <v>89744</v>
      </c>
      <c r="E58" s="66" t="n">
        <f aca="false">ROUND(F57*①前提条件!$B$49/12,0)</f>
        <v>8787</v>
      </c>
      <c r="F58" s="66" t="n">
        <f aca="false">F57-D58</f>
        <v>4128192</v>
      </c>
      <c r="H58" s="64" t="s">
        <v>338</v>
      </c>
      <c r="I58" s="64" t="n">
        <v>38</v>
      </c>
      <c r="J58" s="66" t="n">
        <f aca="false">MIN(L57,①前提条件!$B$54)</f>
        <v>108108</v>
      </c>
      <c r="K58" s="66" t="n">
        <f aca="false">ROUND(L57*0.02/12,0)</f>
        <v>1341</v>
      </c>
      <c r="L58" s="66" t="n">
        <f aca="false">L57-J58</f>
        <v>696715</v>
      </c>
    </row>
    <row r="59" customFormat="false" ht="15" hidden="false" customHeight="false" outlineLevel="0" collapsed="false">
      <c r="A59" s="64" t="s">
        <v>338</v>
      </c>
      <c r="B59" s="64" t="n">
        <v>39</v>
      </c>
      <c r="C59" s="65" t="n">
        <v>47488</v>
      </c>
      <c r="D59" s="66" t="n">
        <f aca="false">IF(39&lt;=①前提条件!$B$51,0,MIN(F58,ROUND(①前提条件!$B$48/(①前提条件!$B$50-①前提条件!$B$51),0)))</f>
        <v>89744</v>
      </c>
      <c r="E59" s="66" t="n">
        <f aca="false">ROUND(F58*①前提条件!$B$49/12,0)</f>
        <v>8600</v>
      </c>
      <c r="F59" s="66" t="n">
        <f aca="false">F58-D59</f>
        <v>4038448</v>
      </c>
      <c r="H59" s="64" t="s">
        <v>338</v>
      </c>
      <c r="I59" s="64" t="n">
        <v>39</v>
      </c>
      <c r="J59" s="66" t="n">
        <f aca="false">MIN(L58,①前提条件!$B$54)</f>
        <v>108108</v>
      </c>
      <c r="K59" s="66" t="n">
        <f aca="false">ROUND(L58*0.02/12,0)</f>
        <v>1161</v>
      </c>
      <c r="L59" s="66" t="n">
        <f aca="false">L58-J59</f>
        <v>588607</v>
      </c>
    </row>
    <row r="60" customFormat="false" ht="15" hidden="false" customHeight="false" outlineLevel="0" collapsed="false">
      <c r="A60" s="64" t="s">
        <v>338</v>
      </c>
      <c r="B60" s="64" t="n">
        <v>40</v>
      </c>
      <c r="C60" s="65" t="n">
        <v>47519</v>
      </c>
      <c r="D60" s="66" t="n">
        <f aca="false">IF(40&lt;=①前提条件!$B$51,0,MIN(F59,ROUND(①前提条件!$B$48/(①前提条件!$B$50-①前提条件!$B$51),0)))</f>
        <v>89744</v>
      </c>
      <c r="E60" s="66" t="n">
        <f aca="false">ROUND(F59*①前提条件!$B$49/12,0)</f>
        <v>8413</v>
      </c>
      <c r="F60" s="66" t="n">
        <f aca="false">F59-D60</f>
        <v>3948704</v>
      </c>
      <c r="H60" s="64" t="s">
        <v>338</v>
      </c>
      <c r="I60" s="64" t="n">
        <v>40</v>
      </c>
      <c r="J60" s="66" t="n">
        <f aca="false">MIN(L59,①前提条件!$B$54)</f>
        <v>108108</v>
      </c>
      <c r="K60" s="66" t="n">
        <f aca="false">ROUND(L59*0.02/12,0)</f>
        <v>981</v>
      </c>
      <c r="L60" s="66" t="n">
        <f aca="false">L59-J60</f>
        <v>480499</v>
      </c>
    </row>
    <row r="61" customFormat="false" ht="15" hidden="false" customHeight="false" outlineLevel="0" collapsed="false">
      <c r="A61" s="64" t="s">
        <v>338</v>
      </c>
      <c r="B61" s="64" t="n">
        <v>41</v>
      </c>
      <c r="C61" s="65" t="n">
        <v>47547</v>
      </c>
      <c r="D61" s="66" t="n">
        <f aca="false">IF(41&lt;=①前提条件!$B$51,0,MIN(F60,ROUND(①前提条件!$B$48/(①前提条件!$B$50-①前提条件!$B$51),0)))</f>
        <v>89744</v>
      </c>
      <c r="E61" s="66" t="n">
        <f aca="false">ROUND(F60*①前提条件!$B$49/12,0)</f>
        <v>8226</v>
      </c>
      <c r="F61" s="66" t="n">
        <f aca="false">F60-D61</f>
        <v>3858960</v>
      </c>
      <c r="H61" s="64" t="s">
        <v>338</v>
      </c>
      <c r="I61" s="64" t="n">
        <v>41</v>
      </c>
      <c r="J61" s="66" t="n">
        <f aca="false">MIN(L60,①前提条件!$B$54)</f>
        <v>108108</v>
      </c>
      <c r="K61" s="66" t="n">
        <f aca="false">ROUND(L60*0.02/12,0)</f>
        <v>801</v>
      </c>
      <c r="L61" s="66" t="n">
        <f aca="false">L60-J61</f>
        <v>372391</v>
      </c>
    </row>
    <row r="62" customFormat="false" ht="15" hidden="false" customHeight="false" outlineLevel="0" collapsed="false">
      <c r="A62" s="64" t="s">
        <v>338</v>
      </c>
      <c r="B62" s="64" t="n">
        <v>42</v>
      </c>
      <c r="C62" s="65" t="n">
        <v>47578</v>
      </c>
      <c r="D62" s="66" t="n">
        <f aca="false">IF(42&lt;=①前提条件!$B$51,0,MIN(F61,ROUND(①前提条件!$B$48/(①前提条件!$B$50-①前提条件!$B$51),0)))</f>
        <v>89744</v>
      </c>
      <c r="E62" s="66" t="n">
        <f aca="false">ROUND(F61*①前提条件!$B$49/12,0)</f>
        <v>8040</v>
      </c>
      <c r="F62" s="66" t="n">
        <f aca="false">F61-D62</f>
        <v>3769216</v>
      </c>
      <c r="H62" s="64" t="s">
        <v>338</v>
      </c>
      <c r="I62" s="64" t="n">
        <v>42</v>
      </c>
      <c r="J62" s="66" t="n">
        <f aca="false">MIN(L61,①前提条件!$B$54)</f>
        <v>108108</v>
      </c>
      <c r="K62" s="66" t="n">
        <f aca="false">ROUND(L61*0.02/12,0)</f>
        <v>621</v>
      </c>
      <c r="L62" s="66" t="n">
        <f aca="false">L61-J62</f>
        <v>264283</v>
      </c>
    </row>
    <row r="63" customFormat="false" ht="15" hidden="false" customHeight="false" outlineLevel="0" collapsed="false">
      <c r="A63" s="64" t="s">
        <v>338</v>
      </c>
      <c r="B63" s="64" t="n">
        <v>43</v>
      </c>
      <c r="C63" s="65" t="n">
        <v>47608</v>
      </c>
      <c r="D63" s="66" t="n">
        <f aca="false">IF(43&lt;=①前提条件!$B$51,0,MIN(F62,ROUND(①前提条件!$B$48/(①前提条件!$B$50-①前提条件!$B$51),0)))</f>
        <v>89744</v>
      </c>
      <c r="E63" s="66" t="n">
        <f aca="false">ROUND(F62*①前提条件!$B$49/12,0)</f>
        <v>7853</v>
      </c>
      <c r="F63" s="66" t="n">
        <f aca="false">F62-D63</f>
        <v>3679472</v>
      </c>
      <c r="H63" s="64" t="s">
        <v>338</v>
      </c>
      <c r="I63" s="64" t="n">
        <v>43</v>
      </c>
      <c r="J63" s="66" t="n">
        <f aca="false">MIN(L62,①前提条件!$B$54)</f>
        <v>108108</v>
      </c>
      <c r="K63" s="66" t="n">
        <f aca="false">ROUND(L62*0.02/12,0)</f>
        <v>440</v>
      </c>
      <c r="L63" s="66" t="n">
        <f aca="false">L62-J63</f>
        <v>156175</v>
      </c>
    </row>
    <row r="64" customFormat="false" ht="15" hidden="false" customHeight="false" outlineLevel="0" collapsed="false">
      <c r="A64" s="64" t="s">
        <v>338</v>
      </c>
      <c r="B64" s="64" t="n">
        <v>44</v>
      </c>
      <c r="C64" s="65" t="n">
        <v>47639</v>
      </c>
      <c r="D64" s="66" t="n">
        <f aca="false">IF(44&lt;=①前提条件!$B$51,0,MIN(F63,ROUND(①前提条件!$B$48/(①前提条件!$B$50-①前提条件!$B$51),0)))</f>
        <v>89744</v>
      </c>
      <c r="E64" s="66" t="n">
        <f aca="false">ROUND(F63*①前提条件!$B$49/12,0)</f>
        <v>7666</v>
      </c>
      <c r="F64" s="66" t="n">
        <f aca="false">F63-D64</f>
        <v>3589728</v>
      </c>
      <c r="H64" s="64" t="s">
        <v>338</v>
      </c>
      <c r="I64" s="64" t="n">
        <v>44</v>
      </c>
      <c r="J64" s="66" t="n">
        <f aca="false">MIN(L63,①前提条件!$B$54)</f>
        <v>108108</v>
      </c>
      <c r="K64" s="66" t="n">
        <f aca="false">ROUND(L63*0.02/12,0)</f>
        <v>260</v>
      </c>
      <c r="L64" s="66" t="n">
        <f aca="false">L63-J64</f>
        <v>48067</v>
      </c>
    </row>
    <row r="65" customFormat="false" ht="15" hidden="false" customHeight="false" outlineLevel="0" collapsed="false">
      <c r="A65" s="64" t="s">
        <v>338</v>
      </c>
      <c r="B65" s="64" t="n">
        <v>45</v>
      </c>
      <c r="C65" s="65" t="n">
        <v>47669</v>
      </c>
      <c r="D65" s="66" t="n">
        <f aca="false">IF(45&lt;=①前提条件!$B$51,0,MIN(F64,ROUND(①前提条件!$B$48/(①前提条件!$B$50-①前提条件!$B$51),0)))</f>
        <v>89744</v>
      </c>
      <c r="E65" s="66" t="n">
        <f aca="false">ROUND(F64*①前提条件!$B$49/12,0)</f>
        <v>7479</v>
      </c>
      <c r="F65" s="66" t="n">
        <f aca="false">F64-D65</f>
        <v>3499984</v>
      </c>
      <c r="H65" s="64" t="s">
        <v>338</v>
      </c>
      <c r="I65" s="64" t="n">
        <v>45</v>
      </c>
      <c r="J65" s="66" t="n">
        <f aca="false">MIN(L64,①前提条件!$B$54)</f>
        <v>48067</v>
      </c>
      <c r="K65" s="66" t="n">
        <f aca="false">ROUND(L64*0.02/12,0)</f>
        <v>80</v>
      </c>
      <c r="L65" s="66" t="n">
        <f aca="false">L64-J65</f>
        <v>0</v>
      </c>
    </row>
    <row r="66" customFormat="false" ht="15" hidden="false" customHeight="false" outlineLevel="0" collapsed="false">
      <c r="A66" s="64" t="s">
        <v>338</v>
      </c>
      <c r="B66" s="64" t="n">
        <v>46</v>
      </c>
      <c r="C66" s="65" t="n">
        <v>47700</v>
      </c>
      <c r="D66" s="66" t="n">
        <f aca="false">IF(46&lt;=①前提条件!$B$51,0,MIN(F65,ROUND(①前提条件!$B$48/(①前提条件!$B$50-①前提条件!$B$51),0)))</f>
        <v>89744</v>
      </c>
      <c r="E66" s="66" t="n">
        <f aca="false">ROUND(F65*①前提条件!$B$49/12,0)</f>
        <v>7292</v>
      </c>
      <c r="F66" s="66" t="n">
        <f aca="false">F65-D66</f>
        <v>3410240</v>
      </c>
      <c r="H66" s="64" t="s">
        <v>338</v>
      </c>
      <c r="I66" s="64" t="n">
        <v>46</v>
      </c>
      <c r="J66" s="66" t="n">
        <f aca="false">MIN(L65,①前提条件!$B$54)</f>
        <v>0</v>
      </c>
      <c r="K66" s="66" t="n">
        <f aca="false">ROUND(L65*0.02/12,0)</f>
        <v>0</v>
      </c>
      <c r="L66" s="66" t="n">
        <f aca="false">L65-J66</f>
        <v>0</v>
      </c>
    </row>
    <row r="67" customFormat="false" ht="15" hidden="false" customHeight="false" outlineLevel="0" collapsed="false">
      <c r="A67" s="64" t="s">
        <v>339</v>
      </c>
      <c r="B67" s="64" t="n">
        <v>47</v>
      </c>
      <c r="C67" s="65" t="n">
        <v>47731</v>
      </c>
      <c r="D67" s="66" t="n">
        <f aca="false">IF(47&lt;=①前提条件!$B$51,0,MIN(F66,ROUND(①前提条件!$B$48/(①前提条件!$B$50-①前提条件!$B$51),0)))</f>
        <v>89744</v>
      </c>
      <c r="E67" s="66" t="n">
        <f aca="false">ROUND(F66*①前提条件!$B$49/12,0)</f>
        <v>7105</v>
      </c>
      <c r="F67" s="66" t="n">
        <f aca="false">F66-D67</f>
        <v>3320496</v>
      </c>
      <c r="H67" s="64" t="s">
        <v>338</v>
      </c>
      <c r="I67" s="64" t="n">
        <v>47</v>
      </c>
      <c r="J67" s="66" t="n">
        <f aca="false">MIN(L66,①前提条件!$B$54)</f>
        <v>0</v>
      </c>
      <c r="K67" s="66" t="n">
        <f aca="false">ROUND(L66*0.02/12,0)</f>
        <v>0</v>
      </c>
      <c r="L67" s="66" t="n">
        <f aca="false">L66-J67</f>
        <v>0</v>
      </c>
    </row>
    <row r="68" customFormat="false" ht="15" hidden="false" customHeight="false" outlineLevel="0" collapsed="false">
      <c r="A68" s="64" t="s">
        <v>339</v>
      </c>
      <c r="B68" s="64" t="n">
        <v>48</v>
      </c>
      <c r="C68" s="65" t="n">
        <v>47761</v>
      </c>
      <c r="D68" s="66" t="n">
        <f aca="false">IF(48&lt;=①前提条件!$B$51,0,MIN(F67,ROUND(①前提条件!$B$48/(①前提条件!$B$50-①前提条件!$B$51),0)))</f>
        <v>89744</v>
      </c>
      <c r="E68" s="66" t="n">
        <f aca="false">ROUND(F67*①前提条件!$B$49/12,0)</f>
        <v>6918</v>
      </c>
      <c r="F68" s="66" t="n">
        <f aca="false">F67-D68</f>
        <v>3230752</v>
      </c>
      <c r="H68" s="64" t="s">
        <v>338</v>
      </c>
      <c r="I68" s="64" t="n">
        <v>48</v>
      </c>
      <c r="J68" s="66" t="n">
        <f aca="false">MIN(L67,①前提条件!$B$54)</f>
        <v>0</v>
      </c>
      <c r="K68" s="66" t="n">
        <f aca="false">ROUND(L67*0.02/12,0)</f>
        <v>0</v>
      </c>
      <c r="L68" s="66" t="n">
        <f aca="false">L67-J68</f>
        <v>0</v>
      </c>
    </row>
    <row r="69" customFormat="false" ht="15" hidden="false" customHeight="false" outlineLevel="0" collapsed="false">
      <c r="A69" s="64" t="s">
        <v>339</v>
      </c>
      <c r="B69" s="64" t="n">
        <v>49</v>
      </c>
      <c r="C69" s="65" t="n">
        <v>47792</v>
      </c>
      <c r="D69" s="66" t="n">
        <f aca="false">IF(49&lt;=①前提条件!$B$51,0,MIN(F68,ROUND(①前提条件!$B$48/(①前提条件!$B$50-①前提条件!$B$51),0)))</f>
        <v>89744</v>
      </c>
      <c r="E69" s="66" t="n">
        <f aca="false">ROUND(F68*①前提条件!$B$49/12,0)</f>
        <v>6731</v>
      </c>
      <c r="F69" s="66" t="n">
        <f aca="false">F68-D69</f>
        <v>3141008</v>
      </c>
      <c r="H69" s="64" t="s">
        <v>339</v>
      </c>
      <c r="I69" s="64" t="n">
        <v>49</v>
      </c>
      <c r="J69" s="66" t="n">
        <f aca="false">MIN(L68,①前提条件!$B$54)</f>
        <v>0</v>
      </c>
      <c r="K69" s="66" t="n">
        <f aca="false">ROUND(L68*0.02/12,0)</f>
        <v>0</v>
      </c>
      <c r="L69" s="66" t="n">
        <f aca="false">L68-J69</f>
        <v>0</v>
      </c>
    </row>
    <row r="70" customFormat="false" ht="15" hidden="false" customHeight="false" outlineLevel="0" collapsed="false">
      <c r="A70" s="64" t="s">
        <v>339</v>
      </c>
      <c r="B70" s="64" t="n">
        <v>50</v>
      </c>
      <c r="C70" s="65" t="n">
        <v>47822</v>
      </c>
      <c r="D70" s="66" t="n">
        <f aca="false">IF(50&lt;=①前提条件!$B$51,0,MIN(F69,ROUND(①前提条件!$B$48/(①前提条件!$B$50-①前提条件!$B$51),0)))</f>
        <v>89744</v>
      </c>
      <c r="E70" s="66" t="n">
        <f aca="false">ROUND(F69*①前提条件!$B$49/12,0)</f>
        <v>6544</v>
      </c>
      <c r="F70" s="66" t="n">
        <f aca="false">F69-D70</f>
        <v>3051264</v>
      </c>
      <c r="H70" s="64" t="s">
        <v>339</v>
      </c>
      <c r="I70" s="64" t="n">
        <v>50</v>
      </c>
      <c r="J70" s="66" t="n">
        <f aca="false">MIN(L69,①前提条件!$B$54)</f>
        <v>0</v>
      </c>
      <c r="K70" s="66" t="n">
        <f aca="false">ROUND(L69*0.02/12,0)</f>
        <v>0</v>
      </c>
      <c r="L70" s="66" t="n">
        <f aca="false">L69-J70</f>
        <v>0</v>
      </c>
    </row>
    <row r="71" customFormat="false" ht="15" hidden="false" customHeight="false" outlineLevel="0" collapsed="false">
      <c r="A71" s="64" t="s">
        <v>339</v>
      </c>
      <c r="B71" s="64" t="n">
        <v>51</v>
      </c>
      <c r="C71" s="65" t="n">
        <v>47853</v>
      </c>
      <c r="D71" s="66" t="n">
        <f aca="false">IF(51&lt;=①前提条件!$B$51,0,MIN(F70,ROUND(①前提条件!$B$48/(①前提条件!$B$50-①前提条件!$B$51),0)))</f>
        <v>89744</v>
      </c>
      <c r="E71" s="66" t="n">
        <f aca="false">ROUND(F70*①前提条件!$B$49/12,0)</f>
        <v>6357</v>
      </c>
      <c r="F71" s="66" t="n">
        <f aca="false">F70-D71</f>
        <v>2961520</v>
      </c>
      <c r="H71" s="64" t="s">
        <v>339</v>
      </c>
      <c r="I71" s="64" t="n">
        <v>51</v>
      </c>
      <c r="J71" s="66" t="n">
        <f aca="false">MIN(L70,①前提条件!$B$54)</f>
        <v>0</v>
      </c>
      <c r="K71" s="66" t="n">
        <f aca="false">ROUND(L70*0.02/12,0)</f>
        <v>0</v>
      </c>
      <c r="L71" s="66" t="n">
        <f aca="false">L70-J71</f>
        <v>0</v>
      </c>
    </row>
    <row r="72" customFormat="false" ht="15" hidden="false" customHeight="false" outlineLevel="0" collapsed="false">
      <c r="A72" s="64" t="s">
        <v>339</v>
      </c>
      <c r="B72" s="64" t="n">
        <v>52</v>
      </c>
      <c r="C72" s="65" t="n">
        <v>47884</v>
      </c>
      <c r="D72" s="66" t="n">
        <f aca="false">IF(52&lt;=①前提条件!$B$51,0,MIN(F71,ROUND(①前提条件!$B$48/(①前提条件!$B$50-①前提条件!$B$51),0)))</f>
        <v>89744</v>
      </c>
      <c r="E72" s="66" t="n">
        <f aca="false">ROUND(F71*①前提条件!$B$49/12,0)</f>
        <v>6170</v>
      </c>
      <c r="F72" s="66" t="n">
        <f aca="false">F71-D72</f>
        <v>2871776</v>
      </c>
      <c r="H72" s="64" t="s">
        <v>339</v>
      </c>
      <c r="I72" s="64" t="n">
        <v>52</v>
      </c>
      <c r="J72" s="66" t="n">
        <f aca="false">MIN(L71,①前提条件!$B$54)</f>
        <v>0</v>
      </c>
      <c r="K72" s="66" t="n">
        <f aca="false">ROUND(L71*0.02/12,0)</f>
        <v>0</v>
      </c>
      <c r="L72" s="66" t="n">
        <f aca="false">L71-J72</f>
        <v>0</v>
      </c>
    </row>
    <row r="73" customFormat="false" ht="15" hidden="false" customHeight="false" outlineLevel="0" collapsed="false">
      <c r="A73" s="64" t="s">
        <v>339</v>
      </c>
      <c r="B73" s="64" t="n">
        <v>53</v>
      </c>
      <c r="C73" s="65" t="n">
        <v>47912</v>
      </c>
      <c r="D73" s="66" t="n">
        <f aca="false">IF(53&lt;=①前提条件!$B$51,0,MIN(F72,ROUND(①前提条件!$B$48/(①前提条件!$B$50-①前提条件!$B$51),0)))</f>
        <v>89744</v>
      </c>
      <c r="E73" s="66" t="n">
        <f aca="false">ROUND(F72*①前提条件!$B$49/12,0)</f>
        <v>5983</v>
      </c>
      <c r="F73" s="66" t="n">
        <f aca="false">F72-D73</f>
        <v>2782032</v>
      </c>
      <c r="H73" s="64" t="s">
        <v>339</v>
      </c>
      <c r="I73" s="64" t="n">
        <v>53</v>
      </c>
      <c r="J73" s="66" t="n">
        <f aca="false">MIN(L72,①前提条件!$B$54)</f>
        <v>0</v>
      </c>
      <c r="K73" s="66" t="n">
        <f aca="false">ROUND(L72*0.02/12,0)</f>
        <v>0</v>
      </c>
      <c r="L73" s="66" t="n">
        <f aca="false">L72-J73</f>
        <v>0</v>
      </c>
    </row>
    <row r="74" customFormat="false" ht="15" hidden="false" customHeight="false" outlineLevel="0" collapsed="false">
      <c r="A74" s="64" t="s">
        <v>339</v>
      </c>
      <c r="B74" s="64" t="n">
        <v>54</v>
      </c>
      <c r="C74" s="65" t="n">
        <v>47943</v>
      </c>
      <c r="D74" s="66" t="n">
        <f aca="false">IF(54&lt;=①前提条件!$B$51,0,MIN(F73,ROUND(①前提条件!$B$48/(①前提条件!$B$50-①前提条件!$B$51),0)))</f>
        <v>89744</v>
      </c>
      <c r="E74" s="66" t="n">
        <f aca="false">ROUND(F73*①前提条件!$B$49/12,0)</f>
        <v>5796</v>
      </c>
      <c r="F74" s="66" t="n">
        <f aca="false">F73-D74</f>
        <v>2692288</v>
      </c>
      <c r="H74" s="64" t="s">
        <v>339</v>
      </c>
      <c r="I74" s="64" t="n">
        <v>54</v>
      </c>
      <c r="J74" s="66" t="n">
        <f aca="false">MIN(L73,①前提条件!$B$54)</f>
        <v>0</v>
      </c>
      <c r="K74" s="66" t="n">
        <f aca="false">ROUND(L73*0.02/12,0)</f>
        <v>0</v>
      </c>
      <c r="L74" s="66" t="n">
        <f aca="false">L73-J74</f>
        <v>0</v>
      </c>
    </row>
    <row r="75" customFormat="false" ht="15" hidden="false" customHeight="false" outlineLevel="0" collapsed="false">
      <c r="A75" s="64" t="s">
        <v>339</v>
      </c>
      <c r="B75" s="64" t="n">
        <v>55</v>
      </c>
      <c r="C75" s="65" t="n">
        <v>47973</v>
      </c>
      <c r="D75" s="66" t="n">
        <f aca="false">IF(55&lt;=①前提条件!$B$51,0,MIN(F74,ROUND(①前提条件!$B$48/(①前提条件!$B$50-①前提条件!$B$51),0)))</f>
        <v>89744</v>
      </c>
      <c r="E75" s="66" t="n">
        <f aca="false">ROUND(F74*①前提条件!$B$49/12,0)</f>
        <v>5609</v>
      </c>
      <c r="F75" s="66" t="n">
        <f aca="false">F74-D75</f>
        <v>2602544</v>
      </c>
      <c r="H75" s="64" t="s">
        <v>339</v>
      </c>
      <c r="I75" s="64" t="n">
        <v>55</v>
      </c>
      <c r="J75" s="66" t="n">
        <f aca="false">MIN(L74,①前提条件!$B$54)</f>
        <v>0</v>
      </c>
      <c r="K75" s="66" t="n">
        <f aca="false">ROUND(L74*0.02/12,0)</f>
        <v>0</v>
      </c>
      <c r="L75" s="66" t="n">
        <f aca="false">L74-J75</f>
        <v>0</v>
      </c>
    </row>
    <row r="76" customFormat="false" ht="15" hidden="false" customHeight="false" outlineLevel="0" collapsed="false">
      <c r="A76" s="64" t="s">
        <v>339</v>
      </c>
      <c r="B76" s="64" t="n">
        <v>56</v>
      </c>
      <c r="C76" s="65" t="n">
        <v>48004</v>
      </c>
      <c r="D76" s="66" t="n">
        <f aca="false">IF(56&lt;=①前提条件!$B$51,0,MIN(F75,ROUND(①前提条件!$B$48/(①前提条件!$B$50-①前提条件!$B$51),0)))</f>
        <v>89744</v>
      </c>
      <c r="E76" s="66" t="n">
        <f aca="false">ROUND(F75*①前提条件!$B$49/12,0)</f>
        <v>5422</v>
      </c>
      <c r="F76" s="66" t="n">
        <f aca="false">F75-D76</f>
        <v>2512800</v>
      </c>
      <c r="H76" s="64" t="s">
        <v>339</v>
      </c>
      <c r="I76" s="64" t="n">
        <v>56</v>
      </c>
      <c r="J76" s="66" t="n">
        <f aca="false">MIN(L75,①前提条件!$B$54)</f>
        <v>0</v>
      </c>
      <c r="K76" s="66" t="n">
        <f aca="false">ROUND(L75*0.02/12,0)</f>
        <v>0</v>
      </c>
      <c r="L76" s="66" t="n">
        <f aca="false">L75-J76</f>
        <v>0</v>
      </c>
    </row>
    <row r="77" customFormat="false" ht="15" hidden="false" customHeight="false" outlineLevel="0" collapsed="false">
      <c r="A77" s="64" t="s">
        <v>339</v>
      </c>
      <c r="B77" s="64" t="n">
        <v>57</v>
      </c>
      <c r="C77" s="65" t="n">
        <v>48034</v>
      </c>
      <c r="D77" s="66" t="n">
        <f aca="false">IF(57&lt;=①前提条件!$B$51,0,MIN(F76,ROUND(①前提条件!$B$48/(①前提条件!$B$50-①前提条件!$B$51),0)))</f>
        <v>89744</v>
      </c>
      <c r="E77" s="66" t="n">
        <f aca="false">ROUND(F76*①前提条件!$B$49/12,0)</f>
        <v>5235</v>
      </c>
      <c r="F77" s="66" t="n">
        <f aca="false">F76-D77</f>
        <v>2423056</v>
      </c>
      <c r="H77" s="64" t="s">
        <v>339</v>
      </c>
      <c r="I77" s="64" t="n">
        <v>57</v>
      </c>
      <c r="J77" s="66" t="n">
        <f aca="false">MIN(L76,①前提条件!$B$54)</f>
        <v>0</v>
      </c>
      <c r="K77" s="66" t="n">
        <f aca="false">ROUND(L76*0.02/12,0)</f>
        <v>0</v>
      </c>
      <c r="L77" s="66" t="n">
        <f aca="false">L76-J77</f>
        <v>0</v>
      </c>
    </row>
    <row r="78" customFormat="false" ht="15" hidden="false" customHeight="false" outlineLevel="0" collapsed="false">
      <c r="A78" s="64" t="s">
        <v>339</v>
      </c>
      <c r="B78" s="64" t="n">
        <v>58</v>
      </c>
      <c r="C78" s="65" t="n">
        <v>48065</v>
      </c>
      <c r="D78" s="66" t="n">
        <f aca="false">IF(58&lt;=①前提条件!$B$51,0,MIN(F77,ROUND(①前提条件!$B$48/(①前提条件!$B$50-①前提条件!$B$51),0)))</f>
        <v>89744</v>
      </c>
      <c r="E78" s="66" t="n">
        <f aca="false">ROUND(F77*①前提条件!$B$49/12,0)</f>
        <v>5048</v>
      </c>
      <c r="F78" s="66" t="n">
        <f aca="false">F77-D78</f>
        <v>2333312</v>
      </c>
      <c r="H78" s="64" t="s">
        <v>339</v>
      </c>
      <c r="I78" s="64" t="n">
        <v>58</v>
      </c>
      <c r="J78" s="66" t="n">
        <f aca="false">MIN(L77,①前提条件!$B$54)</f>
        <v>0</v>
      </c>
      <c r="K78" s="66" t="n">
        <f aca="false">ROUND(L77*0.02/12,0)</f>
        <v>0</v>
      </c>
      <c r="L78" s="66" t="n">
        <f aca="false">L77-J78</f>
        <v>0</v>
      </c>
    </row>
    <row r="79" customFormat="false" ht="15" hidden="false" customHeight="false" outlineLevel="0" collapsed="false">
      <c r="A79" s="64" t="s">
        <v>340</v>
      </c>
      <c r="B79" s="64" t="n">
        <v>59</v>
      </c>
      <c r="C79" s="65" t="n">
        <v>48096</v>
      </c>
      <c r="D79" s="66" t="n">
        <f aca="false">IF(59&lt;=①前提条件!$B$51,0,MIN(F78,ROUND(①前提条件!$B$48/(①前提条件!$B$50-①前提条件!$B$51),0)))</f>
        <v>89744</v>
      </c>
      <c r="E79" s="66" t="n">
        <f aca="false">ROUND(F78*①前提条件!$B$49/12,0)</f>
        <v>4861</v>
      </c>
      <c r="F79" s="66" t="n">
        <f aca="false">F78-D79</f>
        <v>2243568</v>
      </c>
      <c r="H79" s="64" t="s">
        <v>339</v>
      </c>
      <c r="I79" s="64" t="n">
        <v>59</v>
      </c>
      <c r="J79" s="66" t="n">
        <f aca="false">MIN(L78,①前提条件!$B$54)</f>
        <v>0</v>
      </c>
      <c r="K79" s="66" t="n">
        <f aca="false">ROUND(L78*0.02/12,0)</f>
        <v>0</v>
      </c>
      <c r="L79" s="66" t="n">
        <f aca="false">L78-J79</f>
        <v>0</v>
      </c>
    </row>
    <row r="80" customFormat="false" ht="15" hidden="false" customHeight="false" outlineLevel="0" collapsed="false">
      <c r="A80" s="64" t="s">
        <v>340</v>
      </c>
      <c r="B80" s="64" t="n">
        <v>60</v>
      </c>
      <c r="C80" s="65" t="n">
        <v>48126</v>
      </c>
      <c r="D80" s="66" t="n">
        <f aca="false">IF(60&lt;=①前提条件!$B$51,0,MIN(F79,ROUND(①前提条件!$B$48/(①前提条件!$B$50-①前提条件!$B$51),0)))</f>
        <v>89744</v>
      </c>
      <c r="E80" s="66" t="n">
        <f aca="false">ROUND(F79*①前提条件!$B$49/12,0)</f>
        <v>4674</v>
      </c>
      <c r="F80" s="66" t="n">
        <f aca="false">F79-D80</f>
        <v>2153824</v>
      </c>
      <c r="H80" s="64" t="s">
        <v>339</v>
      </c>
      <c r="I80" s="64" t="n">
        <v>60</v>
      </c>
      <c r="J80" s="66" t="n">
        <f aca="false">MIN(L79,①前提条件!$B$54)</f>
        <v>0</v>
      </c>
      <c r="K80" s="66" t="n">
        <f aca="false">ROUND(L79*0.02/12,0)</f>
        <v>0</v>
      </c>
      <c r="L80" s="66" t="n">
        <f aca="false">L79-J80</f>
        <v>0</v>
      </c>
    </row>
    <row r="81" customFormat="false" ht="15" hidden="false" customHeight="false" outlineLevel="0" collapsed="false">
      <c r="A81" s="64" t="s">
        <v>340</v>
      </c>
      <c r="B81" s="64" t="n">
        <v>61</v>
      </c>
      <c r="C81" s="65" t="n">
        <v>48157</v>
      </c>
      <c r="D81" s="66" t="n">
        <f aca="false">IF(61&lt;=①前提条件!$B$51,0,MIN(F80,ROUND(①前提条件!$B$48/(①前提条件!$B$50-①前提条件!$B$51),0)))</f>
        <v>89744</v>
      </c>
      <c r="E81" s="66" t="n">
        <f aca="false">ROUND(F80*①前提条件!$B$49/12,0)</f>
        <v>4487</v>
      </c>
      <c r="F81" s="66" t="n">
        <f aca="false">F80-D81</f>
        <v>2064080</v>
      </c>
      <c r="H81" s="64" t="s">
        <v>340</v>
      </c>
      <c r="I81" s="64" t="n">
        <v>61</v>
      </c>
      <c r="J81" s="66" t="n">
        <f aca="false">MIN(L80,①前提条件!$B$54)</f>
        <v>0</v>
      </c>
      <c r="K81" s="66" t="n">
        <f aca="false">ROUND(L80*0.02/12,0)</f>
        <v>0</v>
      </c>
      <c r="L81" s="66" t="n">
        <f aca="false">L80-J81</f>
        <v>0</v>
      </c>
    </row>
    <row r="82" customFormat="false" ht="15" hidden="false" customHeight="false" outlineLevel="0" collapsed="false">
      <c r="A82" s="64" t="s">
        <v>340</v>
      </c>
      <c r="B82" s="64" t="n">
        <v>62</v>
      </c>
      <c r="C82" s="65" t="n">
        <v>48187</v>
      </c>
      <c r="D82" s="66" t="n">
        <f aca="false">IF(62&lt;=①前提条件!$B$51,0,MIN(F81,ROUND(①前提条件!$B$48/(①前提条件!$B$50-①前提条件!$B$51),0)))</f>
        <v>89744</v>
      </c>
      <c r="E82" s="66" t="n">
        <f aca="false">ROUND(F81*①前提条件!$B$49/12,0)</f>
        <v>4300</v>
      </c>
      <c r="F82" s="66" t="n">
        <f aca="false">F81-D82</f>
        <v>1974336</v>
      </c>
      <c r="H82" s="64" t="s">
        <v>340</v>
      </c>
      <c r="I82" s="64" t="n">
        <v>62</v>
      </c>
      <c r="J82" s="66" t="n">
        <f aca="false">MIN(L81,①前提条件!$B$54)</f>
        <v>0</v>
      </c>
      <c r="K82" s="66" t="n">
        <f aca="false">ROUND(L81*0.02/12,0)</f>
        <v>0</v>
      </c>
      <c r="L82" s="66" t="n">
        <f aca="false">L81-J82</f>
        <v>0</v>
      </c>
    </row>
    <row r="83" customFormat="false" ht="15" hidden="false" customHeight="false" outlineLevel="0" collapsed="false">
      <c r="A83" s="64" t="s">
        <v>340</v>
      </c>
      <c r="B83" s="64" t="n">
        <v>63</v>
      </c>
      <c r="C83" s="65" t="n">
        <v>48218</v>
      </c>
      <c r="D83" s="66" t="n">
        <f aca="false">IF(63&lt;=①前提条件!$B$51,0,MIN(F82,ROUND(①前提条件!$B$48/(①前提条件!$B$50-①前提条件!$B$51),0)))</f>
        <v>89744</v>
      </c>
      <c r="E83" s="66" t="n">
        <f aca="false">ROUND(F82*①前提条件!$B$49/12,0)</f>
        <v>4113</v>
      </c>
      <c r="F83" s="66" t="n">
        <f aca="false">F82-D83</f>
        <v>1884592</v>
      </c>
      <c r="H83" s="64" t="s">
        <v>340</v>
      </c>
      <c r="I83" s="64" t="n">
        <v>63</v>
      </c>
      <c r="J83" s="66" t="n">
        <f aca="false">MIN(L82,①前提条件!$B$54)</f>
        <v>0</v>
      </c>
      <c r="K83" s="66" t="n">
        <f aca="false">ROUND(L82*0.02/12,0)</f>
        <v>0</v>
      </c>
      <c r="L83" s="66" t="n">
        <f aca="false">L82-J83</f>
        <v>0</v>
      </c>
    </row>
    <row r="84" customFormat="false" ht="15" hidden="false" customHeight="false" outlineLevel="0" collapsed="false">
      <c r="A84" s="64" t="s">
        <v>340</v>
      </c>
      <c r="B84" s="64" t="n">
        <v>64</v>
      </c>
      <c r="C84" s="65" t="n">
        <v>48249</v>
      </c>
      <c r="D84" s="66" t="n">
        <f aca="false">IF(64&lt;=①前提条件!$B$51,0,MIN(F83,ROUND(①前提条件!$B$48/(①前提条件!$B$50-①前提条件!$B$51),0)))</f>
        <v>89744</v>
      </c>
      <c r="E84" s="66" t="n">
        <f aca="false">ROUND(F83*①前提条件!$B$49/12,0)</f>
        <v>3926</v>
      </c>
      <c r="F84" s="66" t="n">
        <f aca="false">F83-D84</f>
        <v>1794848</v>
      </c>
      <c r="H84" s="64" t="s">
        <v>340</v>
      </c>
      <c r="I84" s="64" t="n">
        <v>64</v>
      </c>
      <c r="J84" s="66" t="n">
        <f aca="false">MIN(L83,①前提条件!$B$54)</f>
        <v>0</v>
      </c>
      <c r="K84" s="66" t="n">
        <f aca="false">ROUND(L83*0.02/12,0)</f>
        <v>0</v>
      </c>
      <c r="L84" s="66" t="n">
        <f aca="false">L83-J84</f>
        <v>0</v>
      </c>
    </row>
    <row r="85" customFormat="false" ht="15" hidden="false" customHeight="false" outlineLevel="0" collapsed="false">
      <c r="A85" s="64" t="s">
        <v>340</v>
      </c>
      <c r="B85" s="64" t="n">
        <v>65</v>
      </c>
      <c r="C85" s="65" t="n">
        <v>48278</v>
      </c>
      <c r="D85" s="66" t="n">
        <f aca="false">IF(65&lt;=①前提条件!$B$51,0,MIN(F84,ROUND(①前提条件!$B$48/(①前提条件!$B$50-①前提条件!$B$51),0)))</f>
        <v>89744</v>
      </c>
      <c r="E85" s="66" t="n">
        <f aca="false">ROUND(F84*①前提条件!$B$49/12,0)</f>
        <v>3739</v>
      </c>
      <c r="F85" s="66" t="n">
        <f aca="false">F84-D85</f>
        <v>1705104</v>
      </c>
      <c r="H85" s="64" t="s">
        <v>340</v>
      </c>
      <c r="I85" s="64" t="n">
        <v>65</v>
      </c>
      <c r="J85" s="66" t="n">
        <f aca="false">MIN(L84,①前提条件!$B$54)</f>
        <v>0</v>
      </c>
      <c r="K85" s="66" t="n">
        <f aca="false">ROUND(L84*0.02/12,0)</f>
        <v>0</v>
      </c>
      <c r="L85" s="66" t="n">
        <f aca="false">L84-J85</f>
        <v>0</v>
      </c>
    </row>
    <row r="86" customFormat="false" ht="15" hidden="false" customHeight="false" outlineLevel="0" collapsed="false">
      <c r="A86" s="64" t="s">
        <v>340</v>
      </c>
      <c r="B86" s="64" t="n">
        <v>66</v>
      </c>
      <c r="C86" s="65" t="n">
        <v>48309</v>
      </c>
      <c r="D86" s="66" t="n">
        <f aca="false">IF(66&lt;=①前提条件!$B$51,0,MIN(F85,ROUND(①前提条件!$B$48/(①前提条件!$B$50-①前提条件!$B$51),0)))</f>
        <v>89744</v>
      </c>
      <c r="E86" s="66" t="n">
        <f aca="false">ROUND(F85*①前提条件!$B$49/12,0)</f>
        <v>3552</v>
      </c>
      <c r="F86" s="66" t="n">
        <f aca="false">F85-D86</f>
        <v>1615360</v>
      </c>
      <c r="H86" s="64" t="s">
        <v>340</v>
      </c>
      <c r="I86" s="64" t="n">
        <v>66</v>
      </c>
      <c r="J86" s="66" t="n">
        <f aca="false">MIN(L85,①前提条件!$B$54)</f>
        <v>0</v>
      </c>
      <c r="K86" s="66" t="n">
        <f aca="false">ROUND(L85*0.02/12,0)</f>
        <v>0</v>
      </c>
      <c r="L86" s="66" t="n">
        <f aca="false">L85-J86</f>
        <v>0</v>
      </c>
    </row>
    <row r="87" customFormat="false" ht="15" hidden="false" customHeight="false" outlineLevel="0" collapsed="false">
      <c r="A87" s="64" t="s">
        <v>340</v>
      </c>
      <c r="B87" s="64" t="n">
        <v>67</v>
      </c>
      <c r="C87" s="65" t="n">
        <v>48339</v>
      </c>
      <c r="D87" s="66" t="n">
        <f aca="false">IF(67&lt;=①前提条件!$B$51,0,MIN(F86,ROUND(①前提条件!$B$48/(①前提条件!$B$50-①前提条件!$B$51),0)))</f>
        <v>89744</v>
      </c>
      <c r="E87" s="66" t="n">
        <f aca="false">ROUND(F86*①前提条件!$B$49/12,0)</f>
        <v>3365</v>
      </c>
      <c r="F87" s="66" t="n">
        <f aca="false">F86-D87</f>
        <v>1525616</v>
      </c>
      <c r="H87" s="64" t="s">
        <v>340</v>
      </c>
      <c r="I87" s="64" t="n">
        <v>67</v>
      </c>
      <c r="J87" s="66" t="n">
        <f aca="false">MIN(L86,①前提条件!$B$54)</f>
        <v>0</v>
      </c>
      <c r="K87" s="66" t="n">
        <f aca="false">ROUND(L86*0.02/12,0)</f>
        <v>0</v>
      </c>
      <c r="L87" s="66" t="n">
        <f aca="false">L86-J87</f>
        <v>0</v>
      </c>
    </row>
    <row r="88" customFormat="false" ht="15" hidden="false" customHeight="false" outlineLevel="0" collapsed="false">
      <c r="A88" s="64" t="s">
        <v>340</v>
      </c>
      <c r="B88" s="64" t="n">
        <v>68</v>
      </c>
      <c r="C88" s="65" t="n">
        <v>48370</v>
      </c>
      <c r="D88" s="66" t="n">
        <f aca="false">IF(68&lt;=①前提条件!$B$51,0,MIN(F87,ROUND(①前提条件!$B$48/(①前提条件!$B$50-①前提条件!$B$51),0)))</f>
        <v>89744</v>
      </c>
      <c r="E88" s="66" t="n">
        <f aca="false">ROUND(F87*①前提条件!$B$49/12,0)</f>
        <v>3178</v>
      </c>
      <c r="F88" s="66" t="n">
        <f aca="false">F87-D88</f>
        <v>1435872</v>
      </c>
      <c r="H88" s="64" t="s">
        <v>340</v>
      </c>
      <c r="I88" s="64" t="n">
        <v>68</v>
      </c>
      <c r="J88" s="66" t="n">
        <f aca="false">MIN(L87,①前提条件!$B$54)</f>
        <v>0</v>
      </c>
      <c r="K88" s="66" t="n">
        <f aca="false">ROUND(L87*0.02/12,0)</f>
        <v>0</v>
      </c>
      <c r="L88" s="66" t="n">
        <f aca="false">L87-J88</f>
        <v>0</v>
      </c>
    </row>
    <row r="89" customFormat="false" ht="15" hidden="false" customHeight="false" outlineLevel="0" collapsed="false">
      <c r="A89" s="64" t="s">
        <v>340</v>
      </c>
      <c r="B89" s="64" t="n">
        <v>69</v>
      </c>
      <c r="C89" s="65" t="n">
        <v>48400</v>
      </c>
      <c r="D89" s="66" t="n">
        <f aca="false">IF(69&lt;=①前提条件!$B$51,0,MIN(F88,ROUND(①前提条件!$B$48/(①前提条件!$B$50-①前提条件!$B$51),0)))</f>
        <v>89744</v>
      </c>
      <c r="E89" s="66" t="n">
        <f aca="false">ROUND(F88*①前提条件!$B$49/12,0)</f>
        <v>2991</v>
      </c>
      <c r="F89" s="66" t="n">
        <f aca="false">F88-D89</f>
        <v>1346128</v>
      </c>
      <c r="H89" s="64" t="s">
        <v>340</v>
      </c>
      <c r="I89" s="64" t="n">
        <v>69</v>
      </c>
      <c r="J89" s="66" t="n">
        <f aca="false">MIN(L88,①前提条件!$B$54)</f>
        <v>0</v>
      </c>
      <c r="K89" s="66" t="n">
        <f aca="false">ROUND(L88*0.02/12,0)</f>
        <v>0</v>
      </c>
      <c r="L89" s="66" t="n">
        <f aca="false">L88-J89</f>
        <v>0</v>
      </c>
    </row>
    <row r="90" customFormat="false" ht="15" hidden="false" customHeight="false" outlineLevel="0" collapsed="false">
      <c r="A90" s="64" t="s">
        <v>340</v>
      </c>
      <c r="B90" s="64" t="n">
        <v>70</v>
      </c>
      <c r="C90" s="65" t="n">
        <v>48431</v>
      </c>
      <c r="D90" s="66" t="n">
        <f aca="false">IF(70&lt;=①前提条件!$B$51,0,MIN(F89,ROUND(①前提条件!$B$48/(①前提条件!$B$50-①前提条件!$B$51),0)))</f>
        <v>89744</v>
      </c>
      <c r="E90" s="66" t="n">
        <f aca="false">ROUND(F89*①前提条件!$B$49/12,0)</f>
        <v>2804</v>
      </c>
      <c r="F90" s="66" t="n">
        <f aca="false">F89-D90</f>
        <v>1256384</v>
      </c>
      <c r="H90" s="64" t="s">
        <v>340</v>
      </c>
      <c r="I90" s="64" t="n">
        <v>70</v>
      </c>
      <c r="J90" s="66" t="n">
        <f aca="false">MIN(L89,①前提条件!$B$54)</f>
        <v>0</v>
      </c>
      <c r="K90" s="66" t="n">
        <f aca="false">ROUND(L89*0.02/12,0)</f>
        <v>0</v>
      </c>
      <c r="L90" s="66" t="n">
        <f aca="false">L89-J90</f>
        <v>0</v>
      </c>
    </row>
    <row r="91" customFormat="false" ht="15" hidden="false" customHeight="false" outlineLevel="0" collapsed="false">
      <c r="A91" s="64" t="s">
        <v>341</v>
      </c>
      <c r="B91" s="64" t="n">
        <v>71</v>
      </c>
      <c r="C91" s="65" t="n">
        <v>48462</v>
      </c>
      <c r="D91" s="66" t="n">
        <f aca="false">IF(71&lt;=①前提条件!$B$51,0,MIN(F90,ROUND(①前提条件!$B$48/(①前提条件!$B$50-①前提条件!$B$51),0)))</f>
        <v>89744</v>
      </c>
      <c r="E91" s="66" t="n">
        <f aca="false">ROUND(F90*①前提条件!$B$49/12,0)</f>
        <v>2617</v>
      </c>
      <c r="F91" s="66" t="n">
        <f aca="false">F90-D91</f>
        <v>1166640</v>
      </c>
      <c r="H91" s="64" t="s">
        <v>340</v>
      </c>
      <c r="I91" s="64" t="n">
        <v>71</v>
      </c>
      <c r="J91" s="66" t="n">
        <f aca="false">MIN(L90,①前提条件!$B$54)</f>
        <v>0</v>
      </c>
      <c r="K91" s="66" t="n">
        <f aca="false">ROUND(L90*0.02/12,0)</f>
        <v>0</v>
      </c>
      <c r="L91" s="66" t="n">
        <f aca="false">L90-J91</f>
        <v>0</v>
      </c>
    </row>
    <row r="92" customFormat="false" ht="15" hidden="false" customHeight="false" outlineLevel="0" collapsed="false">
      <c r="A92" s="64" t="s">
        <v>341</v>
      </c>
      <c r="B92" s="64" t="n">
        <v>72</v>
      </c>
      <c r="C92" s="65" t="n">
        <v>48492</v>
      </c>
      <c r="D92" s="66" t="n">
        <f aca="false">IF(72&lt;=①前提条件!$B$51,0,MIN(F91,ROUND(①前提条件!$B$48/(①前提条件!$B$50-①前提条件!$B$51),0)))</f>
        <v>89744</v>
      </c>
      <c r="E92" s="66" t="n">
        <f aca="false">ROUND(F91*①前提条件!$B$49/12,0)</f>
        <v>2431</v>
      </c>
      <c r="F92" s="66" t="n">
        <f aca="false">F91-D92</f>
        <v>1076896</v>
      </c>
      <c r="H92" s="64" t="s">
        <v>340</v>
      </c>
      <c r="I92" s="64" t="n">
        <v>72</v>
      </c>
      <c r="J92" s="66" t="n">
        <f aca="false">MIN(L91,①前提条件!$B$54)</f>
        <v>0</v>
      </c>
      <c r="K92" s="66" t="n">
        <f aca="false">ROUND(L91*0.02/12,0)</f>
        <v>0</v>
      </c>
      <c r="L92" s="66" t="n">
        <f aca="false">L91-J92</f>
        <v>0</v>
      </c>
    </row>
    <row r="93" customFormat="false" ht="15" hidden="false" customHeight="false" outlineLevel="0" collapsed="false">
      <c r="A93" s="64" t="s">
        <v>341</v>
      </c>
      <c r="B93" s="64" t="n">
        <v>73</v>
      </c>
      <c r="C93" s="65" t="n">
        <v>48523</v>
      </c>
      <c r="D93" s="66" t="n">
        <f aca="false">IF(73&lt;=①前提条件!$B$51,0,MIN(F92,ROUND(①前提条件!$B$48/(①前提条件!$B$50-①前提条件!$B$51),0)))</f>
        <v>89744</v>
      </c>
      <c r="E93" s="66" t="n">
        <f aca="false">ROUND(F92*①前提条件!$B$49/12,0)</f>
        <v>2244</v>
      </c>
      <c r="F93" s="66" t="n">
        <f aca="false">F92-D93</f>
        <v>987152</v>
      </c>
      <c r="H93" s="64" t="s">
        <v>341</v>
      </c>
      <c r="I93" s="64" t="n">
        <v>73</v>
      </c>
      <c r="J93" s="66" t="n">
        <f aca="false">MIN(L92,①前提条件!$B$54)</f>
        <v>0</v>
      </c>
      <c r="K93" s="66" t="n">
        <f aca="false">ROUND(L92*0.02/12,0)</f>
        <v>0</v>
      </c>
      <c r="L93" s="66" t="n">
        <f aca="false">L92-J93</f>
        <v>0</v>
      </c>
    </row>
    <row r="94" customFormat="false" ht="15" hidden="false" customHeight="false" outlineLevel="0" collapsed="false">
      <c r="A94" s="64" t="s">
        <v>341</v>
      </c>
      <c r="B94" s="64" t="n">
        <v>74</v>
      </c>
      <c r="C94" s="65" t="n">
        <v>48553</v>
      </c>
      <c r="D94" s="66" t="n">
        <f aca="false">IF(74&lt;=①前提条件!$B$51,0,MIN(F93,ROUND(①前提条件!$B$48/(①前提条件!$B$50-①前提条件!$B$51),0)))</f>
        <v>89744</v>
      </c>
      <c r="E94" s="66" t="n">
        <f aca="false">ROUND(F93*①前提条件!$B$49/12,0)</f>
        <v>2057</v>
      </c>
      <c r="F94" s="66" t="n">
        <f aca="false">F93-D94</f>
        <v>897408</v>
      </c>
      <c r="H94" s="64" t="s">
        <v>341</v>
      </c>
      <c r="I94" s="64" t="n">
        <v>74</v>
      </c>
      <c r="J94" s="66" t="n">
        <f aca="false">MIN(L93,①前提条件!$B$54)</f>
        <v>0</v>
      </c>
      <c r="K94" s="66" t="n">
        <f aca="false">ROUND(L93*0.02/12,0)</f>
        <v>0</v>
      </c>
      <c r="L94" s="66" t="n">
        <f aca="false">L93-J94</f>
        <v>0</v>
      </c>
    </row>
    <row r="95" customFormat="false" ht="15" hidden="false" customHeight="false" outlineLevel="0" collapsed="false">
      <c r="A95" s="64" t="s">
        <v>341</v>
      </c>
      <c r="B95" s="64" t="n">
        <v>75</v>
      </c>
      <c r="C95" s="65" t="n">
        <v>48584</v>
      </c>
      <c r="D95" s="66" t="n">
        <f aca="false">IF(75&lt;=①前提条件!$B$51,0,MIN(F94,ROUND(①前提条件!$B$48/(①前提条件!$B$50-①前提条件!$B$51),0)))</f>
        <v>89744</v>
      </c>
      <c r="E95" s="66" t="n">
        <f aca="false">ROUND(F94*①前提条件!$B$49/12,0)</f>
        <v>1870</v>
      </c>
      <c r="F95" s="66" t="n">
        <f aca="false">F94-D95</f>
        <v>807664</v>
      </c>
      <c r="H95" s="64" t="s">
        <v>341</v>
      </c>
      <c r="I95" s="64" t="n">
        <v>75</v>
      </c>
      <c r="J95" s="66" t="n">
        <f aca="false">MIN(L94,①前提条件!$B$54)</f>
        <v>0</v>
      </c>
      <c r="K95" s="66" t="n">
        <f aca="false">ROUND(L94*0.02/12,0)</f>
        <v>0</v>
      </c>
      <c r="L95" s="66" t="n">
        <f aca="false">L94-J95</f>
        <v>0</v>
      </c>
    </row>
    <row r="96" customFormat="false" ht="15" hidden="false" customHeight="false" outlineLevel="0" collapsed="false">
      <c r="A96" s="64" t="s">
        <v>341</v>
      </c>
      <c r="B96" s="64" t="n">
        <v>76</v>
      </c>
      <c r="C96" s="65" t="n">
        <v>48615</v>
      </c>
      <c r="D96" s="66" t="n">
        <f aca="false">IF(76&lt;=①前提条件!$B$51,0,MIN(F95,ROUND(①前提条件!$B$48/(①前提条件!$B$50-①前提条件!$B$51),0)))</f>
        <v>89744</v>
      </c>
      <c r="E96" s="66" t="n">
        <f aca="false">ROUND(F95*①前提条件!$B$49/12,0)</f>
        <v>1683</v>
      </c>
      <c r="F96" s="66" t="n">
        <f aca="false">F95-D96</f>
        <v>717920</v>
      </c>
      <c r="H96" s="64" t="s">
        <v>341</v>
      </c>
      <c r="I96" s="64" t="n">
        <v>76</v>
      </c>
      <c r="J96" s="66" t="n">
        <f aca="false">MIN(L95,①前提条件!$B$54)</f>
        <v>0</v>
      </c>
      <c r="K96" s="66" t="n">
        <f aca="false">ROUND(L95*0.02/12,0)</f>
        <v>0</v>
      </c>
      <c r="L96" s="66" t="n">
        <f aca="false">L95-J96</f>
        <v>0</v>
      </c>
    </row>
    <row r="97" customFormat="false" ht="15" hidden="false" customHeight="false" outlineLevel="0" collapsed="false">
      <c r="A97" s="64" t="s">
        <v>341</v>
      </c>
      <c r="B97" s="64" t="n">
        <v>77</v>
      </c>
      <c r="C97" s="65" t="n">
        <v>48643</v>
      </c>
      <c r="D97" s="66" t="n">
        <f aca="false">IF(77&lt;=①前提条件!$B$51,0,MIN(F96,ROUND(①前提条件!$B$48/(①前提条件!$B$50-①前提条件!$B$51),0)))</f>
        <v>89744</v>
      </c>
      <c r="E97" s="66" t="n">
        <f aca="false">ROUND(F96*①前提条件!$B$49/12,0)</f>
        <v>1496</v>
      </c>
      <c r="F97" s="66" t="n">
        <f aca="false">F96-D97</f>
        <v>628176</v>
      </c>
      <c r="H97" s="64" t="s">
        <v>341</v>
      </c>
      <c r="I97" s="64" t="n">
        <v>77</v>
      </c>
      <c r="J97" s="66" t="n">
        <f aca="false">MIN(L96,①前提条件!$B$54)</f>
        <v>0</v>
      </c>
      <c r="K97" s="66" t="n">
        <f aca="false">ROUND(L96*0.02/12,0)</f>
        <v>0</v>
      </c>
      <c r="L97" s="66" t="n">
        <f aca="false">L96-J97</f>
        <v>0</v>
      </c>
    </row>
    <row r="98" customFormat="false" ht="15" hidden="false" customHeight="false" outlineLevel="0" collapsed="false">
      <c r="A98" s="64" t="s">
        <v>341</v>
      </c>
      <c r="B98" s="64" t="n">
        <v>78</v>
      </c>
      <c r="C98" s="65" t="n">
        <v>48674</v>
      </c>
      <c r="D98" s="66" t="n">
        <f aca="false">IF(78&lt;=①前提条件!$B$51,0,MIN(F97,ROUND(①前提条件!$B$48/(①前提条件!$B$50-①前提条件!$B$51),0)))</f>
        <v>89744</v>
      </c>
      <c r="E98" s="66" t="n">
        <f aca="false">ROUND(F97*①前提条件!$B$49/12,0)</f>
        <v>1309</v>
      </c>
      <c r="F98" s="66" t="n">
        <f aca="false">F97-D98</f>
        <v>538432</v>
      </c>
      <c r="H98" s="64" t="s">
        <v>341</v>
      </c>
      <c r="I98" s="64" t="n">
        <v>78</v>
      </c>
      <c r="J98" s="66" t="n">
        <f aca="false">MIN(L97,①前提条件!$B$54)</f>
        <v>0</v>
      </c>
      <c r="K98" s="66" t="n">
        <f aca="false">ROUND(L97*0.02/12,0)</f>
        <v>0</v>
      </c>
      <c r="L98" s="66" t="n">
        <f aca="false">L97-J98</f>
        <v>0</v>
      </c>
    </row>
    <row r="99" customFormat="false" ht="15" hidden="false" customHeight="false" outlineLevel="0" collapsed="false">
      <c r="A99" s="64" t="s">
        <v>341</v>
      </c>
      <c r="B99" s="64" t="n">
        <v>79</v>
      </c>
      <c r="C99" s="65" t="n">
        <v>48704</v>
      </c>
      <c r="D99" s="66" t="n">
        <f aca="false">IF(79&lt;=①前提条件!$B$51,0,MIN(F98,ROUND(①前提条件!$B$48/(①前提条件!$B$50-①前提条件!$B$51),0)))</f>
        <v>89744</v>
      </c>
      <c r="E99" s="66" t="n">
        <f aca="false">ROUND(F98*①前提条件!$B$49/12,0)</f>
        <v>1122</v>
      </c>
      <c r="F99" s="66" t="n">
        <f aca="false">F98-D99</f>
        <v>448688</v>
      </c>
      <c r="H99" s="64" t="s">
        <v>341</v>
      </c>
      <c r="I99" s="64" t="n">
        <v>79</v>
      </c>
      <c r="J99" s="66" t="n">
        <f aca="false">MIN(L98,①前提条件!$B$54)</f>
        <v>0</v>
      </c>
      <c r="K99" s="66" t="n">
        <f aca="false">ROUND(L98*0.02/12,0)</f>
        <v>0</v>
      </c>
      <c r="L99" s="66" t="n">
        <f aca="false">L98-J99</f>
        <v>0</v>
      </c>
    </row>
    <row r="100" customFormat="false" ht="15" hidden="false" customHeight="false" outlineLevel="0" collapsed="false">
      <c r="A100" s="64" t="s">
        <v>341</v>
      </c>
      <c r="B100" s="64" t="n">
        <v>80</v>
      </c>
      <c r="C100" s="65" t="n">
        <v>48735</v>
      </c>
      <c r="D100" s="66" t="n">
        <f aca="false">IF(80&lt;=①前提条件!$B$51,0,MIN(F99,ROUND(①前提条件!$B$48/(①前提条件!$B$50-①前提条件!$B$51),0)))</f>
        <v>89744</v>
      </c>
      <c r="E100" s="66" t="n">
        <f aca="false">ROUND(F99*①前提条件!$B$49/12,0)</f>
        <v>935</v>
      </c>
      <c r="F100" s="66" t="n">
        <f aca="false">F99-D100</f>
        <v>358944</v>
      </c>
      <c r="H100" s="64" t="s">
        <v>341</v>
      </c>
      <c r="I100" s="64" t="n">
        <v>80</v>
      </c>
      <c r="J100" s="66" t="n">
        <f aca="false">MIN(L99,①前提条件!$B$54)</f>
        <v>0</v>
      </c>
      <c r="K100" s="66" t="n">
        <f aca="false">ROUND(L99*0.02/12,0)</f>
        <v>0</v>
      </c>
      <c r="L100" s="66" t="n">
        <f aca="false">L99-J100</f>
        <v>0</v>
      </c>
    </row>
    <row r="101" customFormat="false" ht="15" hidden="false" customHeight="false" outlineLevel="0" collapsed="false">
      <c r="A101" s="64" t="s">
        <v>341</v>
      </c>
      <c r="B101" s="64" t="n">
        <v>81</v>
      </c>
      <c r="C101" s="65" t="n">
        <v>48765</v>
      </c>
      <c r="D101" s="66" t="n">
        <f aca="false">IF(81&lt;=①前提条件!$B$51,0,MIN(F100,ROUND(①前提条件!$B$48/(①前提条件!$B$50-①前提条件!$B$51),0)))</f>
        <v>89744</v>
      </c>
      <c r="E101" s="66" t="n">
        <f aca="false">ROUND(F100*①前提条件!$B$49/12,0)</f>
        <v>748</v>
      </c>
      <c r="F101" s="66" t="n">
        <f aca="false">F100-D101</f>
        <v>269200</v>
      </c>
      <c r="H101" s="64" t="s">
        <v>341</v>
      </c>
      <c r="I101" s="64" t="n">
        <v>81</v>
      </c>
      <c r="J101" s="66" t="n">
        <f aca="false">MIN(L100,①前提条件!$B$54)</f>
        <v>0</v>
      </c>
      <c r="K101" s="66" t="n">
        <f aca="false">ROUND(L100*0.02/12,0)</f>
        <v>0</v>
      </c>
      <c r="L101" s="66" t="n">
        <f aca="false">L100-J101</f>
        <v>0</v>
      </c>
    </row>
    <row r="102" customFormat="false" ht="15" hidden="false" customHeight="false" outlineLevel="0" collapsed="false">
      <c r="A102" s="64" t="s">
        <v>341</v>
      </c>
      <c r="B102" s="64" t="n">
        <v>82</v>
      </c>
      <c r="C102" s="65" t="n">
        <v>48796</v>
      </c>
      <c r="D102" s="66" t="n">
        <f aca="false">IF(82&lt;=①前提条件!$B$51,0,MIN(F101,ROUND(①前提条件!$B$48/(①前提条件!$B$50-①前提条件!$B$51),0)))</f>
        <v>89744</v>
      </c>
      <c r="E102" s="66" t="n">
        <f aca="false">ROUND(F101*①前提条件!$B$49/12,0)</f>
        <v>561</v>
      </c>
      <c r="F102" s="66" t="n">
        <f aca="false">F101-D102</f>
        <v>179456</v>
      </c>
      <c r="H102" s="64" t="s">
        <v>341</v>
      </c>
      <c r="I102" s="64" t="n">
        <v>82</v>
      </c>
      <c r="J102" s="66" t="n">
        <f aca="false">MIN(L101,①前提条件!$B$54)</f>
        <v>0</v>
      </c>
      <c r="K102" s="66" t="n">
        <f aca="false">ROUND(L101*0.02/12,0)</f>
        <v>0</v>
      </c>
      <c r="L102" s="66" t="n">
        <f aca="false">L101-J102</f>
        <v>0</v>
      </c>
    </row>
    <row r="103" customFormat="false" ht="15" hidden="false" customHeight="false" outlineLevel="0" collapsed="false">
      <c r="A103" s="64" t="s">
        <v>342</v>
      </c>
      <c r="B103" s="64" t="n">
        <v>83</v>
      </c>
      <c r="C103" s="65" t="n">
        <v>48827</v>
      </c>
      <c r="D103" s="66" t="n">
        <f aca="false">IF(83&lt;=①前提条件!$B$51,0,MIN(F102,ROUND(①前提条件!$B$48/(①前提条件!$B$50-①前提条件!$B$51),0)))</f>
        <v>89744</v>
      </c>
      <c r="E103" s="66" t="n">
        <f aca="false">ROUND(F102*①前提条件!$B$49/12,0)</f>
        <v>374</v>
      </c>
      <c r="F103" s="66" t="n">
        <f aca="false">F102-D103</f>
        <v>89712</v>
      </c>
      <c r="H103" s="64" t="s">
        <v>341</v>
      </c>
      <c r="I103" s="64" t="n">
        <v>83</v>
      </c>
      <c r="J103" s="66" t="n">
        <f aca="false">MIN(L102,①前提条件!$B$54)</f>
        <v>0</v>
      </c>
      <c r="K103" s="66" t="n">
        <f aca="false">ROUND(L102*0.02/12,0)</f>
        <v>0</v>
      </c>
      <c r="L103" s="66" t="n">
        <f aca="false">L102-J103</f>
        <v>0</v>
      </c>
    </row>
    <row r="104" customFormat="false" ht="15" hidden="false" customHeight="false" outlineLevel="0" collapsed="false">
      <c r="A104" s="64" t="s">
        <v>342</v>
      </c>
      <c r="B104" s="64" t="n">
        <v>84</v>
      </c>
      <c r="C104" s="65" t="n">
        <v>48857</v>
      </c>
      <c r="D104" s="66" t="n">
        <f aca="false">IF(84&lt;=①前提条件!$B$51,0,MIN(F103,ROUND(①前提条件!$B$48/(①前提条件!$B$50-①前提条件!$B$51),0)))</f>
        <v>89712</v>
      </c>
      <c r="E104" s="66" t="n">
        <f aca="false">ROUND(F103*①前提条件!$B$49/12,0)</f>
        <v>187</v>
      </c>
      <c r="F104" s="66" t="n">
        <f aca="false">F103-D104</f>
        <v>0</v>
      </c>
      <c r="H104" s="64" t="s">
        <v>341</v>
      </c>
      <c r="I104" s="64" t="n">
        <v>84</v>
      </c>
      <c r="J104" s="66" t="n">
        <f aca="false">MIN(L103,①前提条件!$B$54)</f>
        <v>0</v>
      </c>
      <c r="K104" s="66" t="n">
        <f aca="false">ROUND(L103*0.02/12,0)</f>
        <v>0</v>
      </c>
      <c r="L104" s="66" t="n">
        <f aca="false">L103-J104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6" min="3" style="0" width="18"/>
    <col collapsed="false" customWidth="true" hidden="false" outlineLevel="0" max="7" min="7" style="0" width="56"/>
  </cols>
  <sheetData>
    <row r="1" customFormat="false" ht="17.35" hidden="false" customHeight="false" outlineLevel="0" collapsed="false">
      <c r="A1" s="1" t="s">
        <v>343</v>
      </c>
    </row>
    <row r="2" customFormat="false" ht="15" hidden="false" customHeight="false" outlineLevel="0" collapsed="false">
      <c r="A2" s="2" t="s">
        <v>344</v>
      </c>
    </row>
    <row r="4" customFormat="false" ht="30" hidden="false" customHeight="true" outlineLevel="0" collapsed="false">
      <c r="A4" s="9" t="s">
        <v>345</v>
      </c>
      <c r="B4" s="9" t="s">
        <v>346</v>
      </c>
      <c r="C4" s="9" t="s">
        <v>14</v>
      </c>
      <c r="D4" s="9" t="s">
        <v>15</v>
      </c>
      <c r="E4" s="9" t="s">
        <v>16</v>
      </c>
      <c r="F4" s="9" t="s">
        <v>17</v>
      </c>
      <c r="G4" s="9" t="s">
        <v>226</v>
      </c>
    </row>
    <row r="5" customFormat="false" ht="25.5" hidden="false" customHeight="true" outlineLevel="0" collapsed="false">
      <c r="A5" s="42" t="s">
        <v>347</v>
      </c>
      <c r="B5" s="11" t="n">
        <v>-276759</v>
      </c>
      <c r="C5" s="11" t="n">
        <v>-276759</v>
      </c>
      <c r="D5" s="11" t="n">
        <f aca="false">C6</f>
        <v>-1711921</v>
      </c>
      <c r="E5" s="11" t="n">
        <f aca="false">D6</f>
        <v>-580758</v>
      </c>
      <c r="F5" s="11" t="n">
        <f aca="false">E6</f>
        <v>8230032</v>
      </c>
      <c r="G5" s="43" t="s">
        <v>348</v>
      </c>
    </row>
    <row r="6" customFormat="false" ht="25.5" hidden="false" customHeight="true" outlineLevel="0" collapsed="false">
      <c r="A6" s="34" t="s">
        <v>22</v>
      </c>
      <c r="B6" s="36" t="n">
        <v>-1281921</v>
      </c>
      <c r="C6" s="36" t="n">
        <f aca="false">C5+C7</f>
        <v>-1711921</v>
      </c>
      <c r="D6" s="36" t="n">
        <f aca="false">D5+D7</f>
        <v>-580758</v>
      </c>
      <c r="E6" s="36" t="n">
        <f aca="false">E5+E7</f>
        <v>8230032</v>
      </c>
      <c r="F6" s="36" t="n">
        <f aca="false">F5+F7</f>
        <v>18245863</v>
      </c>
      <c r="G6" s="67" t="s">
        <v>252</v>
      </c>
    </row>
    <row r="7" customFormat="false" ht="25.5" hidden="false" customHeight="true" outlineLevel="0" collapsed="false">
      <c r="A7" s="42" t="s">
        <v>20</v>
      </c>
      <c r="B7" s="11" t="n">
        <v>-1005162</v>
      </c>
      <c r="C7" s="11" t="n">
        <f aca="false">-1005162+①前提条件!$B$60</f>
        <v>-1435162</v>
      </c>
      <c r="D7" s="11" t="n">
        <f aca="false">③3か年収支計画!E18</f>
        <v>1131163</v>
      </c>
      <c r="E7" s="11" t="n">
        <f aca="false">③3か年収支計画!F18</f>
        <v>8810790</v>
      </c>
      <c r="F7" s="11" t="n">
        <f aca="false">③3か年収支計画!G18</f>
        <v>10015831</v>
      </c>
      <c r="G7" s="47" t="s">
        <v>349</v>
      </c>
    </row>
    <row r="8" customFormat="false" ht="25.5" hidden="false" customHeight="true" outlineLevel="0" collapsed="false">
      <c r="A8" s="42" t="s">
        <v>350</v>
      </c>
      <c r="B8" s="11"/>
      <c r="C8" s="11"/>
      <c r="D8" s="11" t="n">
        <f aca="false">MIN(0,C6-300000)</f>
        <v>-2011921</v>
      </c>
      <c r="E8" s="11" t="n">
        <f aca="false">MIN(0,D6-300000)</f>
        <v>-880758</v>
      </c>
      <c r="F8" s="11" t="n">
        <f aca="false">MIN(0,E6-300000)</f>
        <v>0</v>
      </c>
      <c r="G8" s="43" t="s">
        <v>351</v>
      </c>
    </row>
    <row r="9" customFormat="false" ht="25.5" hidden="false" customHeight="true" outlineLevel="0" collapsed="false">
      <c r="A9" s="42" t="s">
        <v>352</v>
      </c>
      <c r="B9" s="68" t="str">
        <f aca="false">IF(B6&lt;0,"債務超過","解消")</f>
        <v>債務超過</v>
      </c>
      <c r="C9" s="68" t="str">
        <f aca="false">IF(C6&lt;0,"債務超過","解消")</f>
        <v>債務超過</v>
      </c>
      <c r="D9" s="68" t="str">
        <f aca="false">IF(D6&lt;0,"債務超過","解消")</f>
        <v>債務超過</v>
      </c>
      <c r="E9" s="68" t="str">
        <f aca="false">IF(E6&lt;0,"債務超過","解消")</f>
        <v>解消</v>
      </c>
      <c r="F9" s="68" t="str">
        <f aca="false">IF(F6&lt;0,"債務超過","解消")</f>
        <v>解消</v>
      </c>
      <c r="G9" s="43"/>
    </row>
    <row r="10" customFormat="false" ht="25.5" hidden="false" customHeight="true" outlineLevel="0" collapsed="false">
      <c r="A10" s="42" t="s">
        <v>353</v>
      </c>
      <c r="B10" s="11" t="n">
        <v>1500000</v>
      </c>
      <c r="C10" s="11" t="n">
        <v>1500000</v>
      </c>
      <c r="D10" s="11" t="n">
        <v>1500000</v>
      </c>
      <c r="E10" s="11" t="n">
        <v>1500000</v>
      </c>
      <c r="F10" s="11" t="n">
        <v>1500000</v>
      </c>
      <c r="G10" s="43" t="s">
        <v>354</v>
      </c>
    </row>
    <row r="11" customFormat="false" ht="25.5" hidden="false" customHeight="true" outlineLevel="0" collapsed="false">
      <c r="A11" s="69" t="s">
        <v>355</v>
      </c>
      <c r="B11" s="53" t="n">
        <f aca="false">B6+B10</f>
        <v>218079</v>
      </c>
      <c r="C11" s="53" t="n">
        <f aca="false">C6+C10</f>
        <v>-211921</v>
      </c>
      <c r="D11" s="53" t="n">
        <f aca="false">D6+D10</f>
        <v>919242</v>
      </c>
      <c r="E11" s="53" t="n">
        <f aca="false">E6+E10</f>
        <v>9730032</v>
      </c>
      <c r="F11" s="53" t="n">
        <f aca="false">F6+F10</f>
        <v>19745863</v>
      </c>
      <c r="G11" s="70" t="s">
        <v>356</v>
      </c>
    </row>
    <row r="12" customFormat="false" ht="15" hidden="false" customHeight="false" outlineLevel="0" collapsed="false">
      <c r="A12" s="71" t="s">
        <v>357</v>
      </c>
      <c r="B12" s="68" t="str">
        <f aca="false">IF(B11&lt;0,"債務超過","解消")</f>
        <v>解消</v>
      </c>
      <c r="C12" s="68" t="str">
        <f aca="false">IF(C11&lt;0,"債務超過","解消")</f>
        <v>債務超過</v>
      </c>
      <c r="D12" s="68" t="str">
        <f aca="false">IF(D11&lt;0,"債務超過","解消")</f>
        <v>解消</v>
      </c>
      <c r="E12" s="68" t="str">
        <f aca="false">IF(E11&lt;0,"債務超過","解消")</f>
        <v>解消</v>
      </c>
      <c r="F12" s="68" t="str">
        <f aca="false">IF(F11&lt;0,"債務超過","解消")</f>
        <v>解消</v>
      </c>
    </row>
    <row r="14" customFormat="false" ht="15" hidden="false" customHeight="false" outlineLevel="0" collapsed="false">
      <c r="A14" s="4" t="s">
        <v>358</v>
      </c>
    </row>
    <row r="15" customFormat="false" ht="15" hidden="false" customHeight="false" outlineLevel="0" collapsed="false">
      <c r="A15" s="54" t="s">
        <v>359</v>
      </c>
    </row>
    <row r="16" customFormat="false" ht="15" hidden="false" customHeight="false" outlineLevel="0" collapsed="false">
      <c r="A16" s="54" t="s">
        <v>360</v>
      </c>
    </row>
    <row r="17" customFormat="false" ht="15" hidden="false" customHeight="false" outlineLevel="0" collapsed="false">
      <c r="A17" s="54" t="s">
        <v>361</v>
      </c>
    </row>
    <row r="18" customFormat="false" ht="15" hidden="false" customHeight="false" outlineLevel="0" collapsed="false">
      <c r="A18" s="54" t="s">
        <v>362</v>
      </c>
    </row>
    <row r="19" customFormat="false" ht="15" hidden="false" customHeight="false" outlineLevel="0" collapsed="false">
      <c r="A19" s="54" t="s">
        <v>363</v>
      </c>
    </row>
    <row r="20" customFormat="false" ht="15" hidden="false" customHeight="false" outlineLevel="0" collapsed="false">
      <c r="A20" s="54" t="s">
        <v>364</v>
      </c>
    </row>
    <row r="21" customFormat="false" ht="15" hidden="false" customHeight="false" outlineLevel="0" collapsed="false">
      <c r="A21" s="54" t="s">
        <v>365</v>
      </c>
    </row>
    <row r="22" customFormat="false" ht="15" hidden="false" customHeight="false" outlineLevel="0" collapsed="false">
      <c r="A22" s="54"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70"/>
    <col collapsed="false" customWidth="true" hidden="false" outlineLevel="0" max="6" min="5" style="0" width="10"/>
  </cols>
  <sheetData>
    <row r="1" customFormat="false" ht="17.35" hidden="false" customHeight="false" outlineLevel="0" collapsed="false">
      <c r="A1" s="1" t="s">
        <v>367</v>
      </c>
    </row>
    <row r="2" customFormat="false" ht="15" hidden="false" customHeight="false" outlineLevel="0" collapsed="false">
      <c r="A2" s="2" t="s">
        <v>368</v>
      </c>
    </row>
    <row r="4" customFormat="false" ht="17.15" hidden="false" customHeight="false" outlineLevel="0" collapsed="false">
      <c r="A4" s="3" t="s">
        <v>369</v>
      </c>
    </row>
    <row r="5" customFormat="false" ht="30" hidden="false" customHeight="true" outlineLevel="0" collapsed="false">
      <c r="A5" s="9" t="s">
        <v>370</v>
      </c>
      <c r="B5" s="9" t="s">
        <v>371</v>
      </c>
      <c r="C5" s="9" t="s">
        <v>372</v>
      </c>
      <c r="D5" s="9" t="s">
        <v>373</v>
      </c>
      <c r="E5" s="9" t="s">
        <v>374</v>
      </c>
      <c r="F5" s="9" t="s">
        <v>157</v>
      </c>
    </row>
    <row r="6" customFormat="false" ht="15" hidden="false" customHeight="false" outlineLevel="0" collapsed="false">
      <c r="A6" s="55" t="s">
        <v>375</v>
      </c>
      <c r="B6" s="30" t="n">
        <v>148</v>
      </c>
      <c r="C6" s="30" t="n">
        <v>110</v>
      </c>
      <c r="D6" s="72" t="n">
        <f aca="false">B6/C6-1</f>
        <v>0.345454545454545</v>
      </c>
      <c r="E6" s="30" t="n">
        <v>6</v>
      </c>
      <c r="F6" s="30" t="n">
        <v>0</v>
      </c>
    </row>
    <row r="7" customFormat="false" ht="15" hidden="false" customHeight="false" outlineLevel="0" collapsed="false">
      <c r="A7" s="55" t="s">
        <v>376</v>
      </c>
      <c r="B7" s="30" t="n">
        <v>155</v>
      </c>
      <c r="C7" s="30" t="n">
        <v>113</v>
      </c>
      <c r="D7" s="72" t="n">
        <f aca="false">B7/C7-1</f>
        <v>0.371681415929203</v>
      </c>
      <c r="E7" s="30" t="n">
        <v>7</v>
      </c>
      <c r="F7" s="30" t="n">
        <v>0</v>
      </c>
    </row>
    <row r="8" customFormat="false" ht="15" hidden="false" customHeight="false" outlineLevel="0" collapsed="false">
      <c r="A8" s="55" t="s">
        <v>377</v>
      </c>
      <c r="B8" s="30" t="n">
        <v>161</v>
      </c>
      <c r="C8" s="30" t="n">
        <v>114</v>
      </c>
      <c r="D8" s="72" t="n">
        <f aca="false">B8/C8-1</f>
        <v>0.412280701754386</v>
      </c>
      <c r="E8" s="30" t="n">
        <v>7</v>
      </c>
      <c r="F8" s="30" t="n">
        <v>0</v>
      </c>
    </row>
    <row r="9" customFormat="false" ht="15" hidden="false" customHeight="false" outlineLevel="0" collapsed="false">
      <c r="A9" s="55" t="s">
        <v>378</v>
      </c>
      <c r="B9" s="30" t="n">
        <v>169</v>
      </c>
      <c r="C9" s="30" t="n">
        <v>116</v>
      </c>
      <c r="D9" s="72" t="n">
        <f aca="false">B9/C9-1</f>
        <v>0.456896551724138</v>
      </c>
      <c r="E9" s="30" t="n">
        <v>8</v>
      </c>
      <c r="F9" s="30" t="n">
        <v>0</v>
      </c>
    </row>
    <row r="10" customFormat="false" ht="15" hidden="false" customHeight="false" outlineLevel="0" collapsed="false">
      <c r="A10" s="55" t="s">
        <v>379</v>
      </c>
      <c r="B10" s="30" t="n">
        <v>172</v>
      </c>
      <c r="C10" s="30" t="n">
        <v>118</v>
      </c>
      <c r="D10" s="72" t="n">
        <f aca="false">B10/C10-1</f>
        <v>0.457627118644068</v>
      </c>
      <c r="E10" s="30" t="n">
        <v>3</v>
      </c>
      <c r="F10" s="30" t="n">
        <v>0</v>
      </c>
    </row>
    <row r="11" customFormat="false" ht="15" hidden="false" customHeight="false" outlineLevel="0" collapsed="false">
      <c r="A11" s="55" t="s">
        <v>380</v>
      </c>
      <c r="B11" s="30" t="n">
        <v>180</v>
      </c>
      <c r="C11" s="30" t="n">
        <v>119</v>
      </c>
      <c r="D11" s="72" t="n">
        <f aca="false">B11/C11-1</f>
        <v>0.512605042016807</v>
      </c>
      <c r="E11" s="30" t="n">
        <v>8</v>
      </c>
      <c r="F11" s="30" t="n">
        <v>0</v>
      </c>
    </row>
    <row r="12" customFormat="false" ht="15" hidden="false" customHeight="false" outlineLevel="0" collapsed="false">
      <c r="A12" s="55" t="s">
        <v>381</v>
      </c>
      <c r="B12" s="30" t="n">
        <v>188</v>
      </c>
      <c r="C12" s="30" t="n">
        <v>120</v>
      </c>
      <c r="D12" s="72" t="n">
        <f aca="false">B12/C12-1</f>
        <v>0.566666666666667</v>
      </c>
      <c r="E12" s="30" t="n">
        <v>8</v>
      </c>
      <c r="F12" s="30" t="n">
        <v>0</v>
      </c>
    </row>
    <row r="13" customFormat="false" ht="15" hidden="false" customHeight="false" outlineLevel="0" collapsed="false">
      <c r="A13" s="55" t="s">
        <v>382</v>
      </c>
      <c r="B13" s="30" t="n">
        <v>196</v>
      </c>
      <c r="C13" s="30" t="n">
        <v>121</v>
      </c>
      <c r="D13" s="72" t="n">
        <f aca="false">B13/C13-1</f>
        <v>0.619834710743802</v>
      </c>
      <c r="E13" s="30" t="n">
        <v>9</v>
      </c>
      <c r="F13" s="30" t="n">
        <v>0</v>
      </c>
    </row>
    <row r="14" customFormat="false" ht="15" hidden="false" customHeight="false" outlineLevel="0" collapsed="false">
      <c r="A14" s="55" t="s">
        <v>383</v>
      </c>
      <c r="B14" s="30" t="n">
        <v>203</v>
      </c>
      <c r="C14" s="30" t="n">
        <v>126</v>
      </c>
      <c r="D14" s="72" t="n">
        <f aca="false">B14/C14-1</f>
        <v>0.611111111111111</v>
      </c>
      <c r="E14" s="30" t="n">
        <v>9</v>
      </c>
      <c r="F14" s="30" t="n">
        <v>0</v>
      </c>
    </row>
    <row r="15" customFormat="false" ht="15" hidden="false" customHeight="false" outlineLevel="0" collapsed="false">
      <c r="A15" s="55" t="s">
        <v>384</v>
      </c>
      <c r="B15" s="30" t="n">
        <v>210</v>
      </c>
      <c r="C15" s="30" t="n">
        <v>130</v>
      </c>
      <c r="D15" s="72" t="n">
        <f aca="false">B15/C15-1</f>
        <v>0.615384615384615</v>
      </c>
      <c r="E15" s="30" t="n">
        <v>9</v>
      </c>
      <c r="F15" s="30" t="n">
        <v>10</v>
      </c>
    </row>
    <row r="16" customFormat="false" ht="15" hidden="false" customHeight="false" outlineLevel="0" collapsed="false">
      <c r="A16" s="55" t="s">
        <v>385</v>
      </c>
      <c r="B16" s="30" t="n">
        <v>215</v>
      </c>
      <c r="C16" s="30" t="n">
        <v>138</v>
      </c>
      <c r="D16" s="72" t="n">
        <f aca="false">B16/C16-1</f>
        <v>0.557971014492754</v>
      </c>
      <c r="E16" s="30" t="n">
        <v>13</v>
      </c>
      <c r="F16" s="30" t="n">
        <v>9</v>
      </c>
    </row>
    <row r="17" customFormat="false" ht="15" hidden="false" customHeight="false" outlineLevel="0" collapsed="false">
      <c r="A17" s="55" t="s">
        <v>386</v>
      </c>
      <c r="B17" s="30" t="n">
        <v>218</v>
      </c>
      <c r="C17" s="30" t="n">
        <v>144</v>
      </c>
      <c r="D17" s="72" t="n">
        <f aca="false">B17/C17-1</f>
        <v>0.513888888888889</v>
      </c>
      <c r="E17" s="30" t="n">
        <v>6</v>
      </c>
      <c r="F17" s="30" t="n">
        <v>4</v>
      </c>
    </row>
    <row r="18" customFormat="false" ht="15" hidden="false" customHeight="false" outlineLevel="0" collapsed="false">
      <c r="A18" s="34" t="s">
        <v>387</v>
      </c>
      <c r="B18" s="35" t="n">
        <f aca="false">B17</f>
        <v>218</v>
      </c>
      <c r="C18" s="35" t="n">
        <f aca="false">C17</f>
        <v>144</v>
      </c>
      <c r="D18" s="73" t="n">
        <f aca="false">B18/C18-1</f>
        <v>0.513888888888889</v>
      </c>
      <c r="E18" s="35" t="n">
        <f aca="false">SUM(E6:E17)</f>
        <v>93</v>
      </c>
      <c r="F18" s="35" t="n">
        <f aca="false">SUM(F6:F17)</f>
        <v>23</v>
      </c>
    </row>
    <row r="19" customFormat="false" ht="15" hidden="false" customHeight="false" outlineLevel="0" collapsed="false">
      <c r="A19" s="40" t="s">
        <v>388</v>
      </c>
    </row>
    <row r="21" customFormat="false" ht="17.15" hidden="false" customHeight="false" outlineLevel="0" collapsed="false">
      <c r="A21" s="3" t="s">
        <v>389</v>
      </c>
    </row>
    <row r="22" customFormat="false" ht="30" hidden="false" customHeight="true" outlineLevel="0" collapsed="false">
      <c r="A22" s="9" t="s">
        <v>345</v>
      </c>
      <c r="B22" s="9" t="s">
        <v>390</v>
      </c>
      <c r="C22" s="9" t="s">
        <v>391</v>
      </c>
      <c r="D22" s="9" t="s">
        <v>392</v>
      </c>
    </row>
    <row r="23" customFormat="false" ht="15" hidden="false" customHeight="false" outlineLevel="0" collapsed="false">
      <c r="A23" s="42" t="s">
        <v>393</v>
      </c>
      <c r="B23" s="74" t="n">
        <v>34</v>
      </c>
      <c r="C23" s="75" t="s">
        <v>76</v>
      </c>
      <c r="D23" s="76" t="s">
        <v>394</v>
      </c>
    </row>
    <row r="24" customFormat="false" ht="15" hidden="false" customHeight="false" outlineLevel="0" collapsed="false">
      <c r="A24" s="42" t="s">
        <v>395</v>
      </c>
      <c r="B24" s="74" t="n">
        <v>16</v>
      </c>
      <c r="C24" s="75" t="s">
        <v>76</v>
      </c>
      <c r="D24" s="76" t="s">
        <v>396</v>
      </c>
    </row>
    <row r="25" customFormat="false" ht="15" hidden="false" customHeight="false" outlineLevel="0" collapsed="false">
      <c r="A25" s="42" t="s">
        <v>397</v>
      </c>
      <c r="B25" s="74" t="n">
        <v>12</v>
      </c>
      <c r="C25" s="75" t="s">
        <v>65</v>
      </c>
      <c r="D25" s="77" t="s">
        <v>398</v>
      </c>
    </row>
    <row r="26" customFormat="false" ht="15" hidden="false" customHeight="false" outlineLevel="0" collapsed="false">
      <c r="A26" s="42" t="s">
        <v>399</v>
      </c>
      <c r="B26" s="74" t="n">
        <v>1</v>
      </c>
      <c r="C26" s="75" t="s">
        <v>400</v>
      </c>
      <c r="D26" s="77" t="s">
        <v>401</v>
      </c>
    </row>
    <row r="27" customFormat="false" ht="15" hidden="false" customHeight="false" outlineLevel="0" collapsed="false">
      <c r="A27" s="42" t="s">
        <v>402</v>
      </c>
      <c r="B27" s="78" t="n">
        <f aca="false">B25/B23</f>
        <v>0.352941176470588</v>
      </c>
      <c r="C27" s="75"/>
      <c r="D27" s="76" t="s">
        <v>403</v>
      </c>
    </row>
    <row r="28" customFormat="false" ht="15" hidden="false" customHeight="false" outlineLevel="0" collapsed="false">
      <c r="A28" s="42" t="s">
        <v>404</v>
      </c>
      <c r="B28" s="74" t="n">
        <v>9</v>
      </c>
      <c r="C28" s="75" t="s">
        <v>76</v>
      </c>
      <c r="D28" s="77" t="s">
        <v>405</v>
      </c>
    </row>
    <row r="29" customFormat="false" ht="15" hidden="false" customHeight="false" outlineLevel="0" collapsed="false">
      <c r="A29" s="42" t="s">
        <v>406</v>
      </c>
      <c r="B29" s="74" t="n">
        <v>42</v>
      </c>
      <c r="C29" s="75" t="s">
        <v>76</v>
      </c>
      <c r="D29" s="76" t="s">
        <v>407</v>
      </c>
    </row>
    <row r="30" customFormat="false" ht="15" hidden="false" customHeight="false" outlineLevel="0" collapsed="false">
      <c r="A30" s="42" t="s">
        <v>408</v>
      </c>
      <c r="B30" s="46" t="n">
        <v>213400</v>
      </c>
      <c r="C30" s="75" t="s">
        <v>409</v>
      </c>
      <c r="D30" s="76" t="s">
        <v>410</v>
      </c>
    </row>
    <row r="31" customFormat="false" ht="15" hidden="false" customHeight="false" outlineLevel="0" collapsed="false">
      <c r="A31" s="42" t="s">
        <v>411</v>
      </c>
      <c r="B31" s="74" t="n">
        <v>3</v>
      </c>
      <c r="C31" s="75" t="s">
        <v>54</v>
      </c>
      <c r="D31" s="76" t="s">
        <v>412</v>
      </c>
    </row>
    <row r="32" customFormat="false" ht="15" hidden="false" customHeight="false" outlineLevel="0" collapsed="false">
      <c r="A32" s="42" t="s">
        <v>413</v>
      </c>
      <c r="B32" s="74" t="n">
        <v>5</v>
      </c>
      <c r="C32" s="75" t="s">
        <v>76</v>
      </c>
      <c r="D32" s="77" t="s">
        <v>414</v>
      </c>
    </row>
    <row r="35" customFormat="false" ht="17.15" hidden="false" customHeight="false" outlineLevel="0" collapsed="false">
      <c r="A35" s="3" t="s">
        <v>415</v>
      </c>
    </row>
    <row r="36" customFormat="false" ht="30" hidden="false" customHeight="true" outlineLevel="0" collapsed="false">
      <c r="A36" s="9" t="s">
        <v>416</v>
      </c>
      <c r="B36" s="9" t="s">
        <v>417</v>
      </c>
      <c r="C36" s="9" t="s">
        <v>418</v>
      </c>
      <c r="D36" s="9" t="s">
        <v>392</v>
      </c>
    </row>
    <row r="37" customFormat="false" ht="15" hidden="false" customHeight="false" outlineLevel="0" collapsed="false">
      <c r="A37" s="42" t="s">
        <v>419</v>
      </c>
      <c r="B37" s="11" t="n">
        <v>1298841</v>
      </c>
      <c r="C37" s="11" t="n">
        <v>5339896</v>
      </c>
      <c r="D37" s="77"/>
    </row>
    <row r="38" customFormat="false" ht="15" hidden="false" customHeight="false" outlineLevel="0" collapsed="false">
      <c r="A38" s="42" t="s">
        <v>420</v>
      </c>
      <c r="B38" s="11" t="n">
        <v>1894200</v>
      </c>
      <c r="C38" s="11" t="n">
        <v>3337170</v>
      </c>
      <c r="D38" s="77" t="s">
        <v>421</v>
      </c>
    </row>
    <row r="39" customFormat="false" ht="15" hidden="false" customHeight="false" outlineLevel="0" collapsed="false">
      <c r="A39" s="42" t="s">
        <v>422</v>
      </c>
      <c r="B39" s="11" t="n">
        <v>0</v>
      </c>
      <c r="C39" s="11" t="n">
        <v>0</v>
      </c>
      <c r="D39" s="77"/>
    </row>
    <row r="40" customFormat="false" ht="15" hidden="false" customHeight="false" outlineLevel="0" collapsed="false">
      <c r="A40" s="42" t="s">
        <v>423</v>
      </c>
      <c r="B40" s="11" t="n">
        <v>586000</v>
      </c>
      <c r="C40" s="11" t="n">
        <v>0</v>
      </c>
      <c r="D40" s="77" t="s">
        <v>424</v>
      </c>
    </row>
    <row r="41" customFormat="false" ht="15" hidden="false" customHeight="false" outlineLevel="0" collapsed="false">
      <c r="A41" s="42" t="s">
        <v>425</v>
      </c>
      <c r="B41" s="11" t="n">
        <v>2550175</v>
      </c>
      <c r="C41" s="11" t="n">
        <v>7018672</v>
      </c>
      <c r="D41" s="77" t="s">
        <v>426</v>
      </c>
    </row>
    <row r="42" customFormat="false" ht="15" hidden="false" customHeight="false" outlineLevel="0" collapsed="false">
      <c r="A42" s="42" t="s">
        <v>427</v>
      </c>
      <c r="B42" s="11" t="n">
        <v>286364</v>
      </c>
      <c r="C42" s="11" t="n">
        <v>1387596</v>
      </c>
      <c r="D42" s="77"/>
    </row>
    <row r="43" customFormat="false" ht="15" hidden="false" customHeight="false" outlineLevel="0" collapsed="false">
      <c r="A43" s="42" t="s">
        <v>428</v>
      </c>
      <c r="B43" s="11" t="n">
        <v>0</v>
      </c>
      <c r="C43" s="11" t="n">
        <v>4804819</v>
      </c>
      <c r="D43" s="77" t="s">
        <v>429</v>
      </c>
    </row>
    <row r="44" customFormat="false" ht="15" hidden="false" customHeight="false" outlineLevel="0" collapsed="false">
      <c r="A44" s="42" t="s">
        <v>430</v>
      </c>
      <c r="B44" s="11" t="n">
        <v>-276759</v>
      </c>
      <c r="C44" s="11" t="n">
        <v>-1281921</v>
      </c>
      <c r="D44" s="77" t="s">
        <v>431</v>
      </c>
    </row>
    <row r="45" customFormat="false" ht="15" hidden="false" customHeight="false" outlineLevel="0" collapsed="false">
      <c r="A45" s="42" t="s">
        <v>18</v>
      </c>
      <c r="B45" s="11" t="n">
        <v>7927283</v>
      </c>
      <c r="C45" s="11" t="n">
        <v>24979520</v>
      </c>
      <c r="D45" s="77" t="s">
        <v>432</v>
      </c>
    </row>
    <row r="46" customFormat="false" ht="15" hidden="false" customHeight="false" outlineLevel="0" collapsed="false">
      <c r="A46" s="42" t="s">
        <v>19</v>
      </c>
      <c r="B46" s="11"/>
      <c r="C46" s="11" t="n">
        <v>-1138361</v>
      </c>
      <c r="D46" s="77" t="s">
        <v>433</v>
      </c>
    </row>
    <row r="47" customFormat="false" ht="15" hidden="false" customHeight="false" outlineLevel="0" collapsed="false">
      <c r="A47" s="42" t="s">
        <v>20</v>
      </c>
      <c r="B47" s="11"/>
      <c r="C47" s="11" t="n">
        <v>-1005162</v>
      </c>
      <c r="D47" s="77" t="s">
        <v>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435</v>
      </c>
    </row>
    <row r="4" customFormat="false" ht="27.75" hidden="false" customHeight="true" outlineLevel="0" collapsed="false">
      <c r="A4" s="4" t="s">
        <v>436</v>
      </c>
      <c r="B4" s="79" t="s">
        <v>437</v>
      </c>
    </row>
    <row r="5" customFormat="false" ht="27.75" hidden="false" customHeight="true" outlineLevel="0" collapsed="false">
      <c r="A5" s="4" t="s">
        <v>438</v>
      </c>
      <c r="B5" s="79" t="s">
        <v>439</v>
      </c>
    </row>
    <row r="6" customFormat="false" ht="27.75" hidden="false" customHeight="true" outlineLevel="0" collapsed="false">
      <c r="A6" s="4" t="s">
        <v>440</v>
      </c>
      <c r="B6" s="80" t="s">
        <v>441</v>
      </c>
    </row>
    <row r="7" customFormat="false" ht="27.75" hidden="false" customHeight="true" outlineLevel="0" collapsed="false">
      <c r="A7" s="81" t="s">
        <v>442</v>
      </c>
      <c r="B7" s="79" t="s">
        <v>443</v>
      </c>
    </row>
    <row r="8" customFormat="false" ht="27.75" hidden="false" customHeight="true" outlineLevel="0" collapsed="false">
      <c r="A8" s="4" t="s">
        <v>101</v>
      </c>
      <c r="B8" s="79" t="s">
        <v>444</v>
      </c>
    </row>
    <row r="9" customFormat="false" ht="27.75" hidden="false" customHeight="true" outlineLevel="0" collapsed="false">
      <c r="A9" s="4" t="s">
        <v>165</v>
      </c>
      <c r="B9" s="79" t="s">
        <v>445</v>
      </c>
    </row>
    <row r="10" customFormat="false" ht="27.75" hidden="false" customHeight="true" outlineLevel="0" collapsed="false">
      <c r="A10" s="4" t="s">
        <v>446</v>
      </c>
      <c r="B10" s="79" t="s">
        <v>447</v>
      </c>
    </row>
    <row r="11" customFormat="false" ht="27.75" hidden="false" customHeight="true" outlineLevel="0" collapsed="false">
      <c r="A11" s="4" t="s">
        <v>448</v>
      </c>
      <c r="B11" s="79" t="s">
        <v>449</v>
      </c>
    </row>
    <row r="12" customFormat="false" ht="27.75" hidden="false" customHeight="true" outlineLevel="0" collapsed="false">
      <c r="A12" s="4" t="s">
        <v>450</v>
      </c>
      <c r="B12" s="79" t="s">
        <v>451</v>
      </c>
    </row>
    <row r="13" customFormat="false" ht="9.75" hidden="false" customHeight="true" outlineLevel="0" collapsed="false">
      <c r="A13" s="25"/>
      <c r="B13" s="79"/>
    </row>
    <row r="14" customFormat="false" ht="9.75" hidden="false" customHeight="true" outlineLevel="0" collapsed="false">
      <c r="A14" s="4" t="s">
        <v>452</v>
      </c>
      <c r="B14" s="79"/>
    </row>
    <row r="15" customFormat="false" ht="27.75" hidden="false" customHeight="true" outlineLevel="0" collapsed="false">
      <c r="A15" s="16" t="s">
        <v>453</v>
      </c>
      <c r="B15" s="79" t="s">
        <v>454</v>
      </c>
    </row>
    <row r="16" customFormat="false" ht="27.75" hidden="false" customHeight="true" outlineLevel="0" collapsed="false">
      <c r="A16" s="16" t="s">
        <v>455</v>
      </c>
      <c r="B16" s="79" t="s">
        <v>456</v>
      </c>
    </row>
    <row r="17" customFormat="false" ht="27.75" hidden="false" customHeight="true" outlineLevel="0" collapsed="false">
      <c r="A17" s="16" t="s">
        <v>457</v>
      </c>
      <c r="B17" s="79" t="s">
        <v>458</v>
      </c>
    </row>
    <row r="18" customFormat="false" ht="27.75" hidden="false" customHeight="true" outlineLevel="0" collapsed="false">
      <c r="A18" s="16" t="s">
        <v>459</v>
      </c>
      <c r="B18" s="80" t="s">
        <v>460</v>
      </c>
    </row>
    <row r="19" customFormat="false" ht="27.75" hidden="false" customHeight="true" outlineLevel="0" collapsed="false">
      <c r="A19" s="16" t="s">
        <v>461</v>
      </c>
      <c r="B19" s="79" t="s">
        <v>462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2026-09-10T01:17:08Z</dcterms:created>
  <dc:creator>openpyxl</dc:creator>
  <dc:description/>
  <dc:language>en-US</dc:language>
  <cp:lastModifiedBy/>
  <dcterms:modified xsi:type="dcterms:W3CDTF">2026-09-10T01:17:08Z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