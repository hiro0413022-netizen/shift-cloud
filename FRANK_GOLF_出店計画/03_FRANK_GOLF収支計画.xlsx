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enarios" sheetId="2" state="visible" r:id="rId4"/>
    <sheet name="Assumptions" sheetId="3" state="visible" r:id="rId5"/>
    <sheet name="CAPEX" sheetId="4" state="visible" r:id="rId6"/>
    <sheet name="OPEX" sheetId="5" state="visible" r:id="rId7"/>
    <sheet name="Monthly_PL" sheetId="6" state="visible" r:id="rId8"/>
    <sheet name="Cash_Flow" sheetId="7" state="visible" r:id="rId9"/>
    <sheet name="BreakEven" sheetId="8" state="visible" r:id="rId10"/>
    <sheet name="Sensitivity" sheetId="9" state="visible" r:id="rId11"/>
    <sheet name="Risks" sheetId="10" state="visible" r:id="rId12"/>
    <sheet name="Investor_QA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<sst xmlns="http://schemas.openxmlformats.org/spreadsheetml/2006/main" count="360" uniqueCount="281">
  <si>
    <r>
      <rPr>
        <b val="true"/>
        <sz val="13"/>
        <color rgb="FF1F3864"/>
        <rFont val="Arial"/>
        <family val="0"/>
        <charset val="1"/>
      </rPr>
      <t xml:space="preserve">FRANK GOLF (GOLF WING 2</t>
    </r>
    <r>
      <rPr>
        <b val="true"/>
        <sz val="13"/>
        <color rgb="FF1F3864"/>
        <rFont val="Noto Sans CJK SC"/>
        <family val="2"/>
      </rPr>
      <t xml:space="preserve">号店</t>
    </r>
    <r>
      <rPr>
        <b val="true"/>
        <sz val="13"/>
        <color rgb="FF1F3864"/>
        <rFont val="Arial"/>
        <family val="0"/>
        <charset val="1"/>
      </rPr>
      <t xml:space="preserve">) </t>
    </r>
    <r>
      <rPr>
        <b val="true"/>
        <sz val="13"/>
        <color rgb="FF1F3864"/>
        <rFont val="Noto Sans CJK SC"/>
        <family val="2"/>
      </rPr>
      <t xml:space="preserve">収支サマリー</t>
    </r>
  </si>
  <si>
    <r>
      <rPr>
        <b val="true"/>
        <sz val="11"/>
        <color rgb="FF1F3864"/>
        <rFont val="Noto Sans CJK SC"/>
        <family val="2"/>
      </rPr>
      <t xml:space="preserve">選択シナリオ</t>
    </r>
    <r>
      <rPr>
        <b val="true"/>
        <sz val="11"/>
        <color rgb="FF1F3864"/>
        <rFont val="Arial"/>
        <family val="0"/>
        <charset val="1"/>
      </rPr>
      <t xml:space="preserve">:</t>
    </r>
  </si>
  <si>
    <r>
      <rPr>
        <i val="true"/>
        <sz val="9"/>
        <color rgb="FF808080"/>
        <rFont val="Noto Sans CJK SC"/>
        <family val="2"/>
      </rPr>
      <t xml:space="preserve">シナリオは</t>
    </r>
    <r>
      <rPr>
        <i val="true"/>
        <sz val="9"/>
        <color rgb="FF808080"/>
        <rFont val="Arial"/>
        <family val="0"/>
        <charset val="1"/>
      </rPr>
      <t xml:space="preserve">Scenarios!B2</t>
    </r>
    <r>
      <rPr>
        <i val="true"/>
        <sz val="9"/>
        <color rgb="FF808080"/>
        <rFont val="Noto Sans CJK SC"/>
        <family val="2"/>
      </rPr>
      <t xml:space="preserve">で変更</t>
    </r>
  </si>
  <si>
    <t xml:space="preserve">■ 資金</t>
  </si>
  <si>
    <t xml:space="preserve">総初期投資</t>
  </si>
  <si>
    <t xml:space="preserve">出資金</t>
  </si>
  <si>
    <t xml:space="preserve">自己資金・融資</t>
  </si>
  <si>
    <r>
      <rPr>
        <sz val="11"/>
        <rFont val="Noto Sans CJK SC"/>
        <family val="2"/>
      </rPr>
      <t xml:space="preserve">開業時運転資金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手元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</si>
  <si>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最低現金残高</t>
    </r>
    <r>
      <rPr>
        <sz val="11"/>
        <rFont val="Arial"/>
        <family val="0"/>
        <charset val="1"/>
      </rPr>
      <t xml:space="preserve">(0-36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</si>
  <si>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t xml:space="preserve">資金ショート月数</t>
  </si>
  <si>
    <r>
      <rPr>
        <sz val="11"/>
        <rFont val="Noto Sans CJK SC"/>
        <family val="2"/>
      </rPr>
      <t xml:space="preserve">投資回収期間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</si>
  <si>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color rgb="FF1F3864"/>
        <rFont val="Noto Sans CJK SC"/>
        <family val="2"/>
      </rPr>
      <t xml:space="preserve">■ 損益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年次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</si>
  <si>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指標</t>
  </si>
  <si>
    <t xml:space="preserve">Y1</t>
  </si>
  <si>
    <t xml:space="preserve">Y2</t>
  </si>
  <si>
    <t xml:space="preserve">Y3</t>
  </si>
  <si>
    <r>
      <rPr>
        <b val="true"/>
        <sz val="11"/>
        <color rgb="FFFFFFFF"/>
        <rFont val="Arial"/>
        <family val="0"/>
        <charset val="1"/>
      </rPr>
      <t xml:space="preserve">36</t>
    </r>
    <r>
      <rPr>
        <b val="true"/>
        <sz val="11"/>
        <color rgb="FFFFFFFF"/>
        <rFont val="Noto Sans CJK SC"/>
        <family val="2"/>
      </rPr>
      <t xml:space="preserve">ヶ月累計</t>
    </r>
  </si>
  <si>
    <t xml:space="preserve">売上高</t>
  </si>
  <si>
    <t xml:space="preserve">営業利益</t>
  </si>
  <si>
    <t xml:space="preserve">税引後利益</t>
  </si>
  <si>
    <t xml:space="preserve">■ 主要指標</t>
  </si>
  <si>
    <r>
      <rPr>
        <sz val="11"/>
        <rFont val="Noto Sans CJK SC"/>
        <family val="2"/>
      </rPr>
      <t xml:space="preserve">期末会員数</t>
    </r>
    <r>
      <rPr>
        <sz val="11"/>
        <rFont val="Arial"/>
        <family val="0"/>
        <charset val="1"/>
      </rPr>
      <t xml:space="preserve">(36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)</t>
    </r>
  </si>
  <si>
    <t xml:space="preserve">損益分岐点会員数</t>
  </si>
  <si>
    <r>
      <rPr>
        <sz val="11"/>
        <rFont val="Noto Sans CJK SC"/>
        <family val="2"/>
      </rPr>
      <t xml:space="preserve">現状</t>
    </r>
    <r>
      <rPr>
        <sz val="11"/>
        <rFont val="Arial"/>
        <family val="0"/>
        <charset val="1"/>
      </rPr>
      <t xml:space="preserve">-BEP</t>
    </r>
    <r>
      <rPr>
        <sz val="11"/>
        <rFont val="Noto Sans CJK SC"/>
        <family val="2"/>
      </rPr>
      <t xml:space="preserve">会員差</t>
    </r>
  </si>
  <si>
    <r>
      <rPr>
        <i val="true"/>
        <sz val="9"/>
        <color rgb="FF808080"/>
        <rFont val="Noto Sans CJK SC"/>
        <family val="2"/>
      </rPr>
      <t xml:space="preserve">注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Noto Sans CJK SC"/>
        <family val="2"/>
      </rPr>
      <t xml:space="preserve">数値は仮置き前提に基づく初版。実データ確定で更新。</t>
    </r>
  </si>
  <si>
    <r>
      <rPr>
        <b val="true"/>
        <sz val="13"/>
        <color rgb="FF1F3864"/>
        <rFont val="Noto Sans CJK SC"/>
        <family val="2"/>
      </rPr>
      <t xml:space="preserve">シナリオ設定（</t>
    </r>
    <r>
      <rPr>
        <b val="true"/>
        <sz val="13"/>
        <color rgb="FF1F3864"/>
        <rFont val="Arial"/>
        <family val="0"/>
        <charset val="1"/>
      </rPr>
      <t xml:space="preserve">4</t>
    </r>
    <r>
      <rPr>
        <b val="true"/>
        <sz val="13"/>
        <color rgb="FF1F3864"/>
        <rFont val="Noto Sans CJK SC"/>
        <family val="2"/>
      </rPr>
      <t xml:space="preserve">パターン比較）</t>
    </r>
  </si>
  <si>
    <t xml:space="preserve">選択シナリオ →</t>
  </si>
  <si>
    <t xml:space="preserve">標準</t>
  </si>
  <si>
    <r>
      <rPr>
        <i val="true"/>
        <sz val="9"/>
        <color rgb="FF808080"/>
        <rFont val="Arial"/>
        <family val="0"/>
        <charset val="1"/>
      </rPr>
      <t xml:space="preserve">B2</t>
    </r>
    <r>
      <rPr>
        <i val="true"/>
        <sz val="9"/>
        <color rgb="FF808080"/>
        <rFont val="Noto Sans CJK SC"/>
        <family val="2"/>
      </rPr>
      <t xml:space="preserve">で選ぶと全シート（</t>
    </r>
    <r>
      <rPr>
        <i val="true"/>
        <sz val="9"/>
        <color rgb="FF808080"/>
        <rFont val="Arial"/>
        <family val="0"/>
        <charset val="1"/>
      </rPr>
      <t xml:space="preserve">PL/CF/</t>
    </r>
    <r>
      <rPr>
        <i val="true"/>
        <sz val="9"/>
        <color rgb="FF808080"/>
        <rFont val="Noto Sans CJK SC"/>
        <family val="2"/>
      </rPr>
      <t xml:space="preserve">損益分岐点）が自動更新</t>
    </r>
  </si>
  <si>
    <t xml:space="preserve">パラメータ</t>
  </si>
  <si>
    <t xml:space="preserve">楽観</t>
  </si>
  <si>
    <t xml:space="preserve">悲観</t>
  </si>
  <si>
    <t xml:space="preserve">最悪</t>
  </si>
  <si>
    <r>
      <rPr>
        <b val="true"/>
        <sz val="11"/>
        <color rgb="FFFFFFFF"/>
        <rFont val="Noto Sans CJK SC"/>
        <family val="2"/>
      </rPr>
      <t xml:space="preserve">選択中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自動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</si>
  <si>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単位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備考</t>
    </r>
  </si>
  <si>
    <r>
      <rPr>
        <sz val="11"/>
        <rFont val="Noto Sans CJK SC"/>
        <family val="2"/>
      </rPr>
      <t xml:space="preserve">平均月会費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</si>
  <si>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宝塚加重平均約</t>
    </r>
    <r>
      <rPr>
        <i val="true"/>
        <sz val="9"/>
        <color rgb="FF808080"/>
        <rFont val="Arial"/>
        <family val="0"/>
        <charset val="1"/>
      </rPr>
      <t xml:space="preserve">18,800</t>
    </r>
    <r>
      <rPr>
        <i val="true"/>
        <sz val="9"/>
        <color rgb="FF808080"/>
        <rFont val="Noto Sans CJK SC"/>
        <family val="2"/>
      </rPr>
      <t xml:space="preserve">円を保守補正</t>
    </r>
  </si>
  <si>
    <r>
      <rPr>
        <sz val="11"/>
        <rFont val="Noto Sans CJK SC"/>
        <family val="2"/>
      </rPr>
      <t xml:space="preserve">入会率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体験→入会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</si>
  <si>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標準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体験</t>
    </r>
    <r>
      <rPr>
        <i val="true"/>
        <sz val="9"/>
        <color rgb="FF808080"/>
        <rFont val="Arial"/>
        <family val="0"/>
        <charset val="1"/>
      </rPr>
      <t xml:space="preserve">15×60%</t>
    </r>
    <r>
      <rPr>
        <i val="true"/>
        <sz val="9"/>
        <color rgb="FF808080"/>
        <rFont val="Noto Sans CJK SC"/>
        <family val="2"/>
      </rPr>
      <t xml:space="preserve">想定。悲観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最悪は保守</t>
    </r>
  </si>
  <si>
    <r>
      <rPr>
        <sz val="11"/>
        <rFont val="Noto Sans CJK SC"/>
        <family val="2"/>
      </rPr>
      <t xml:space="preserve">退会率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月次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</si>
  <si>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宝塚実績</t>
    </r>
    <r>
      <rPr>
        <i val="true"/>
        <sz val="9"/>
        <color rgb="FF808080"/>
        <rFont val="Arial"/>
        <family val="0"/>
        <charset val="1"/>
      </rPr>
      <t xml:space="preserve">3.5-3.9%</t>
    </r>
    <r>
      <rPr>
        <i val="true"/>
        <sz val="9"/>
        <color rgb="FF808080"/>
        <rFont val="Noto Sans CJK SC"/>
        <family val="2"/>
      </rPr>
      <t xml:space="preserve">。新店は保守</t>
    </r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</si>
  <si>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Y1</t>
    </r>
  </si>
  <si>
    <r>
      <rPr>
        <i val="true"/>
        <sz val="9"/>
        <color rgb="FF808080"/>
        <rFont val="Noto Sans CJK SC"/>
        <family val="2"/>
      </rPr>
      <t xml:space="preserve">標準</t>
    </r>
    <r>
      <rPr>
        <i val="true"/>
        <sz val="9"/>
        <color rgb="FF808080"/>
        <rFont val="Arial"/>
        <family val="0"/>
        <charset val="1"/>
      </rPr>
      <t xml:space="preserve">=15/</t>
    </r>
    <r>
      <rPr>
        <i val="true"/>
        <sz val="9"/>
        <color rgb="FF808080"/>
        <rFont val="Noto Sans CJK SC"/>
        <family val="2"/>
      </rPr>
      <t xml:space="preserve">月想定</t>
    </r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</si>
  <si>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Y2</t>
    </r>
  </si>
  <si>
    <r>
      <rPr>
        <sz val="11"/>
        <rFont val="Noto Sans CJK SC"/>
        <family val="2"/>
      </rPr>
      <t xml:space="preserve">月間体験数 </t>
    </r>
    <r>
      <rPr>
        <sz val="11"/>
        <rFont val="Arial"/>
        <family val="0"/>
        <charset val="1"/>
      </rPr>
      <t xml:space="preserve">Y3</t>
    </r>
  </si>
  <si>
    <r>
      <rPr>
        <sz val="11"/>
        <rFont val="Noto Sans CJK SC"/>
        <family val="2"/>
      </rPr>
      <t xml:space="preserve">広告費 開業</t>
    </r>
    <r>
      <rPr>
        <sz val="11"/>
        <rFont val="Arial"/>
        <family val="0"/>
        <charset val="1"/>
      </rPr>
      <t xml:space="preserve">1-3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</si>
  <si>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t xml:space="preserve">開業直後の集客投資</t>
  </si>
  <si>
    <r>
      <rPr>
        <sz val="11"/>
        <rFont val="Noto Sans CJK SC"/>
        <family val="2"/>
      </rPr>
      <t xml:space="preserve">広告費 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ヶ月目以降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</si>
  <si>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標準</t>
    </r>
    <r>
      <rPr>
        <i val="true"/>
        <sz val="9"/>
        <color rgb="FF808080"/>
        <rFont val="Arial"/>
        <family val="0"/>
        <charset val="1"/>
      </rPr>
      <t xml:space="preserve">=5</t>
    </r>
    <r>
      <rPr>
        <i val="true"/>
        <sz val="9"/>
        <color rgb="FF808080"/>
        <rFont val="Noto Sans CJK SC"/>
        <family val="2"/>
      </rPr>
      <t xml:space="preserve">万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月</t>
    </r>
  </si>
  <si>
    <r>
      <rPr>
        <sz val="11"/>
        <rFont val="Noto Sans CJK SC"/>
        <family val="2"/>
      </rPr>
      <t xml:space="preserve">人件費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</si>
  <si>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t xml:space="preserve">無人化前提。最悪は増員</t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</si>
  <si>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ARPU(</t>
    </r>
    <r>
      <rPr>
        <sz val="11"/>
        <rFont val="Noto Sans CJK SC"/>
        <family val="2"/>
      </rPr>
      <t xml:space="preserve">会員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</si>
  <si>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会員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Noto Sans CJK SC"/>
        <family val="2"/>
      </rPr>
      <t xml:space="preserve">人あたり月物販</t>
    </r>
  </si>
  <si>
    <t xml:space="preserve">開業時先行会員数</t>
  </si>
  <si>
    <r>
      <rPr>
        <i val="true"/>
        <sz val="9"/>
        <color rgb="FF808080"/>
        <rFont val="Noto Sans CJK SC"/>
        <family val="2"/>
      </rPr>
      <t xml:space="preserve">標準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開業時</t>
    </r>
    <r>
      <rPr>
        <i val="true"/>
        <sz val="9"/>
        <color rgb="FF808080"/>
        <rFont val="Arial"/>
        <family val="0"/>
        <charset val="1"/>
      </rPr>
      <t xml:space="preserve">30</t>
    </r>
    <r>
      <rPr>
        <i val="true"/>
        <sz val="9"/>
        <color rgb="FF808080"/>
        <rFont val="Noto Sans CJK SC"/>
        <family val="2"/>
      </rPr>
      <t xml:space="preserve">名想定</t>
    </r>
  </si>
  <si>
    <r>
      <rPr>
        <sz val="11"/>
        <rFont val="Noto Sans CJK SC"/>
        <family val="2"/>
      </rPr>
      <t xml:space="preserve">追加</t>
    </r>
    <r>
      <rPr>
        <sz val="11"/>
        <rFont val="Arial"/>
        <family val="0"/>
        <charset val="1"/>
      </rPr>
      <t xml:space="preserve">CAPEX(</t>
    </r>
    <r>
      <rPr>
        <sz val="11"/>
        <rFont val="Noto Sans CJK SC"/>
        <family val="2"/>
      </rPr>
      <t xml:space="preserve">初期不良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やり直し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</si>
  <si>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悲観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最悪で発生</t>
    </r>
  </si>
  <si>
    <t xml:space="preserve">前提条件（入力の集約）</t>
  </si>
  <si>
    <r>
      <rPr>
        <i val="true"/>
        <sz val="9"/>
        <color rgb="FF808080"/>
        <rFont val="Noto Sans CJK SC"/>
        <family val="2"/>
      </rPr>
      <t xml:space="preserve">黄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入力（変更可）／緑</t>
    </r>
    <r>
      <rPr>
        <i val="true"/>
        <sz val="9"/>
        <color rgb="FF808080"/>
        <rFont val="Arial"/>
        <family val="0"/>
        <charset val="1"/>
      </rPr>
      <t xml:space="preserve">=</t>
    </r>
    <r>
      <rPr>
        <i val="true"/>
        <sz val="9"/>
        <color rgb="FF808080"/>
        <rFont val="Noto Sans CJK SC"/>
        <family val="2"/>
      </rPr>
      <t xml:space="preserve">他シート参照。他シートは原則ここを参照</t>
    </r>
  </si>
  <si>
    <t xml:space="preserve">■ 基本前提</t>
  </si>
  <si>
    <r>
      <rPr>
        <sz val="11"/>
        <rFont val="Noto Sans CJK SC"/>
        <family val="2"/>
      </rPr>
      <t xml:space="preserve">会員上限</t>
    </r>
    <r>
      <rPr>
        <sz val="11"/>
        <rFont val="Arial"/>
        <family val="0"/>
        <charset val="1"/>
      </rPr>
      <t xml:space="preserve">(capacity)</t>
    </r>
  </si>
  <si>
    <r>
      <rPr>
        <sz val="11"/>
        <rFont val="Noto Sans CJK SC"/>
        <family val="2"/>
      </rPr>
      <t xml:space="preserve">入会金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</si>
  <si>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体験単価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税抜</t>
    </r>
    <r>
      <rPr>
        <sz val="11"/>
        <rFont val="Arial"/>
        <family val="0"/>
        <charset val="1"/>
      </rPr>
      <t xml:space="preserve">)</t>
    </r>
  </si>
  <si>
    <t xml:space="preserve">物販原価率</t>
  </si>
  <si>
    <t xml:space="preserve">決済手数料率</t>
  </si>
  <si>
    <r>
      <rPr>
        <sz val="11"/>
        <rFont val="Noto Sans CJK SC"/>
        <family val="2"/>
      </rPr>
      <t xml:space="preserve">決済適用率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カード等比率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</si>
  <si>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減価償却年数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設備</t>
    </r>
    <r>
      <rPr>
        <sz val="11"/>
        <rFont val="Arial"/>
        <family val="0"/>
        <charset val="1"/>
      </rPr>
      <t xml:space="preserve">)</t>
    </r>
  </si>
  <si>
    <t xml:space="preserve">実効税率</t>
  </si>
  <si>
    <r>
      <rPr>
        <sz val="11"/>
        <rFont val="Noto Sans CJK SC"/>
        <family val="2"/>
      </rPr>
      <t xml:space="preserve">家賃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</si>
  <si>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光熱費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</si>
  <si>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通信費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</si>
  <si>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保険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</si>
  <si>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システム費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</si>
  <si>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清掃費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</si>
  <si>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修繕・設備更新積立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</si>
  <si>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消耗品費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</si>
  <si>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税理士費用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</si>
  <si>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予備費率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対その他固定費</t>
    </r>
    <r>
      <rPr>
        <sz val="11"/>
        <rFont val="Arial"/>
        <family val="0"/>
        <charset val="1"/>
      </rPr>
      <t xml:space="preserve">)</t>
    </r>
  </si>
  <si>
    <t xml:space="preserve">保証金月数</t>
  </si>
  <si>
    <t xml:space="preserve">■ 選択シナリオの反映値（自動）</t>
  </si>
  <si>
    <t xml:space="preserve">入会率</t>
  </si>
  <si>
    <r>
      <rPr>
        <sz val="11"/>
        <rFont val="Noto Sans CJK SC"/>
        <family val="2"/>
      </rPr>
      <t xml:space="preserve">退会率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</si>
  <si>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ARPU(</t>
    </r>
    <r>
      <rPr>
        <sz val="11"/>
        <rFont val="Noto Sans CJK SC"/>
        <family val="2"/>
      </rPr>
      <t xml:space="preserve">月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</si>
  <si>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追加</t>
    </r>
    <r>
      <rPr>
        <sz val="11"/>
        <rFont val="Arial"/>
        <family val="0"/>
        <charset val="1"/>
      </rPr>
      <t xml:space="preserve">CAPEX</t>
    </r>
  </si>
  <si>
    <t xml:space="preserve">■ その他固定費の合計（自動）</t>
  </si>
  <si>
    <r>
      <rPr>
        <sz val="11"/>
        <rFont val="Noto Sans CJK SC"/>
        <family val="2"/>
      </rPr>
      <t xml:space="preserve">その他固定費小計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家賃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人件費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広告除く</t>
    </r>
    <r>
      <rPr>
        <sz val="11"/>
        <rFont val="Arial"/>
        <family val="0"/>
        <charset val="1"/>
      </rPr>
      <t xml:space="preserve">)</t>
    </r>
  </si>
  <si>
    <t xml:space="preserve">予備費</t>
  </si>
  <si>
    <t xml:space="preserve">その他固定費 計</t>
  </si>
  <si>
    <t xml:space="preserve">■ 前受け（月会費先取り）</t>
  </si>
  <si>
    <r>
      <rPr>
        <sz val="11"/>
        <rFont val="Noto Sans CJK SC"/>
        <family val="2"/>
      </rPr>
      <t xml:space="preserve">前受け</t>
    </r>
    <r>
      <rPr>
        <sz val="11"/>
        <rFont val="Arial"/>
        <family val="0"/>
        <charset val="1"/>
      </rPr>
      <t xml:space="preserve">ON(1=</t>
    </r>
    <r>
      <rPr>
        <sz val="11"/>
        <rFont val="Noto Sans CJK SC"/>
        <family val="2"/>
      </rPr>
      <t xml:space="preserve">有効</t>
    </r>
    <r>
      <rPr>
        <sz val="11"/>
        <rFont val="Arial"/>
        <family val="0"/>
        <charset val="1"/>
      </rPr>
      <t xml:space="preserve">,0=</t>
    </r>
    <r>
      <rPr>
        <sz val="11"/>
        <rFont val="Noto Sans CJK SC"/>
        <family val="2"/>
      </rPr>
      <t xml:space="preserve">無効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</si>
  <si>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</rPr>
      <t xml:space="preserve">ヶ月前取り等の運転資本効果を</t>
    </r>
    <r>
      <rPr>
        <i val="true"/>
        <sz val="9"/>
        <color rgb="FF808080"/>
        <rFont val="Arial"/>
        <family val="0"/>
        <charset val="1"/>
      </rPr>
      <t xml:space="preserve">CF</t>
    </r>
    <r>
      <rPr>
        <i val="true"/>
        <sz val="9"/>
        <color rgb="FF808080"/>
        <rFont val="Noto Sans CJK SC"/>
        <family val="2"/>
      </rPr>
      <t xml:space="preserve">に反映</t>
    </r>
  </si>
  <si>
    <r>
      <rPr>
        <sz val="11"/>
        <rFont val="Noto Sans CJK SC"/>
        <family val="2"/>
      </rPr>
      <t xml:space="preserve">前受けフロート係数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月分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</si>
  <si>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Noto Sans CJK SC"/>
        <family val="2"/>
      </rPr>
      <t xml:space="preserve">ヶ月前取り≒</t>
    </r>
    <r>
      <rPr>
        <i val="true"/>
        <sz val="9"/>
        <color rgb="FF808080"/>
        <rFont val="Arial"/>
        <family val="0"/>
        <charset val="1"/>
      </rPr>
      <t xml:space="preserve">1.5</t>
    </r>
    <r>
      <rPr>
        <i val="true"/>
        <sz val="9"/>
        <color rgb="FF808080"/>
        <rFont val="Noto Sans CJK SC"/>
        <family val="2"/>
      </rPr>
      <t xml:space="preserve">。会員増加分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係数</t>
    </r>
    <r>
      <rPr>
        <i val="true"/>
        <sz val="9"/>
        <color rgb="FF808080"/>
        <rFont val="Arial"/>
        <family val="0"/>
        <charset val="1"/>
      </rPr>
      <t xml:space="preserve">×</t>
    </r>
    <r>
      <rPr>
        <i val="true"/>
        <sz val="9"/>
        <color rgb="FF808080"/>
        <rFont val="Noto Sans CJK SC"/>
        <family val="2"/>
      </rPr>
      <t xml:space="preserve">会費が現金前倒し</t>
    </r>
  </si>
  <si>
    <t xml:space="preserve">■ 後日投資（防犯・セキュリティ）</t>
  </si>
  <si>
    <t xml:space="preserve">防犯・セキュリティ投資額</t>
  </si>
  <si>
    <r>
      <rPr>
        <i val="true"/>
        <sz val="9"/>
        <color rgb="FF808080"/>
        <rFont val="Arial"/>
        <family val="0"/>
        <charset val="1"/>
      </rPr>
      <t xml:space="preserve">24</t>
    </r>
    <r>
      <rPr>
        <i val="true"/>
        <sz val="9"/>
        <color rgb="FF808080"/>
        <rFont val="Noto Sans CJK SC"/>
        <family val="2"/>
      </rPr>
      <t xml:space="preserve">時間無人化。開業後に実施し</t>
    </r>
    <r>
      <rPr>
        <i val="true"/>
        <sz val="9"/>
        <color rgb="FF808080"/>
        <rFont val="Arial"/>
        <family val="0"/>
        <charset val="1"/>
      </rPr>
      <t xml:space="preserve">CAPEX</t>
    </r>
    <r>
      <rPr>
        <i val="true"/>
        <sz val="9"/>
        <color rgb="FF808080"/>
        <rFont val="Noto Sans CJK SC"/>
        <family val="2"/>
      </rPr>
      <t xml:space="preserve">を後ろ倒し</t>
    </r>
  </si>
  <si>
    <r>
      <rPr>
        <sz val="11"/>
        <rFont val="Noto Sans CJK SC"/>
        <family val="2"/>
      </rPr>
      <t xml:space="preserve">実施月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開業何ヶ月後</t>
    </r>
    <r>
      <rPr>
        <sz val="11"/>
        <rFont val="Arial"/>
        <family val="0"/>
        <charset val="1"/>
      </rPr>
      <t xml:space="preserve">)</t>
    </r>
  </si>
  <si>
    <r>
      <rPr>
        <b val="true"/>
        <sz val="13"/>
        <color rgb="FF1F3864"/>
        <rFont val="Noto Sans CJK SC"/>
        <family val="2"/>
      </rPr>
      <t xml:space="preserve">初期投資（</t>
    </r>
    <r>
      <rPr>
        <b val="true"/>
        <sz val="13"/>
        <color rgb="FF1F3864"/>
        <rFont val="Arial"/>
        <family val="0"/>
        <charset val="1"/>
      </rPr>
      <t xml:space="preserve">CAPEX</t>
    </r>
    <r>
      <rPr>
        <b val="true"/>
        <sz val="13"/>
        <color rgb="FF1F3864"/>
        <rFont val="Noto Sans CJK SC"/>
        <family val="2"/>
      </rPr>
      <t xml:space="preserve">）内訳</t>
    </r>
  </si>
  <si>
    <r>
      <rPr>
        <i val="true"/>
        <sz val="9"/>
        <color rgb="FF808080"/>
        <rFont val="Noto Sans CJK SC"/>
        <family val="2"/>
      </rPr>
      <t xml:space="preserve">※既存楽観案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約</t>
    </r>
    <r>
      <rPr>
        <i val="true"/>
        <sz val="9"/>
        <color rgb="FF808080"/>
        <rFont val="Arial"/>
        <family val="0"/>
        <charset val="1"/>
      </rPr>
      <t xml:space="preserve">10,340</t>
    </r>
    <r>
      <rPr>
        <i val="true"/>
        <sz val="9"/>
        <color rgb="FF808080"/>
        <rFont val="Noto Sans CJK SC"/>
        <family val="2"/>
      </rPr>
      <t xml:space="preserve">千円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Noto Sans CJK SC"/>
        <family val="2"/>
      </rPr>
      <t xml:space="preserve">は保証金・予備費・開業前費用が未計上の疑い。本表は保守計上。</t>
    </r>
  </si>
  <si>
    <t xml:space="preserve">項目</t>
  </si>
  <si>
    <t xml:space="preserve">金額</t>
  </si>
  <si>
    <t xml:space="preserve">備考</t>
  </si>
  <si>
    <r>
      <rPr>
        <sz val="11"/>
        <rFont val="Noto Sans CJK SC"/>
        <family val="2"/>
      </rPr>
      <t xml:space="preserve">内装工事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居抜き</t>
    </r>
    <r>
      <rPr>
        <sz val="11"/>
        <rFont val="Arial"/>
        <family val="0"/>
        <charset val="1"/>
      </rPr>
      <t xml:space="preserve">)</t>
    </r>
  </si>
  <si>
    <t xml:space="preserve">居抜き活用で圧縮。造作・打席ブース中心</t>
  </si>
  <si>
    <t xml:space="preserve">電気工事</t>
  </si>
  <si>
    <t xml:space="preserve">分電盤・打席電源・照明</t>
  </si>
  <si>
    <t xml:space="preserve">空調・換気・設備工事</t>
  </si>
  <si>
    <t xml:space="preserve">打席発熱対応で増設</t>
  </si>
  <si>
    <t xml:space="preserve">防音・安全対策</t>
  </si>
  <si>
    <t xml:space="preserve">防音・防球・防護</t>
  </si>
  <si>
    <r>
      <rPr>
        <sz val="11"/>
        <rFont val="Noto Sans CJK SC"/>
        <family val="2"/>
      </rPr>
      <t xml:space="preserve">シミュレーター・機材</t>
    </r>
    <r>
      <rPr>
        <sz val="11"/>
        <rFont val="Arial"/>
        <family val="0"/>
        <charset val="1"/>
      </rPr>
      <t xml:space="preserve">(2</t>
    </r>
    <r>
      <rPr>
        <sz val="11"/>
        <rFont val="Noto Sans CJK SC"/>
        <family val="2"/>
      </rPr>
      <t xml:space="preserve">打席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</si>
  <si>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Noto Sans CJK SC"/>
        <family val="2"/>
      </rPr>
      <t xml:space="preserve">機種で</t>
    </r>
    <r>
      <rPr>
        <i val="true"/>
        <sz val="9"/>
        <color rgb="FF808080"/>
        <rFont val="Arial"/>
        <family val="0"/>
        <charset val="1"/>
      </rPr>
      <t xml:space="preserve">50</t>
    </r>
    <r>
      <rPr>
        <i val="true"/>
        <sz val="9"/>
        <color rgb="FF808080"/>
        <rFont val="Noto Sans CJK SC"/>
        <family val="2"/>
      </rPr>
      <t xml:space="preserve">万〜</t>
    </r>
    <r>
      <rPr>
        <i val="true"/>
        <sz val="9"/>
        <color rgb="FF808080"/>
        <rFont val="Arial"/>
        <family val="0"/>
        <charset val="1"/>
      </rPr>
      <t xml:space="preserve">250</t>
    </r>
    <r>
      <rPr>
        <i val="true"/>
        <sz val="9"/>
        <color rgb="FF808080"/>
        <rFont val="Noto Sans CJK SC"/>
        <family val="2"/>
      </rPr>
      <t xml:space="preserve">万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席。中位想定</t>
    </r>
  </si>
  <si>
    <r>
      <rPr>
        <sz val="11"/>
        <rFont val="Arial"/>
        <family val="0"/>
        <charset val="1"/>
      </rPr>
      <t xml:space="preserve">PC</t>
    </r>
    <r>
      <rPr>
        <sz val="11"/>
        <rFont val="Noto Sans CJK SC"/>
        <family val="2"/>
      </rPr>
      <t xml:space="preserve">・ネットワーク・</t>
    </r>
    <r>
      <rPr>
        <sz val="11"/>
        <rFont val="Arial"/>
        <family val="0"/>
        <charset val="1"/>
      </rPr>
      <t xml:space="preserve">AV</t>
    </r>
  </si>
  <si>
    <t xml:space="preserve">什器・備品</t>
  </si>
  <si>
    <t xml:space="preserve">看板・サイン</t>
  </si>
  <si>
    <r>
      <rPr>
        <sz val="11"/>
        <rFont val="Noto Sans CJK SC"/>
        <family val="2"/>
      </rPr>
      <t xml:space="preserve">決済・</t>
    </r>
    <r>
      <rPr>
        <sz val="11"/>
        <rFont val="Arial"/>
        <family val="0"/>
        <charset val="1"/>
      </rPr>
      <t xml:space="preserve">POS</t>
    </r>
    <r>
      <rPr>
        <sz val="11"/>
        <rFont val="Noto Sans CJK SC"/>
        <family val="2"/>
      </rPr>
      <t xml:space="preserve">環境</t>
    </r>
  </si>
  <si>
    <r>
      <rPr>
        <sz val="11"/>
        <rFont val="Arial"/>
        <family val="0"/>
        <charset val="1"/>
      </rPr>
      <t xml:space="preserve">HP</t>
    </r>
    <r>
      <rPr>
        <sz val="11"/>
        <rFont val="Noto Sans CJK SC"/>
        <family val="2"/>
      </rPr>
      <t xml:space="preserve">制作・初期ブランディング</t>
    </r>
  </si>
  <si>
    <r>
      <rPr>
        <i val="true"/>
        <sz val="9"/>
        <color rgb="FF808080"/>
        <rFont val="Arial"/>
        <family val="0"/>
        <charset val="1"/>
      </rPr>
      <t xml:space="preserve">YOZAN WEB</t>
    </r>
    <r>
      <rPr>
        <i val="true"/>
        <sz val="9"/>
        <color rgb="FF808080"/>
        <rFont val="Noto Sans CJK SC"/>
        <family val="2"/>
      </rPr>
      <t xml:space="preserve">。既存テンプレ流用</t>
    </r>
  </si>
  <si>
    <r>
      <rPr>
        <sz val="11"/>
        <rFont val="Noto Sans CJK SC"/>
        <family val="2"/>
      </rPr>
      <t xml:space="preserve">開業前費用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採用・研修・内覧</t>
    </r>
    <r>
      <rPr>
        <sz val="11"/>
        <rFont val="Arial"/>
        <family val="0"/>
        <charset val="1"/>
      </rPr>
      <t xml:space="preserve">)</t>
    </r>
  </si>
  <si>
    <t xml:space="preserve">設備小計</t>
  </si>
  <si>
    <r>
      <rPr>
        <b val="true"/>
        <sz val="11"/>
        <color rgb="FF1F3864"/>
        <rFont val="Noto Sans CJK SC"/>
        <family val="2"/>
      </rPr>
      <t xml:space="preserve">予備費</t>
    </r>
    <r>
      <rPr>
        <b val="true"/>
        <sz val="11"/>
        <color rgb="FF1F3864"/>
        <rFont val="Arial"/>
        <family val="0"/>
        <charset val="1"/>
      </rPr>
      <t xml:space="preserve">(10%)</t>
    </r>
  </si>
  <si>
    <r>
      <rPr>
        <b val="true"/>
        <sz val="11"/>
        <color rgb="FF1F3864"/>
        <rFont val="Arial"/>
        <family val="0"/>
        <charset val="1"/>
      </rPr>
      <t xml:space="preserve">CAPEX</t>
    </r>
    <r>
      <rPr>
        <b val="true"/>
        <sz val="11"/>
        <color rgb="FF1F3864"/>
        <rFont val="Noto Sans CJK SC"/>
        <family val="2"/>
      </rPr>
      <t xml:space="preserve">計</t>
    </r>
    <r>
      <rPr>
        <b val="true"/>
        <sz val="11"/>
        <color rgb="FF1F3864"/>
        <rFont val="Arial"/>
        <family val="0"/>
        <charset val="1"/>
      </rPr>
      <t xml:space="preserve">(</t>
    </r>
    <r>
      <rPr>
        <b val="true"/>
        <sz val="11"/>
        <color rgb="FF1F3864"/>
        <rFont val="Noto Sans CJK SC"/>
        <family val="2"/>
      </rPr>
      <t xml:space="preserve">減価償却対象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</si>
  <si>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保証金・敷金</t>
  </si>
  <si>
    <r>
      <rPr>
        <b val="true"/>
        <sz val="11"/>
        <color rgb="FF1F3864"/>
        <rFont val="Noto Sans CJK SC"/>
        <family val="2"/>
      </rPr>
      <t xml:space="preserve">追加</t>
    </r>
    <r>
      <rPr>
        <b val="true"/>
        <sz val="11"/>
        <color rgb="FF1F3864"/>
        <rFont val="Arial"/>
        <family val="0"/>
        <charset val="1"/>
      </rPr>
      <t xml:space="preserve">CAPEX(</t>
    </r>
    <r>
      <rPr>
        <b val="true"/>
        <sz val="11"/>
        <color rgb="FF1F3864"/>
        <rFont val="Noto Sans CJK SC"/>
        <family val="2"/>
      </rPr>
      <t xml:space="preserve">シナリオ</t>
    </r>
    <r>
      <rPr>
        <b val="true"/>
        <sz val="11"/>
        <color rgb="FF1F3864"/>
        <rFont val="Arial"/>
        <family val="0"/>
        <charset val="1"/>
      </rPr>
      <t xml:space="preserve">)</t>
    </r>
  </si>
  <si>
    <r>
      <rPr>
        <b val="true"/>
        <sz val="13"/>
        <color rgb="FF1F3864"/>
        <rFont val="Noto Sans CJK SC"/>
        <family val="2"/>
      </rPr>
      <t xml:space="preserve">月次コスト内訳（</t>
    </r>
    <r>
      <rPr>
        <b val="true"/>
        <sz val="13"/>
        <color rgb="FF1F3864"/>
        <rFont val="Arial"/>
        <family val="0"/>
        <charset val="1"/>
      </rPr>
      <t xml:space="preserve">OPEX</t>
    </r>
    <r>
      <rPr>
        <b val="true"/>
        <sz val="13"/>
        <color rgb="FF1F3864"/>
        <rFont val="Noto Sans CJK SC"/>
        <family val="2"/>
      </rPr>
      <t xml:space="preserve">）</t>
    </r>
  </si>
  <si>
    <t xml:space="preserve">区分</t>
  </si>
  <si>
    <r>
      <rPr>
        <b val="true"/>
        <sz val="11"/>
        <color rgb="FFFFFFFF"/>
        <rFont val="Noto Sans CJK SC"/>
        <family val="2"/>
      </rPr>
      <t xml:space="preserve">金額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</si>
  <si>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種別</t>
  </si>
  <si>
    <t xml:space="preserve">固定費</t>
  </si>
  <si>
    <t xml:space="preserve">家賃</t>
  </si>
  <si>
    <t xml:space="preserve">固定</t>
  </si>
  <si>
    <t xml:space="preserve">人件費</t>
  </si>
  <si>
    <r>
      <rPr>
        <sz val="11"/>
        <color theme="1"/>
        <rFont val="Noto Sans CJK SC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シナリオ</t>
    </r>
    <r>
      <rPr>
        <sz val="11"/>
        <color theme="1"/>
        <rFont val="Calibri"/>
        <family val="2"/>
        <charset val="1"/>
      </rPr>
      <t xml:space="preserve">)</t>
    </r>
  </si>
  <si>
    <t xml:space="preserve">最悪は増員</t>
  </si>
  <si>
    <r>
      <rPr>
        <sz val="11"/>
        <color theme="1"/>
        <rFont val="Noto Sans CJK SC"/>
        <family val="2"/>
      </rPr>
      <t xml:space="preserve">広告費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開業</t>
    </r>
    <r>
      <rPr>
        <sz val="11"/>
        <color theme="1"/>
        <rFont val="Calibri"/>
        <family val="2"/>
        <charset val="1"/>
      </rPr>
      <t xml:space="preserve">1-3</t>
    </r>
    <r>
      <rPr>
        <sz val="11"/>
        <color theme="1"/>
        <rFont val="Noto Sans CJK SC"/>
        <family val="2"/>
      </rPr>
      <t xml:space="preserve">ヶ月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</si>
  <si>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固定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期間変動</t>
    </r>
    <r>
      <rPr>
        <sz val="11"/>
        <color theme="1"/>
        <rFont val="Calibri"/>
        <family val="2"/>
        <charset val="1"/>
      </rPr>
      <t xml:space="preserve">)</t>
    </r>
  </si>
  <si>
    <t xml:space="preserve">開業直後</t>
  </si>
  <si>
    <r>
      <rPr>
        <sz val="11"/>
        <color theme="1"/>
        <rFont val="Noto Sans CJK SC"/>
        <family val="2"/>
      </rPr>
      <t xml:space="preserve">広告費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Noto Sans CJK SC"/>
        <family val="2"/>
      </rPr>
      <t xml:space="preserve">ヶ月〜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</si>
  <si>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4</t>
    </r>
    <r>
      <rPr>
        <i val="true"/>
        <sz val="9"/>
        <color rgb="FF808080"/>
        <rFont val="Noto Sans CJK SC"/>
        <family val="2"/>
      </rPr>
      <t xml:space="preserve">ヶ月目以降</t>
    </r>
  </si>
  <si>
    <t xml:space="preserve">光熱費</t>
  </si>
  <si>
    <t xml:space="preserve">通信費</t>
  </si>
  <si>
    <t xml:space="preserve">保険</t>
  </si>
  <si>
    <t xml:space="preserve">システム費</t>
  </si>
  <si>
    <r>
      <rPr>
        <i val="true"/>
        <sz val="9"/>
        <color rgb="FF808080"/>
        <rFont val="Noto Sans CJK SC"/>
        <family val="2"/>
      </rPr>
      <t xml:space="preserve">予約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会員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機材月額</t>
    </r>
  </si>
  <si>
    <t xml:space="preserve">清掃費</t>
  </si>
  <si>
    <t xml:space="preserve">修繕・設備更新積立</t>
  </si>
  <si>
    <t xml:space="preserve">消耗品費</t>
  </si>
  <si>
    <t xml:space="preserve">税理士費用</t>
  </si>
  <si>
    <r>
      <rPr>
        <i val="true"/>
        <sz val="9"/>
        <color rgb="FF808080"/>
        <rFont val="Noto Sans CJK SC"/>
        <family val="2"/>
      </rPr>
      <t xml:space="preserve">対その他固定費</t>
    </r>
    <r>
      <rPr>
        <i val="true"/>
        <sz val="9"/>
        <color rgb="FF808080"/>
        <rFont val="Arial"/>
        <family val="0"/>
        <charset val="1"/>
      </rPr>
      <t xml:space="preserve">3%</t>
    </r>
  </si>
  <si>
    <t xml:space="preserve">変動費</t>
  </si>
  <si>
    <t xml:space="preserve">決済手数料</t>
  </si>
  <si>
    <r>
      <rPr>
        <i val="true"/>
        <sz val="9"/>
        <color rgb="FF808080"/>
        <rFont val="Noto Sans CJK SC"/>
        <family val="2"/>
      </rPr>
      <t xml:space="preserve">売上</t>
    </r>
    <r>
      <rPr>
        <i val="true"/>
        <sz val="9"/>
        <color rgb="FF808080"/>
        <rFont val="Arial"/>
        <family val="0"/>
        <charset val="1"/>
      </rPr>
      <t xml:space="preserve">×3%×</t>
    </r>
    <r>
      <rPr>
        <i val="true"/>
        <sz val="9"/>
        <color rgb="FF808080"/>
        <rFont val="Noto Sans CJK SC"/>
        <family val="2"/>
      </rPr>
      <t xml:space="preserve">適用率</t>
    </r>
  </si>
  <si>
    <t xml:space="preserve">変動</t>
  </si>
  <si>
    <r>
      <rPr>
        <i val="true"/>
        <sz val="9"/>
        <color rgb="FF808080"/>
        <rFont val="Arial"/>
        <family val="0"/>
        <charset val="1"/>
      </rPr>
      <t xml:space="preserve">Monthly_PL</t>
    </r>
    <r>
      <rPr>
        <i val="true"/>
        <sz val="9"/>
        <color rgb="FF808080"/>
        <rFont val="Noto Sans CJK SC"/>
        <family val="2"/>
      </rPr>
      <t xml:space="preserve">で計算</t>
    </r>
  </si>
  <si>
    <t xml:space="preserve">物販原価</t>
  </si>
  <si>
    <r>
      <rPr>
        <i val="true"/>
        <sz val="9"/>
        <color rgb="FF808080"/>
        <rFont val="Noto Sans CJK SC"/>
        <family val="2"/>
      </rPr>
      <t xml:space="preserve">物販売上</t>
    </r>
    <r>
      <rPr>
        <i val="true"/>
        <sz val="9"/>
        <color rgb="FF808080"/>
        <rFont val="Arial"/>
        <family val="0"/>
        <charset val="1"/>
      </rPr>
      <t xml:space="preserve">×65%</t>
    </r>
  </si>
  <si>
    <r>
      <rPr>
        <b val="true"/>
        <sz val="11"/>
        <color rgb="FF1F3864"/>
        <rFont val="Noto Sans CJK SC"/>
        <family val="2"/>
      </rPr>
      <t xml:space="preserve">固定費計</t>
    </r>
    <r>
      <rPr>
        <b val="true"/>
        <sz val="11"/>
        <color rgb="FF1F3864"/>
        <rFont val="Arial"/>
        <family val="0"/>
        <charset val="1"/>
      </rPr>
      <t xml:space="preserve">(Y1,</t>
    </r>
    <r>
      <rPr>
        <b val="true"/>
        <sz val="11"/>
        <color rgb="FF1F3864"/>
        <rFont val="Noto Sans CJK SC"/>
        <family val="2"/>
      </rPr>
      <t xml:space="preserve">広告</t>
    </r>
    <r>
      <rPr>
        <b val="true"/>
        <sz val="11"/>
        <color rgb="FF1F3864"/>
        <rFont val="Arial"/>
        <family val="0"/>
        <charset val="1"/>
      </rPr>
      <t xml:space="preserve">Y1)</t>
    </r>
  </si>
  <si>
    <r>
      <rPr>
        <b val="true"/>
        <sz val="11"/>
        <color rgb="FF1F3864"/>
        <rFont val="Noto Sans CJK SC"/>
        <family val="2"/>
      </rPr>
      <t xml:space="preserve">固定費計</t>
    </r>
    <r>
      <rPr>
        <b val="true"/>
        <sz val="11"/>
        <color rgb="FF1F3864"/>
        <rFont val="Arial"/>
        <family val="0"/>
        <charset val="1"/>
      </rPr>
      <t xml:space="preserve">(Y2-3,</t>
    </r>
    <r>
      <rPr>
        <b val="true"/>
        <sz val="11"/>
        <color rgb="FF1F3864"/>
        <rFont val="Noto Sans CJK SC"/>
        <family val="2"/>
      </rPr>
      <t xml:space="preserve">広告</t>
    </r>
    <r>
      <rPr>
        <b val="true"/>
        <sz val="11"/>
        <color rgb="FF1F3864"/>
        <rFont val="Arial"/>
        <family val="0"/>
        <charset val="1"/>
      </rPr>
      <t xml:space="preserve">Y2-3)</t>
    </r>
  </si>
  <si>
    <r>
      <rPr>
        <b val="true"/>
        <sz val="13"/>
        <color rgb="FF1F3864"/>
        <rFont val="Noto Sans CJK SC"/>
        <family val="2"/>
      </rPr>
      <t xml:space="preserve">月次損益計画（</t>
    </r>
    <r>
      <rPr>
        <b val="true"/>
        <sz val="13"/>
        <color rgb="FF1F3864"/>
        <rFont val="Arial"/>
        <family val="0"/>
        <charset val="1"/>
      </rPr>
      <t xml:space="preserve">36</t>
    </r>
    <r>
      <rPr>
        <b val="true"/>
        <sz val="13"/>
        <color rgb="FF1F3864"/>
        <rFont val="Noto Sans CJK SC"/>
        <family val="2"/>
      </rPr>
      <t xml:space="preserve">ヶ月）</t>
    </r>
  </si>
  <si>
    <t xml:space="preserve">会員動態→売上→変動費→固定費→営業利益。選択シナリオで自動更新。</t>
  </si>
  <si>
    <t xml:space="preserve">月</t>
  </si>
  <si>
    <t xml:space="preserve">年</t>
  </si>
  <si>
    <t xml:space="preserve">期首会員</t>
  </si>
  <si>
    <t xml:space="preserve">体験数</t>
  </si>
  <si>
    <t xml:space="preserve">入会数</t>
  </si>
  <si>
    <t xml:space="preserve">退会数</t>
  </si>
  <si>
    <t xml:space="preserve">期末会員</t>
  </si>
  <si>
    <t xml:space="preserve">月会費売上</t>
  </si>
  <si>
    <t xml:space="preserve">入会金売上</t>
  </si>
  <si>
    <t xml:space="preserve">体験売上</t>
  </si>
  <si>
    <t xml:space="preserve">物販売上</t>
  </si>
  <si>
    <t xml:space="preserve">売上合計</t>
  </si>
  <si>
    <t xml:space="preserve">変動費計</t>
  </si>
  <si>
    <t xml:space="preserve">広告費</t>
  </si>
  <si>
    <t xml:space="preserve">その他固定費</t>
  </si>
  <si>
    <t xml:space="preserve">固定費計</t>
  </si>
  <si>
    <t xml:space="preserve">減価償却</t>
  </si>
  <si>
    <t xml:space="preserve">税前利益</t>
  </si>
  <si>
    <t xml:space="preserve">法人税等</t>
  </si>
  <si>
    <t xml:space="preserve">月次キャッシュフロー</t>
  </si>
  <si>
    <r>
      <rPr>
        <i val="true"/>
        <sz val="9"/>
        <color rgb="FF808080"/>
        <rFont val="Noto Sans CJK SC"/>
        <family val="2"/>
      </rPr>
      <t xml:space="preserve">期末現金がマイナス＝資金ショート（赤表示）。営業</t>
    </r>
    <r>
      <rPr>
        <i val="true"/>
        <sz val="9"/>
        <color rgb="FF808080"/>
        <rFont val="Arial"/>
        <family val="0"/>
        <charset val="1"/>
      </rPr>
      <t xml:space="preserve">CF=</t>
    </r>
    <r>
      <rPr>
        <i val="true"/>
        <sz val="9"/>
        <color rgb="FF808080"/>
        <rFont val="Noto Sans CJK SC"/>
        <family val="2"/>
      </rPr>
      <t xml:space="preserve">税引後利益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</rPr>
      <t xml:space="preserve">減価償却。</t>
    </r>
  </si>
  <si>
    <r>
      <rPr>
        <b val="true"/>
        <sz val="11"/>
        <color rgb="FFFFFFFF"/>
        <rFont val="Noto Sans CJK SC"/>
        <family val="2"/>
      </rPr>
      <t xml:space="preserve">営業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</si>
  <si>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投資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</si>
  <si>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財務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</si>
  <si>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前受け</t>
    </r>
    <r>
      <rPr>
        <b val="true"/>
        <sz val="11"/>
        <color rgb="FFFFFFFF"/>
        <rFont val="Arial"/>
        <family val="0"/>
        <charset val="1"/>
      </rPr>
      <t xml:space="preserve">CF(</t>
    </r>
    <r>
      <rPr>
        <b val="true"/>
        <sz val="11"/>
        <color rgb="FFFFFFFF"/>
        <rFont val="Noto Sans CJK SC"/>
        <family val="2"/>
      </rPr>
      <t xml:space="preserve">運転資本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</si>
  <si>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純増減</t>
  </si>
  <si>
    <t xml:space="preserve">期末現金</t>
  </si>
  <si>
    <r>
      <rPr>
        <b val="true"/>
        <sz val="11"/>
        <color rgb="FFFFFFFF"/>
        <rFont val="Noto Sans CJK SC"/>
        <family val="2"/>
      </rPr>
      <t xml:space="preserve">累計営業</t>
    </r>
    <r>
      <rPr>
        <b val="true"/>
        <sz val="11"/>
        <color rgb="FFFFFFFF"/>
        <rFont val="Arial"/>
        <family val="0"/>
        <charset val="1"/>
      </rPr>
      <t xml:space="preserve">CF</t>
    </r>
  </si>
  <si>
    <r>
      <rPr>
        <b val="true"/>
        <sz val="11"/>
        <color rgb="FFFFFFFF"/>
        <rFont val="Noto Sans CJK SC"/>
        <family val="2"/>
      </rPr>
      <t xml:space="preserve">回収判定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内部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</si>
  <si>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損益分岐点分析</t>
  </si>
  <si>
    <r>
      <rPr>
        <sz val="11"/>
        <rFont val="Noto Sans CJK SC"/>
        <family val="2"/>
      </rPr>
      <t xml:space="preserve">月固定費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定常</t>
    </r>
    <r>
      <rPr>
        <sz val="11"/>
        <rFont val="Arial"/>
        <family val="0"/>
        <charset val="1"/>
      </rPr>
      <t xml:space="preserve">/Y2-3)</t>
    </r>
  </si>
  <si>
    <r>
      <rPr>
        <sz val="11"/>
        <rFont val="Noto Sans CJK SC"/>
        <family val="2"/>
      </rPr>
      <t xml:space="preserve">物販</t>
    </r>
    <r>
      <rPr>
        <sz val="11"/>
        <rFont val="Arial"/>
        <family val="0"/>
        <charset val="1"/>
      </rPr>
      <t xml:space="preserve">ARPU</t>
    </r>
  </si>
  <si>
    <r>
      <rPr>
        <sz val="11"/>
        <rFont val="Noto Sans CJK SC"/>
        <family val="2"/>
      </rPr>
      <t xml:space="preserve">決済実効率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手数料率</t>
    </r>
    <r>
      <rPr>
        <sz val="11"/>
        <rFont val="Arial"/>
        <family val="0"/>
        <charset val="1"/>
      </rPr>
      <t xml:space="preserve">×</t>
    </r>
    <r>
      <rPr>
        <sz val="11"/>
        <rFont val="Noto Sans CJK SC"/>
        <family val="2"/>
      </rPr>
      <t xml:space="preserve">適用率</t>
    </r>
    <r>
      <rPr>
        <sz val="11"/>
        <rFont val="Arial"/>
        <family val="0"/>
        <charset val="1"/>
      </rPr>
      <t xml:space="preserve">)</t>
    </r>
  </si>
  <si>
    <t xml:space="preserve">会員あたり月次貢献</t>
  </si>
  <si>
    <t xml:space="preserve">損益分岐点 会員数</t>
  </si>
  <si>
    <r>
      <rPr>
        <sz val="11"/>
        <rFont val="Noto Sans CJK SC"/>
        <family val="2"/>
      </rPr>
      <t xml:space="preserve">必要月商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概算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</si>
  <si>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現状会員</t>
    </r>
    <r>
      <rPr>
        <sz val="11"/>
        <rFont val="Arial"/>
        <family val="0"/>
        <charset val="1"/>
      </rPr>
      <t xml:space="preserve">(36</t>
    </r>
    <r>
      <rPr>
        <sz val="11"/>
        <rFont val="Noto Sans CJK SC"/>
        <family val="2"/>
      </rPr>
      <t xml:space="preserve">ヶ月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</si>
  <si>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BEP-</t>
    </r>
    <r>
      <rPr>
        <sz val="11"/>
        <rFont val="Noto Sans CJK SC"/>
        <family val="2"/>
      </rPr>
      <t xml:space="preserve">現状会員 差</t>
    </r>
  </si>
  <si>
    <r>
      <rPr>
        <sz val="11"/>
        <rFont val="Arial"/>
        <family val="0"/>
        <charset val="1"/>
      </rPr>
      <t xml:space="preserve">BEP</t>
    </r>
    <r>
      <rPr>
        <sz val="11"/>
        <rFont val="Noto Sans CJK SC"/>
        <family val="2"/>
      </rPr>
      <t xml:space="preserve">維持に必要な月間入会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退会補填</t>
    </r>
    <r>
      <rPr>
        <sz val="11"/>
        <rFont val="Arial"/>
        <family val="0"/>
        <charset val="1"/>
      </rPr>
      <t xml:space="preserve">)</t>
    </r>
  </si>
  <si>
    <t xml:space="preserve">必要月間体験数</t>
  </si>
  <si>
    <t xml:space="preserve">感応度分析（年間営業利益への影響・一次近似）</t>
  </si>
  <si>
    <r>
      <rPr>
        <i val="true"/>
        <sz val="9"/>
        <color rgb="FF808080"/>
        <rFont val="Noto Sans CJK SC"/>
        <family val="2"/>
      </rPr>
      <t xml:space="preserve">精緻な再計算は</t>
    </r>
    <r>
      <rPr>
        <i val="true"/>
        <sz val="9"/>
        <color rgb="FF808080"/>
        <rFont val="Arial"/>
        <family val="0"/>
        <charset val="1"/>
      </rPr>
      <t xml:space="preserve">Assumptions</t>
    </r>
    <r>
      <rPr>
        <i val="true"/>
        <sz val="9"/>
        <color rgb="FF808080"/>
        <rFont val="Noto Sans CJK SC"/>
        <family val="2"/>
      </rPr>
      <t xml:space="preserve">を変更し</t>
    </r>
    <r>
      <rPr>
        <i val="true"/>
        <sz val="9"/>
        <color rgb="FF808080"/>
        <rFont val="Arial"/>
        <family val="0"/>
        <charset val="1"/>
      </rPr>
      <t xml:space="preserve">Summary</t>
    </r>
    <r>
      <rPr>
        <i val="true"/>
        <sz val="9"/>
        <color rgb="FF808080"/>
        <rFont val="Noto Sans CJK SC"/>
        <family val="2"/>
      </rPr>
      <t xml:space="preserve">で確認。下表は目安。</t>
    </r>
  </si>
  <si>
    <r>
      <rPr>
        <b val="true"/>
        <sz val="11"/>
        <color rgb="FF1F3864"/>
        <rFont val="Noto Sans CJK SC"/>
        <family val="2"/>
      </rPr>
      <t xml:space="preserve">基準</t>
    </r>
    <r>
      <rPr>
        <b val="true"/>
        <sz val="11"/>
        <color rgb="FF1F3864"/>
        <rFont val="Arial"/>
        <family val="0"/>
        <charset val="1"/>
      </rPr>
      <t xml:space="preserve">:</t>
    </r>
    <r>
      <rPr>
        <b val="true"/>
        <sz val="11"/>
        <color rgb="FF1F3864"/>
        <rFont val="Noto Sans CJK SC"/>
        <family val="2"/>
      </rPr>
      <t xml:space="preserve">年間営業利益</t>
    </r>
    <r>
      <rPr>
        <b val="true"/>
        <sz val="11"/>
        <color rgb="FF1F3864"/>
        <rFont val="Arial"/>
        <family val="0"/>
        <charset val="1"/>
      </rPr>
      <t xml:space="preserve">(Y3/25-36</t>
    </r>
    <r>
      <rPr>
        <b val="true"/>
        <sz val="11"/>
        <color rgb="FF1F3864"/>
        <rFont val="Noto Sans CJK SC"/>
        <family val="2"/>
      </rPr>
      <t xml:space="preserve">月</t>
    </r>
    <r>
      <rPr>
        <b val="true"/>
        <sz val="11"/>
        <color rgb="FF1F3864"/>
        <rFont val="Arial"/>
        <family val="0"/>
        <charset val="1"/>
      </rPr>
      <t xml:space="preserve">)</t>
    </r>
  </si>
  <si>
    <t xml:space="preserve">変動要因</t>
  </si>
  <si>
    <t xml:space="preserve">変化幅</t>
  </si>
  <si>
    <r>
      <rPr>
        <b val="true"/>
        <sz val="11"/>
        <color rgb="FFFFFFFF"/>
        <rFont val="Noto Sans CJK SC"/>
        <family val="2"/>
      </rPr>
      <t xml:space="preserve">年間営業利益への影響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近似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</si>
  <si>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会員数</t>
  </si>
  <si>
    <t xml:space="preserve">+10%</t>
  </si>
  <si>
    <t xml:space="preserve">-10%</t>
  </si>
  <si>
    <t xml:space="preserve">平均月会費</t>
  </si>
  <si>
    <r>
      <rPr>
        <sz val="11"/>
        <color theme="1"/>
        <rFont val="Calibri"/>
        <family val="2"/>
        <charset val="1"/>
      </rPr>
      <t xml:space="preserve">+1,000</t>
    </r>
    <r>
      <rPr>
        <sz val="11"/>
        <color theme="1"/>
        <rFont val="Noto Sans CJK SC"/>
        <family val="2"/>
      </rPr>
      <t xml:space="preserve">円</t>
    </r>
  </si>
  <si>
    <r>
      <rPr>
        <sz val="11"/>
        <color theme="1"/>
        <rFont val="Calibri"/>
        <family val="2"/>
        <charset val="1"/>
      </rPr>
      <t xml:space="preserve">-1,000</t>
    </r>
    <r>
      <rPr>
        <sz val="11"/>
        <color theme="1"/>
        <rFont val="Noto Sans CJK SC"/>
        <family val="2"/>
      </rPr>
      <t xml:space="preserve">円</t>
    </r>
  </si>
  <si>
    <t xml:space="preserve">退会率</t>
  </si>
  <si>
    <t xml:space="preserve">+2pt</t>
  </si>
  <si>
    <t xml:space="preserve">+20%</t>
  </si>
  <si>
    <t xml:space="preserve">リスク一覧（影響度・発生可能性・対策）</t>
  </si>
  <si>
    <t xml:space="preserve">分類</t>
  </si>
  <si>
    <t xml:space="preserve">リスク</t>
  </si>
  <si>
    <t xml:space="preserve">影響度</t>
  </si>
  <si>
    <t xml:space="preserve">発生可能性</t>
  </si>
  <si>
    <t xml:space="preserve">対策</t>
  </si>
  <si>
    <t xml:space="preserve">出店</t>
  </si>
  <si>
    <r>
      <rPr>
        <sz val="11"/>
        <color theme="1"/>
        <rFont val="Noto Sans CJK SC"/>
        <family val="2"/>
      </rPr>
      <t xml:space="preserve">良物件が出ない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賃料高</t>
    </r>
  </si>
  <si>
    <t xml:space="preserve">高</t>
  </si>
  <si>
    <t xml:space="preserve">中</t>
  </si>
  <si>
    <t xml:space="preserve">探索チャネル複数化・居抜き優先・条件緩和</t>
  </si>
  <si>
    <t xml:space="preserve">集客</t>
  </si>
  <si>
    <t xml:space="preserve">初年度の会員立ち上がり遅延</t>
  </si>
  <si>
    <t xml:space="preserve">先行入会・紹介・体験導線一本化・広告前倒し</t>
  </si>
  <si>
    <t xml:space="preserve">入会率が想定を下回る</t>
  </si>
  <si>
    <t xml:space="preserve">体験の質・接客標準化・フォロー導線</t>
  </si>
  <si>
    <t xml:space="preserve">運営</t>
  </si>
  <si>
    <r>
      <rPr>
        <sz val="11"/>
        <color theme="1"/>
        <rFont val="Noto Sans CJK SC"/>
        <family val="2"/>
      </rPr>
      <t xml:space="preserve">退会率上昇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定着不足</t>
    </r>
    <r>
      <rPr>
        <sz val="11"/>
        <color theme="1"/>
        <rFont val="Calibri"/>
        <family val="2"/>
        <charset val="1"/>
      </rPr>
      <t xml:space="preserve">)</t>
    </r>
  </si>
  <si>
    <t xml:space="preserve">予約取りやすさ改善・レッスン価値・休会提案</t>
  </si>
  <si>
    <t xml:space="preserve">資金繰り</t>
  </si>
  <si>
    <t xml:space="preserve">初期投資超過で運転資金枯渇</t>
  </si>
  <si>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圧縮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段階投資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・追加融資枠・出資増額</t>
    </r>
  </si>
  <si>
    <t xml:space="preserve">資金ショート月の発生</t>
  </si>
  <si>
    <t xml:space="preserve">固定費の変動費化・支払サイト調整・与信枠</t>
  </si>
  <si>
    <t xml:space="preserve">人材</t>
  </si>
  <si>
    <r>
      <rPr>
        <sz val="11"/>
        <color theme="1"/>
        <rFont val="Noto Sans CJK SC"/>
        <family val="2"/>
      </rPr>
      <t xml:space="preserve">採用難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教育不足</t>
    </r>
  </si>
  <si>
    <r>
      <rPr>
        <sz val="11"/>
        <color theme="1"/>
        <rFont val="Noto Sans CJK SC"/>
        <family val="2"/>
      </rPr>
      <t xml:space="preserve">無人化比率</t>
    </r>
    <r>
      <rPr>
        <sz val="11"/>
        <color theme="1"/>
        <rFont val="Calibri"/>
        <family val="2"/>
        <charset val="1"/>
      </rPr>
      <t xml:space="preserve">UP</t>
    </r>
    <r>
      <rPr>
        <sz val="11"/>
        <color theme="1"/>
        <rFont val="Noto Sans CJK SC"/>
        <family val="2"/>
      </rPr>
      <t xml:space="preserve">・宝塚応援・動画教材</t>
    </r>
  </si>
  <si>
    <t xml:space="preserve">設備</t>
  </si>
  <si>
    <r>
      <rPr>
        <sz val="11"/>
        <color theme="1"/>
        <rFont val="Noto Sans CJK SC"/>
        <family val="2"/>
      </rPr>
      <t xml:space="preserve">シミュレーター故障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納期</t>
    </r>
  </si>
  <si>
    <t xml:space="preserve">保守契約・予備部材・中位機で先行開業</t>
  </si>
  <si>
    <t xml:space="preserve">法務</t>
  </si>
  <si>
    <r>
      <rPr>
        <sz val="11"/>
        <color theme="1"/>
        <rFont val="Noto Sans CJK SC"/>
        <family val="2"/>
      </rPr>
      <t xml:space="preserve">ブランド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名称使用の条件相違</t>
    </r>
  </si>
  <si>
    <r>
      <rPr>
        <sz val="11"/>
        <color theme="1"/>
        <rFont val="Noto Sans CJK SC"/>
        <family val="2"/>
      </rPr>
      <t xml:space="preserve">ファインと書面合意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確認事項参照</t>
    </r>
    <r>
      <rPr>
        <sz val="11"/>
        <color theme="1"/>
        <rFont val="Calibri"/>
        <family val="2"/>
        <charset val="1"/>
      </rPr>
      <t xml:space="preserve">)</t>
    </r>
  </si>
  <si>
    <t xml:space="preserve">契約</t>
  </si>
  <si>
    <r>
      <rPr>
        <sz val="11"/>
        <color theme="1"/>
        <rFont val="Noto Sans CJK SC"/>
        <family val="2"/>
      </rPr>
      <t xml:space="preserve">賃貸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原状回復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中途解約の負担</t>
    </r>
  </si>
  <si>
    <t xml:space="preserve">契約前の条件精査・弁護士確認</t>
  </si>
  <si>
    <t xml:space="preserve">近隣</t>
  </si>
  <si>
    <t xml:space="preserve">騒音クレーム</t>
  </si>
  <si>
    <t xml:space="preserve">低</t>
  </si>
  <si>
    <t xml:space="preserve">事前騒音測定・防音余裕設計</t>
  </si>
  <si>
    <t xml:space="preserve">ブランド</t>
  </si>
  <si>
    <r>
      <rPr>
        <sz val="11"/>
        <color theme="1"/>
        <rFont val="Noto Sans CJK SC"/>
        <family val="2"/>
      </rPr>
      <t xml:space="preserve">運営品質のばらつきで</t>
    </r>
    <r>
      <rPr>
        <sz val="11"/>
        <color theme="1"/>
        <rFont val="Calibri"/>
        <family val="2"/>
        <charset val="1"/>
      </rPr>
      <t xml:space="preserve">GOLF WING</t>
    </r>
    <r>
      <rPr>
        <sz val="11"/>
        <color theme="1"/>
        <rFont val="Noto Sans CJK SC"/>
        <family val="2"/>
      </rPr>
      <t xml:space="preserve">毀損</t>
    </r>
  </si>
  <si>
    <r>
      <rPr>
        <sz val="11"/>
        <color theme="1"/>
        <rFont val="Calibri"/>
        <family val="2"/>
        <charset val="1"/>
      </rPr>
      <t xml:space="preserve">SOP</t>
    </r>
    <r>
      <rPr>
        <sz val="11"/>
        <color theme="1"/>
        <rFont val="Noto Sans CJK SC"/>
        <family val="2"/>
      </rPr>
      <t xml:space="preserve">整備・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監視・是正フロー</t>
    </r>
  </si>
  <si>
    <r>
      <rPr>
        <b val="true"/>
        <sz val="13"/>
        <color rgb="FF1F3864"/>
        <rFont val="Noto Sans CJK SC"/>
        <family val="2"/>
      </rPr>
      <t xml:space="preserve">想定問答（ファイン</t>
    </r>
    <r>
      <rPr>
        <b val="true"/>
        <sz val="13"/>
        <color rgb="FF1F3864"/>
        <rFont val="Arial"/>
        <family val="0"/>
        <charset val="1"/>
      </rPr>
      <t xml:space="preserve">/</t>
    </r>
    <r>
      <rPr>
        <b val="true"/>
        <sz val="13"/>
        <color rgb="FF1F3864"/>
        <rFont val="Noto Sans CJK SC"/>
        <family val="2"/>
      </rPr>
      <t xml:space="preserve">金融機関</t>
    </r>
    <r>
      <rPr>
        <b val="true"/>
        <sz val="13"/>
        <color rgb="FF1F3864"/>
        <rFont val="Arial"/>
        <family val="0"/>
        <charset val="1"/>
      </rPr>
      <t xml:space="preserve">/</t>
    </r>
    <r>
      <rPr>
        <b val="true"/>
        <sz val="13"/>
        <color rgb="FF1F3864"/>
        <rFont val="Noto Sans CJK SC"/>
        <family val="2"/>
      </rPr>
      <t xml:space="preserve">出資者）</t>
    </r>
  </si>
  <si>
    <t xml:space="preserve">想定質問</t>
  </si>
  <si>
    <t xml:space="preserve">回答案</t>
  </si>
  <si>
    <r>
      <rPr>
        <sz val="11"/>
        <color theme="1"/>
        <rFont val="Noto Sans CJK SC"/>
        <family val="2"/>
      </rPr>
      <t xml:space="preserve">売上前提は過大では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</si>
  <si>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宝塚の加重平均会費</t>
    </r>
    <r>
      <rPr>
        <sz val="11"/>
        <color theme="1"/>
        <rFont val="Calibri"/>
        <family val="2"/>
        <charset val="1"/>
      </rPr>
      <t xml:space="preserve">18,800</t>
    </r>
    <r>
      <rPr>
        <sz val="11"/>
        <color theme="1"/>
        <rFont val="Noto Sans CJK SC"/>
        <family val="2"/>
      </rPr>
      <t xml:space="preserve">円を</t>
    </r>
    <r>
      <rPr>
        <sz val="11"/>
        <color theme="1"/>
        <rFont val="Calibri"/>
        <family val="2"/>
        <charset val="1"/>
      </rPr>
      <t xml:space="preserve">15,000</t>
    </r>
    <r>
      <rPr>
        <sz val="11"/>
        <color theme="1"/>
        <rFont val="Noto Sans CJK SC"/>
        <family val="2"/>
      </rPr>
      <t xml:space="preserve">円へ保守補正。入会率も純転換のみ採用。悲観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最悪で退会率</t>
    </r>
    <r>
      <rPr>
        <sz val="11"/>
        <color theme="1"/>
        <rFont val="Calibri"/>
        <family val="2"/>
        <charset val="1"/>
      </rPr>
      <t xml:space="preserve">6-8%</t>
    </r>
    <r>
      <rPr>
        <sz val="11"/>
        <color theme="1"/>
        <rFont val="Noto Sans CJK SC"/>
        <family val="2"/>
      </rPr>
      <t xml:space="preserve">を検証。</t>
    </r>
  </si>
  <si>
    <r>
      <rPr>
        <sz val="11"/>
        <color theme="1"/>
        <rFont val="Noto Sans CJK SC"/>
        <family val="2"/>
      </rPr>
      <t xml:space="preserve">初期投資は足りるか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</si>
  <si>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既存楽観案は保証金・予備費・開業前費用が未計上。本モデルで保守計上した結果、総初期投資は出資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万を上回り得るため、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圧縮</t>
    </r>
    <r>
      <rPr>
        <sz val="11"/>
        <color theme="1"/>
        <rFont val="Calibri"/>
        <family val="2"/>
        <charset val="1"/>
      </rPr>
      <t xml:space="preserve">or</t>
    </r>
    <r>
      <rPr>
        <sz val="11"/>
        <color theme="1"/>
        <rFont val="Noto Sans CJK SC"/>
        <family val="2"/>
      </rPr>
      <t xml:space="preserve">追加調達を明示。</t>
    </r>
  </si>
  <si>
    <r>
      <rPr>
        <sz val="11"/>
        <color theme="1"/>
        <rFont val="Noto Sans CJK SC"/>
        <family val="2"/>
      </rPr>
      <t xml:space="preserve">資金ショートは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</si>
  <si>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Cash_Flow</t>
    </r>
    <r>
      <rPr>
        <sz val="11"/>
        <color theme="1"/>
        <rFont val="Noto Sans CJK SC"/>
        <family val="2"/>
      </rPr>
      <t xml:space="preserve">で月末現金を可視化。標準では回避、悲観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最悪では発生月を赤表示。対策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段階投資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融資枠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を用意。</t>
    </r>
  </si>
  <si>
    <r>
      <rPr>
        <sz val="11"/>
        <color theme="1"/>
        <rFont val="Noto Sans CJK SC"/>
        <family val="2"/>
      </rPr>
      <t xml:space="preserve">投資回収は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</si>
  <si>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に投資回収月を表示。標準で概ね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Noto Sans CJK SC"/>
        <family val="2"/>
      </rPr>
      <t xml:space="preserve">年目、悲観で長期化。</t>
    </r>
  </si>
  <si>
    <r>
      <rPr>
        <sz val="11"/>
        <color theme="1"/>
        <rFont val="Noto Sans CJK SC"/>
        <family val="2"/>
      </rPr>
      <t xml:space="preserve">集客が失敗したら</t>
    </r>
    <r>
      <rPr>
        <sz val="11"/>
        <color theme="1"/>
        <rFont val="Calibri"/>
        <family val="2"/>
        <charset val="1"/>
      </rPr>
      <t xml:space="preserve">?</t>
    </r>
  </si>
  <si>
    <t xml:space="preserve">最悪シナリオで初期集客失敗・退会増・広告増・人件費増・修繕発生を同時反映し耐性を確認。</t>
  </si>
  <si>
    <r>
      <rPr>
        <sz val="11"/>
        <color theme="1"/>
        <rFont val="Noto Sans CJK SC"/>
        <family val="2"/>
      </rPr>
      <t xml:space="preserve">損益分岐点は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</si>
  <si>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BreakEven</t>
    </r>
    <r>
      <rPr>
        <sz val="11"/>
        <color theme="1"/>
        <rFont val="Noto Sans CJK SC"/>
        <family val="2"/>
      </rPr>
      <t xml:space="preserve">で会員数・必要月商・必要体験数を提示。定常固定費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会員貢献。</t>
    </r>
  </si>
  <si>
    <r>
      <rPr>
        <sz val="11"/>
        <color theme="1"/>
        <rFont val="Noto Sans CJK SC"/>
        <family val="2"/>
      </rPr>
      <t xml:space="preserve">ファインとの関係は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</si>
  <si>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名称・ブランド・システム利用の範囲と責任分担を書面合意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確認事項一覧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</si>
  <si>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人が採れなかったら</t>
    </r>
    <r>
      <rPr>
        <sz val="11"/>
        <color theme="1"/>
        <rFont val="Calibri"/>
        <family val="2"/>
        <charset val="1"/>
      </rPr>
      <t xml:space="preserve">?</t>
    </r>
  </si>
  <si>
    <t xml:space="preserve">無人運営モデルで必要人員を圧縮。宝塚からの応援と業務委託で補完。</t>
  </si>
  <si>
    <r>
      <rPr>
        <sz val="11"/>
        <color theme="1"/>
        <rFont val="Noto Sans CJK SC"/>
        <family val="2"/>
      </rPr>
      <t xml:space="preserve">競合が増えたら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</si>
  <si>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会員制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レッスン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無人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システム化で差別化。</t>
    </r>
    <r>
      <rPr>
        <sz val="11"/>
        <color theme="1"/>
        <rFont val="Calibri"/>
        <family val="2"/>
        <charset val="1"/>
      </rPr>
      <t xml:space="preserve">KPI</t>
    </r>
    <r>
      <rPr>
        <sz val="11"/>
        <color theme="1"/>
        <rFont val="Noto Sans CJK SC"/>
        <family val="2"/>
      </rPr>
      <t xml:space="preserve">監視で早期対応。</t>
    </r>
  </si>
  <si>
    <r>
      <rPr>
        <sz val="11"/>
        <color theme="1"/>
        <rFont val="Noto Sans CJK SC"/>
        <family val="2"/>
      </rPr>
      <t xml:space="preserve">撤退基準は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</si>
  <si>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一定期間の会員数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現金残高が基準割れで段階縮小・撤退を事前定義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要協議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</si>
</sst>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#,##0"/>
    <numFmt numFmtId="167" formatCode="0.0%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color rgb="FF1F3864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Noto Sans CJK SC"/>
      <family val="2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sz val="11"/>
      <name val="Noto Sans CJK SC"/>
      <family val="2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5"/>
  </cols>
  <sheetData>
    <row r="1" customFormat="false" ht="20.1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  <c r="B2" s="3" t="str">
        <f aca="false">Scenarios!$B$2</f>
        <v>標準</v>
      </c>
      <c r="D2" s="4" t="s">
        <v>2</v>
      </c>
    </row>
    <row r="4" customFormat="false" ht="17.15" hidden="false" customHeight="false" outlineLevel="0" collapsed="false">
      <c r="A4" s="5" t="s">
        <v>3</v>
      </c>
    </row>
    <row r="5" customFormat="false" ht="17.15" hidden="false" customHeight="false" outlineLevel="0" collapsed="false">
      <c r="A5" s="6" t="s">
        <v>4</v>
      </c>
      <c r="B5" s="7" t="n">
        <f aca="false">CAPEX!$B$21</f>
        <v>12355000</v>
      </c>
    </row>
    <row r="6" customFormat="false" ht="17.15" hidden="false" customHeight="false" outlineLevel="0" collapsed="false">
      <c r="A6" s="6" t="s">
        <v>5</v>
      </c>
      <c r="B6" s="7" t="n">
        <f aca="false">Assumptions!$B$24</f>
        <v>15000000</v>
      </c>
    </row>
    <row r="7" customFormat="false" ht="17.15" hidden="false" customHeight="false" outlineLevel="0" collapsed="false">
      <c r="A7" s="6" t="s">
        <v>6</v>
      </c>
      <c r="B7" s="7" t="n">
        <f aca="false">Assumptions!$B$25</f>
        <v>0</v>
      </c>
    </row>
    <row r="8" customFormat="false" ht="17.15" hidden="false" customHeight="false" outlineLevel="0" collapsed="false">
      <c r="A8" s="6" t="s">
        <v>7</v>
      </c>
      <c r="B8" s="7" t="n">
        <f aca="false">Assumptions!$B$24+Assumptions!$B$25-CAPEX!$B$21</f>
        <v>2645000</v>
      </c>
    </row>
    <row r="9" customFormat="false" ht="17.15" hidden="false" customHeight="false" outlineLevel="0" collapsed="false">
      <c r="A9" s="6" t="s">
        <v>8</v>
      </c>
      <c r="B9" s="7" t="n">
        <f aca="false">MIN(Cash_Flow!$G$4:$G$40)</f>
        <v>464355</v>
      </c>
    </row>
    <row r="10" customFormat="false" ht="17.15" hidden="false" customHeight="false" outlineLevel="0" collapsed="false">
      <c r="A10" s="6" t="s">
        <v>9</v>
      </c>
      <c r="B10" s="8" t="n">
        <f aca="false">COUNTIF(Cash_Flow!$G$5:$G$40,"&lt;0")</f>
        <v>0</v>
      </c>
    </row>
    <row r="11" customFormat="false" ht="17.15" hidden="false" customHeight="false" outlineLevel="0" collapsed="false">
      <c r="A11" s="6" t="s">
        <v>10</v>
      </c>
      <c r="B11" s="9" t="n">
        <f aca="false">IF(MIN(Cash_Flow!$I$5:$I$40)=9999,"36ヶ月内未回収",MIN(Cash_Flow!$I$5:$I$40))</f>
        <v>31</v>
      </c>
    </row>
    <row r="13" customFormat="false" ht="17.15" hidden="false" customHeight="false" outlineLevel="0" collapsed="false">
      <c r="A13" s="5" t="s">
        <v>11</v>
      </c>
    </row>
    <row r="14" customFormat="false" ht="17.15" hidden="false" customHeight="false" outlineLevel="0" collapsed="false">
      <c r="A14" s="10" t="s">
        <v>12</v>
      </c>
      <c r="B14" s="11" t="s">
        <v>13</v>
      </c>
      <c r="C14" s="11" t="s">
        <v>14</v>
      </c>
      <c r="D14" s="11" t="s">
        <v>15</v>
      </c>
      <c r="E14" s="11" t="s">
        <v>16</v>
      </c>
    </row>
    <row r="15" customFormat="false" ht="15" hidden="false" customHeight="false" outlineLevel="0" collapsed="false">
      <c r="A15" s="12" t="s">
        <v>17</v>
      </c>
      <c r="B15" s="7" t="n">
        <f aca="false">SUM(Monthly_PL!$L$4:$L$15)</f>
        <v>13948000</v>
      </c>
      <c r="C15" s="7" t="n">
        <f aca="false">SUM(Monthly_PL!$L$16:$L$27)</f>
        <v>27706000</v>
      </c>
      <c r="D15" s="7" t="n">
        <f aca="false">SUM(Monthly_PL!$L$28:$L$39)</f>
        <v>36172000</v>
      </c>
      <c r="E15" s="7" t="n">
        <f aca="false">SUM(Monthly_PL!$L$4:$L$39)</f>
        <v>77826000</v>
      </c>
    </row>
    <row r="16" customFormat="false" ht="15" hidden="false" customHeight="false" outlineLevel="0" collapsed="false">
      <c r="A16" s="12" t="s">
        <v>18</v>
      </c>
      <c r="B16" s="7" t="n">
        <f aca="false">SUM(Monthly_PL!$V$4:$V$15)</f>
        <v>-3488592.19047619</v>
      </c>
      <c r="C16" s="7" t="n">
        <f aca="false">SUM(Monthly_PL!$V$16:$V$27)</f>
        <v>9025732.28571429</v>
      </c>
      <c r="D16" s="7" t="n">
        <f aca="false">SUM(Monthly_PL!$V$28:$V$39)</f>
        <v>16615750.2857143</v>
      </c>
      <c r="E16" s="7" t="n">
        <f aca="false">SUM(Monthly_PL!$V$4:$V$39)</f>
        <v>22152890.3809524</v>
      </c>
    </row>
    <row r="17" customFormat="false" ht="15" hidden="false" customHeight="false" outlineLevel="0" collapsed="false">
      <c r="A17" s="12" t="s">
        <v>19</v>
      </c>
      <c r="B17" s="7" t="n">
        <f aca="false">SUM(Monthly_PL!$Y$4:$Y$15)</f>
        <v>-3656549.21904762</v>
      </c>
      <c r="C17" s="7" t="n">
        <f aca="false">SUM(Monthly_PL!$Y$16:$Y$27)</f>
        <v>6318012.6</v>
      </c>
      <c r="D17" s="7" t="n">
        <f aca="false">SUM(Monthly_PL!$Y$28:$Y$39)</f>
        <v>11631025.2</v>
      </c>
      <c r="E17" s="7" t="n">
        <f aca="false">SUM(Monthly_PL!$Y$4:$Y$39)</f>
        <v>14292488.5809524</v>
      </c>
    </row>
    <row r="19" customFormat="false" ht="17.15" hidden="false" customHeight="false" outlineLevel="0" collapsed="false">
      <c r="A19" s="5" t="s">
        <v>20</v>
      </c>
    </row>
    <row r="20" customFormat="false" ht="17.15" hidden="false" customHeight="false" outlineLevel="0" collapsed="false">
      <c r="A20" s="6" t="s">
        <v>21</v>
      </c>
      <c r="B20" s="8" t="n">
        <f aca="false">Monthly_PL!$G$39</f>
        <v>175</v>
      </c>
    </row>
    <row r="21" customFormat="false" ht="17.15" hidden="false" customHeight="false" outlineLevel="0" collapsed="false">
      <c r="A21" s="6" t="s">
        <v>22</v>
      </c>
      <c r="B21" s="8" t="n">
        <f aca="false">BreakEven!$B$8</f>
        <v>80</v>
      </c>
    </row>
    <row r="22" customFormat="false" ht="17.15" hidden="false" customHeight="false" outlineLevel="0" collapsed="false">
      <c r="A22" s="6" t="s">
        <v>23</v>
      </c>
      <c r="B22" s="8" t="n">
        <f aca="false">Monthly_PL!$G$39-BreakEven!$B$8</f>
        <v>95</v>
      </c>
    </row>
    <row r="25" customFormat="false" ht="15" hidden="false" customHeight="false" outlineLevel="0" collapsed="false">
      <c r="A25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1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20.1" hidden="false" customHeight="false" outlineLevel="0" collapsed="false">
      <c r="A1" s="13" t="s">
        <v>25</v>
      </c>
    </row>
    <row r="2" customFormat="false" ht="15" hidden="false" customHeight="false" outlineLevel="0" collapsed="false">
      <c r="A2" s="2" t="s">
        <v>26</v>
      </c>
      <c r="B2" s="14" t="s">
        <v>27</v>
      </c>
      <c r="D2" s="15" t="s">
        <v>28</v>
      </c>
    </row>
    <row r="4" customFormat="false" ht="17.15" hidden="false" customHeight="false" outlineLevel="0" collapsed="false">
      <c r="A4" s="10" t="s">
        <v>29</v>
      </c>
      <c r="B4" s="10" t="s">
        <v>30</v>
      </c>
      <c r="C4" s="10" t="s">
        <v>27</v>
      </c>
      <c r="D4" s="10" t="s">
        <v>31</v>
      </c>
      <c r="E4" s="10" t="s">
        <v>32</v>
      </c>
      <c r="F4" s="10" t="s">
        <v>33</v>
      </c>
      <c r="G4" s="10" t="s">
        <v>34</v>
      </c>
    </row>
    <row r="5" customFormat="false" ht="17.15" hidden="false" customHeight="false" outlineLevel="0" collapsed="false">
      <c r="A5" s="6" t="s">
        <v>35</v>
      </c>
      <c r="B5" s="16" t="n">
        <v>17000</v>
      </c>
      <c r="C5" s="16" t="n">
        <v>15000</v>
      </c>
      <c r="D5" s="16" t="n">
        <v>14000</v>
      </c>
      <c r="E5" s="16" t="n">
        <v>13000</v>
      </c>
      <c r="F5" s="17" t="n">
        <f aca="false">INDEX(B5:E5,MATCH($B$2,$B$4:$E$4,0))</f>
        <v>15000</v>
      </c>
      <c r="G5" s="4" t="s">
        <v>36</v>
      </c>
    </row>
    <row r="6" customFormat="false" ht="17.15" hidden="false" customHeight="false" outlineLevel="0" collapsed="false">
      <c r="A6" s="6" t="s">
        <v>37</v>
      </c>
      <c r="B6" s="18" t="n">
        <v>0.7</v>
      </c>
      <c r="C6" s="18" t="n">
        <v>0.6</v>
      </c>
      <c r="D6" s="18" t="n">
        <v>0.25</v>
      </c>
      <c r="E6" s="18" t="n">
        <v>0.18</v>
      </c>
      <c r="F6" s="19" t="n">
        <f aca="false">INDEX(B6:E6,MATCH($B$2,$B$4:$E$4,0))</f>
        <v>0.6</v>
      </c>
      <c r="G6" s="4" t="s">
        <v>38</v>
      </c>
    </row>
    <row r="7" customFormat="false" ht="17.15" hidden="false" customHeight="false" outlineLevel="0" collapsed="false">
      <c r="A7" s="6" t="s">
        <v>39</v>
      </c>
      <c r="B7" s="18" t="n">
        <v>0.03</v>
      </c>
      <c r="C7" s="18" t="n">
        <v>0.04</v>
      </c>
      <c r="D7" s="18" t="n">
        <v>0.06</v>
      </c>
      <c r="E7" s="18" t="n">
        <v>0.08</v>
      </c>
      <c r="F7" s="19" t="n">
        <f aca="false">INDEX(B7:E7,MATCH($B$2,$B$4:$E$4,0))</f>
        <v>0.04</v>
      </c>
      <c r="G7" s="4" t="s">
        <v>40</v>
      </c>
    </row>
    <row r="8" customFormat="false" ht="17.15" hidden="false" customHeight="false" outlineLevel="0" collapsed="false">
      <c r="A8" s="6" t="s">
        <v>41</v>
      </c>
      <c r="B8" s="20" t="n">
        <v>20</v>
      </c>
      <c r="C8" s="20" t="n">
        <v>15</v>
      </c>
      <c r="D8" s="20" t="n">
        <v>8</v>
      </c>
      <c r="E8" s="20" t="n">
        <v>5</v>
      </c>
      <c r="F8" s="21" t="n">
        <f aca="false">INDEX(B8:E8,MATCH($B$2,$B$4:$E$4,0))</f>
        <v>15</v>
      </c>
      <c r="G8" s="4" t="s">
        <v>42</v>
      </c>
    </row>
    <row r="9" customFormat="false" ht="17.15" hidden="false" customHeight="false" outlineLevel="0" collapsed="false">
      <c r="A9" s="6" t="s">
        <v>43</v>
      </c>
      <c r="B9" s="20" t="n">
        <v>22</v>
      </c>
      <c r="C9" s="20" t="n">
        <v>15</v>
      </c>
      <c r="D9" s="20" t="n">
        <v>12</v>
      </c>
      <c r="E9" s="20" t="n">
        <v>8</v>
      </c>
      <c r="F9" s="21" t="n">
        <f aca="false">INDEX(B9:E9,MATCH($B$2,$B$4:$E$4,0))</f>
        <v>15</v>
      </c>
      <c r="G9" s="4"/>
    </row>
    <row r="10" customFormat="false" ht="17.15" hidden="false" customHeight="false" outlineLevel="0" collapsed="false">
      <c r="A10" s="6" t="s">
        <v>44</v>
      </c>
      <c r="B10" s="20" t="n">
        <v>24</v>
      </c>
      <c r="C10" s="20" t="n">
        <v>15</v>
      </c>
      <c r="D10" s="20" t="n">
        <v>16</v>
      </c>
      <c r="E10" s="20" t="n">
        <v>10</v>
      </c>
      <c r="F10" s="21" t="n">
        <f aca="false">INDEX(B10:E10,MATCH($B$2,$B$4:$E$4,0))</f>
        <v>15</v>
      </c>
      <c r="G10" s="4"/>
    </row>
    <row r="11" customFormat="false" ht="17.15" hidden="false" customHeight="false" outlineLevel="0" collapsed="false">
      <c r="A11" s="6" t="s">
        <v>45</v>
      </c>
      <c r="B11" s="16" t="n">
        <v>80000</v>
      </c>
      <c r="C11" s="16" t="n">
        <v>100000</v>
      </c>
      <c r="D11" s="16" t="n">
        <v>150000</v>
      </c>
      <c r="E11" s="16" t="n">
        <v>200000</v>
      </c>
      <c r="F11" s="17" t="n">
        <f aca="false">INDEX(B11:E11,MATCH($B$2,$B$4:$E$4,0))</f>
        <v>100000</v>
      </c>
      <c r="G11" s="4" t="s">
        <v>46</v>
      </c>
    </row>
    <row r="12" customFormat="false" ht="17.15" hidden="false" customHeight="false" outlineLevel="0" collapsed="false">
      <c r="A12" s="6" t="s">
        <v>47</v>
      </c>
      <c r="B12" s="16" t="n">
        <v>40000</v>
      </c>
      <c r="C12" s="16" t="n">
        <v>50000</v>
      </c>
      <c r="D12" s="16" t="n">
        <v>90000</v>
      </c>
      <c r="E12" s="16" t="n">
        <v>120000</v>
      </c>
      <c r="F12" s="17" t="n">
        <f aca="false">INDEX(B12:E12,MATCH($B$2,$B$4:$E$4,0))</f>
        <v>50000</v>
      </c>
      <c r="G12" s="4" t="s">
        <v>48</v>
      </c>
    </row>
    <row r="13" customFormat="false" ht="17.15" hidden="false" customHeight="false" outlineLevel="0" collapsed="false">
      <c r="A13" s="6" t="s">
        <v>49</v>
      </c>
      <c r="B13" s="16" t="n">
        <v>500000</v>
      </c>
      <c r="C13" s="16" t="n">
        <v>580000</v>
      </c>
      <c r="D13" s="16" t="n">
        <v>650000</v>
      </c>
      <c r="E13" s="16" t="n">
        <v>750000</v>
      </c>
      <c r="F13" s="17" t="n">
        <f aca="false">INDEX(B13:E13,MATCH($B$2,$B$4:$E$4,0))</f>
        <v>580000</v>
      </c>
      <c r="G13" s="4" t="s">
        <v>50</v>
      </c>
    </row>
    <row r="14" customFormat="false" ht="17.15" hidden="false" customHeight="false" outlineLevel="0" collapsed="false">
      <c r="A14" s="6" t="s">
        <v>51</v>
      </c>
      <c r="B14" s="16" t="n">
        <v>3000</v>
      </c>
      <c r="C14" s="16" t="n">
        <v>2000</v>
      </c>
      <c r="D14" s="16" t="n">
        <v>1500</v>
      </c>
      <c r="E14" s="16" t="n">
        <v>1000</v>
      </c>
      <c r="F14" s="17" t="n">
        <f aca="false">INDEX(B14:E14,MATCH($B$2,$B$4:$E$4,0))</f>
        <v>2000</v>
      </c>
      <c r="G14" s="4" t="s">
        <v>52</v>
      </c>
    </row>
    <row r="15" customFormat="false" ht="17.15" hidden="false" customHeight="false" outlineLevel="0" collapsed="false">
      <c r="A15" s="6" t="s">
        <v>53</v>
      </c>
      <c r="B15" s="20" t="n">
        <v>40</v>
      </c>
      <c r="C15" s="20" t="n">
        <v>30</v>
      </c>
      <c r="D15" s="20" t="n">
        <v>5</v>
      </c>
      <c r="E15" s="20" t="n">
        <v>3</v>
      </c>
      <c r="F15" s="21" t="n">
        <f aca="false">INDEX(B15:E15,MATCH($B$2,$B$4:$E$4,0))</f>
        <v>30</v>
      </c>
      <c r="G15" s="4" t="s">
        <v>54</v>
      </c>
    </row>
    <row r="16" customFormat="false" ht="32.8" hidden="false" customHeight="false" outlineLevel="0" collapsed="false">
      <c r="A16" s="6" t="s">
        <v>55</v>
      </c>
      <c r="B16" s="16" t="n">
        <v>0</v>
      </c>
      <c r="C16" s="16" t="n">
        <v>0</v>
      </c>
      <c r="D16" s="16" t="n">
        <v>300000</v>
      </c>
      <c r="E16" s="16" t="n">
        <v>800000</v>
      </c>
      <c r="F16" s="17" t="n">
        <f aca="false">INDEX(B16:E16,MATCH($B$2,$B$4:$E$4,0))</f>
        <v>0</v>
      </c>
      <c r="G16" s="4" t="s">
        <v>56</v>
      </c>
    </row>
  </sheetData>
  <dataValidations count="1">
    <dataValidation allowBlank="false" errorStyle="stop" operator="between" showDropDown="false" showErrorMessage="false" showInputMessage="false" sqref="B2" type="list">
      <formula1>"楽観,標準,悲観,最悪"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3" t="s">
        <v>57</v>
      </c>
    </row>
    <row r="2" customFormat="false" ht="15" hidden="false" customHeight="false" outlineLevel="0" collapsed="false">
      <c r="A2" s="4" t="s">
        <v>58</v>
      </c>
    </row>
    <row r="4" customFormat="false" ht="17.15" hidden="false" customHeight="false" outlineLevel="0" collapsed="false">
      <c r="A4" s="5" t="s">
        <v>59</v>
      </c>
      <c r="B4" s="22"/>
    </row>
    <row r="5" customFormat="false" ht="17.15" hidden="false" customHeight="false" outlineLevel="0" collapsed="false">
      <c r="A5" s="6" t="s">
        <v>60</v>
      </c>
      <c r="B5" s="20" t="n">
        <v>200</v>
      </c>
    </row>
    <row r="6" customFormat="false" ht="17.15" hidden="false" customHeight="false" outlineLevel="0" collapsed="false">
      <c r="A6" s="6" t="s">
        <v>61</v>
      </c>
      <c r="B6" s="16" t="n">
        <v>30000</v>
      </c>
    </row>
    <row r="7" customFormat="false" ht="17.15" hidden="false" customHeight="false" outlineLevel="0" collapsed="false">
      <c r="A7" s="6" t="s">
        <v>62</v>
      </c>
      <c r="B7" s="16" t="n">
        <v>2000</v>
      </c>
    </row>
    <row r="8" customFormat="false" ht="17.15" hidden="false" customHeight="false" outlineLevel="0" collapsed="false">
      <c r="A8" s="6" t="s">
        <v>63</v>
      </c>
      <c r="B8" s="18" t="n">
        <v>0.65</v>
      </c>
    </row>
    <row r="9" customFormat="false" ht="17.15" hidden="false" customHeight="false" outlineLevel="0" collapsed="false">
      <c r="A9" s="6" t="s">
        <v>64</v>
      </c>
      <c r="B9" s="18" t="n">
        <v>0.03</v>
      </c>
    </row>
    <row r="10" customFormat="false" ht="17.15" hidden="false" customHeight="false" outlineLevel="0" collapsed="false">
      <c r="A10" s="6" t="s">
        <v>65</v>
      </c>
      <c r="B10" s="18" t="n">
        <v>0.9</v>
      </c>
    </row>
    <row r="11" customFormat="false" ht="17.15" hidden="false" customHeight="false" outlineLevel="0" collapsed="false">
      <c r="A11" s="6" t="s">
        <v>66</v>
      </c>
      <c r="B11" s="20" t="n">
        <v>7</v>
      </c>
    </row>
    <row r="12" customFormat="false" ht="17.15" hidden="false" customHeight="false" outlineLevel="0" collapsed="false">
      <c r="A12" s="6" t="s">
        <v>67</v>
      </c>
      <c r="B12" s="18" t="n">
        <v>0.3</v>
      </c>
    </row>
    <row r="13" customFormat="false" ht="17.15" hidden="false" customHeight="false" outlineLevel="0" collapsed="false">
      <c r="A13" s="6" t="s">
        <v>68</v>
      </c>
      <c r="B13" s="16" t="n">
        <v>400000</v>
      </c>
    </row>
    <row r="14" customFormat="false" ht="17.15" hidden="false" customHeight="false" outlineLevel="0" collapsed="false">
      <c r="A14" s="6" t="s">
        <v>69</v>
      </c>
      <c r="B14" s="16" t="n">
        <v>80000</v>
      </c>
    </row>
    <row r="15" customFormat="false" ht="17.15" hidden="false" customHeight="false" outlineLevel="0" collapsed="false">
      <c r="A15" s="6" t="s">
        <v>70</v>
      </c>
      <c r="B15" s="16" t="n">
        <v>15000</v>
      </c>
    </row>
    <row r="16" customFormat="false" ht="17.15" hidden="false" customHeight="false" outlineLevel="0" collapsed="false">
      <c r="A16" s="6" t="s">
        <v>71</v>
      </c>
      <c r="B16" s="16" t="n">
        <v>12000</v>
      </c>
    </row>
    <row r="17" customFormat="false" ht="17.15" hidden="false" customHeight="false" outlineLevel="0" collapsed="false">
      <c r="A17" s="6" t="s">
        <v>72</v>
      </c>
      <c r="B17" s="16" t="n">
        <v>10000</v>
      </c>
    </row>
    <row r="18" customFormat="false" ht="17.15" hidden="false" customHeight="false" outlineLevel="0" collapsed="false">
      <c r="A18" s="6" t="s">
        <v>73</v>
      </c>
      <c r="B18" s="16" t="n">
        <v>20000</v>
      </c>
    </row>
    <row r="19" customFormat="false" ht="17.15" hidden="false" customHeight="false" outlineLevel="0" collapsed="false">
      <c r="A19" s="6" t="s">
        <v>74</v>
      </c>
      <c r="B19" s="16" t="n">
        <v>30000</v>
      </c>
    </row>
    <row r="20" customFormat="false" ht="17.15" hidden="false" customHeight="false" outlineLevel="0" collapsed="false">
      <c r="A20" s="6" t="s">
        <v>75</v>
      </c>
      <c r="B20" s="16" t="n">
        <v>15000</v>
      </c>
    </row>
    <row r="21" customFormat="false" ht="17.15" hidden="false" customHeight="false" outlineLevel="0" collapsed="false">
      <c r="A21" s="6" t="s">
        <v>76</v>
      </c>
      <c r="B21" s="16" t="n">
        <v>0</v>
      </c>
    </row>
    <row r="22" customFormat="false" ht="17.15" hidden="false" customHeight="false" outlineLevel="0" collapsed="false">
      <c r="A22" s="6" t="s">
        <v>77</v>
      </c>
      <c r="B22" s="18" t="n">
        <v>0.03</v>
      </c>
    </row>
    <row r="23" customFormat="false" ht="17.15" hidden="false" customHeight="false" outlineLevel="0" collapsed="false">
      <c r="A23" s="6" t="s">
        <v>78</v>
      </c>
      <c r="B23" s="20" t="n">
        <v>6</v>
      </c>
    </row>
    <row r="24" customFormat="false" ht="17.15" hidden="false" customHeight="false" outlineLevel="0" collapsed="false">
      <c r="A24" s="6" t="s">
        <v>5</v>
      </c>
      <c r="B24" s="16" t="n">
        <v>15000000</v>
      </c>
    </row>
    <row r="25" customFormat="false" ht="17.15" hidden="false" customHeight="false" outlineLevel="0" collapsed="false">
      <c r="A25" s="6" t="s">
        <v>6</v>
      </c>
      <c r="B25" s="16" t="n">
        <v>0</v>
      </c>
    </row>
    <row r="27" customFormat="false" ht="17.15" hidden="false" customHeight="false" outlineLevel="0" collapsed="false">
      <c r="A27" s="5" t="s">
        <v>79</v>
      </c>
    </row>
    <row r="28" customFormat="false" ht="17.15" hidden="false" customHeight="false" outlineLevel="0" collapsed="false">
      <c r="A28" s="6" t="s">
        <v>35</v>
      </c>
      <c r="B28" s="7" t="n">
        <f aca="false">Scenarios!F5</f>
        <v>15000</v>
      </c>
    </row>
    <row r="29" customFormat="false" ht="17.15" hidden="false" customHeight="false" outlineLevel="0" collapsed="false">
      <c r="A29" s="6" t="s">
        <v>80</v>
      </c>
      <c r="B29" s="23" t="n">
        <f aca="false">Scenarios!F6</f>
        <v>0.6</v>
      </c>
    </row>
    <row r="30" customFormat="false" ht="17.15" hidden="false" customHeight="false" outlineLevel="0" collapsed="false">
      <c r="A30" s="6" t="s">
        <v>81</v>
      </c>
      <c r="B30" s="23" t="n">
        <f aca="false">Scenarios!F7</f>
        <v>0.04</v>
      </c>
    </row>
    <row r="31" customFormat="false" ht="17.15" hidden="false" customHeight="false" outlineLevel="0" collapsed="false">
      <c r="A31" s="6" t="s">
        <v>41</v>
      </c>
      <c r="B31" s="8" t="n">
        <f aca="false">Scenarios!F8</f>
        <v>15</v>
      </c>
    </row>
    <row r="32" customFormat="false" ht="17.15" hidden="false" customHeight="false" outlineLevel="0" collapsed="false">
      <c r="A32" s="6" t="s">
        <v>43</v>
      </c>
      <c r="B32" s="8" t="n">
        <f aca="false">Scenarios!F9</f>
        <v>15</v>
      </c>
    </row>
    <row r="33" customFormat="false" ht="17.15" hidden="false" customHeight="false" outlineLevel="0" collapsed="false">
      <c r="A33" s="6" t="s">
        <v>44</v>
      </c>
      <c r="B33" s="8" t="n">
        <f aca="false">Scenarios!F10</f>
        <v>15</v>
      </c>
    </row>
    <row r="34" customFormat="false" ht="17.15" hidden="false" customHeight="false" outlineLevel="0" collapsed="false">
      <c r="A34" s="6" t="s">
        <v>45</v>
      </c>
      <c r="B34" s="7" t="n">
        <f aca="false">Scenarios!F11</f>
        <v>100000</v>
      </c>
    </row>
    <row r="35" customFormat="false" ht="17.15" hidden="false" customHeight="false" outlineLevel="0" collapsed="false">
      <c r="A35" s="6" t="s">
        <v>47</v>
      </c>
      <c r="B35" s="7" t="n">
        <f aca="false">Scenarios!F12</f>
        <v>50000</v>
      </c>
    </row>
    <row r="36" customFormat="false" ht="17.15" hidden="false" customHeight="false" outlineLevel="0" collapsed="false">
      <c r="A36" s="6" t="s">
        <v>49</v>
      </c>
      <c r="B36" s="7" t="n">
        <f aca="false">Scenarios!F13</f>
        <v>580000</v>
      </c>
    </row>
    <row r="37" customFormat="false" ht="17.15" hidden="false" customHeight="false" outlineLevel="0" collapsed="false">
      <c r="A37" s="6" t="s">
        <v>82</v>
      </c>
      <c r="B37" s="7" t="n">
        <f aca="false">Scenarios!F14</f>
        <v>2000</v>
      </c>
    </row>
    <row r="38" customFormat="false" ht="17.15" hidden="false" customHeight="false" outlineLevel="0" collapsed="false">
      <c r="A38" s="6" t="s">
        <v>53</v>
      </c>
      <c r="B38" s="8" t="n">
        <f aca="false">Scenarios!F15</f>
        <v>30</v>
      </c>
    </row>
    <row r="39" customFormat="false" ht="17.15" hidden="false" customHeight="false" outlineLevel="0" collapsed="false">
      <c r="A39" s="6" t="s">
        <v>83</v>
      </c>
      <c r="B39" s="7" t="n">
        <f aca="false">Scenarios!F16</f>
        <v>0</v>
      </c>
    </row>
    <row r="41" customFormat="false" ht="17.15" hidden="false" customHeight="false" outlineLevel="0" collapsed="false">
      <c r="A41" s="5" t="s">
        <v>84</v>
      </c>
    </row>
    <row r="42" customFormat="false" ht="32.8" hidden="false" customHeight="false" outlineLevel="0" collapsed="false">
      <c r="A42" s="6" t="s">
        <v>85</v>
      </c>
      <c r="B42" s="17" t="n">
        <f aca="false">B14+B15+B16+B17+B18+B19+B20+B21</f>
        <v>182000</v>
      </c>
    </row>
    <row r="43" customFormat="false" ht="17.15" hidden="false" customHeight="false" outlineLevel="0" collapsed="false">
      <c r="A43" s="6" t="s">
        <v>86</v>
      </c>
      <c r="B43" s="17" t="n">
        <f aca="false">B42*B22</f>
        <v>5460</v>
      </c>
    </row>
    <row r="44" customFormat="false" ht="17.15" hidden="false" customHeight="false" outlineLevel="0" collapsed="false">
      <c r="A44" s="6" t="s">
        <v>87</v>
      </c>
      <c r="B44" s="17" t="n">
        <f aca="false">B42+B43</f>
        <v>187460</v>
      </c>
    </row>
    <row r="46" customFormat="false" ht="17.15" hidden="false" customHeight="false" outlineLevel="0" collapsed="false">
      <c r="A46" s="5" t="s">
        <v>88</v>
      </c>
    </row>
    <row r="47" customFormat="false" ht="17.15" hidden="false" customHeight="false" outlineLevel="0" collapsed="false">
      <c r="A47" s="6" t="s">
        <v>89</v>
      </c>
      <c r="B47" s="20" t="n">
        <v>1</v>
      </c>
      <c r="C47" s="15" t="s">
        <v>90</v>
      </c>
    </row>
    <row r="48" customFormat="false" ht="17.15" hidden="false" customHeight="false" outlineLevel="0" collapsed="false">
      <c r="A48" s="6" t="s">
        <v>91</v>
      </c>
      <c r="B48" s="24" t="n">
        <v>1.5</v>
      </c>
      <c r="C48" s="15" t="s">
        <v>92</v>
      </c>
    </row>
    <row r="49" customFormat="false" ht="32.8" hidden="false" customHeight="false" outlineLevel="0" collapsed="false">
      <c r="A49" s="5" t="s">
        <v>93</v>
      </c>
    </row>
    <row r="50" customFormat="false" ht="17.15" hidden="false" customHeight="false" outlineLevel="0" collapsed="false">
      <c r="A50" s="6" t="s">
        <v>94</v>
      </c>
      <c r="B50" s="16" t="n">
        <v>400000</v>
      </c>
      <c r="C50" s="15" t="s">
        <v>95</v>
      </c>
    </row>
    <row r="51" customFormat="false" ht="17.15" hidden="false" customHeight="false" outlineLevel="0" collapsed="false">
      <c r="A51" s="6" t="s">
        <v>96</v>
      </c>
      <c r="B51" s="2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34"/>
  </cols>
  <sheetData>
    <row r="1" customFormat="false" ht="20.1" hidden="false" customHeight="false" outlineLevel="0" collapsed="false">
      <c r="A1" s="13" t="s">
        <v>97</v>
      </c>
    </row>
    <row r="2" customFormat="false" ht="15" hidden="false" customHeight="false" outlineLevel="0" collapsed="false">
      <c r="A2" s="4" t="s">
        <v>98</v>
      </c>
    </row>
    <row r="4" customFormat="false" ht="17.15" hidden="false" customHeight="false" outlineLevel="0" collapsed="false">
      <c r="A4" s="10" t="s">
        <v>99</v>
      </c>
      <c r="B4" s="10" t="s">
        <v>100</v>
      </c>
      <c r="C4" s="10" t="s">
        <v>101</v>
      </c>
    </row>
    <row r="5" customFormat="false" ht="17.15" hidden="false" customHeight="false" outlineLevel="0" collapsed="false">
      <c r="A5" s="6" t="s">
        <v>102</v>
      </c>
      <c r="B5" s="16" t="n">
        <v>1800000</v>
      </c>
      <c r="C5" s="4" t="s">
        <v>103</v>
      </c>
    </row>
    <row r="6" customFormat="false" ht="17.15" hidden="false" customHeight="false" outlineLevel="0" collapsed="false">
      <c r="A6" s="6" t="s">
        <v>104</v>
      </c>
      <c r="B6" s="16" t="n">
        <v>800000</v>
      </c>
      <c r="C6" s="4" t="s">
        <v>105</v>
      </c>
    </row>
    <row r="7" customFormat="false" ht="17.15" hidden="false" customHeight="false" outlineLevel="0" collapsed="false">
      <c r="A7" s="6" t="s">
        <v>106</v>
      </c>
      <c r="B7" s="16" t="n">
        <v>1000000</v>
      </c>
      <c r="C7" s="4" t="s">
        <v>107</v>
      </c>
    </row>
    <row r="8" customFormat="false" ht="17.15" hidden="false" customHeight="false" outlineLevel="0" collapsed="false">
      <c r="A8" s="6" t="s">
        <v>108</v>
      </c>
      <c r="B8" s="16" t="n">
        <v>800000</v>
      </c>
      <c r="C8" s="4" t="s">
        <v>109</v>
      </c>
    </row>
    <row r="9" customFormat="false" ht="17.15" hidden="false" customHeight="false" outlineLevel="0" collapsed="false">
      <c r="A9" s="6" t="s">
        <v>110</v>
      </c>
      <c r="B9" s="16" t="n">
        <v>2500000</v>
      </c>
      <c r="C9" s="4" t="s">
        <v>111</v>
      </c>
    </row>
    <row r="10" customFormat="false" ht="17.15" hidden="false" customHeight="false" outlineLevel="0" collapsed="false">
      <c r="A10" s="25" t="s">
        <v>112</v>
      </c>
      <c r="B10" s="16" t="n">
        <v>500000</v>
      </c>
      <c r="C10" s="4"/>
    </row>
    <row r="11" customFormat="false" ht="17.15" hidden="false" customHeight="false" outlineLevel="0" collapsed="false">
      <c r="A11" s="6" t="s">
        <v>113</v>
      </c>
      <c r="B11" s="16" t="n">
        <v>500000</v>
      </c>
      <c r="C11" s="4"/>
    </row>
    <row r="12" customFormat="false" ht="17.15" hidden="false" customHeight="false" outlineLevel="0" collapsed="false">
      <c r="A12" s="6" t="s">
        <v>114</v>
      </c>
      <c r="B12" s="16" t="n">
        <v>400000</v>
      </c>
      <c r="C12" s="4"/>
    </row>
    <row r="13" customFormat="false" ht="17.15" hidden="false" customHeight="false" outlineLevel="0" collapsed="false">
      <c r="A13" s="6" t="s">
        <v>115</v>
      </c>
      <c r="B13" s="16" t="n">
        <v>150000</v>
      </c>
      <c r="C13" s="4"/>
    </row>
    <row r="14" customFormat="false" ht="17.15" hidden="false" customHeight="false" outlineLevel="0" collapsed="false">
      <c r="A14" s="25" t="s">
        <v>116</v>
      </c>
      <c r="B14" s="16" t="n">
        <v>300000</v>
      </c>
      <c r="C14" s="15" t="s">
        <v>117</v>
      </c>
    </row>
    <row r="15" customFormat="false" ht="17.15" hidden="false" customHeight="false" outlineLevel="0" collapsed="false">
      <c r="A15" s="6" t="s">
        <v>118</v>
      </c>
      <c r="B15" s="16" t="n">
        <v>300000</v>
      </c>
      <c r="C15" s="4"/>
    </row>
    <row r="16" customFormat="false" ht="17.15" hidden="false" customHeight="false" outlineLevel="0" collapsed="false">
      <c r="A16" s="5" t="s">
        <v>119</v>
      </c>
      <c r="B16" s="17" t="n">
        <f aca="false">SUM(B5:B15)</f>
        <v>9050000</v>
      </c>
    </row>
    <row r="17" customFormat="false" ht="17.15" hidden="false" customHeight="false" outlineLevel="0" collapsed="false">
      <c r="A17" s="5" t="s">
        <v>120</v>
      </c>
      <c r="B17" s="17" t="n">
        <f aca="false">B16*0.1</f>
        <v>905000</v>
      </c>
    </row>
    <row r="18" customFormat="false" ht="17.15" hidden="false" customHeight="false" outlineLevel="0" collapsed="false">
      <c r="A18" s="26" t="s">
        <v>121</v>
      </c>
      <c r="B18" s="17" t="n">
        <f aca="false">B16+B17</f>
        <v>9955000</v>
      </c>
    </row>
    <row r="19" customFormat="false" ht="17.15" hidden="false" customHeight="false" outlineLevel="0" collapsed="false">
      <c r="A19" s="5" t="s">
        <v>122</v>
      </c>
      <c r="B19" s="7" t="n">
        <f aca="false">Assumptions!$B$13*Assumptions!$B$23</f>
        <v>2400000</v>
      </c>
    </row>
    <row r="20" customFormat="false" ht="17.15" hidden="false" customHeight="false" outlineLevel="0" collapsed="false">
      <c r="A20" s="5" t="s">
        <v>123</v>
      </c>
      <c r="B20" s="7" t="n">
        <f aca="false">Assumptions!$B$39</f>
        <v>0</v>
      </c>
    </row>
    <row r="21" customFormat="false" ht="17.15" hidden="false" customHeight="false" outlineLevel="0" collapsed="false">
      <c r="A21" s="5" t="s">
        <v>4</v>
      </c>
      <c r="B21" s="27" t="n">
        <f aca="false">B18+B19+B20</f>
        <v>12355000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6"/>
  </cols>
  <sheetData>
    <row r="1" customFormat="false" ht="20.1" hidden="false" customHeight="false" outlineLevel="0" collapsed="false">
      <c r="A1" s="13" t="s">
        <v>124</v>
      </c>
    </row>
    <row r="3" customFormat="false" ht="17.15" hidden="false" customHeight="false" outlineLevel="0" collapsed="false">
      <c r="A3" s="10" t="s">
        <v>125</v>
      </c>
      <c r="B3" s="10" t="s">
        <v>99</v>
      </c>
      <c r="C3" s="10" t="s">
        <v>126</v>
      </c>
      <c r="D3" s="10" t="s">
        <v>127</v>
      </c>
      <c r="E3" s="10" t="s">
        <v>101</v>
      </c>
    </row>
    <row r="4" customFormat="false" ht="15" hidden="false" customHeight="false" outlineLevel="0" collapsed="false">
      <c r="A4" s="28" t="s">
        <v>128</v>
      </c>
      <c r="B4" s="28" t="s">
        <v>129</v>
      </c>
      <c r="C4" s="7" t="n">
        <f aca="false">Assumptions!$B$13</f>
        <v>400000</v>
      </c>
      <c r="D4" s="28" t="s">
        <v>130</v>
      </c>
      <c r="E4" s="29"/>
    </row>
    <row r="5" customFormat="false" ht="17.15" hidden="false" customHeight="false" outlineLevel="0" collapsed="false">
      <c r="A5" s="28" t="s">
        <v>128</v>
      </c>
      <c r="B5" s="28" t="s">
        <v>131</v>
      </c>
      <c r="C5" s="7" t="n">
        <f aca="false">Assumptions!$B$36</f>
        <v>580000</v>
      </c>
      <c r="D5" s="28" t="s">
        <v>132</v>
      </c>
      <c r="E5" s="30" t="s">
        <v>133</v>
      </c>
    </row>
    <row r="6" customFormat="false" ht="17.15" hidden="false" customHeight="false" outlineLevel="0" collapsed="false">
      <c r="A6" s="28" t="s">
        <v>128</v>
      </c>
      <c r="B6" s="28" t="s">
        <v>134</v>
      </c>
      <c r="C6" s="7" t="n">
        <f aca="false">Assumptions!$B$34</f>
        <v>100000</v>
      </c>
      <c r="D6" s="28" t="s">
        <v>135</v>
      </c>
      <c r="E6" s="30" t="s">
        <v>136</v>
      </c>
    </row>
    <row r="7" customFormat="false" ht="17.15" hidden="false" customHeight="false" outlineLevel="0" collapsed="false">
      <c r="A7" s="28" t="s">
        <v>128</v>
      </c>
      <c r="B7" s="28" t="s">
        <v>137</v>
      </c>
      <c r="C7" s="7" t="n">
        <f aca="false">Assumptions!$B$35</f>
        <v>50000</v>
      </c>
      <c r="D7" s="28" t="s">
        <v>135</v>
      </c>
      <c r="E7" s="29" t="s">
        <v>138</v>
      </c>
    </row>
    <row r="8" customFormat="false" ht="15" hidden="false" customHeight="false" outlineLevel="0" collapsed="false">
      <c r="A8" s="28" t="s">
        <v>128</v>
      </c>
      <c r="B8" s="28" t="s">
        <v>139</v>
      </c>
      <c r="C8" s="7" t="n">
        <f aca="false">Assumptions!$B$14</f>
        <v>80000</v>
      </c>
      <c r="D8" s="28" t="s">
        <v>130</v>
      </c>
      <c r="E8" s="30"/>
    </row>
    <row r="9" customFormat="false" ht="15" hidden="false" customHeight="false" outlineLevel="0" collapsed="false">
      <c r="A9" s="28" t="s">
        <v>128</v>
      </c>
      <c r="B9" s="28" t="s">
        <v>140</v>
      </c>
      <c r="C9" s="7" t="n">
        <f aca="false">Assumptions!$B$15</f>
        <v>15000</v>
      </c>
      <c r="D9" s="28" t="s">
        <v>130</v>
      </c>
      <c r="E9" s="30"/>
    </row>
    <row r="10" customFormat="false" ht="15" hidden="false" customHeight="false" outlineLevel="0" collapsed="false">
      <c r="A10" s="28" t="s">
        <v>128</v>
      </c>
      <c r="B10" s="28" t="s">
        <v>141</v>
      </c>
      <c r="C10" s="7" t="n">
        <f aca="false">Assumptions!$B$16</f>
        <v>12000</v>
      </c>
      <c r="D10" s="28" t="s">
        <v>130</v>
      </c>
      <c r="E10" s="30"/>
    </row>
    <row r="11" customFormat="false" ht="15" hidden="false" customHeight="false" outlineLevel="0" collapsed="false">
      <c r="A11" s="28" t="s">
        <v>128</v>
      </c>
      <c r="B11" s="28" t="s">
        <v>142</v>
      </c>
      <c r="C11" s="7" t="n">
        <f aca="false">Assumptions!$B$17</f>
        <v>10000</v>
      </c>
      <c r="D11" s="28" t="s">
        <v>130</v>
      </c>
      <c r="E11" s="30" t="s">
        <v>143</v>
      </c>
    </row>
    <row r="12" customFormat="false" ht="15" hidden="false" customHeight="false" outlineLevel="0" collapsed="false">
      <c r="A12" s="28" t="s">
        <v>128</v>
      </c>
      <c r="B12" s="28" t="s">
        <v>144</v>
      </c>
      <c r="C12" s="7" t="n">
        <f aca="false">Assumptions!$B$18</f>
        <v>20000</v>
      </c>
      <c r="D12" s="28" t="s">
        <v>130</v>
      </c>
      <c r="E12" s="30"/>
    </row>
    <row r="13" customFormat="false" ht="15" hidden="false" customHeight="false" outlineLevel="0" collapsed="false">
      <c r="A13" s="28" t="s">
        <v>128</v>
      </c>
      <c r="B13" s="28" t="s">
        <v>145</v>
      </c>
      <c r="C13" s="7" t="n">
        <f aca="false">Assumptions!$B$19</f>
        <v>30000</v>
      </c>
      <c r="D13" s="28" t="s">
        <v>130</v>
      </c>
      <c r="E13" s="30"/>
    </row>
    <row r="14" customFormat="false" ht="15" hidden="false" customHeight="false" outlineLevel="0" collapsed="false">
      <c r="A14" s="28" t="s">
        <v>128</v>
      </c>
      <c r="B14" s="28" t="s">
        <v>146</v>
      </c>
      <c r="C14" s="7" t="n">
        <f aca="false">Assumptions!$B$20</f>
        <v>15000</v>
      </c>
      <c r="D14" s="28" t="s">
        <v>130</v>
      </c>
      <c r="E14" s="30"/>
    </row>
    <row r="15" customFormat="false" ht="15" hidden="false" customHeight="false" outlineLevel="0" collapsed="false">
      <c r="A15" s="28" t="s">
        <v>128</v>
      </c>
      <c r="B15" s="28" t="s">
        <v>147</v>
      </c>
      <c r="C15" s="7" t="n">
        <f aca="false">Assumptions!$B$21</f>
        <v>0</v>
      </c>
      <c r="D15" s="28" t="s">
        <v>130</v>
      </c>
      <c r="E15" s="30"/>
    </row>
    <row r="16" customFormat="false" ht="15" hidden="false" customHeight="false" outlineLevel="0" collapsed="false">
      <c r="A16" s="28" t="s">
        <v>128</v>
      </c>
      <c r="B16" s="28" t="s">
        <v>86</v>
      </c>
      <c r="C16" s="7" t="n">
        <f aca="false">Assumptions!$B$43</f>
        <v>5460</v>
      </c>
      <c r="D16" s="28" t="s">
        <v>130</v>
      </c>
      <c r="E16" s="30" t="s">
        <v>148</v>
      </c>
    </row>
    <row r="17" customFormat="false" ht="15" hidden="false" customHeight="false" outlineLevel="0" collapsed="false">
      <c r="A17" s="28" t="s">
        <v>149</v>
      </c>
      <c r="B17" s="28" t="s">
        <v>150</v>
      </c>
      <c r="C17" s="4" t="s">
        <v>151</v>
      </c>
      <c r="D17" s="28" t="s">
        <v>152</v>
      </c>
      <c r="E17" s="29" t="s">
        <v>153</v>
      </c>
    </row>
    <row r="18" customFormat="false" ht="15" hidden="false" customHeight="false" outlineLevel="0" collapsed="false">
      <c r="A18" s="28" t="s">
        <v>149</v>
      </c>
      <c r="B18" s="28" t="s">
        <v>154</v>
      </c>
      <c r="C18" s="4" t="s">
        <v>155</v>
      </c>
      <c r="D18" s="28" t="s">
        <v>152</v>
      </c>
      <c r="E18" s="29" t="s">
        <v>153</v>
      </c>
    </row>
    <row r="20" customFormat="false" ht="45.5" hidden="false" customHeight="false" outlineLevel="0" collapsed="false">
      <c r="A20" s="5" t="s">
        <v>156</v>
      </c>
      <c r="C20" s="17" t="n">
        <f aca="false">C4+C5+C6+C8+C9+C10+C11+C12+C13+C14+C15+C16</f>
        <v>1267460</v>
      </c>
    </row>
    <row r="21" customFormat="false" ht="48.5" hidden="false" customHeight="false" outlineLevel="0" collapsed="false">
      <c r="A21" s="5" t="s">
        <v>157</v>
      </c>
      <c r="C21" s="17" t="n">
        <f aca="false">C4+C5+C7+C8+C9+C10+C11+C12+C13+C14+C15+C16</f>
        <v>1217460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8"/>
    <col collapsed="false" customWidth="true" hidden="false" outlineLevel="0" max="25" min="8" style="0" width="11"/>
  </cols>
  <sheetData>
    <row r="1" customFormat="false" ht="20.1" hidden="false" customHeight="false" outlineLevel="0" collapsed="false">
      <c r="A1" s="13" t="s">
        <v>158</v>
      </c>
    </row>
    <row r="2" customFormat="false" ht="15" hidden="false" customHeight="false" outlineLevel="0" collapsed="false">
      <c r="A2" s="4" t="s">
        <v>159</v>
      </c>
    </row>
    <row r="3" customFormat="false" ht="32.8" hidden="false" customHeight="false" outlineLevel="0" collapsed="false">
      <c r="A3" s="10" t="s">
        <v>160</v>
      </c>
      <c r="B3" s="10" t="s">
        <v>161</v>
      </c>
      <c r="C3" s="10" t="s">
        <v>162</v>
      </c>
      <c r="D3" s="10" t="s">
        <v>163</v>
      </c>
      <c r="E3" s="10" t="s">
        <v>164</v>
      </c>
      <c r="F3" s="10" t="s">
        <v>165</v>
      </c>
      <c r="G3" s="10" t="s">
        <v>166</v>
      </c>
      <c r="H3" s="10" t="s">
        <v>167</v>
      </c>
      <c r="I3" s="10" t="s">
        <v>168</v>
      </c>
      <c r="J3" s="10" t="s">
        <v>169</v>
      </c>
      <c r="K3" s="10" t="s">
        <v>170</v>
      </c>
      <c r="L3" s="10" t="s">
        <v>171</v>
      </c>
      <c r="M3" s="10" t="s">
        <v>154</v>
      </c>
      <c r="N3" s="10" t="s">
        <v>150</v>
      </c>
      <c r="O3" s="10" t="s">
        <v>172</v>
      </c>
      <c r="P3" s="10" t="s">
        <v>129</v>
      </c>
      <c r="Q3" s="10" t="s">
        <v>131</v>
      </c>
      <c r="R3" s="10" t="s">
        <v>173</v>
      </c>
      <c r="S3" s="10" t="s">
        <v>174</v>
      </c>
      <c r="T3" s="10" t="s">
        <v>175</v>
      </c>
      <c r="U3" s="10" t="s">
        <v>176</v>
      </c>
      <c r="V3" s="10" t="s">
        <v>18</v>
      </c>
      <c r="W3" s="10" t="s">
        <v>177</v>
      </c>
      <c r="X3" s="10" t="s">
        <v>178</v>
      </c>
      <c r="Y3" s="10" t="s">
        <v>19</v>
      </c>
    </row>
    <row r="4" customFormat="false" ht="15" hidden="false" customHeight="false" outlineLevel="0" collapsed="false">
      <c r="A4" s="21" t="n">
        <v>1</v>
      </c>
      <c r="B4" s="21" t="n">
        <f aca="false">ROUNDUP(A4/12,0)</f>
        <v>1</v>
      </c>
      <c r="C4" s="8" t="n">
        <f aca="false">Assumptions!$B$38</f>
        <v>30</v>
      </c>
      <c r="D4" s="8" t="n">
        <f aca="false">ROUND(IF(B4=1,Assumptions!$B$31,IF(B4=2,Assumptions!$B$32,Assumptions!$B$33))*MIN(1,A4/6),0)</f>
        <v>3</v>
      </c>
      <c r="E4" s="8" t="n">
        <f aca="false">MAX(0,MIN(ROUND(D4*Assumptions!$B$29,0),Assumptions!$B$5-(C4-F4)))</f>
        <v>2</v>
      </c>
      <c r="F4" s="8" t="n">
        <f aca="false">ROUND(C4*Assumptions!$B$30,0)</f>
        <v>1</v>
      </c>
      <c r="G4" s="8" t="n">
        <f aca="false">MAX(0,MIN(Assumptions!$B$5,C4+E4-F4))</f>
        <v>31</v>
      </c>
      <c r="H4" s="7" t="n">
        <f aca="false">C4*Assumptions!$B$28</f>
        <v>450000</v>
      </c>
      <c r="I4" s="7" t="n">
        <f aca="false">E4*Assumptions!$B$6</f>
        <v>60000</v>
      </c>
      <c r="J4" s="7" t="n">
        <f aca="false">D4*Assumptions!$B$7</f>
        <v>6000</v>
      </c>
      <c r="K4" s="7" t="n">
        <f aca="false">C4*Assumptions!$B$37</f>
        <v>60000</v>
      </c>
      <c r="L4" s="17" t="n">
        <f aca="false">SUM(H4:K4)</f>
        <v>576000</v>
      </c>
      <c r="M4" s="7" t="n">
        <f aca="false">K4*Assumptions!$B$8</f>
        <v>39000</v>
      </c>
      <c r="N4" s="7" t="n">
        <f aca="false">L4*Assumptions!$B$9*Assumptions!$B$10</f>
        <v>15552</v>
      </c>
      <c r="O4" s="17" t="n">
        <f aca="false">M4+N4</f>
        <v>54552</v>
      </c>
      <c r="P4" s="7" t="n">
        <f aca="false">Assumptions!$B$13</f>
        <v>400000</v>
      </c>
      <c r="Q4" s="7" t="n">
        <f aca="false">Assumptions!$B$36</f>
        <v>580000</v>
      </c>
      <c r="R4" s="7" t="n">
        <f aca="false">IF(A4&lt;=3,Assumptions!$B$34,Assumptions!$B$35)</f>
        <v>100000</v>
      </c>
      <c r="S4" s="7" t="n">
        <f aca="false">Assumptions!$B$44</f>
        <v>187460</v>
      </c>
      <c r="T4" s="17" t="n">
        <f aca="false">P4+Q4+R4+S4</f>
        <v>1267460</v>
      </c>
      <c r="U4" s="7" t="n">
        <f aca="false">(CAPEX!$B$18+CAPEX!$B$20)/(Assumptions!$B$11*12)+IF(A4&gt;=Assumptions!$B$51,Assumptions!$B$50/(Assumptions!$B$11*12),0)</f>
        <v>118511.904761905</v>
      </c>
      <c r="V4" s="17" t="n">
        <f aca="false">L4-O4-T4-U4</f>
        <v>-864523.904761905</v>
      </c>
      <c r="W4" s="17" t="n">
        <f aca="false">V4</f>
        <v>-864523.904761905</v>
      </c>
      <c r="X4" s="7" t="n">
        <f aca="false">MAX(0,W4)*Assumptions!$B$12</f>
        <v>0</v>
      </c>
      <c r="Y4" s="17" t="n">
        <f aca="false">W4-X4</f>
        <v>-864523.904761905</v>
      </c>
    </row>
    <row r="5" customFormat="false" ht="15" hidden="false" customHeight="false" outlineLevel="0" collapsed="false">
      <c r="A5" s="21" t="n">
        <v>2</v>
      </c>
      <c r="B5" s="21" t="n">
        <f aca="false">ROUNDUP(A5/12,0)</f>
        <v>1</v>
      </c>
      <c r="C5" s="21" t="n">
        <f aca="false">G4</f>
        <v>31</v>
      </c>
      <c r="D5" s="8" t="n">
        <f aca="false">ROUND(IF(B5=1,Assumptions!$B$31,IF(B5=2,Assumptions!$B$32,Assumptions!$B$33))*MIN(1,A5/6),0)</f>
        <v>5</v>
      </c>
      <c r="E5" s="8" t="n">
        <f aca="false">MAX(0,MIN(ROUND(D5*Assumptions!$B$29,0),Assumptions!$B$5-(C5-F5)))</f>
        <v>3</v>
      </c>
      <c r="F5" s="8" t="n">
        <f aca="false">ROUND(C5*Assumptions!$B$30,0)</f>
        <v>1</v>
      </c>
      <c r="G5" s="8" t="n">
        <f aca="false">MAX(0,MIN(Assumptions!$B$5,C5+E5-F5))</f>
        <v>33</v>
      </c>
      <c r="H5" s="7" t="n">
        <f aca="false">C5*Assumptions!$B$28</f>
        <v>465000</v>
      </c>
      <c r="I5" s="7" t="n">
        <f aca="false">E5*Assumptions!$B$6</f>
        <v>90000</v>
      </c>
      <c r="J5" s="7" t="n">
        <f aca="false">D5*Assumptions!$B$7</f>
        <v>10000</v>
      </c>
      <c r="K5" s="7" t="n">
        <f aca="false">C5*Assumptions!$B$37</f>
        <v>62000</v>
      </c>
      <c r="L5" s="17" t="n">
        <f aca="false">SUM(H5:K5)</f>
        <v>627000</v>
      </c>
      <c r="M5" s="7" t="n">
        <f aca="false">K5*Assumptions!$B$8</f>
        <v>40300</v>
      </c>
      <c r="N5" s="7" t="n">
        <f aca="false">L5*Assumptions!$B$9*Assumptions!$B$10</f>
        <v>16929</v>
      </c>
      <c r="O5" s="17" t="n">
        <f aca="false">M5+N5</f>
        <v>57229</v>
      </c>
      <c r="P5" s="7" t="n">
        <f aca="false">Assumptions!$B$13</f>
        <v>400000</v>
      </c>
      <c r="Q5" s="7" t="n">
        <f aca="false">Assumptions!$B$36</f>
        <v>580000</v>
      </c>
      <c r="R5" s="7" t="n">
        <f aca="false">IF(A5&lt;=3,Assumptions!$B$34,Assumptions!$B$35)</f>
        <v>100000</v>
      </c>
      <c r="S5" s="7" t="n">
        <f aca="false">Assumptions!$B$44</f>
        <v>187460</v>
      </c>
      <c r="T5" s="17" t="n">
        <f aca="false">P5+Q5+R5+S5</f>
        <v>1267460</v>
      </c>
      <c r="U5" s="7" t="n">
        <f aca="false">(CAPEX!$B$18+CAPEX!$B$20)/(Assumptions!$B$11*12)+IF(A5&gt;=Assumptions!$B$51,Assumptions!$B$50/(Assumptions!$B$11*12),0)</f>
        <v>118511.904761905</v>
      </c>
      <c r="V5" s="17" t="n">
        <f aca="false">L5-O5-T5-U5</f>
        <v>-816200.904761905</v>
      </c>
      <c r="W5" s="17" t="n">
        <f aca="false">V5</f>
        <v>-816200.904761905</v>
      </c>
      <c r="X5" s="7" t="n">
        <f aca="false">MAX(0,W5)*Assumptions!$B$12</f>
        <v>0</v>
      </c>
      <c r="Y5" s="17" t="n">
        <f aca="false">W5-X5</f>
        <v>-816200.904761905</v>
      </c>
    </row>
    <row r="6" customFormat="false" ht="15" hidden="false" customHeight="false" outlineLevel="0" collapsed="false">
      <c r="A6" s="21" t="n">
        <v>3</v>
      </c>
      <c r="B6" s="21" t="n">
        <f aca="false">ROUNDUP(A6/12,0)</f>
        <v>1</v>
      </c>
      <c r="C6" s="21" t="n">
        <f aca="false">G5</f>
        <v>33</v>
      </c>
      <c r="D6" s="8" t="n">
        <f aca="false">ROUND(IF(B6=1,Assumptions!$B$31,IF(B6=2,Assumptions!$B$32,Assumptions!$B$33))*MIN(1,A6/6),0)</f>
        <v>8</v>
      </c>
      <c r="E6" s="8" t="n">
        <f aca="false">MAX(0,MIN(ROUND(D6*Assumptions!$B$29,0),Assumptions!$B$5-(C6-F6)))</f>
        <v>5</v>
      </c>
      <c r="F6" s="8" t="n">
        <f aca="false">ROUND(C6*Assumptions!$B$30,0)</f>
        <v>1</v>
      </c>
      <c r="G6" s="8" t="n">
        <f aca="false">MAX(0,MIN(Assumptions!$B$5,C6+E6-F6))</f>
        <v>37</v>
      </c>
      <c r="H6" s="7" t="n">
        <f aca="false">C6*Assumptions!$B$28</f>
        <v>495000</v>
      </c>
      <c r="I6" s="7" t="n">
        <f aca="false">E6*Assumptions!$B$6</f>
        <v>150000</v>
      </c>
      <c r="J6" s="7" t="n">
        <f aca="false">D6*Assumptions!$B$7</f>
        <v>16000</v>
      </c>
      <c r="K6" s="7" t="n">
        <f aca="false">C6*Assumptions!$B$37</f>
        <v>66000</v>
      </c>
      <c r="L6" s="17" t="n">
        <f aca="false">SUM(H6:K6)</f>
        <v>727000</v>
      </c>
      <c r="M6" s="7" t="n">
        <f aca="false">K6*Assumptions!$B$8</f>
        <v>42900</v>
      </c>
      <c r="N6" s="7" t="n">
        <f aca="false">L6*Assumptions!$B$9*Assumptions!$B$10</f>
        <v>19629</v>
      </c>
      <c r="O6" s="17" t="n">
        <f aca="false">M6+N6</f>
        <v>62529</v>
      </c>
      <c r="P6" s="7" t="n">
        <f aca="false">Assumptions!$B$13</f>
        <v>400000</v>
      </c>
      <c r="Q6" s="7" t="n">
        <f aca="false">Assumptions!$B$36</f>
        <v>580000</v>
      </c>
      <c r="R6" s="7" t="n">
        <f aca="false">IF(A6&lt;=3,Assumptions!$B$34,Assumptions!$B$35)</f>
        <v>100000</v>
      </c>
      <c r="S6" s="7" t="n">
        <f aca="false">Assumptions!$B$44</f>
        <v>187460</v>
      </c>
      <c r="T6" s="17" t="n">
        <f aca="false">P6+Q6+R6+S6</f>
        <v>1267460</v>
      </c>
      <c r="U6" s="7" t="n">
        <f aca="false">(CAPEX!$B$18+CAPEX!$B$20)/(Assumptions!$B$11*12)+IF(A6&gt;=Assumptions!$B$51,Assumptions!$B$50/(Assumptions!$B$11*12),0)</f>
        <v>118511.904761905</v>
      </c>
      <c r="V6" s="17" t="n">
        <f aca="false">L6-O6-T6-U6</f>
        <v>-721500.904761905</v>
      </c>
      <c r="W6" s="17" t="n">
        <f aca="false">V6</f>
        <v>-721500.904761905</v>
      </c>
      <c r="X6" s="7" t="n">
        <f aca="false">MAX(0,W6)*Assumptions!$B$12</f>
        <v>0</v>
      </c>
      <c r="Y6" s="17" t="n">
        <f aca="false">W6-X6</f>
        <v>-721500.904761905</v>
      </c>
    </row>
    <row r="7" customFormat="false" ht="15" hidden="false" customHeight="false" outlineLevel="0" collapsed="false">
      <c r="A7" s="21" t="n">
        <v>4</v>
      </c>
      <c r="B7" s="21" t="n">
        <f aca="false">ROUNDUP(A7/12,0)</f>
        <v>1</v>
      </c>
      <c r="C7" s="21" t="n">
        <f aca="false">G6</f>
        <v>37</v>
      </c>
      <c r="D7" s="8" t="n">
        <f aca="false">ROUND(IF(B7=1,Assumptions!$B$31,IF(B7=2,Assumptions!$B$32,Assumptions!$B$33))*MIN(1,A7/6),0)</f>
        <v>10</v>
      </c>
      <c r="E7" s="8" t="n">
        <f aca="false">MAX(0,MIN(ROUND(D7*Assumptions!$B$29,0),Assumptions!$B$5-(C7-F7)))</f>
        <v>6</v>
      </c>
      <c r="F7" s="8" t="n">
        <f aca="false">ROUND(C7*Assumptions!$B$30,0)</f>
        <v>1</v>
      </c>
      <c r="G7" s="8" t="n">
        <f aca="false">MAX(0,MIN(Assumptions!$B$5,C7+E7-F7))</f>
        <v>42</v>
      </c>
      <c r="H7" s="7" t="n">
        <f aca="false">C7*Assumptions!$B$28</f>
        <v>555000</v>
      </c>
      <c r="I7" s="7" t="n">
        <f aca="false">E7*Assumptions!$B$6</f>
        <v>180000</v>
      </c>
      <c r="J7" s="7" t="n">
        <f aca="false">D7*Assumptions!$B$7</f>
        <v>20000</v>
      </c>
      <c r="K7" s="7" t="n">
        <f aca="false">C7*Assumptions!$B$37</f>
        <v>74000</v>
      </c>
      <c r="L7" s="17" t="n">
        <f aca="false">SUM(H7:K7)</f>
        <v>829000</v>
      </c>
      <c r="M7" s="7" t="n">
        <f aca="false">K7*Assumptions!$B$8</f>
        <v>48100</v>
      </c>
      <c r="N7" s="7" t="n">
        <f aca="false">L7*Assumptions!$B$9*Assumptions!$B$10</f>
        <v>22383</v>
      </c>
      <c r="O7" s="17" t="n">
        <f aca="false">M7+N7</f>
        <v>70483</v>
      </c>
      <c r="P7" s="7" t="n">
        <f aca="false">Assumptions!$B$13</f>
        <v>400000</v>
      </c>
      <c r="Q7" s="7" t="n">
        <f aca="false">Assumptions!$B$36</f>
        <v>580000</v>
      </c>
      <c r="R7" s="7" t="n">
        <f aca="false">IF(A7&lt;=3,Assumptions!$B$34,Assumptions!$B$35)</f>
        <v>50000</v>
      </c>
      <c r="S7" s="7" t="n">
        <f aca="false">Assumptions!$B$44</f>
        <v>187460</v>
      </c>
      <c r="T7" s="17" t="n">
        <f aca="false">P7+Q7+R7+S7</f>
        <v>1217460</v>
      </c>
      <c r="U7" s="7" t="n">
        <f aca="false">(CAPEX!$B$18+CAPEX!$B$20)/(Assumptions!$B$11*12)+IF(A7&gt;=Assumptions!$B$51,Assumptions!$B$50/(Assumptions!$B$11*12),0)</f>
        <v>118511.904761905</v>
      </c>
      <c r="V7" s="17" t="n">
        <f aca="false">L7-O7-T7-U7</f>
        <v>-577454.904761905</v>
      </c>
      <c r="W7" s="17" t="n">
        <f aca="false">V7</f>
        <v>-577454.904761905</v>
      </c>
      <c r="X7" s="7" t="n">
        <f aca="false">MAX(0,W7)*Assumptions!$B$12</f>
        <v>0</v>
      </c>
      <c r="Y7" s="17" t="n">
        <f aca="false">W7-X7</f>
        <v>-577454.904761905</v>
      </c>
    </row>
    <row r="8" customFormat="false" ht="15" hidden="false" customHeight="false" outlineLevel="0" collapsed="false">
      <c r="A8" s="21" t="n">
        <v>5</v>
      </c>
      <c r="B8" s="21" t="n">
        <f aca="false">ROUNDUP(A8/12,0)</f>
        <v>1</v>
      </c>
      <c r="C8" s="21" t="n">
        <f aca="false">G7</f>
        <v>42</v>
      </c>
      <c r="D8" s="8" t="n">
        <f aca="false">ROUND(IF(B8=1,Assumptions!$B$31,IF(B8=2,Assumptions!$B$32,Assumptions!$B$33))*MIN(1,A8/6),0)</f>
        <v>13</v>
      </c>
      <c r="E8" s="8" t="n">
        <f aca="false">MAX(0,MIN(ROUND(D8*Assumptions!$B$29,0),Assumptions!$B$5-(C8-F8)))</f>
        <v>8</v>
      </c>
      <c r="F8" s="8" t="n">
        <f aca="false">ROUND(C8*Assumptions!$B$30,0)</f>
        <v>2</v>
      </c>
      <c r="G8" s="8" t="n">
        <f aca="false">MAX(0,MIN(Assumptions!$B$5,C8+E8-F8))</f>
        <v>48</v>
      </c>
      <c r="H8" s="7" t="n">
        <f aca="false">C8*Assumptions!$B$28</f>
        <v>630000</v>
      </c>
      <c r="I8" s="7" t="n">
        <f aca="false">E8*Assumptions!$B$6</f>
        <v>240000</v>
      </c>
      <c r="J8" s="7" t="n">
        <f aca="false">D8*Assumptions!$B$7</f>
        <v>26000</v>
      </c>
      <c r="K8" s="7" t="n">
        <f aca="false">C8*Assumptions!$B$37</f>
        <v>84000</v>
      </c>
      <c r="L8" s="17" t="n">
        <f aca="false">SUM(H8:K8)</f>
        <v>980000</v>
      </c>
      <c r="M8" s="7" t="n">
        <f aca="false">K8*Assumptions!$B$8</f>
        <v>54600</v>
      </c>
      <c r="N8" s="7" t="n">
        <f aca="false">L8*Assumptions!$B$9*Assumptions!$B$10</f>
        <v>26460</v>
      </c>
      <c r="O8" s="17" t="n">
        <f aca="false">M8+N8</f>
        <v>81060</v>
      </c>
      <c r="P8" s="7" t="n">
        <f aca="false">Assumptions!$B$13</f>
        <v>400000</v>
      </c>
      <c r="Q8" s="7" t="n">
        <f aca="false">Assumptions!$B$36</f>
        <v>580000</v>
      </c>
      <c r="R8" s="7" t="n">
        <f aca="false">IF(A8&lt;=3,Assumptions!$B$34,Assumptions!$B$35)</f>
        <v>50000</v>
      </c>
      <c r="S8" s="7" t="n">
        <f aca="false">Assumptions!$B$44</f>
        <v>187460</v>
      </c>
      <c r="T8" s="17" t="n">
        <f aca="false">P8+Q8+R8+S8</f>
        <v>1217460</v>
      </c>
      <c r="U8" s="7" t="n">
        <f aca="false">(CAPEX!$B$18+CAPEX!$B$20)/(Assumptions!$B$11*12)+IF(A8&gt;=Assumptions!$B$51,Assumptions!$B$50/(Assumptions!$B$11*12),0)</f>
        <v>118511.904761905</v>
      </c>
      <c r="V8" s="17" t="n">
        <f aca="false">L8-O8-T8-U8</f>
        <v>-437031.904761905</v>
      </c>
      <c r="W8" s="17" t="n">
        <f aca="false">V8</f>
        <v>-437031.904761905</v>
      </c>
      <c r="X8" s="7" t="n">
        <f aca="false">MAX(0,W8)*Assumptions!$B$12</f>
        <v>0</v>
      </c>
      <c r="Y8" s="17" t="n">
        <f aca="false">W8-X8</f>
        <v>-437031.904761905</v>
      </c>
    </row>
    <row r="9" customFormat="false" ht="15" hidden="false" customHeight="false" outlineLevel="0" collapsed="false">
      <c r="A9" s="21" t="n">
        <v>6</v>
      </c>
      <c r="B9" s="21" t="n">
        <f aca="false">ROUNDUP(A9/12,0)</f>
        <v>1</v>
      </c>
      <c r="C9" s="21" t="n">
        <f aca="false">G8</f>
        <v>48</v>
      </c>
      <c r="D9" s="8" t="n">
        <f aca="false">ROUND(IF(B9=1,Assumptions!$B$31,IF(B9=2,Assumptions!$B$32,Assumptions!$B$33))*MIN(1,A9/6),0)</f>
        <v>15</v>
      </c>
      <c r="E9" s="8" t="n">
        <f aca="false">MAX(0,MIN(ROUND(D9*Assumptions!$B$29,0),Assumptions!$B$5-(C9-F9)))</f>
        <v>9</v>
      </c>
      <c r="F9" s="8" t="n">
        <f aca="false">ROUND(C9*Assumptions!$B$30,0)</f>
        <v>2</v>
      </c>
      <c r="G9" s="8" t="n">
        <f aca="false">MAX(0,MIN(Assumptions!$B$5,C9+E9-F9))</f>
        <v>55</v>
      </c>
      <c r="H9" s="7" t="n">
        <f aca="false">C9*Assumptions!$B$28</f>
        <v>720000</v>
      </c>
      <c r="I9" s="7" t="n">
        <f aca="false">E9*Assumptions!$B$6</f>
        <v>270000</v>
      </c>
      <c r="J9" s="7" t="n">
        <f aca="false">D9*Assumptions!$B$7</f>
        <v>30000</v>
      </c>
      <c r="K9" s="7" t="n">
        <f aca="false">C9*Assumptions!$B$37</f>
        <v>96000</v>
      </c>
      <c r="L9" s="17" t="n">
        <f aca="false">SUM(H9:K9)</f>
        <v>1116000</v>
      </c>
      <c r="M9" s="7" t="n">
        <f aca="false">K9*Assumptions!$B$8</f>
        <v>62400</v>
      </c>
      <c r="N9" s="7" t="n">
        <f aca="false">L9*Assumptions!$B$9*Assumptions!$B$10</f>
        <v>30132</v>
      </c>
      <c r="O9" s="17" t="n">
        <f aca="false">M9+N9</f>
        <v>92532</v>
      </c>
      <c r="P9" s="7" t="n">
        <f aca="false">Assumptions!$B$13</f>
        <v>400000</v>
      </c>
      <c r="Q9" s="7" t="n">
        <f aca="false">Assumptions!$B$36</f>
        <v>580000</v>
      </c>
      <c r="R9" s="7" t="n">
        <f aca="false">IF(A9&lt;=3,Assumptions!$B$34,Assumptions!$B$35)</f>
        <v>50000</v>
      </c>
      <c r="S9" s="7" t="n">
        <f aca="false">Assumptions!$B$44</f>
        <v>187460</v>
      </c>
      <c r="T9" s="17" t="n">
        <f aca="false">P9+Q9+R9+S9</f>
        <v>1217460</v>
      </c>
      <c r="U9" s="7" t="n">
        <f aca="false">(CAPEX!$B$18+CAPEX!$B$20)/(Assumptions!$B$11*12)+IF(A9&gt;=Assumptions!$B$51,Assumptions!$B$50/(Assumptions!$B$11*12),0)</f>
        <v>123273.80952381</v>
      </c>
      <c r="V9" s="17" t="n">
        <f aca="false">L9-O9-T9-U9</f>
        <v>-317265.80952381</v>
      </c>
      <c r="W9" s="17" t="n">
        <f aca="false">V9</f>
        <v>-317265.80952381</v>
      </c>
      <c r="X9" s="7" t="n">
        <f aca="false">MAX(0,W9)*Assumptions!$B$12</f>
        <v>0</v>
      </c>
      <c r="Y9" s="17" t="n">
        <f aca="false">W9-X9</f>
        <v>-317265.80952381</v>
      </c>
    </row>
    <row r="10" customFormat="false" ht="15" hidden="false" customHeight="false" outlineLevel="0" collapsed="false">
      <c r="A10" s="21" t="n">
        <v>7</v>
      </c>
      <c r="B10" s="21" t="n">
        <f aca="false">ROUNDUP(A10/12,0)</f>
        <v>1</v>
      </c>
      <c r="C10" s="21" t="n">
        <f aca="false">G9</f>
        <v>55</v>
      </c>
      <c r="D10" s="8" t="n">
        <f aca="false">ROUND(IF(B10=1,Assumptions!$B$31,IF(B10=2,Assumptions!$B$32,Assumptions!$B$33))*MIN(1,A10/6),0)</f>
        <v>15</v>
      </c>
      <c r="E10" s="8" t="n">
        <f aca="false">MAX(0,MIN(ROUND(D10*Assumptions!$B$29,0),Assumptions!$B$5-(C10-F10)))</f>
        <v>9</v>
      </c>
      <c r="F10" s="8" t="n">
        <f aca="false">ROUND(C10*Assumptions!$B$30,0)</f>
        <v>2</v>
      </c>
      <c r="G10" s="8" t="n">
        <f aca="false">MAX(0,MIN(Assumptions!$B$5,C10+E10-F10))</f>
        <v>62</v>
      </c>
      <c r="H10" s="7" t="n">
        <f aca="false">C10*Assumptions!$B$28</f>
        <v>825000</v>
      </c>
      <c r="I10" s="7" t="n">
        <f aca="false">E10*Assumptions!$B$6</f>
        <v>270000</v>
      </c>
      <c r="J10" s="7" t="n">
        <f aca="false">D10*Assumptions!$B$7</f>
        <v>30000</v>
      </c>
      <c r="K10" s="7" t="n">
        <f aca="false">C10*Assumptions!$B$37</f>
        <v>110000</v>
      </c>
      <c r="L10" s="17" t="n">
        <f aca="false">SUM(H10:K10)</f>
        <v>1235000</v>
      </c>
      <c r="M10" s="7" t="n">
        <f aca="false">K10*Assumptions!$B$8</f>
        <v>71500</v>
      </c>
      <c r="N10" s="7" t="n">
        <f aca="false">L10*Assumptions!$B$9*Assumptions!$B$10</f>
        <v>33345</v>
      </c>
      <c r="O10" s="17" t="n">
        <f aca="false">M10+N10</f>
        <v>104845</v>
      </c>
      <c r="P10" s="7" t="n">
        <f aca="false">Assumptions!$B$13</f>
        <v>400000</v>
      </c>
      <c r="Q10" s="7" t="n">
        <f aca="false">Assumptions!$B$36</f>
        <v>580000</v>
      </c>
      <c r="R10" s="7" t="n">
        <f aca="false">IF(A10&lt;=3,Assumptions!$B$34,Assumptions!$B$35)</f>
        <v>50000</v>
      </c>
      <c r="S10" s="7" t="n">
        <f aca="false">Assumptions!$B$44</f>
        <v>187460</v>
      </c>
      <c r="T10" s="17" t="n">
        <f aca="false">P10+Q10+R10+S10</f>
        <v>1217460</v>
      </c>
      <c r="U10" s="7" t="n">
        <f aca="false">(CAPEX!$B$18+CAPEX!$B$20)/(Assumptions!$B$11*12)+IF(A10&gt;=Assumptions!$B$51,Assumptions!$B$50/(Assumptions!$B$11*12),0)</f>
        <v>123273.80952381</v>
      </c>
      <c r="V10" s="17" t="n">
        <f aca="false">L10-O10-T10-U10</f>
        <v>-210578.80952381</v>
      </c>
      <c r="W10" s="17" t="n">
        <f aca="false">V10</f>
        <v>-210578.80952381</v>
      </c>
      <c r="X10" s="7" t="n">
        <f aca="false">MAX(0,W10)*Assumptions!$B$12</f>
        <v>0</v>
      </c>
      <c r="Y10" s="17" t="n">
        <f aca="false">W10-X10</f>
        <v>-210578.80952381</v>
      </c>
    </row>
    <row r="11" customFormat="false" ht="15" hidden="false" customHeight="false" outlineLevel="0" collapsed="false">
      <c r="A11" s="21" t="n">
        <v>8</v>
      </c>
      <c r="B11" s="21" t="n">
        <f aca="false">ROUNDUP(A11/12,0)</f>
        <v>1</v>
      </c>
      <c r="C11" s="21" t="n">
        <f aca="false">G10</f>
        <v>62</v>
      </c>
      <c r="D11" s="8" t="n">
        <f aca="false">ROUND(IF(B11=1,Assumptions!$B$31,IF(B11=2,Assumptions!$B$32,Assumptions!$B$33))*MIN(1,A11/6),0)</f>
        <v>15</v>
      </c>
      <c r="E11" s="8" t="n">
        <f aca="false">MAX(0,MIN(ROUND(D11*Assumptions!$B$29,0),Assumptions!$B$5-(C11-F11)))</f>
        <v>9</v>
      </c>
      <c r="F11" s="8" t="n">
        <f aca="false">ROUND(C11*Assumptions!$B$30,0)</f>
        <v>2</v>
      </c>
      <c r="G11" s="8" t="n">
        <f aca="false">MAX(0,MIN(Assumptions!$B$5,C11+E11-F11))</f>
        <v>69</v>
      </c>
      <c r="H11" s="7" t="n">
        <f aca="false">C11*Assumptions!$B$28</f>
        <v>930000</v>
      </c>
      <c r="I11" s="7" t="n">
        <f aca="false">E11*Assumptions!$B$6</f>
        <v>270000</v>
      </c>
      <c r="J11" s="7" t="n">
        <f aca="false">D11*Assumptions!$B$7</f>
        <v>30000</v>
      </c>
      <c r="K11" s="7" t="n">
        <f aca="false">C11*Assumptions!$B$37</f>
        <v>124000</v>
      </c>
      <c r="L11" s="17" t="n">
        <f aca="false">SUM(H11:K11)</f>
        <v>1354000</v>
      </c>
      <c r="M11" s="7" t="n">
        <f aca="false">K11*Assumptions!$B$8</f>
        <v>80600</v>
      </c>
      <c r="N11" s="7" t="n">
        <f aca="false">L11*Assumptions!$B$9*Assumptions!$B$10</f>
        <v>36558</v>
      </c>
      <c r="O11" s="17" t="n">
        <f aca="false">M11+N11</f>
        <v>117158</v>
      </c>
      <c r="P11" s="7" t="n">
        <f aca="false">Assumptions!$B$13</f>
        <v>400000</v>
      </c>
      <c r="Q11" s="7" t="n">
        <f aca="false">Assumptions!$B$36</f>
        <v>580000</v>
      </c>
      <c r="R11" s="7" t="n">
        <f aca="false">IF(A11&lt;=3,Assumptions!$B$34,Assumptions!$B$35)</f>
        <v>50000</v>
      </c>
      <c r="S11" s="7" t="n">
        <f aca="false">Assumptions!$B$44</f>
        <v>187460</v>
      </c>
      <c r="T11" s="17" t="n">
        <f aca="false">P11+Q11+R11+S11</f>
        <v>1217460</v>
      </c>
      <c r="U11" s="7" t="n">
        <f aca="false">(CAPEX!$B$18+CAPEX!$B$20)/(Assumptions!$B$11*12)+IF(A11&gt;=Assumptions!$B$51,Assumptions!$B$50/(Assumptions!$B$11*12),0)</f>
        <v>123273.80952381</v>
      </c>
      <c r="V11" s="17" t="n">
        <f aca="false">L11-O11-T11-U11</f>
        <v>-103891.80952381</v>
      </c>
      <c r="W11" s="17" t="n">
        <f aca="false">V11</f>
        <v>-103891.80952381</v>
      </c>
      <c r="X11" s="7" t="n">
        <f aca="false">MAX(0,W11)*Assumptions!$B$12</f>
        <v>0</v>
      </c>
      <c r="Y11" s="17" t="n">
        <f aca="false">W11-X11</f>
        <v>-103891.80952381</v>
      </c>
    </row>
    <row r="12" customFormat="false" ht="15" hidden="false" customHeight="false" outlineLevel="0" collapsed="false">
      <c r="A12" s="21" t="n">
        <v>9</v>
      </c>
      <c r="B12" s="21" t="n">
        <f aca="false">ROUNDUP(A12/12,0)</f>
        <v>1</v>
      </c>
      <c r="C12" s="21" t="n">
        <f aca="false">G11</f>
        <v>69</v>
      </c>
      <c r="D12" s="8" t="n">
        <f aca="false">ROUND(IF(B12=1,Assumptions!$B$31,IF(B12=2,Assumptions!$B$32,Assumptions!$B$33))*MIN(1,A12/6),0)</f>
        <v>15</v>
      </c>
      <c r="E12" s="8" t="n">
        <f aca="false">MAX(0,MIN(ROUND(D12*Assumptions!$B$29,0),Assumptions!$B$5-(C12-F12)))</f>
        <v>9</v>
      </c>
      <c r="F12" s="8" t="n">
        <f aca="false">ROUND(C12*Assumptions!$B$30,0)</f>
        <v>3</v>
      </c>
      <c r="G12" s="8" t="n">
        <f aca="false">MAX(0,MIN(Assumptions!$B$5,C12+E12-F12))</f>
        <v>75</v>
      </c>
      <c r="H12" s="7" t="n">
        <f aca="false">C12*Assumptions!$B$28</f>
        <v>1035000</v>
      </c>
      <c r="I12" s="7" t="n">
        <f aca="false">E12*Assumptions!$B$6</f>
        <v>270000</v>
      </c>
      <c r="J12" s="7" t="n">
        <f aca="false">D12*Assumptions!$B$7</f>
        <v>30000</v>
      </c>
      <c r="K12" s="7" t="n">
        <f aca="false">C12*Assumptions!$B$37</f>
        <v>138000</v>
      </c>
      <c r="L12" s="17" t="n">
        <f aca="false">SUM(H12:K12)</f>
        <v>1473000</v>
      </c>
      <c r="M12" s="7" t="n">
        <f aca="false">K12*Assumptions!$B$8</f>
        <v>89700</v>
      </c>
      <c r="N12" s="7" t="n">
        <f aca="false">L12*Assumptions!$B$9*Assumptions!$B$10</f>
        <v>39771</v>
      </c>
      <c r="O12" s="17" t="n">
        <f aca="false">M12+N12</f>
        <v>129471</v>
      </c>
      <c r="P12" s="7" t="n">
        <f aca="false">Assumptions!$B$13</f>
        <v>400000</v>
      </c>
      <c r="Q12" s="7" t="n">
        <f aca="false">Assumptions!$B$36</f>
        <v>580000</v>
      </c>
      <c r="R12" s="7" t="n">
        <f aca="false">IF(A12&lt;=3,Assumptions!$B$34,Assumptions!$B$35)</f>
        <v>50000</v>
      </c>
      <c r="S12" s="7" t="n">
        <f aca="false">Assumptions!$B$44</f>
        <v>187460</v>
      </c>
      <c r="T12" s="17" t="n">
        <f aca="false">P12+Q12+R12+S12</f>
        <v>1217460</v>
      </c>
      <c r="U12" s="7" t="n">
        <f aca="false">(CAPEX!$B$18+CAPEX!$B$20)/(Assumptions!$B$11*12)+IF(A12&gt;=Assumptions!$B$51,Assumptions!$B$50/(Assumptions!$B$11*12),0)</f>
        <v>123273.80952381</v>
      </c>
      <c r="V12" s="17" t="n">
        <f aca="false">L12-O12-T12-U12</f>
        <v>2795.19047619047</v>
      </c>
      <c r="W12" s="17" t="n">
        <f aca="false">V12</f>
        <v>2795.19047619047</v>
      </c>
      <c r="X12" s="7" t="n">
        <f aca="false">MAX(0,W12)*Assumptions!$B$12</f>
        <v>838.557142857142</v>
      </c>
      <c r="Y12" s="17" t="n">
        <f aca="false">W12-X12</f>
        <v>1956.63333333333</v>
      </c>
    </row>
    <row r="13" customFormat="false" ht="15" hidden="false" customHeight="false" outlineLevel="0" collapsed="false">
      <c r="A13" s="21" t="n">
        <v>10</v>
      </c>
      <c r="B13" s="21" t="n">
        <f aca="false">ROUNDUP(A13/12,0)</f>
        <v>1</v>
      </c>
      <c r="C13" s="21" t="n">
        <f aca="false">G12</f>
        <v>75</v>
      </c>
      <c r="D13" s="8" t="n">
        <f aca="false">ROUND(IF(B13=1,Assumptions!$B$31,IF(B13=2,Assumptions!$B$32,Assumptions!$B$33))*MIN(1,A13/6),0)</f>
        <v>15</v>
      </c>
      <c r="E13" s="8" t="n">
        <f aca="false">MAX(0,MIN(ROUND(D13*Assumptions!$B$29,0),Assumptions!$B$5-(C13-F13)))</f>
        <v>9</v>
      </c>
      <c r="F13" s="8" t="n">
        <f aca="false">ROUND(C13*Assumptions!$B$30,0)</f>
        <v>3</v>
      </c>
      <c r="G13" s="8" t="n">
        <f aca="false">MAX(0,MIN(Assumptions!$B$5,C13+E13-F13))</f>
        <v>81</v>
      </c>
      <c r="H13" s="7" t="n">
        <f aca="false">C13*Assumptions!$B$28</f>
        <v>1125000</v>
      </c>
      <c r="I13" s="7" t="n">
        <f aca="false">E13*Assumptions!$B$6</f>
        <v>270000</v>
      </c>
      <c r="J13" s="7" t="n">
        <f aca="false">D13*Assumptions!$B$7</f>
        <v>30000</v>
      </c>
      <c r="K13" s="7" t="n">
        <f aca="false">C13*Assumptions!$B$37</f>
        <v>150000</v>
      </c>
      <c r="L13" s="17" t="n">
        <f aca="false">SUM(H13:K13)</f>
        <v>1575000</v>
      </c>
      <c r="M13" s="7" t="n">
        <f aca="false">K13*Assumptions!$B$8</f>
        <v>97500</v>
      </c>
      <c r="N13" s="7" t="n">
        <f aca="false">L13*Assumptions!$B$9*Assumptions!$B$10</f>
        <v>42525</v>
      </c>
      <c r="O13" s="17" t="n">
        <f aca="false">M13+N13</f>
        <v>140025</v>
      </c>
      <c r="P13" s="7" t="n">
        <f aca="false">Assumptions!$B$13</f>
        <v>400000</v>
      </c>
      <c r="Q13" s="7" t="n">
        <f aca="false">Assumptions!$B$36</f>
        <v>580000</v>
      </c>
      <c r="R13" s="7" t="n">
        <f aca="false">IF(A13&lt;=3,Assumptions!$B$34,Assumptions!$B$35)</f>
        <v>50000</v>
      </c>
      <c r="S13" s="7" t="n">
        <f aca="false">Assumptions!$B$44</f>
        <v>187460</v>
      </c>
      <c r="T13" s="17" t="n">
        <f aca="false">P13+Q13+R13+S13</f>
        <v>1217460</v>
      </c>
      <c r="U13" s="7" t="n">
        <f aca="false">(CAPEX!$B$18+CAPEX!$B$20)/(Assumptions!$B$11*12)+IF(A13&gt;=Assumptions!$B$51,Assumptions!$B$50/(Assumptions!$B$11*12),0)</f>
        <v>123273.80952381</v>
      </c>
      <c r="V13" s="17" t="n">
        <f aca="false">L13-O13-T13-U13</f>
        <v>94241.1904761905</v>
      </c>
      <c r="W13" s="17" t="n">
        <f aca="false">V13</f>
        <v>94241.1904761905</v>
      </c>
      <c r="X13" s="7" t="n">
        <f aca="false">MAX(0,W13)*Assumptions!$B$12</f>
        <v>28272.3571428571</v>
      </c>
      <c r="Y13" s="17" t="n">
        <f aca="false">W13-X13</f>
        <v>65968.8333333333</v>
      </c>
    </row>
    <row r="14" customFormat="false" ht="15" hidden="false" customHeight="false" outlineLevel="0" collapsed="false">
      <c r="A14" s="21" t="n">
        <v>11</v>
      </c>
      <c r="B14" s="21" t="n">
        <f aca="false">ROUNDUP(A14/12,0)</f>
        <v>1</v>
      </c>
      <c r="C14" s="21" t="n">
        <f aca="false">G13</f>
        <v>81</v>
      </c>
      <c r="D14" s="8" t="n">
        <f aca="false">ROUND(IF(B14=1,Assumptions!$B$31,IF(B14=2,Assumptions!$B$32,Assumptions!$B$33))*MIN(1,A14/6),0)</f>
        <v>15</v>
      </c>
      <c r="E14" s="8" t="n">
        <f aca="false">MAX(0,MIN(ROUND(D14*Assumptions!$B$29,0),Assumptions!$B$5-(C14-F14)))</f>
        <v>9</v>
      </c>
      <c r="F14" s="8" t="n">
        <f aca="false">ROUND(C14*Assumptions!$B$30,0)</f>
        <v>3</v>
      </c>
      <c r="G14" s="8" t="n">
        <f aca="false">MAX(0,MIN(Assumptions!$B$5,C14+E14-F14))</f>
        <v>87</v>
      </c>
      <c r="H14" s="7" t="n">
        <f aca="false">C14*Assumptions!$B$28</f>
        <v>1215000</v>
      </c>
      <c r="I14" s="7" t="n">
        <f aca="false">E14*Assumptions!$B$6</f>
        <v>270000</v>
      </c>
      <c r="J14" s="7" t="n">
        <f aca="false">D14*Assumptions!$B$7</f>
        <v>30000</v>
      </c>
      <c r="K14" s="7" t="n">
        <f aca="false">C14*Assumptions!$B$37</f>
        <v>162000</v>
      </c>
      <c r="L14" s="17" t="n">
        <f aca="false">SUM(H14:K14)</f>
        <v>1677000</v>
      </c>
      <c r="M14" s="7" t="n">
        <f aca="false">K14*Assumptions!$B$8</f>
        <v>105300</v>
      </c>
      <c r="N14" s="7" t="n">
        <f aca="false">L14*Assumptions!$B$9*Assumptions!$B$10</f>
        <v>45279</v>
      </c>
      <c r="O14" s="17" t="n">
        <f aca="false">M14+N14</f>
        <v>150579</v>
      </c>
      <c r="P14" s="7" t="n">
        <f aca="false">Assumptions!$B$13</f>
        <v>400000</v>
      </c>
      <c r="Q14" s="7" t="n">
        <f aca="false">Assumptions!$B$36</f>
        <v>580000</v>
      </c>
      <c r="R14" s="7" t="n">
        <f aca="false">IF(A14&lt;=3,Assumptions!$B$34,Assumptions!$B$35)</f>
        <v>50000</v>
      </c>
      <c r="S14" s="7" t="n">
        <f aca="false">Assumptions!$B$44</f>
        <v>187460</v>
      </c>
      <c r="T14" s="17" t="n">
        <f aca="false">P14+Q14+R14+S14</f>
        <v>1217460</v>
      </c>
      <c r="U14" s="7" t="n">
        <f aca="false">(CAPEX!$B$18+CAPEX!$B$20)/(Assumptions!$B$11*12)+IF(A14&gt;=Assumptions!$B$51,Assumptions!$B$50/(Assumptions!$B$11*12),0)</f>
        <v>123273.80952381</v>
      </c>
      <c r="V14" s="17" t="n">
        <f aca="false">L14-O14-T14-U14</f>
        <v>185687.19047619</v>
      </c>
      <c r="W14" s="17" t="n">
        <f aca="false">V14</f>
        <v>185687.19047619</v>
      </c>
      <c r="X14" s="7" t="n">
        <f aca="false">MAX(0,W14)*Assumptions!$B$12</f>
        <v>55706.1571428571</v>
      </c>
      <c r="Y14" s="17" t="n">
        <f aca="false">W14-X14</f>
        <v>129981.033333333</v>
      </c>
    </row>
    <row r="15" customFormat="false" ht="15" hidden="false" customHeight="false" outlineLevel="0" collapsed="false">
      <c r="A15" s="21" t="n">
        <v>12</v>
      </c>
      <c r="B15" s="21" t="n">
        <f aca="false">ROUNDUP(A15/12,0)</f>
        <v>1</v>
      </c>
      <c r="C15" s="21" t="n">
        <f aca="false">G14</f>
        <v>87</v>
      </c>
      <c r="D15" s="8" t="n">
        <f aca="false">ROUND(IF(B15=1,Assumptions!$B$31,IF(B15=2,Assumptions!$B$32,Assumptions!$B$33))*MIN(1,A15/6),0)</f>
        <v>15</v>
      </c>
      <c r="E15" s="8" t="n">
        <f aca="false">MAX(0,MIN(ROUND(D15*Assumptions!$B$29,0),Assumptions!$B$5-(C15-F15)))</f>
        <v>9</v>
      </c>
      <c r="F15" s="8" t="n">
        <f aca="false">ROUND(C15*Assumptions!$B$30,0)</f>
        <v>3</v>
      </c>
      <c r="G15" s="8" t="n">
        <f aca="false">MAX(0,MIN(Assumptions!$B$5,C15+E15-F15))</f>
        <v>93</v>
      </c>
      <c r="H15" s="7" t="n">
        <f aca="false">C15*Assumptions!$B$28</f>
        <v>1305000</v>
      </c>
      <c r="I15" s="7" t="n">
        <f aca="false">E15*Assumptions!$B$6</f>
        <v>270000</v>
      </c>
      <c r="J15" s="7" t="n">
        <f aca="false">D15*Assumptions!$B$7</f>
        <v>30000</v>
      </c>
      <c r="K15" s="7" t="n">
        <f aca="false">C15*Assumptions!$B$37</f>
        <v>174000</v>
      </c>
      <c r="L15" s="17" t="n">
        <f aca="false">SUM(H15:K15)</f>
        <v>1779000</v>
      </c>
      <c r="M15" s="7" t="n">
        <f aca="false">K15*Assumptions!$B$8</f>
        <v>113100</v>
      </c>
      <c r="N15" s="7" t="n">
        <f aca="false">L15*Assumptions!$B$9*Assumptions!$B$10</f>
        <v>48033</v>
      </c>
      <c r="O15" s="17" t="n">
        <f aca="false">M15+N15</f>
        <v>161133</v>
      </c>
      <c r="P15" s="7" t="n">
        <f aca="false">Assumptions!$B$13</f>
        <v>400000</v>
      </c>
      <c r="Q15" s="7" t="n">
        <f aca="false">Assumptions!$B$36</f>
        <v>580000</v>
      </c>
      <c r="R15" s="7" t="n">
        <f aca="false">IF(A15&lt;=3,Assumptions!$B$34,Assumptions!$B$35)</f>
        <v>50000</v>
      </c>
      <c r="S15" s="7" t="n">
        <f aca="false">Assumptions!$B$44</f>
        <v>187460</v>
      </c>
      <c r="T15" s="17" t="n">
        <f aca="false">P15+Q15+R15+S15</f>
        <v>1217460</v>
      </c>
      <c r="U15" s="7" t="n">
        <f aca="false">(CAPEX!$B$18+CAPEX!$B$20)/(Assumptions!$B$11*12)+IF(A15&gt;=Assumptions!$B$51,Assumptions!$B$50/(Assumptions!$B$11*12),0)</f>
        <v>123273.80952381</v>
      </c>
      <c r="V15" s="17" t="n">
        <f aca="false">L15-O15-T15-U15</f>
        <v>277133.190476191</v>
      </c>
      <c r="W15" s="17" t="n">
        <f aca="false">V15</f>
        <v>277133.190476191</v>
      </c>
      <c r="X15" s="7" t="n">
        <f aca="false">MAX(0,W15)*Assumptions!$B$12</f>
        <v>83139.9571428571</v>
      </c>
      <c r="Y15" s="17" t="n">
        <f aca="false">W15-X15</f>
        <v>193993.233333333</v>
      </c>
    </row>
    <row r="16" customFormat="false" ht="15" hidden="false" customHeight="false" outlineLevel="0" collapsed="false">
      <c r="A16" s="21" t="n">
        <v>13</v>
      </c>
      <c r="B16" s="21" t="n">
        <f aca="false">ROUNDUP(A16/12,0)</f>
        <v>2</v>
      </c>
      <c r="C16" s="21" t="n">
        <f aca="false">G15</f>
        <v>93</v>
      </c>
      <c r="D16" s="8" t="n">
        <f aca="false">ROUND(IF(B16=1,Assumptions!$B$31,IF(B16=2,Assumptions!$B$32,Assumptions!$B$33))*MIN(1,A16/6),0)</f>
        <v>15</v>
      </c>
      <c r="E16" s="8" t="n">
        <f aca="false">MAX(0,MIN(ROUND(D16*Assumptions!$B$29,0),Assumptions!$B$5-(C16-F16)))</f>
        <v>9</v>
      </c>
      <c r="F16" s="8" t="n">
        <f aca="false">ROUND(C16*Assumptions!$B$30,0)</f>
        <v>4</v>
      </c>
      <c r="G16" s="8" t="n">
        <f aca="false">MAX(0,MIN(Assumptions!$B$5,C16+E16-F16))</f>
        <v>98</v>
      </c>
      <c r="H16" s="7" t="n">
        <f aca="false">C16*Assumptions!$B$28</f>
        <v>1395000</v>
      </c>
      <c r="I16" s="7" t="n">
        <f aca="false">E16*Assumptions!$B$6</f>
        <v>270000</v>
      </c>
      <c r="J16" s="7" t="n">
        <f aca="false">D16*Assumptions!$B$7</f>
        <v>30000</v>
      </c>
      <c r="K16" s="7" t="n">
        <f aca="false">C16*Assumptions!$B$37</f>
        <v>186000</v>
      </c>
      <c r="L16" s="17" t="n">
        <f aca="false">SUM(H16:K16)</f>
        <v>1881000</v>
      </c>
      <c r="M16" s="7" t="n">
        <f aca="false">K16*Assumptions!$B$8</f>
        <v>120900</v>
      </c>
      <c r="N16" s="7" t="n">
        <f aca="false">L16*Assumptions!$B$9*Assumptions!$B$10</f>
        <v>50787</v>
      </c>
      <c r="O16" s="17" t="n">
        <f aca="false">M16+N16</f>
        <v>171687</v>
      </c>
      <c r="P16" s="7" t="n">
        <f aca="false">Assumptions!$B$13</f>
        <v>400000</v>
      </c>
      <c r="Q16" s="7" t="n">
        <f aca="false">Assumptions!$B$36</f>
        <v>580000</v>
      </c>
      <c r="R16" s="7" t="n">
        <f aca="false">IF(A16&lt;=3,Assumptions!$B$34,Assumptions!$B$35)</f>
        <v>50000</v>
      </c>
      <c r="S16" s="7" t="n">
        <f aca="false">Assumptions!$B$44</f>
        <v>187460</v>
      </c>
      <c r="T16" s="17" t="n">
        <f aca="false">P16+Q16+R16+S16</f>
        <v>1217460</v>
      </c>
      <c r="U16" s="7" t="n">
        <f aca="false">(CAPEX!$B$18+CAPEX!$B$20)/(Assumptions!$B$11*12)+IF(A16&gt;=Assumptions!$B$51,Assumptions!$B$50/(Assumptions!$B$11*12),0)</f>
        <v>123273.80952381</v>
      </c>
      <c r="V16" s="17" t="n">
        <f aca="false">L16-O16-T16-U16</f>
        <v>368579.190476191</v>
      </c>
      <c r="W16" s="17" t="n">
        <f aca="false">V16</f>
        <v>368579.190476191</v>
      </c>
      <c r="X16" s="7" t="n">
        <f aca="false">MAX(0,W16)*Assumptions!$B$12</f>
        <v>110573.757142857</v>
      </c>
      <c r="Y16" s="17" t="n">
        <f aca="false">W16-X16</f>
        <v>258005.433333333</v>
      </c>
    </row>
    <row r="17" customFormat="false" ht="15" hidden="false" customHeight="false" outlineLevel="0" collapsed="false">
      <c r="A17" s="21" t="n">
        <v>14</v>
      </c>
      <c r="B17" s="21" t="n">
        <f aca="false">ROUNDUP(A17/12,0)</f>
        <v>2</v>
      </c>
      <c r="C17" s="21" t="n">
        <f aca="false">G16</f>
        <v>98</v>
      </c>
      <c r="D17" s="8" t="n">
        <f aca="false">ROUND(IF(B17=1,Assumptions!$B$31,IF(B17=2,Assumptions!$B$32,Assumptions!$B$33))*MIN(1,A17/6),0)</f>
        <v>15</v>
      </c>
      <c r="E17" s="8" t="n">
        <f aca="false">MAX(0,MIN(ROUND(D17*Assumptions!$B$29,0),Assumptions!$B$5-(C17-F17)))</f>
        <v>9</v>
      </c>
      <c r="F17" s="8" t="n">
        <f aca="false">ROUND(C17*Assumptions!$B$30,0)</f>
        <v>4</v>
      </c>
      <c r="G17" s="8" t="n">
        <f aca="false">MAX(0,MIN(Assumptions!$B$5,C17+E17-F17))</f>
        <v>103</v>
      </c>
      <c r="H17" s="7" t="n">
        <f aca="false">C17*Assumptions!$B$28</f>
        <v>1470000</v>
      </c>
      <c r="I17" s="7" t="n">
        <f aca="false">E17*Assumptions!$B$6</f>
        <v>270000</v>
      </c>
      <c r="J17" s="7" t="n">
        <f aca="false">D17*Assumptions!$B$7</f>
        <v>30000</v>
      </c>
      <c r="K17" s="7" t="n">
        <f aca="false">C17*Assumptions!$B$37</f>
        <v>196000</v>
      </c>
      <c r="L17" s="17" t="n">
        <f aca="false">SUM(H17:K17)</f>
        <v>1966000</v>
      </c>
      <c r="M17" s="7" t="n">
        <f aca="false">K17*Assumptions!$B$8</f>
        <v>127400</v>
      </c>
      <c r="N17" s="7" t="n">
        <f aca="false">L17*Assumptions!$B$9*Assumptions!$B$10</f>
        <v>53082</v>
      </c>
      <c r="O17" s="17" t="n">
        <f aca="false">M17+N17</f>
        <v>180482</v>
      </c>
      <c r="P17" s="7" t="n">
        <f aca="false">Assumptions!$B$13</f>
        <v>400000</v>
      </c>
      <c r="Q17" s="7" t="n">
        <f aca="false">Assumptions!$B$36</f>
        <v>580000</v>
      </c>
      <c r="R17" s="7" t="n">
        <f aca="false">IF(A17&lt;=3,Assumptions!$B$34,Assumptions!$B$35)</f>
        <v>50000</v>
      </c>
      <c r="S17" s="7" t="n">
        <f aca="false">Assumptions!$B$44</f>
        <v>187460</v>
      </c>
      <c r="T17" s="17" t="n">
        <f aca="false">P17+Q17+R17+S17</f>
        <v>1217460</v>
      </c>
      <c r="U17" s="7" t="n">
        <f aca="false">(CAPEX!$B$18+CAPEX!$B$20)/(Assumptions!$B$11*12)+IF(A17&gt;=Assumptions!$B$51,Assumptions!$B$50/(Assumptions!$B$11*12),0)</f>
        <v>123273.80952381</v>
      </c>
      <c r="V17" s="17" t="n">
        <f aca="false">L17-O17-T17-U17</f>
        <v>444784.190476191</v>
      </c>
      <c r="W17" s="17" t="n">
        <f aca="false">V17</f>
        <v>444784.190476191</v>
      </c>
      <c r="X17" s="7" t="n">
        <f aca="false">MAX(0,W17)*Assumptions!$B$12</f>
        <v>133435.257142857</v>
      </c>
      <c r="Y17" s="17" t="n">
        <f aca="false">W17-X17</f>
        <v>311348.933333333</v>
      </c>
    </row>
    <row r="18" customFormat="false" ht="15" hidden="false" customHeight="false" outlineLevel="0" collapsed="false">
      <c r="A18" s="21" t="n">
        <v>15</v>
      </c>
      <c r="B18" s="21" t="n">
        <f aca="false">ROUNDUP(A18/12,0)</f>
        <v>2</v>
      </c>
      <c r="C18" s="21" t="n">
        <f aca="false">G17</f>
        <v>103</v>
      </c>
      <c r="D18" s="8" t="n">
        <f aca="false">ROUND(IF(B18=1,Assumptions!$B$31,IF(B18=2,Assumptions!$B$32,Assumptions!$B$33))*MIN(1,A18/6),0)</f>
        <v>15</v>
      </c>
      <c r="E18" s="8" t="n">
        <f aca="false">MAX(0,MIN(ROUND(D18*Assumptions!$B$29,0),Assumptions!$B$5-(C18-F18)))</f>
        <v>9</v>
      </c>
      <c r="F18" s="8" t="n">
        <f aca="false">ROUND(C18*Assumptions!$B$30,0)</f>
        <v>4</v>
      </c>
      <c r="G18" s="8" t="n">
        <f aca="false">MAX(0,MIN(Assumptions!$B$5,C18+E18-F18))</f>
        <v>108</v>
      </c>
      <c r="H18" s="7" t="n">
        <f aca="false">C18*Assumptions!$B$28</f>
        <v>1545000</v>
      </c>
      <c r="I18" s="7" t="n">
        <f aca="false">E18*Assumptions!$B$6</f>
        <v>270000</v>
      </c>
      <c r="J18" s="7" t="n">
        <f aca="false">D18*Assumptions!$B$7</f>
        <v>30000</v>
      </c>
      <c r="K18" s="7" t="n">
        <f aca="false">C18*Assumptions!$B$37</f>
        <v>206000</v>
      </c>
      <c r="L18" s="17" t="n">
        <f aca="false">SUM(H18:K18)</f>
        <v>2051000</v>
      </c>
      <c r="M18" s="7" t="n">
        <f aca="false">K18*Assumptions!$B$8</f>
        <v>133900</v>
      </c>
      <c r="N18" s="7" t="n">
        <f aca="false">L18*Assumptions!$B$9*Assumptions!$B$10</f>
        <v>55377</v>
      </c>
      <c r="O18" s="17" t="n">
        <f aca="false">M18+N18</f>
        <v>189277</v>
      </c>
      <c r="P18" s="7" t="n">
        <f aca="false">Assumptions!$B$13</f>
        <v>400000</v>
      </c>
      <c r="Q18" s="7" t="n">
        <f aca="false">Assumptions!$B$36</f>
        <v>580000</v>
      </c>
      <c r="R18" s="7" t="n">
        <f aca="false">IF(A18&lt;=3,Assumptions!$B$34,Assumptions!$B$35)</f>
        <v>50000</v>
      </c>
      <c r="S18" s="7" t="n">
        <f aca="false">Assumptions!$B$44</f>
        <v>187460</v>
      </c>
      <c r="T18" s="17" t="n">
        <f aca="false">P18+Q18+R18+S18</f>
        <v>1217460</v>
      </c>
      <c r="U18" s="7" t="n">
        <f aca="false">(CAPEX!$B$18+CAPEX!$B$20)/(Assumptions!$B$11*12)+IF(A18&gt;=Assumptions!$B$51,Assumptions!$B$50/(Assumptions!$B$11*12),0)</f>
        <v>123273.80952381</v>
      </c>
      <c r="V18" s="17" t="n">
        <f aca="false">L18-O18-T18-U18</f>
        <v>520989.190476191</v>
      </c>
      <c r="W18" s="17" t="n">
        <f aca="false">V18</f>
        <v>520989.190476191</v>
      </c>
      <c r="X18" s="7" t="n">
        <f aca="false">MAX(0,W18)*Assumptions!$B$12</f>
        <v>156296.757142857</v>
      </c>
      <c r="Y18" s="17" t="n">
        <f aca="false">W18-X18</f>
        <v>364692.433333333</v>
      </c>
    </row>
    <row r="19" customFormat="false" ht="15" hidden="false" customHeight="false" outlineLevel="0" collapsed="false">
      <c r="A19" s="21" t="n">
        <v>16</v>
      </c>
      <c r="B19" s="21" t="n">
        <f aca="false">ROUNDUP(A19/12,0)</f>
        <v>2</v>
      </c>
      <c r="C19" s="21" t="n">
        <f aca="false">G18</f>
        <v>108</v>
      </c>
      <c r="D19" s="8" t="n">
        <f aca="false">ROUND(IF(B19=1,Assumptions!$B$31,IF(B19=2,Assumptions!$B$32,Assumptions!$B$33))*MIN(1,A19/6),0)</f>
        <v>15</v>
      </c>
      <c r="E19" s="8" t="n">
        <f aca="false">MAX(0,MIN(ROUND(D19*Assumptions!$B$29,0),Assumptions!$B$5-(C19-F19)))</f>
        <v>9</v>
      </c>
      <c r="F19" s="8" t="n">
        <f aca="false">ROUND(C19*Assumptions!$B$30,0)</f>
        <v>4</v>
      </c>
      <c r="G19" s="8" t="n">
        <f aca="false">MAX(0,MIN(Assumptions!$B$5,C19+E19-F19))</f>
        <v>113</v>
      </c>
      <c r="H19" s="7" t="n">
        <f aca="false">C19*Assumptions!$B$28</f>
        <v>1620000</v>
      </c>
      <c r="I19" s="7" t="n">
        <f aca="false">E19*Assumptions!$B$6</f>
        <v>270000</v>
      </c>
      <c r="J19" s="7" t="n">
        <f aca="false">D19*Assumptions!$B$7</f>
        <v>30000</v>
      </c>
      <c r="K19" s="7" t="n">
        <f aca="false">C19*Assumptions!$B$37</f>
        <v>216000</v>
      </c>
      <c r="L19" s="17" t="n">
        <f aca="false">SUM(H19:K19)</f>
        <v>2136000</v>
      </c>
      <c r="M19" s="7" t="n">
        <f aca="false">K19*Assumptions!$B$8</f>
        <v>140400</v>
      </c>
      <c r="N19" s="7" t="n">
        <f aca="false">L19*Assumptions!$B$9*Assumptions!$B$10</f>
        <v>57672</v>
      </c>
      <c r="O19" s="17" t="n">
        <f aca="false">M19+N19</f>
        <v>198072</v>
      </c>
      <c r="P19" s="7" t="n">
        <f aca="false">Assumptions!$B$13</f>
        <v>400000</v>
      </c>
      <c r="Q19" s="7" t="n">
        <f aca="false">Assumptions!$B$36</f>
        <v>580000</v>
      </c>
      <c r="R19" s="7" t="n">
        <f aca="false">IF(A19&lt;=3,Assumptions!$B$34,Assumptions!$B$35)</f>
        <v>50000</v>
      </c>
      <c r="S19" s="7" t="n">
        <f aca="false">Assumptions!$B$44</f>
        <v>187460</v>
      </c>
      <c r="T19" s="17" t="n">
        <f aca="false">P19+Q19+R19+S19</f>
        <v>1217460</v>
      </c>
      <c r="U19" s="7" t="n">
        <f aca="false">(CAPEX!$B$18+CAPEX!$B$20)/(Assumptions!$B$11*12)+IF(A19&gt;=Assumptions!$B$51,Assumptions!$B$50/(Assumptions!$B$11*12),0)</f>
        <v>123273.80952381</v>
      </c>
      <c r="V19" s="17" t="n">
        <f aca="false">L19-O19-T19-U19</f>
        <v>597194.190476191</v>
      </c>
      <c r="W19" s="17" t="n">
        <f aca="false">V19</f>
        <v>597194.190476191</v>
      </c>
      <c r="X19" s="7" t="n">
        <f aca="false">MAX(0,W19)*Assumptions!$B$12</f>
        <v>179158.257142857</v>
      </c>
      <c r="Y19" s="17" t="n">
        <f aca="false">W19-X19</f>
        <v>418035.933333333</v>
      </c>
    </row>
    <row r="20" customFormat="false" ht="15" hidden="false" customHeight="false" outlineLevel="0" collapsed="false">
      <c r="A20" s="21" t="n">
        <v>17</v>
      </c>
      <c r="B20" s="21" t="n">
        <f aca="false">ROUNDUP(A20/12,0)</f>
        <v>2</v>
      </c>
      <c r="C20" s="21" t="n">
        <f aca="false">G19</f>
        <v>113</v>
      </c>
      <c r="D20" s="8" t="n">
        <f aca="false">ROUND(IF(B20=1,Assumptions!$B$31,IF(B20=2,Assumptions!$B$32,Assumptions!$B$33))*MIN(1,A20/6),0)</f>
        <v>15</v>
      </c>
      <c r="E20" s="8" t="n">
        <f aca="false">MAX(0,MIN(ROUND(D20*Assumptions!$B$29,0),Assumptions!$B$5-(C20-F20)))</f>
        <v>9</v>
      </c>
      <c r="F20" s="8" t="n">
        <f aca="false">ROUND(C20*Assumptions!$B$30,0)</f>
        <v>5</v>
      </c>
      <c r="G20" s="8" t="n">
        <f aca="false">MAX(0,MIN(Assumptions!$B$5,C20+E20-F20))</f>
        <v>117</v>
      </c>
      <c r="H20" s="7" t="n">
        <f aca="false">C20*Assumptions!$B$28</f>
        <v>1695000</v>
      </c>
      <c r="I20" s="7" t="n">
        <f aca="false">E20*Assumptions!$B$6</f>
        <v>270000</v>
      </c>
      <c r="J20" s="7" t="n">
        <f aca="false">D20*Assumptions!$B$7</f>
        <v>30000</v>
      </c>
      <c r="K20" s="7" t="n">
        <f aca="false">C20*Assumptions!$B$37</f>
        <v>226000</v>
      </c>
      <c r="L20" s="17" t="n">
        <f aca="false">SUM(H20:K20)</f>
        <v>2221000</v>
      </c>
      <c r="M20" s="7" t="n">
        <f aca="false">K20*Assumptions!$B$8</f>
        <v>146900</v>
      </c>
      <c r="N20" s="7" t="n">
        <f aca="false">L20*Assumptions!$B$9*Assumptions!$B$10</f>
        <v>59967</v>
      </c>
      <c r="O20" s="17" t="n">
        <f aca="false">M20+N20</f>
        <v>206867</v>
      </c>
      <c r="P20" s="7" t="n">
        <f aca="false">Assumptions!$B$13</f>
        <v>400000</v>
      </c>
      <c r="Q20" s="7" t="n">
        <f aca="false">Assumptions!$B$36</f>
        <v>580000</v>
      </c>
      <c r="R20" s="7" t="n">
        <f aca="false">IF(A20&lt;=3,Assumptions!$B$34,Assumptions!$B$35)</f>
        <v>50000</v>
      </c>
      <c r="S20" s="7" t="n">
        <f aca="false">Assumptions!$B$44</f>
        <v>187460</v>
      </c>
      <c r="T20" s="17" t="n">
        <f aca="false">P20+Q20+R20+S20</f>
        <v>1217460</v>
      </c>
      <c r="U20" s="7" t="n">
        <f aca="false">(CAPEX!$B$18+CAPEX!$B$20)/(Assumptions!$B$11*12)+IF(A20&gt;=Assumptions!$B$51,Assumptions!$B$50/(Assumptions!$B$11*12),0)</f>
        <v>123273.80952381</v>
      </c>
      <c r="V20" s="17" t="n">
        <f aca="false">L20-O20-T20-U20</f>
        <v>673399.190476191</v>
      </c>
      <c r="W20" s="17" t="n">
        <f aca="false">V20</f>
        <v>673399.190476191</v>
      </c>
      <c r="X20" s="7" t="n">
        <f aca="false">MAX(0,W20)*Assumptions!$B$12</f>
        <v>202019.757142857</v>
      </c>
      <c r="Y20" s="17" t="n">
        <f aca="false">W20-X20</f>
        <v>471379.433333333</v>
      </c>
    </row>
    <row r="21" customFormat="false" ht="15" hidden="false" customHeight="false" outlineLevel="0" collapsed="false">
      <c r="A21" s="21" t="n">
        <v>18</v>
      </c>
      <c r="B21" s="21" t="n">
        <f aca="false">ROUNDUP(A21/12,0)</f>
        <v>2</v>
      </c>
      <c r="C21" s="21" t="n">
        <f aca="false">G20</f>
        <v>117</v>
      </c>
      <c r="D21" s="8" t="n">
        <f aca="false">ROUND(IF(B21=1,Assumptions!$B$31,IF(B21=2,Assumptions!$B$32,Assumptions!$B$33))*MIN(1,A21/6),0)</f>
        <v>15</v>
      </c>
      <c r="E21" s="8" t="n">
        <f aca="false">MAX(0,MIN(ROUND(D21*Assumptions!$B$29,0),Assumptions!$B$5-(C21-F21)))</f>
        <v>9</v>
      </c>
      <c r="F21" s="8" t="n">
        <f aca="false">ROUND(C21*Assumptions!$B$30,0)</f>
        <v>5</v>
      </c>
      <c r="G21" s="8" t="n">
        <f aca="false">MAX(0,MIN(Assumptions!$B$5,C21+E21-F21))</f>
        <v>121</v>
      </c>
      <c r="H21" s="7" t="n">
        <f aca="false">C21*Assumptions!$B$28</f>
        <v>1755000</v>
      </c>
      <c r="I21" s="7" t="n">
        <f aca="false">E21*Assumptions!$B$6</f>
        <v>270000</v>
      </c>
      <c r="J21" s="7" t="n">
        <f aca="false">D21*Assumptions!$B$7</f>
        <v>30000</v>
      </c>
      <c r="K21" s="7" t="n">
        <f aca="false">C21*Assumptions!$B$37</f>
        <v>234000</v>
      </c>
      <c r="L21" s="17" t="n">
        <f aca="false">SUM(H21:K21)</f>
        <v>2289000</v>
      </c>
      <c r="M21" s="7" t="n">
        <f aca="false">K21*Assumptions!$B$8</f>
        <v>152100</v>
      </c>
      <c r="N21" s="7" t="n">
        <f aca="false">L21*Assumptions!$B$9*Assumptions!$B$10</f>
        <v>61803</v>
      </c>
      <c r="O21" s="17" t="n">
        <f aca="false">M21+N21</f>
        <v>213903</v>
      </c>
      <c r="P21" s="7" t="n">
        <f aca="false">Assumptions!$B$13</f>
        <v>400000</v>
      </c>
      <c r="Q21" s="7" t="n">
        <f aca="false">Assumptions!$B$36</f>
        <v>580000</v>
      </c>
      <c r="R21" s="7" t="n">
        <f aca="false">IF(A21&lt;=3,Assumptions!$B$34,Assumptions!$B$35)</f>
        <v>50000</v>
      </c>
      <c r="S21" s="7" t="n">
        <f aca="false">Assumptions!$B$44</f>
        <v>187460</v>
      </c>
      <c r="T21" s="17" t="n">
        <f aca="false">P21+Q21+R21+S21</f>
        <v>1217460</v>
      </c>
      <c r="U21" s="7" t="n">
        <f aca="false">(CAPEX!$B$18+CAPEX!$B$20)/(Assumptions!$B$11*12)+IF(A21&gt;=Assumptions!$B$51,Assumptions!$B$50/(Assumptions!$B$11*12),0)</f>
        <v>123273.80952381</v>
      </c>
      <c r="V21" s="17" t="n">
        <f aca="false">L21-O21-T21-U21</f>
        <v>734363.190476191</v>
      </c>
      <c r="W21" s="17" t="n">
        <f aca="false">V21</f>
        <v>734363.190476191</v>
      </c>
      <c r="X21" s="7" t="n">
        <f aca="false">MAX(0,W21)*Assumptions!$B$12</f>
        <v>220308.957142857</v>
      </c>
      <c r="Y21" s="17" t="n">
        <f aca="false">W21-X21</f>
        <v>514054.233333333</v>
      </c>
    </row>
    <row r="22" customFormat="false" ht="15" hidden="false" customHeight="false" outlineLevel="0" collapsed="false">
      <c r="A22" s="21" t="n">
        <v>19</v>
      </c>
      <c r="B22" s="21" t="n">
        <f aca="false">ROUNDUP(A22/12,0)</f>
        <v>2</v>
      </c>
      <c r="C22" s="21" t="n">
        <f aca="false">G21</f>
        <v>121</v>
      </c>
      <c r="D22" s="8" t="n">
        <f aca="false">ROUND(IF(B22=1,Assumptions!$B$31,IF(B22=2,Assumptions!$B$32,Assumptions!$B$33))*MIN(1,A22/6),0)</f>
        <v>15</v>
      </c>
      <c r="E22" s="8" t="n">
        <f aca="false">MAX(0,MIN(ROUND(D22*Assumptions!$B$29,0),Assumptions!$B$5-(C22-F22)))</f>
        <v>9</v>
      </c>
      <c r="F22" s="8" t="n">
        <f aca="false">ROUND(C22*Assumptions!$B$30,0)</f>
        <v>5</v>
      </c>
      <c r="G22" s="8" t="n">
        <f aca="false">MAX(0,MIN(Assumptions!$B$5,C22+E22-F22))</f>
        <v>125</v>
      </c>
      <c r="H22" s="7" t="n">
        <f aca="false">C22*Assumptions!$B$28</f>
        <v>1815000</v>
      </c>
      <c r="I22" s="7" t="n">
        <f aca="false">E22*Assumptions!$B$6</f>
        <v>270000</v>
      </c>
      <c r="J22" s="7" t="n">
        <f aca="false">D22*Assumptions!$B$7</f>
        <v>30000</v>
      </c>
      <c r="K22" s="7" t="n">
        <f aca="false">C22*Assumptions!$B$37</f>
        <v>242000</v>
      </c>
      <c r="L22" s="17" t="n">
        <f aca="false">SUM(H22:K22)</f>
        <v>2357000</v>
      </c>
      <c r="M22" s="7" t="n">
        <f aca="false">K22*Assumptions!$B$8</f>
        <v>157300</v>
      </c>
      <c r="N22" s="7" t="n">
        <f aca="false">L22*Assumptions!$B$9*Assumptions!$B$10</f>
        <v>63639</v>
      </c>
      <c r="O22" s="17" t="n">
        <f aca="false">M22+N22</f>
        <v>220939</v>
      </c>
      <c r="P22" s="7" t="n">
        <f aca="false">Assumptions!$B$13</f>
        <v>400000</v>
      </c>
      <c r="Q22" s="7" t="n">
        <f aca="false">Assumptions!$B$36</f>
        <v>580000</v>
      </c>
      <c r="R22" s="7" t="n">
        <f aca="false">IF(A22&lt;=3,Assumptions!$B$34,Assumptions!$B$35)</f>
        <v>50000</v>
      </c>
      <c r="S22" s="7" t="n">
        <f aca="false">Assumptions!$B$44</f>
        <v>187460</v>
      </c>
      <c r="T22" s="17" t="n">
        <f aca="false">P22+Q22+R22+S22</f>
        <v>1217460</v>
      </c>
      <c r="U22" s="7" t="n">
        <f aca="false">(CAPEX!$B$18+CAPEX!$B$20)/(Assumptions!$B$11*12)+IF(A22&gt;=Assumptions!$B$51,Assumptions!$B$50/(Assumptions!$B$11*12),0)</f>
        <v>123273.80952381</v>
      </c>
      <c r="V22" s="17" t="n">
        <f aca="false">L22-O22-T22-U22</f>
        <v>795327.190476191</v>
      </c>
      <c r="W22" s="17" t="n">
        <f aca="false">V22</f>
        <v>795327.190476191</v>
      </c>
      <c r="X22" s="7" t="n">
        <f aca="false">MAX(0,W22)*Assumptions!$B$12</f>
        <v>238598.157142857</v>
      </c>
      <c r="Y22" s="17" t="n">
        <f aca="false">W22-X22</f>
        <v>556729.033333333</v>
      </c>
    </row>
    <row r="23" customFormat="false" ht="15" hidden="false" customHeight="false" outlineLevel="0" collapsed="false">
      <c r="A23" s="21" t="n">
        <v>20</v>
      </c>
      <c r="B23" s="21" t="n">
        <f aca="false">ROUNDUP(A23/12,0)</f>
        <v>2</v>
      </c>
      <c r="C23" s="21" t="n">
        <f aca="false">G22</f>
        <v>125</v>
      </c>
      <c r="D23" s="8" t="n">
        <f aca="false">ROUND(IF(B23=1,Assumptions!$B$31,IF(B23=2,Assumptions!$B$32,Assumptions!$B$33))*MIN(1,A23/6),0)</f>
        <v>15</v>
      </c>
      <c r="E23" s="8" t="n">
        <f aca="false">MAX(0,MIN(ROUND(D23*Assumptions!$B$29,0),Assumptions!$B$5-(C23-F23)))</f>
        <v>9</v>
      </c>
      <c r="F23" s="8" t="n">
        <f aca="false">ROUND(C23*Assumptions!$B$30,0)</f>
        <v>5</v>
      </c>
      <c r="G23" s="8" t="n">
        <f aca="false">MAX(0,MIN(Assumptions!$B$5,C23+E23-F23))</f>
        <v>129</v>
      </c>
      <c r="H23" s="7" t="n">
        <f aca="false">C23*Assumptions!$B$28</f>
        <v>1875000</v>
      </c>
      <c r="I23" s="7" t="n">
        <f aca="false">E23*Assumptions!$B$6</f>
        <v>270000</v>
      </c>
      <c r="J23" s="7" t="n">
        <f aca="false">D23*Assumptions!$B$7</f>
        <v>30000</v>
      </c>
      <c r="K23" s="7" t="n">
        <f aca="false">C23*Assumptions!$B$37</f>
        <v>250000</v>
      </c>
      <c r="L23" s="17" t="n">
        <f aca="false">SUM(H23:K23)</f>
        <v>2425000</v>
      </c>
      <c r="M23" s="7" t="n">
        <f aca="false">K23*Assumptions!$B$8</f>
        <v>162500</v>
      </c>
      <c r="N23" s="7" t="n">
        <f aca="false">L23*Assumptions!$B$9*Assumptions!$B$10</f>
        <v>65475</v>
      </c>
      <c r="O23" s="17" t="n">
        <f aca="false">M23+N23</f>
        <v>227975</v>
      </c>
      <c r="P23" s="7" t="n">
        <f aca="false">Assumptions!$B$13</f>
        <v>400000</v>
      </c>
      <c r="Q23" s="7" t="n">
        <f aca="false">Assumptions!$B$36</f>
        <v>580000</v>
      </c>
      <c r="R23" s="7" t="n">
        <f aca="false">IF(A23&lt;=3,Assumptions!$B$34,Assumptions!$B$35)</f>
        <v>50000</v>
      </c>
      <c r="S23" s="7" t="n">
        <f aca="false">Assumptions!$B$44</f>
        <v>187460</v>
      </c>
      <c r="T23" s="17" t="n">
        <f aca="false">P23+Q23+R23+S23</f>
        <v>1217460</v>
      </c>
      <c r="U23" s="7" t="n">
        <f aca="false">(CAPEX!$B$18+CAPEX!$B$20)/(Assumptions!$B$11*12)+IF(A23&gt;=Assumptions!$B$51,Assumptions!$B$50/(Assumptions!$B$11*12),0)</f>
        <v>123273.80952381</v>
      </c>
      <c r="V23" s="17" t="n">
        <f aca="false">L23-O23-T23-U23</f>
        <v>856291.190476191</v>
      </c>
      <c r="W23" s="17" t="n">
        <f aca="false">V23</f>
        <v>856291.190476191</v>
      </c>
      <c r="X23" s="7" t="n">
        <f aca="false">MAX(0,W23)*Assumptions!$B$12</f>
        <v>256887.357142857</v>
      </c>
      <c r="Y23" s="17" t="n">
        <f aca="false">W23-X23</f>
        <v>599403.833333333</v>
      </c>
    </row>
    <row r="24" customFormat="false" ht="15" hidden="false" customHeight="false" outlineLevel="0" collapsed="false">
      <c r="A24" s="21" t="n">
        <v>21</v>
      </c>
      <c r="B24" s="21" t="n">
        <f aca="false">ROUNDUP(A24/12,0)</f>
        <v>2</v>
      </c>
      <c r="C24" s="21" t="n">
        <f aca="false">G23</f>
        <v>129</v>
      </c>
      <c r="D24" s="8" t="n">
        <f aca="false">ROUND(IF(B24=1,Assumptions!$B$31,IF(B24=2,Assumptions!$B$32,Assumptions!$B$33))*MIN(1,A24/6),0)</f>
        <v>15</v>
      </c>
      <c r="E24" s="8" t="n">
        <f aca="false">MAX(0,MIN(ROUND(D24*Assumptions!$B$29,0),Assumptions!$B$5-(C24-F24)))</f>
        <v>9</v>
      </c>
      <c r="F24" s="8" t="n">
        <f aca="false">ROUND(C24*Assumptions!$B$30,0)</f>
        <v>5</v>
      </c>
      <c r="G24" s="8" t="n">
        <f aca="false">MAX(0,MIN(Assumptions!$B$5,C24+E24-F24))</f>
        <v>133</v>
      </c>
      <c r="H24" s="7" t="n">
        <f aca="false">C24*Assumptions!$B$28</f>
        <v>1935000</v>
      </c>
      <c r="I24" s="7" t="n">
        <f aca="false">E24*Assumptions!$B$6</f>
        <v>270000</v>
      </c>
      <c r="J24" s="7" t="n">
        <f aca="false">D24*Assumptions!$B$7</f>
        <v>30000</v>
      </c>
      <c r="K24" s="7" t="n">
        <f aca="false">C24*Assumptions!$B$37</f>
        <v>258000</v>
      </c>
      <c r="L24" s="17" t="n">
        <f aca="false">SUM(H24:K24)</f>
        <v>2493000</v>
      </c>
      <c r="M24" s="7" t="n">
        <f aca="false">K24*Assumptions!$B$8</f>
        <v>167700</v>
      </c>
      <c r="N24" s="7" t="n">
        <f aca="false">L24*Assumptions!$B$9*Assumptions!$B$10</f>
        <v>67311</v>
      </c>
      <c r="O24" s="17" t="n">
        <f aca="false">M24+N24</f>
        <v>235011</v>
      </c>
      <c r="P24" s="7" t="n">
        <f aca="false">Assumptions!$B$13</f>
        <v>400000</v>
      </c>
      <c r="Q24" s="7" t="n">
        <f aca="false">Assumptions!$B$36</f>
        <v>580000</v>
      </c>
      <c r="R24" s="7" t="n">
        <f aca="false">IF(A24&lt;=3,Assumptions!$B$34,Assumptions!$B$35)</f>
        <v>50000</v>
      </c>
      <c r="S24" s="7" t="n">
        <f aca="false">Assumptions!$B$44</f>
        <v>187460</v>
      </c>
      <c r="T24" s="17" t="n">
        <f aca="false">P24+Q24+R24+S24</f>
        <v>1217460</v>
      </c>
      <c r="U24" s="7" t="n">
        <f aca="false">(CAPEX!$B$18+CAPEX!$B$20)/(Assumptions!$B$11*12)+IF(A24&gt;=Assumptions!$B$51,Assumptions!$B$50/(Assumptions!$B$11*12),0)</f>
        <v>123273.80952381</v>
      </c>
      <c r="V24" s="17" t="n">
        <f aca="false">L24-O24-T24-U24</f>
        <v>917255.190476191</v>
      </c>
      <c r="W24" s="17" t="n">
        <f aca="false">V24</f>
        <v>917255.190476191</v>
      </c>
      <c r="X24" s="7" t="n">
        <f aca="false">MAX(0,W24)*Assumptions!$B$12</f>
        <v>275176.557142857</v>
      </c>
      <c r="Y24" s="17" t="n">
        <f aca="false">W24-X24</f>
        <v>642078.633333333</v>
      </c>
    </row>
    <row r="25" customFormat="false" ht="15" hidden="false" customHeight="false" outlineLevel="0" collapsed="false">
      <c r="A25" s="21" t="n">
        <v>22</v>
      </c>
      <c r="B25" s="21" t="n">
        <f aca="false">ROUNDUP(A25/12,0)</f>
        <v>2</v>
      </c>
      <c r="C25" s="21" t="n">
        <f aca="false">G24</f>
        <v>133</v>
      </c>
      <c r="D25" s="8" t="n">
        <f aca="false">ROUND(IF(B25=1,Assumptions!$B$31,IF(B25=2,Assumptions!$B$32,Assumptions!$B$33))*MIN(1,A25/6),0)</f>
        <v>15</v>
      </c>
      <c r="E25" s="8" t="n">
        <f aca="false">MAX(0,MIN(ROUND(D25*Assumptions!$B$29,0),Assumptions!$B$5-(C25-F25)))</f>
        <v>9</v>
      </c>
      <c r="F25" s="8" t="n">
        <f aca="false">ROUND(C25*Assumptions!$B$30,0)</f>
        <v>5</v>
      </c>
      <c r="G25" s="8" t="n">
        <f aca="false">MAX(0,MIN(Assumptions!$B$5,C25+E25-F25))</f>
        <v>137</v>
      </c>
      <c r="H25" s="7" t="n">
        <f aca="false">C25*Assumptions!$B$28</f>
        <v>1995000</v>
      </c>
      <c r="I25" s="7" t="n">
        <f aca="false">E25*Assumptions!$B$6</f>
        <v>270000</v>
      </c>
      <c r="J25" s="7" t="n">
        <f aca="false">D25*Assumptions!$B$7</f>
        <v>30000</v>
      </c>
      <c r="K25" s="7" t="n">
        <f aca="false">C25*Assumptions!$B$37</f>
        <v>266000</v>
      </c>
      <c r="L25" s="17" t="n">
        <f aca="false">SUM(H25:K25)</f>
        <v>2561000</v>
      </c>
      <c r="M25" s="7" t="n">
        <f aca="false">K25*Assumptions!$B$8</f>
        <v>172900</v>
      </c>
      <c r="N25" s="7" t="n">
        <f aca="false">L25*Assumptions!$B$9*Assumptions!$B$10</f>
        <v>69147</v>
      </c>
      <c r="O25" s="17" t="n">
        <f aca="false">M25+N25</f>
        <v>242047</v>
      </c>
      <c r="P25" s="7" t="n">
        <f aca="false">Assumptions!$B$13</f>
        <v>400000</v>
      </c>
      <c r="Q25" s="7" t="n">
        <f aca="false">Assumptions!$B$36</f>
        <v>580000</v>
      </c>
      <c r="R25" s="7" t="n">
        <f aca="false">IF(A25&lt;=3,Assumptions!$B$34,Assumptions!$B$35)</f>
        <v>50000</v>
      </c>
      <c r="S25" s="7" t="n">
        <f aca="false">Assumptions!$B$44</f>
        <v>187460</v>
      </c>
      <c r="T25" s="17" t="n">
        <f aca="false">P25+Q25+R25+S25</f>
        <v>1217460</v>
      </c>
      <c r="U25" s="7" t="n">
        <f aca="false">(CAPEX!$B$18+CAPEX!$B$20)/(Assumptions!$B$11*12)+IF(A25&gt;=Assumptions!$B$51,Assumptions!$B$50/(Assumptions!$B$11*12),0)</f>
        <v>123273.80952381</v>
      </c>
      <c r="V25" s="17" t="n">
        <f aca="false">L25-O25-T25-U25</f>
        <v>978219.190476191</v>
      </c>
      <c r="W25" s="17" t="n">
        <f aca="false">V25</f>
        <v>978219.190476191</v>
      </c>
      <c r="X25" s="7" t="n">
        <f aca="false">MAX(0,W25)*Assumptions!$B$12</f>
        <v>293465.757142857</v>
      </c>
      <c r="Y25" s="17" t="n">
        <f aca="false">W25-X25</f>
        <v>684753.433333333</v>
      </c>
    </row>
    <row r="26" customFormat="false" ht="15" hidden="false" customHeight="false" outlineLevel="0" collapsed="false">
      <c r="A26" s="21" t="n">
        <v>23</v>
      </c>
      <c r="B26" s="21" t="n">
        <f aca="false">ROUNDUP(A26/12,0)</f>
        <v>2</v>
      </c>
      <c r="C26" s="21" t="n">
        <f aca="false">G25</f>
        <v>137</v>
      </c>
      <c r="D26" s="8" t="n">
        <f aca="false">ROUND(IF(B26=1,Assumptions!$B$31,IF(B26=2,Assumptions!$B$32,Assumptions!$B$33))*MIN(1,A26/6),0)</f>
        <v>15</v>
      </c>
      <c r="E26" s="8" t="n">
        <f aca="false">MAX(0,MIN(ROUND(D26*Assumptions!$B$29,0),Assumptions!$B$5-(C26-F26)))</f>
        <v>9</v>
      </c>
      <c r="F26" s="8" t="n">
        <f aca="false">ROUND(C26*Assumptions!$B$30,0)</f>
        <v>5</v>
      </c>
      <c r="G26" s="8" t="n">
        <f aca="false">MAX(0,MIN(Assumptions!$B$5,C26+E26-F26))</f>
        <v>141</v>
      </c>
      <c r="H26" s="7" t="n">
        <f aca="false">C26*Assumptions!$B$28</f>
        <v>2055000</v>
      </c>
      <c r="I26" s="7" t="n">
        <f aca="false">E26*Assumptions!$B$6</f>
        <v>270000</v>
      </c>
      <c r="J26" s="7" t="n">
        <f aca="false">D26*Assumptions!$B$7</f>
        <v>30000</v>
      </c>
      <c r="K26" s="7" t="n">
        <f aca="false">C26*Assumptions!$B$37</f>
        <v>274000</v>
      </c>
      <c r="L26" s="17" t="n">
        <f aca="false">SUM(H26:K26)</f>
        <v>2629000</v>
      </c>
      <c r="M26" s="7" t="n">
        <f aca="false">K26*Assumptions!$B$8</f>
        <v>178100</v>
      </c>
      <c r="N26" s="7" t="n">
        <f aca="false">L26*Assumptions!$B$9*Assumptions!$B$10</f>
        <v>70983</v>
      </c>
      <c r="O26" s="17" t="n">
        <f aca="false">M26+N26</f>
        <v>249083</v>
      </c>
      <c r="P26" s="7" t="n">
        <f aca="false">Assumptions!$B$13</f>
        <v>400000</v>
      </c>
      <c r="Q26" s="7" t="n">
        <f aca="false">Assumptions!$B$36</f>
        <v>580000</v>
      </c>
      <c r="R26" s="7" t="n">
        <f aca="false">IF(A26&lt;=3,Assumptions!$B$34,Assumptions!$B$35)</f>
        <v>50000</v>
      </c>
      <c r="S26" s="7" t="n">
        <f aca="false">Assumptions!$B$44</f>
        <v>187460</v>
      </c>
      <c r="T26" s="17" t="n">
        <f aca="false">P26+Q26+R26+S26</f>
        <v>1217460</v>
      </c>
      <c r="U26" s="7" t="n">
        <f aca="false">(CAPEX!$B$18+CAPEX!$B$20)/(Assumptions!$B$11*12)+IF(A26&gt;=Assumptions!$B$51,Assumptions!$B$50/(Assumptions!$B$11*12),0)</f>
        <v>123273.80952381</v>
      </c>
      <c r="V26" s="17" t="n">
        <f aca="false">L26-O26-T26-U26</f>
        <v>1039183.19047619</v>
      </c>
      <c r="W26" s="17" t="n">
        <f aca="false">V26</f>
        <v>1039183.19047619</v>
      </c>
      <c r="X26" s="7" t="n">
        <f aca="false">MAX(0,W26)*Assumptions!$B$12</f>
        <v>311754.957142857</v>
      </c>
      <c r="Y26" s="17" t="n">
        <f aca="false">W26-X26</f>
        <v>727428.233333333</v>
      </c>
    </row>
    <row r="27" customFormat="false" ht="15" hidden="false" customHeight="false" outlineLevel="0" collapsed="false">
      <c r="A27" s="21" t="n">
        <v>24</v>
      </c>
      <c r="B27" s="21" t="n">
        <f aca="false">ROUNDUP(A27/12,0)</f>
        <v>2</v>
      </c>
      <c r="C27" s="21" t="n">
        <f aca="false">G26</f>
        <v>141</v>
      </c>
      <c r="D27" s="8" t="n">
        <f aca="false">ROUND(IF(B27=1,Assumptions!$B$31,IF(B27=2,Assumptions!$B$32,Assumptions!$B$33))*MIN(1,A27/6),0)</f>
        <v>15</v>
      </c>
      <c r="E27" s="8" t="n">
        <f aca="false">MAX(0,MIN(ROUND(D27*Assumptions!$B$29,0),Assumptions!$B$5-(C27-F27)))</f>
        <v>9</v>
      </c>
      <c r="F27" s="8" t="n">
        <f aca="false">ROUND(C27*Assumptions!$B$30,0)</f>
        <v>6</v>
      </c>
      <c r="G27" s="8" t="n">
        <f aca="false">MAX(0,MIN(Assumptions!$B$5,C27+E27-F27))</f>
        <v>144</v>
      </c>
      <c r="H27" s="7" t="n">
        <f aca="false">C27*Assumptions!$B$28</f>
        <v>2115000</v>
      </c>
      <c r="I27" s="7" t="n">
        <f aca="false">E27*Assumptions!$B$6</f>
        <v>270000</v>
      </c>
      <c r="J27" s="7" t="n">
        <f aca="false">D27*Assumptions!$B$7</f>
        <v>30000</v>
      </c>
      <c r="K27" s="7" t="n">
        <f aca="false">C27*Assumptions!$B$37</f>
        <v>282000</v>
      </c>
      <c r="L27" s="17" t="n">
        <f aca="false">SUM(H27:K27)</f>
        <v>2697000</v>
      </c>
      <c r="M27" s="7" t="n">
        <f aca="false">K27*Assumptions!$B$8</f>
        <v>183300</v>
      </c>
      <c r="N27" s="7" t="n">
        <f aca="false">L27*Assumptions!$B$9*Assumptions!$B$10</f>
        <v>72819</v>
      </c>
      <c r="O27" s="17" t="n">
        <f aca="false">M27+N27</f>
        <v>256119</v>
      </c>
      <c r="P27" s="7" t="n">
        <f aca="false">Assumptions!$B$13</f>
        <v>400000</v>
      </c>
      <c r="Q27" s="7" t="n">
        <f aca="false">Assumptions!$B$36</f>
        <v>580000</v>
      </c>
      <c r="R27" s="7" t="n">
        <f aca="false">IF(A27&lt;=3,Assumptions!$B$34,Assumptions!$B$35)</f>
        <v>50000</v>
      </c>
      <c r="S27" s="7" t="n">
        <f aca="false">Assumptions!$B$44</f>
        <v>187460</v>
      </c>
      <c r="T27" s="17" t="n">
        <f aca="false">P27+Q27+R27+S27</f>
        <v>1217460</v>
      </c>
      <c r="U27" s="7" t="n">
        <f aca="false">(CAPEX!$B$18+CAPEX!$B$20)/(Assumptions!$B$11*12)+IF(A27&gt;=Assumptions!$B$51,Assumptions!$B$50/(Assumptions!$B$11*12),0)</f>
        <v>123273.80952381</v>
      </c>
      <c r="V27" s="17" t="n">
        <f aca="false">L27-O27-T27-U27</f>
        <v>1100147.19047619</v>
      </c>
      <c r="W27" s="17" t="n">
        <f aca="false">V27</f>
        <v>1100147.19047619</v>
      </c>
      <c r="X27" s="7" t="n">
        <f aca="false">MAX(0,W27)*Assumptions!$B$12</f>
        <v>330044.157142857</v>
      </c>
      <c r="Y27" s="17" t="n">
        <f aca="false">W27-X27</f>
        <v>770103.033333333</v>
      </c>
    </row>
    <row r="28" customFormat="false" ht="15" hidden="false" customHeight="false" outlineLevel="0" collapsed="false">
      <c r="A28" s="21" t="n">
        <v>25</v>
      </c>
      <c r="B28" s="21" t="n">
        <f aca="false">ROUNDUP(A28/12,0)</f>
        <v>3</v>
      </c>
      <c r="C28" s="21" t="n">
        <f aca="false">G27</f>
        <v>144</v>
      </c>
      <c r="D28" s="8" t="n">
        <f aca="false">ROUND(IF(B28=1,Assumptions!$B$31,IF(B28=2,Assumptions!$B$32,Assumptions!$B$33))*MIN(1,A28/6),0)</f>
        <v>15</v>
      </c>
      <c r="E28" s="8" t="n">
        <f aca="false">MAX(0,MIN(ROUND(D28*Assumptions!$B$29,0),Assumptions!$B$5-(C28-F28)))</f>
        <v>9</v>
      </c>
      <c r="F28" s="8" t="n">
        <f aca="false">ROUND(C28*Assumptions!$B$30,0)</f>
        <v>6</v>
      </c>
      <c r="G28" s="8" t="n">
        <f aca="false">MAX(0,MIN(Assumptions!$B$5,C28+E28-F28))</f>
        <v>147</v>
      </c>
      <c r="H28" s="7" t="n">
        <f aca="false">C28*Assumptions!$B$28</f>
        <v>2160000</v>
      </c>
      <c r="I28" s="7" t="n">
        <f aca="false">E28*Assumptions!$B$6</f>
        <v>270000</v>
      </c>
      <c r="J28" s="7" t="n">
        <f aca="false">D28*Assumptions!$B$7</f>
        <v>30000</v>
      </c>
      <c r="K28" s="7" t="n">
        <f aca="false">C28*Assumptions!$B$37</f>
        <v>288000</v>
      </c>
      <c r="L28" s="17" t="n">
        <f aca="false">SUM(H28:K28)</f>
        <v>2748000</v>
      </c>
      <c r="M28" s="7" t="n">
        <f aca="false">K28*Assumptions!$B$8</f>
        <v>187200</v>
      </c>
      <c r="N28" s="7" t="n">
        <f aca="false">L28*Assumptions!$B$9*Assumptions!$B$10</f>
        <v>74196</v>
      </c>
      <c r="O28" s="17" t="n">
        <f aca="false">M28+N28</f>
        <v>261396</v>
      </c>
      <c r="P28" s="7" t="n">
        <f aca="false">Assumptions!$B$13</f>
        <v>400000</v>
      </c>
      <c r="Q28" s="7" t="n">
        <f aca="false">Assumptions!$B$36</f>
        <v>580000</v>
      </c>
      <c r="R28" s="7" t="n">
        <f aca="false">IF(A28&lt;=3,Assumptions!$B$34,Assumptions!$B$35)</f>
        <v>50000</v>
      </c>
      <c r="S28" s="7" t="n">
        <f aca="false">Assumptions!$B$44</f>
        <v>187460</v>
      </c>
      <c r="T28" s="17" t="n">
        <f aca="false">P28+Q28+R28+S28</f>
        <v>1217460</v>
      </c>
      <c r="U28" s="7" t="n">
        <f aca="false">(CAPEX!$B$18+CAPEX!$B$20)/(Assumptions!$B$11*12)+IF(A28&gt;=Assumptions!$B$51,Assumptions!$B$50/(Assumptions!$B$11*12),0)</f>
        <v>123273.80952381</v>
      </c>
      <c r="V28" s="17" t="n">
        <f aca="false">L28-O28-T28-U28</f>
        <v>1145870.19047619</v>
      </c>
      <c r="W28" s="17" t="n">
        <f aca="false">V28</f>
        <v>1145870.19047619</v>
      </c>
      <c r="X28" s="7" t="n">
        <f aca="false">MAX(0,W28)*Assumptions!$B$12</f>
        <v>343761.057142857</v>
      </c>
      <c r="Y28" s="17" t="n">
        <f aca="false">W28-X28</f>
        <v>802109.133333333</v>
      </c>
    </row>
    <row r="29" customFormat="false" ht="15" hidden="false" customHeight="false" outlineLevel="0" collapsed="false">
      <c r="A29" s="21" t="n">
        <v>26</v>
      </c>
      <c r="B29" s="21" t="n">
        <f aca="false">ROUNDUP(A29/12,0)</f>
        <v>3</v>
      </c>
      <c r="C29" s="21" t="n">
        <f aca="false">G28</f>
        <v>147</v>
      </c>
      <c r="D29" s="8" t="n">
        <f aca="false">ROUND(IF(B29=1,Assumptions!$B$31,IF(B29=2,Assumptions!$B$32,Assumptions!$B$33))*MIN(1,A29/6),0)</f>
        <v>15</v>
      </c>
      <c r="E29" s="8" t="n">
        <f aca="false">MAX(0,MIN(ROUND(D29*Assumptions!$B$29,0),Assumptions!$B$5-(C29-F29)))</f>
        <v>9</v>
      </c>
      <c r="F29" s="8" t="n">
        <f aca="false">ROUND(C29*Assumptions!$B$30,0)</f>
        <v>6</v>
      </c>
      <c r="G29" s="8" t="n">
        <f aca="false">MAX(0,MIN(Assumptions!$B$5,C29+E29-F29))</f>
        <v>150</v>
      </c>
      <c r="H29" s="7" t="n">
        <f aca="false">C29*Assumptions!$B$28</f>
        <v>2205000</v>
      </c>
      <c r="I29" s="7" t="n">
        <f aca="false">E29*Assumptions!$B$6</f>
        <v>270000</v>
      </c>
      <c r="J29" s="7" t="n">
        <f aca="false">D29*Assumptions!$B$7</f>
        <v>30000</v>
      </c>
      <c r="K29" s="7" t="n">
        <f aca="false">C29*Assumptions!$B$37</f>
        <v>294000</v>
      </c>
      <c r="L29" s="17" t="n">
        <f aca="false">SUM(H29:K29)</f>
        <v>2799000</v>
      </c>
      <c r="M29" s="7" t="n">
        <f aca="false">K29*Assumptions!$B$8</f>
        <v>191100</v>
      </c>
      <c r="N29" s="7" t="n">
        <f aca="false">L29*Assumptions!$B$9*Assumptions!$B$10</f>
        <v>75573</v>
      </c>
      <c r="O29" s="17" t="n">
        <f aca="false">M29+N29</f>
        <v>266673</v>
      </c>
      <c r="P29" s="7" t="n">
        <f aca="false">Assumptions!$B$13</f>
        <v>400000</v>
      </c>
      <c r="Q29" s="7" t="n">
        <f aca="false">Assumptions!$B$36</f>
        <v>580000</v>
      </c>
      <c r="R29" s="7" t="n">
        <f aca="false">IF(A29&lt;=3,Assumptions!$B$34,Assumptions!$B$35)</f>
        <v>50000</v>
      </c>
      <c r="S29" s="7" t="n">
        <f aca="false">Assumptions!$B$44</f>
        <v>187460</v>
      </c>
      <c r="T29" s="17" t="n">
        <f aca="false">P29+Q29+R29+S29</f>
        <v>1217460</v>
      </c>
      <c r="U29" s="7" t="n">
        <f aca="false">(CAPEX!$B$18+CAPEX!$B$20)/(Assumptions!$B$11*12)+IF(A29&gt;=Assumptions!$B$51,Assumptions!$B$50/(Assumptions!$B$11*12),0)</f>
        <v>123273.80952381</v>
      </c>
      <c r="V29" s="17" t="n">
        <f aca="false">L29-O29-T29-U29</f>
        <v>1191593.19047619</v>
      </c>
      <c r="W29" s="17" t="n">
        <f aca="false">V29</f>
        <v>1191593.19047619</v>
      </c>
      <c r="X29" s="7" t="n">
        <f aca="false">MAX(0,W29)*Assumptions!$B$12</f>
        <v>357477.957142857</v>
      </c>
      <c r="Y29" s="17" t="n">
        <f aca="false">W29-X29</f>
        <v>834115.233333333</v>
      </c>
    </row>
    <row r="30" customFormat="false" ht="15" hidden="false" customHeight="false" outlineLevel="0" collapsed="false">
      <c r="A30" s="21" t="n">
        <v>27</v>
      </c>
      <c r="B30" s="21" t="n">
        <f aca="false">ROUNDUP(A30/12,0)</f>
        <v>3</v>
      </c>
      <c r="C30" s="21" t="n">
        <f aca="false">G29</f>
        <v>150</v>
      </c>
      <c r="D30" s="8" t="n">
        <f aca="false">ROUND(IF(B30=1,Assumptions!$B$31,IF(B30=2,Assumptions!$B$32,Assumptions!$B$33))*MIN(1,A30/6),0)</f>
        <v>15</v>
      </c>
      <c r="E30" s="8" t="n">
        <f aca="false">MAX(0,MIN(ROUND(D30*Assumptions!$B$29,0),Assumptions!$B$5-(C30-F30)))</f>
        <v>9</v>
      </c>
      <c r="F30" s="8" t="n">
        <f aca="false">ROUND(C30*Assumptions!$B$30,0)</f>
        <v>6</v>
      </c>
      <c r="G30" s="8" t="n">
        <f aca="false">MAX(0,MIN(Assumptions!$B$5,C30+E30-F30))</f>
        <v>153</v>
      </c>
      <c r="H30" s="7" t="n">
        <f aca="false">C30*Assumptions!$B$28</f>
        <v>2250000</v>
      </c>
      <c r="I30" s="7" t="n">
        <f aca="false">E30*Assumptions!$B$6</f>
        <v>270000</v>
      </c>
      <c r="J30" s="7" t="n">
        <f aca="false">D30*Assumptions!$B$7</f>
        <v>30000</v>
      </c>
      <c r="K30" s="7" t="n">
        <f aca="false">C30*Assumptions!$B$37</f>
        <v>300000</v>
      </c>
      <c r="L30" s="17" t="n">
        <f aca="false">SUM(H30:K30)</f>
        <v>2850000</v>
      </c>
      <c r="M30" s="7" t="n">
        <f aca="false">K30*Assumptions!$B$8</f>
        <v>195000</v>
      </c>
      <c r="N30" s="7" t="n">
        <f aca="false">L30*Assumptions!$B$9*Assumptions!$B$10</f>
        <v>76950</v>
      </c>
      <c r="O30" s="17" t="n">
        <f aca="false">M30+N30</f>
        <v>271950</v>
      </c>
      <c r="P30" s="7" t="n">
        <f aca="false">Assumptions!$B$13</f>
        <v>400000</v>
      </c>
      <c r="Q30" s="7" t="n">
        <f aca="false">Assumptions!$B$36</f>
        <v>580000</v>
      </c>
      <c r="R30" s="7" t="n">
        <f aca="false">IF(A30&lt;=3,Assumptions!$B$34,Assumptions!$B$35)</f>
        <v>50000</v>
      </c>
      <c r="S30" s="7" t="n">
        <f aca="false">Assumptions!$B$44</f>
        <v>187460</v>
      </c>
      <c r="T30" s="17" t="n">
        <f aca="false">P30+Q30+R30+S30</f>
        <v>1217460</v>
      </c>
      <c r="U30" s="7" t="n">
        <f aca="false">(CAPEX!$B$18+CAPEX!$B$20)/(Assumptions!$B$11*12)+IF(A30&gt;=Assumptions!$B$51,Assumptions!$B$50/(Assumptions!$B$11*12),0)</f>
        <v>123273.80952381</v>
      </c>
      <c r="V30" s="17" t="n">
        <f aca="false">L30-O30-T30-U30</f>
        <v>1237316.19047619</v>
      </c>
      <c r="W30" s="17" t="n">
        <f aca="false">V30</f>
        <v>1237316.19047619</v>
      </c>
      <c r="X30" s="7" t="n">
        <f aca="false">MAX(0,W30)*Assumptions!$B$12</f>
        <v>371194.857142857</v>
      </c>
      <c r="Y30" s="17" t="n">
        <f aca="false">W30-X30</f>
        <v>866121.333333333</v>
      </c>
    </row>
    <row r="31" customFormat="false" ht="15" hidden="false" customHeight="false" outlineLevel="0" collapsed="false">
      <c r="A31" s="21" t="n">
        <v>28</v>
      </c>
      <c r="B31" s="21" t="n">
        <f aca="false">ROUNDUP(A31/12,0)</f>
        <v>3</v>
      </c>
      <c r="C31" s="21" t="n">
        <f aca="false">G30</f>
        <v>153</v>
      </c>
      <c r="D31" s="8" t="n">
        <f aca="false">ROUND(IF(B31=1,Assumptions!$B$31,IF(B31=2,Assumptions!$B$32,Assumptions!$B$33))*MIN(1,A31/6),0)</f>
        <v>15</v>
      </c>
      <c r="E31" s="8" t="n">
        <f aca="false">MAX(0,MIN(ROUND(D31*Assumptions!$B$29,0),Assumptions!$B$5-(C31-F31)))</f>
        <v>9</v>
      </c>
      <c r="F31" s="8" t="n">
        <f aca="false">ROUND(C31*Assumptions!$B$30,0)</f>
        <v>6</v>
      </c>
      <c r="G31" s="8" t="n">
        <f aca="false">MAX(0,MIN(Assumptions!$B$5,C31+E31-F31))</f>
        <v>156</v>
      </c>
      <c r="H31" s="7" t="n">
        <f aca="false">C31*Assumptions!$B$28</f>
        <v>2295000</v>
      </c>
      <c r="I31" s="7" t="n">
        <f aca="false">E31*Assumptions!$B$6</f>
        <v>270000</v>
      </c>
      <c r="J31" s="7" t="n">
        <f aca="false">D31*Assumptions!$B$7</f>
        <v>30000</v>
      </c>
      <c r="K31" s="7" t="n">
        <f aca="false">C31*Assumptions!$B$37</f>
        <v>306000</v>
      </c>
      <c r="L31" s="17" t="n">
        <f aca="false">SUM(H31:K31)</f>
        <v>2901000</v>
      </c>
      <c r="M31" s="7" t="n">
        <f aca="false">K31*Assumptions!$B$8</f>
        <v>198900</v>
      </c>
      <c r="N31" s="7" t="n">
        <f aca="false">L31*Assumptions!$B$9*Assumptions!$B$10</f>
        <v>78327</v>
      </c>
      <c r="O31" s="17" t="n">
        <f aca="false">M31+N31</f>
        <v>277227</v>
      </c>
      <c r="P31" s="7" t="n">
        <f aca="false">Assumptions!$B$13</f>
        <v>400000</v>
      </c>
      <c r="Q31" s="7" t="n">
        <f aca="false">Assumptions!$B$36</f>
        <v>580000</v>
      </c>
      <c r="R31" s="7" t="n">
        <f aca="false">IF(A31&lt;=3,Assumptions!$B$34,Assumptions!$B$35)</f>
        <v>50000</v>
      </c>
      <c r="S31" s="7" t="n">
        <f aca="false">Assumptions!$B$44</f>
        <v>187460</v>
      </c>
      <c r="T31" s="17" t="n">
        <f aca="false">P31+Q31+R31+S31</f>
        <v>1217460</v>
      </c>
      <c r="U31" s="7" t="n">
        <f aca="false">(CAPEX!$B$18+CAPEX!$B$20)/(Assumptions!$B$11*12)+IF(A31&gt;=Assumptions!$B$51,Assumptions!$B$50/(Assumptions!$B$11*12),0)</f>
        <v>123273.80952381</v>
      </c>
      <c r="V31" s="17" t="n">
        <f aca="false">L31-O31-T31-U31</f>
        <v>1283039.19047619</v>
      </c>
      <c r="W31" s="17" t="n">
        <f aca="false">V31</f>
        <v>1283039.19047619</v>
      </c>
      <c r="X31" s="7" t="n">
        <f aca="false">MAX(0,W31)*Assumptions!$B$12</f>
        <v>384911.757142857</v>
      </c>
      <c r="Y31" s="17" t="n">
        <f aca="false">W31-X31</f>
        <v>898127.433333333</v>
      </c>
    </row>
    <row r="32" customFormat="false" ht="15" hidden="false" customHeight="false" outlineLevel="0" collapsed="false">
      <c r="A32" s="21" t="n">
        <v>29</v>
      </c>
      <c r="B32" s="21" t="n">
        <f aca="false">ROUNDUP(A32/12,0)</f>
        <v>3</v>
      </c>
      <c r="C32" s="21" t="n">
        <f aca="false">G31</f>
        <v>156</v>
      </c>
      <c r="D32" s="8" t="n">
        <f aca="false">ROUND(IF(B32=1,Assumptions!$B$31,IF(B32=2,Assumptions!$B$32,Assumptions!$B$33))*MIN(1,A32/6),0)</f>
        <v>15</v>
      </c>
      <c r="E32" s="8" t="n">
        <f aca="false">MAX(0,MIN(ROUND(D32*Assumptions!$B$29,0),Assumptions!$B$5-(C32-F32)))</f>
        <v>9</v>
      </c>
      <c r="F32" s="8" t="n">
        <f aca="false">ROUND(C32*Assumptions!$B$30,0)</f>
        <v>6</v>
      </c>
      <c r="G32" s="8" t="n">
        <f aca="false">MAX(0,MIN(Assumptions!$B$5,C32+E32-F32))</f>
        <v>159</v>
      </c>
      <c r="H32" s="7" t="n">
        <f aca="false">C32*Assumptions!$B$28</f>
        <v>2340000</v>
      </c>
      <c r="I32" s="7" t="n">
        <f aca="false">E32*Assumptions!$B$6</f>
        <v>270000</v>
      </c>
      <c r="J32" s="7" t="n">
        <f aca="false">D32*Assumptions!$B$7</f>
        <v>30000</v>
      </c>
      <c r="K32" s="7" t="n">
        <f aca="false">C32*Assumptions!$B$37</f>
        <v>312000</v>
      </c>
      <c r="L32" s="17" t="n">
        <f aca="false">SUM(H32:K32)</f>
        <v>2952000</v>
      </c>
      <c r="M32" s="7" t="n">
        <f aca="false">K32*Assumptions!$B$8</f>
        <v>202800</v>
      </c>
      <c r="N32" s="7" t="n">
        <f aca="false">L32*Assumptions!$B$9*Assumptions!$B$10</f>
        <v>79704</v>
      </c>
      <c r="O32" s="17" t="n">
        <f aca="false">M32+N32</f>
        <v>282504</v>
      </c>
      <c r="P32" s="7" t="n">
        <f aca="false">Assumptions!$B$13</f>
        <v>400000</v>
      </c>
      <c r="Q32" s="7" t="n">
        <f aca="false">Assumptions!$B$36</f>
        <v>580000</v>
      </c>
      <c r="R32" s="7" t="n">
        <f aca="false">IF(A32&lt;=3,Assumptions!$B$34,Assumptions!$B$35)</f>
        <v>50000</v>
      </c>
      <c r="S32" s="7" t="n">
        <f aca="false">Assumptions!$B$44</f>
        <v>187460</v>
      </c>
      <c r="T32" s="17" t="n">
        <f aca="false">P32+Q32+R32+S32</f>
        <v>1217460</v>
      </c>
      <c r="U32" s="7" t="n">
        <f aca="false">(CAPEX!$B$18+CAPEX!$B$20)/(Assumptions!$B$11*12)+IF(A32&gt;=Assumptions!$B$51,Assumptions!$B$50/(Assumptions!$B$11*12),0)</f>
        <v>123273.80952381</v>
      </c>
      <c r="V32" s="17" t="n">
        <f aca="false">L32-O32-T32-U32</f>
        <v>1328762.19047619</v>
      </c>
      <c r="W32" s="17" t="n">
        <f aca="false">V32</f>
        <v>1328762.19047619</v>
      </c>
      <c r="X32" s="7" t="n">
        <f aca="false">MAX(0,W32)*Assumptions!$B$12</f>
        <v>398628.657142857</v>
      </c>
      <c r="Y32" s="17" t="n">
        <f aca="false">W32-X32</f>
        <v>930133.533333333</v>
      </c>
    </row>
    <row r="33" customFormat="false" ht="15" hidden="false" customHeight="false" outlineLevel="0" collapsed="false">
      <c r="A33" s="21" t="n">
        <v>30</v>
      </c>
      <c r="B33" s="21" t="n">
        <f aca="false">ROUNDUP(A33/12,0)</f>
        <v>3</v>
      </c>
      <c r="C33" s="21" t="n">
        <f aca="false">G32</f>
        <v>159</v>
      </c>
      <c r="D33" s="8" t="n">
        <f aca="false">ROUND(IF(B33=1,Assumptions!$B$31,IF(B33=2,Assumptions!$B$32,Assumptions!$B$33))*MIN(1,A33/6),0)</f>
        <v>15</v>
      </c>
      <c r="E33" s="8" t="n">
        <f aca="false">MAX(0,MIN(ROUND(D33*Assumptions!$B$29,0),Assumptions!$B$5-(C33-F33)))</f>
        <v>9</v>
      </c>
      <c r="F33" s="8" t="n">
        <f aca="false">ROUND(C33*Assumptions!$B$30,0)</f>
        <v>6</v>
      </c>
      <c r="G33" s="8" t="n">
        <f aca="false">MAX(0,MIN(Assumptions!$B$5,C33+E33-F33))</f>
        <v>162</v>
      </c>
      <c r="H33" s="7" t="n">
        <f aca="false">C33*Assumptions!$B$28</f>
        <v>2385000</v>
      </c>
      <c r="I33" s="7" t="n">
        <f aca="false">E33*Assumptions!$B$6</f>
        <v>270000</v>
      </c>
      <c r="J33" s="7" t="n">
        <f aca="false">D33*Assumptions!$B$7</f>
        <v>30000</v>
      </c>
      <c r="K33" s="7" t="n">
        <f aca="false">C33*Assumptions!$B$37</f>
        <v>318000</v>
      </c>
      <c r="L33" s="17" t="n">
        <f aca="false">SUM(H33:K33)</f>
        <v>3003000</v>
      </c>
      <c r="M33" s="7" t="n">
        <f aca="false">K33*Assumptions!$B$8</f>
        <v>206700</v>
      </c>
      <c r="N33" s="7" t="n">
        <f aca="false">L33*Assumptions!$B$9*Assumptions!$B$10</f>
        <v>81081</v>
      </c>
      <c r="O33" s="17" t="n">
        <f aca="false">M33+N33</f>
        <v>287781</v>
      </c>
      <c r="P33" s="7" t="n">
        <f aca="false">Assumptions!$B$13</f>
        <v>400000</v>
      </c>
      <c r="Q33" s="7" t="n">
        <f aca="false">Assumptions!$B$36</f>
        <v>580000</v>
      </c>
      <c r="R33" s="7" t="n">
        <f aca="false">IF(A33&lt;=3,Assumptions!$B$34,Assumptions!$B$35)</f>
        <v>50000</v>
      </c>
      <c r="S33" s="7" t="n">
        <f aca="false">Assumptions!$B$44</f>
        <v>187460</v>
      </c>
      <c r="T33" s="17" t="n">
        <f aca="false">P33+Q33+R33+S33</f>
        <v>1217460</v>
      </c>
      <c r="U33" s="7" t="n">
        <f aca="false">(CAPEX!$B$18+CAPEX!$B$20)/(Assumptions!$B$11*12)+IF(A33&gt;=Assumptions!$B$51,Assumptions!$B$50/(Assumptions!$B$11*12),0)</f>
        <v>123273.80952381</v>
      </c>
      <c r="V33" s="17" t="n">
        <f aca="false">L33-O33-T33-U33</f>
        <v>1374485.19047619</v>
      </c>
      <c r="W33" s="17" t="n">
        <f aca="false">V33</f>
        <v>1374485.19047619</v>
      </c>
      <c r="X33" s="7" t="n">
        <f aca="false">MAX(0,W33)*Assumptions!$B$12</f>
        <v>412345.557142857</v>
      </c>
      <c r="Y33" s="17" t="n">
        <f aca="false">W33-X33</f>
        <v>962139.633333333</v>
      </c>
    </row>
    <row r="34" customFormat="false" ht="15" hidden="false" customHeight="false" outlineLevel="0" collapsed="false">
      <c r="A34" s="21" t="n">
        <v>31</v>
      </c>
      <c r="B34" s="21" t="n">
        <f aca="false">ROUNDUP(A34/12,0)</f>
        <v>3</v>
      </c>
      <c r="C34" s="21" t="n">
        <f aca="false">G33</f>
        <v>162</v>
      </c>
      <c r="D34" s="8" t="n">
        <f aca="false">ROUND(IF(B34=1,Assumptions!$B$31,IF(B34=2,Assumptions!$B$32,Assumptions!$B$33))*MIN(1,A34/6),0)</f>
        <v>15</v>
      </c>
      <c r="E34" s="8" t="n">
        <f aca="false">MAX(0,MIN(ROUND(D34*Assumptions!$B$29,0),Assumptions!$B$5-(C34-F34)))</f>
        <v>9</v>
      </c>
      <c r="F34" s="8" t="n">
        <f aca="false">ROUND(C34*Assumptions!$B$30,0)</f>
        <v>6</v>
      </c>
      <c r="G34" s="8" t="n">
        <f aca="false">MAX(0,MIN(Assumptions!$B$5,C34+E34-F34))</f>
        <v>165</v>
      </c>
      <c r="H34" s="7" t="n">
        <f aca="false">C34*Assumptions!$B$28</f>
        <v>2430000</v>
      </c>
      <c r="I34" s="7" t="n">
        <f aca="false">E34*Assumptions!$B$6</f>
        <v>270000</v>
      </c>
      <c r="J34" s="7" t="n">
        <f aca="false">D34*Assumptions!$B$7</f>
        <v>30000</v>
      </c>
      <c r="K34" s="7" t="n">
        <f aca="false">C34*Assumptions!$B$37</f>
        <v>324000</v>
      </c>
      <c r="L34" s="17" t="n">
        <f aca="false">SUM(H34:K34)</f>
        <v>3054000</v>
      </c>
      <c r="M34" s="7" t="n">
        <f aca="false">K34*Assumptions!$B$8</f>
        <v>210600</v>
      </c>
      <c r="N34" s="7" t="n">
        <f aca="false">L34*Assumptions!$B$9*Assumptions!$B$10</f>
        <v>82458</v>
      </c>
      <c r="O34" s="17" t="n">
        <f aca="false">M34+N34</f>
        <v>293058</v>
      </c>
      <c r="P34" s="7" t="n">
        <f aca="false">Assumptions!$B$13</f>
        <v>400000</v>
      </c>
      <c r="Q34" s="7" t="n">
        <f aca="false">Assumptions!$B$36</f>
        <v>580000</v>
      </c>
      <c r="R34" s="7" t="n">
        <f aca="false">IF(A34&lt;=3,Assumptions!$B$34,Assumptions!$B$35)</f>
        <v>50000</v>
      </c>
      <c r="S34" s="7" t="n">
        <f aca="false">Assumptions!$B$44</f>
        <v>187460</v>
      </c>
      <c r="T34" s="17" t="n">
        <f aca="false">P34+Q34+R34+S34</f>
        <v>1217460</v>
      </c>
      <c r="U34" s="7" t="n">
        <f aca="false">(CAPEX!$B$18+CAPEX!$B$20)/(Assumptions!$B$11*12)+IF(A34&gt;=Assumptions!$B$51,Assumptions!$B$50/(Assumptions!$B$11*12),0)</f>
        <v>123273.80952381</v>
      </c>
      <c r="V34" s="17" t="n">
        <f aca="false">L34-O34-T34-U34</f>
        <v>1420208.19047619</v>
      </c>
      <c r="W34" s="17" t="n">
        <f aca="false">V34</f>
        <v>1420208.19047619</v>
      </c>
      <c r="X34" s="7" t="n">
        <f aca="false">MAX(0,W34)*Assumptions!$B$12</f>
        <v>426062.457142857</v>
      </c>
      <c r="Y34" s="17" t="n">
        <f aca="false">W34-X34</f>
        <v>994145.733333333</v>
      </c>
    </row>
    <row r="35" customFormat="false" ht="15" hidden="false" customHeight="false" outlineLevel="0" collapsed="false">
      <c r="A35" s="21" t="n">
        <v>32</v>
      </c>
      <c r="B35" s="21" t="n">
        <f aca="false">ROUNDUP(A35/12,0)</f>
        <v>3</v>
      </c>
      <c r="C35" s="21" t="n">
        <f aca="false">G34</f>
        <v>165</v>
      </c>
      <c r="D35" s="8" t="n">
        <f aca="false">ROUND(IF(B35=1,Assumptions!$B$31,IF(B35=2,Assumptions!$B$32,Assumptions!$B$33))*MIN(1,A35/6),0)</f>
        <v>15</v>
      </c>
      <c r="E35" s="8" t="n">
        <f aca="false">MAX(0,MIN(ROUND(D35*Assumptions!$B$29,0),Assumptions!$B$5-(C35-F35)))</f>
        <v>9</v>
      </c>
      <c r="F35" s="8" t="n">
        <f aca="false">ROUND(C35*Assumptions!$B$30,0)</f>
        <v>7</v>
      </c>
      <c r="G35" s="8" t="n">
        <f aca="false">MAX(0,MIN(Assumptions!$B$5,C35+E35-F35))</f>
        <v>167</v>
      </c>
      <c r="H35" s="7" t="n">
        <f aca="false">C35*Assumptions!$B$28</f>
        <v>2475000</v>
      </c>
      <c r="I35" s="7" t="n">
        <f aca="false">E35*Assumptions!$B$6</f>
        <v>270000</v>
      </c>
      <c r="J35" s="7" t="n">
        <f aca="false">D35*Assumptions!$B$7</f>
        <v>30000</v>
      </c>
      <c r="K35" s="7" t="n">
        <f aca="false">C35*Assumptions!$B$37</f>
        <v>330000</v>
      </c>
      <c r="L35" s="17" t="n">
        <f aca="false">SUM(H35:K35)</f>
        <v>3105000</v>
      </c>
      <c r="M35" s="7" t="n">
        <f aca="false">K35*Assumptions!$B$8</f>
        <v>214500</v>
      </c>
      <c r="N35" s="7" t="n">
        <f aca="false">L35*Assumptions!$B$9*Assumptions!$B$10</f>
        <v>83835</v>
      </c>
      <c r="O35" s="17" t="n">
        <f aca="false">M35+N35</f>
        <v>298335</v>
      </c>
      <c r="P35" s="7" t="n">
        <f aca="false">Assumptions!$B$13</f>
        <v>400000</v>
      </c>
      <c r="Q35" s="7" t="n">
        <f aca="false">Assumptions!$B$36</f>
        <v>580000</v>
      </c>
      <c r="R35" s="7" t="n">
        <f aca="false">IF(A35&lt;=3,Assumptions!$B$34,Assumptions!$B$35)</f>
        <v>50000</v>
      </c>
      <c r="S35" s="7" t="n">
        <f aca="false">Assumptions!$B$44</f>
        <v>187460</v>
      </c>
      <c r="T35" s="17" t="n">
        <f aca="false">P35+Q35+R35+S35</f>
        <v>1217460</v>
      </c>
      <c r="U35" s="7" t="n">
        <f aca="false">(CAPEX!$B$18+CAPEX!$B$20)/(Assumptions!$B$11*12)+IF(A35&gt;=Assumptions!$B$51,Assumptions!$B$50/(Assumptions!$B$11*12),0)</f>
        <v>123273.80952381</v>
      </c>
      <c r="V35" s="17" t="n">
        <f aca="false">L35-O35-T35-U35</f>
        <v>1465931.19047619</v>
      </c>
      <c r="W35" s="17" t="n">
        <f aca="false">V35</f>
        <v>1465931.19047619</v>
      </c>
      <c r="X35" s="7" t="n">
        <f aca="false">MAX(0,W35)*Assumptions!$B$12</f>
        <v>439779.357142857</v>
      </c>
      <c r="Y35" s="17" t="n">
        <f aca="false">W35-X35</f>
        <v>1026151.83333333</v>
      </c>
    </row>
    <row r="36" customFormat="false" ht="15" hidden="false" customHeight="false" outlineLevel="0" collapsed="false">
      <c r="A36" s="21" t="n">
        <v>33</v>
      </c>
      <c r="B36" s="21" t="n">
        <f aca="false">ROUNDUP(A36/12,0)</f>
        <v>3</v>
      </c>
      <c r="C36" s="21" t="n">
        <f aca="false">G35</f>
        <v>167</v>
      </c>
      <c r="D36" s="8" t="n">
        <f aca="false">ROUND(IF(B36=1,Assumptions!$B$31,IF(B36=2,Assumptions!$B$32,Assumptions!$B$33))*MIN(1,A36/6),0)</f>
        <v>15</v>
      </c>
      <c r="E36" s="8" t="n">
        <f aca="false">MAX(0,MIN(ROUND(D36*Assumptions!$B$29,0),Assumptions!$B$5-(C36-F36)))</f>
        <v>9</v>
      </c>
      <c r="F36" s="8" t="n">
        <f aca="false">ROUND(C36*Assumptions!$B$30,0)</f>
        <v>7</v>
      </c>
      <c r="G36" s="8" t="n">
        <f aca="false">MAX(0,MIN(Assumptions!$B$5,C36+E36-F36))</f>
        <v>169</v>
      </c>
      <c r="H36" s="7" t="n">
        <f aca="false">C36*Assumptions!$B$28</f>
        <v>2505000</v>
      </c>
      <c r="I36" s="7" t="n">
        <f aca="false">E36*Assumptions!$B$6</f>
        <v>270000</v>
      </c>
      <c r="J36" s="7" t="n">
        <f aca="false">D36*Assumptions!$B$7</f>
        <v>30000</v>
      </c>
      <c r="K36" s="7" t="n">
        <f aca="false">C36*Assumptions!$B$37</f>
        <v>334000</v>
      </c>
      <c r="L36" s="17" t="n">
        <f aca="false">SUM(H36:K36)</f>
        <v>3139000</v>
      </c>
      <c r="M36" s="7" t="n">
        <f aca="false">K36*Assumptions!$B$8</f>
        <v>217100</v>
      </c>
      <c r="N36" s="7" t="n">
        <f aca="false">L36*Assumptions!$B$9*Assumptions!$B$10</f>
        <v>84753</v>
      </c>
      <c r="O36" s="17" t="n">
        <f aca="false">M36+N36</f>
        <v>301853</v>
      </c>
      <c r="P36" s="7" t="n">
        <f aca="false">Assumptions!$B$13</f>
        <v>400000</v>
      </c>
      <c r="Q36" s="7" t="n">
        <f aca="false">Assumptions!$B$36</f>
        <v>580000</v>
      </c>
      <c r="R36" s="7" t="n">
        <f aca="false">IF(A36&lt;=3,Assumptions!$B$34,Assumptions!$B$35)</f>
        <v>50000</v>
      </c>
      <c r="S36" s="7" t="n">
        <f aca="false">Assumptions!$B$44</f>
        <v>187460</v>
      </c>
      <c r="T36" s="17" t="n">
        <f aca="false">P36+Q36+R36+S36</f>
        <v>1217460</v>
      </c>
      <c r="U36" s="7" t="n">
        <f aca="false">(CAPEX!$B$18+CAPEX!$B$20)/(Assumptions!$B$11*12)+IF(A36&gt;=Assumptions!$B$51,Assumptions!$B$50/(Assumptions!$B$11*12),0)</f>
        <v>123273.80952381</v>
      </c>
      <c r="V36" s="17" t="n">
        <f aca="false">L36-O36-T36-U36</f>
        <v>1496413.19047619</v>
      </c>
      <c r="W36" s="17" t="n">
        <f aca="false">V36</f>
        <v>1496413.19047619</v>
      </c>
      <c r="X36" s="7" t="n">
        <f aca="false">MAX(0,W36)*Assumptions!$B$12</f>
        <v>448923.957142857</v>
      </c>
      <c r="Y36" s="17" t="n">
        <f aca="false">W36-X36</f>
        <v>1047489.23333333</v>
      </c>
    </row>
    <row r="37" customFormat="false" ht="15" hidden="false" customHeight="false" outlineLevel="0" collapsed="false">
      <c r="A37" s="21" t="n">
        <v>34</v>
      </c>
      <c r="B37" s="21" t="n">
        <f aca="false">ROUNDUP(A37/12,0)</f>
        <v>3</v>
      </c>
      <c r="C37" s="21" t="n">
        <f aca="false">G36</f>
        <v>169</v>
      </c>
      <c r="D37" s="8" t="n">
        <f aca="false">ROUND(IF(B37=1,Assumptions!$B$31,IF(B37=2,Assumptions!$B$32,Assumptions!$B$33))*MIN(1,A37/6),0)</f>
        <v>15</v>
      </c>
      <c r="E37" s="8" t="n">
        <f aca="false">MAX(0,MIN(ROUND(D37*Assumptions!$B$29,0),Assumptions!$B$5-(C37-F37)))</f>
        <v>9</v>
      </c>
      <c r="F37" s="8" t="n">
        <f aca="false">ROUND(C37*Assumptions!$B$30,0)</f>
        <v>7</v>
      </c>
      <c r="G37" s="8" t="n">
        <f aca="false">MAX(0,MIN(Assumptions!$B$5,C37+E37-F37))</f>
        <v>171</v>
      </c>
      <c r="H37" s="7" t="n">
        <f aca="false">C37*Assumptions!$B$28</f>
        <v>2535000</v>
      </c>
      <c r="I37" s="7" t="n">
        <f aca="false">E37*Assumptions!$B$6</f>
        <v>270000</v>
      </c>
      <c r="J37" s="7" t="n">
        <f aca="false">D37*Assumptions!$B$7</f>
        <v>30000</v>
      </c>
      <c r="K37" s="7" t="n">
        <f aca="false">C37*Assumptions!$B$37</f>
        <v>338000</v>
      </c>
      <c r="L37" s="17" t="n">
        <f aca="false">SUM(H37:K37)</f>
        <v>3173000</v>
      </c>
      <c r="M37" s="7" t="n">
        <f aca="false">K37*Assumptions!$B$8</f>
        <v>219700</v>
      </c>
      <c r="N37" s="7" t="n">
        <f aca="false">L37*Assumptions!$B$9*Assumptions!$B$10</f>
        <v>85671</v>
      </c>
      <c r="O37" s="17" t="n">
        <f aca="false">M37+N37</f>
        <v>305371</v>
      </c>
      <c r="P37" s="7" t="n">
        <f aca="false">Assumptions!$B$13</f>
        <v>400000</v>
      </c>
      <c r="Q37" s="7" t="n">
        <f aca="false">Assumptions!$B$36</f>
        <v>580000</v>
      </c>
      <c r="R37" s="7" t="n">
        <f aca="false">IF(A37&lt;=3,Assumptions!$B$34,Assumptions!$B$35)</f>
        <v>50000</v>
      </c>
      <c r="S37" s="7" t="n">
        <f aca="false">Assumptions!$B$44</f>
        <v>187460</v>
      </c>
      <c r="T37" s="17" t="n">
        <f aca="false">P37+Q37+R37+S37</f>
        <v>1217460</v>
      </c>
      <c r="U37" s="7" t="n">
        <f aca="false">(CAPEX!$B$18+CAPEX!$B$20)/(Assumptions!$B$11*12)+IF(A37&gt;=Assumptions!$B$51,Assumptions!$B$50/(Assumptions!$B$11*12),0)</f>
        <v>123273.80952381</v>
      </c>
      <c r="V37" s="17" t="n">
        <f aca="false">L37-O37-T37-U37</f>
        <v>1526895.19047619</v>
      </c>
      <c r="W37" s="17" t="n">
        <f aca="false">V37</f>
        <v>1526895.19047619</v>
      </c>
      <c r="X37" s="7" t="n">
        <f aca="false">MAX(0,W37)*Assumptions!$B$12</f>
        <v>458068.557142857</v>
      </c>
      <c r="Y37" s="17" t="n">
        <f aca="false">W37-X37</f>
        <v>1068826.63333333</v>
      </c>
    </row>
    <row r="38" customFormat="false" ht="15" hidden="false" customHeight="false" outlineLevel="0" collapsed="false">
      <c r="A38" s="21" t="n">
        <v>35</v>
      </c>
      <c r="B38" s="21" t="n">
        <f aca="false">ROUNDUP(A38/12,0)</f>
        <v>3</v>
      </c>
      <c r="C38" s="21" t="n">
        <f aca="false">G37</f>
        <v>171</v>
      </c>
      <c r="D38" s="8" t="n">
        <f aca="false">ROUND(IF(B38=1,Assumptions!$B$31,IF(B38=2,Assumptions!$B$32,Assumptions!$B$33))*MIN(1,A38/6),0)</f>
        <v>15</v>
      </c>
      <c r="E38" s="8" t="n">
        <f aca="false">MAX(0,MIN(ROUND(D38*Assumptions!$B$29,0),Assumptions!$B$5-(C38-F38)))</f>
        <v>9</v>
      </c>
      <c r="F38" s="8" t="n">
        <f aca="false">ROUND(C38*Assumptions!$B$30,0)</f>
        <v>7</v>
      </c>
      <c r="G38" s="8" t="n">
        <f aca="false">MAX(0,MIN(Assumptions!$B$5,C38+E38-F38))</f>
        <v>173</v>
      </c>
      <c r="H38" s="7" t="n">
        <f aca="false">C38*Assumptions!$B$28</f>
        <v>2565000</v>
      </c>
      <c r="I38" s="7" t="n">
        <f aca="false">E38*Assumptions!$B$6</f>
        <v>270000</v>
      </c>
      <c r="J38" s="7" t="n">
        <f aca="false">D38*Assumptions!$B$7</f>
        <v>30000</v>
      </c>
      <c r="K38" s="7" t="n">
        <f aca="false">C38*Assumptions!$B$37</f>
        <v>342000</v>
      </c>
      <c r="L38" s="17" t="n">
        <f aca="false">SUM(H38:K38)</f>
        <v>3207000</v>
      </c>
      <c r="M38" s="7" t="n">
        <f aca="false">K38*Assumptions!$B$8</f>
        <v>222300</v>
      </c>
      <c r="N38" s="7" t="n">
        <f aca="false">L38*Assumptions!$B$9*Assumptions!$B$10</f>
        <v>86589</v>
      </c>
      <c r="O38" s="17" t="n">
        <f aca="false">M38+N38</f>
        <v>308889</v>
      </c>
      <c r="P38" s="7" t="n">
        <f aca="false">Assumptions!$B$13</f>
        <v>400000</v>
      </c>
      <c r="Q38" s="7" t="n">
        <f aca="false">Assumptions!$B$36</f>
        <v>580000</v>
      </c>
      <c r="R38" s="7" t="n">
        <f aca="false">IF(A38&lt;=3,Assumptions!$B$34,Assumptions!$B$35)</f>
        <v>50000</v>
      </c>
      <c r="S38" s="7" t="n">
        <f aca="false">Assumptions!$B$44</f>
        <v>187460</v>
      </c>
      <c r="T38" s="17" t="n">
        <f aca="false">P38+Q38+R38+S38</f>
        <v>1217460</v>
      </c>
      <c r="U38" s="7" t="n">
        <f aca="false">(CAPEX!$B$18+CAPEX!$B$20)/(Assumptions!$B$11*12)+IF(A38&gt;=Assumptions!$B$51,Assumptions!$B$50/(Assumptions!$B$11*12),0)</f>
        <v>123273.80952381</v>
      </c>
      <c r="V38" s="17" t="n">
        <f aca="false">L38-O38-T38-U38</f>
        <v>1557377.19047619</v>
      </c>
      <c r="W38" s="17" t="n">
        <f aca="false">V38</f>
        <v>1557377.19047619</v>
      </c>
      <c r="X38" s="7" t="n">
        <f aca="false">MAX(0,W38)*Assumptions!$B$12</f>
        <v>467213.157142857</v>
      </c>
      <c r="Y38" s="17" t="n">
        <f aca="false">W38-X38</f>
        <v>1090164.03333333</v>
      </c>
    </row>
    <row r="39" customFormat="false" ht="15" hidden="false" customHeight="false" outlineLevel="0" collapsed="false">
      <c r="A39" s="21" t="n">
        <v>36</v>
      </c>
      <c r="B39" s="21" t="n">
        <f aca="false">ROUNDUP(A39/12,0)</f>
        <v>3</v>
      </c>
      <c r="C39" s="21" t="n">
        <f aca="false">G38</f>
        <v>173</v>
      </c>
      <c r="D39" s="8" t="n">
        <f aca="false">ROUND(IF(B39=1,Assumptions!$B$31,IF(B39=2,Assumptions!$B$32,Assumptions!$B$33))*MIN(1,A39/6),0)</f>
        <v>15</v>
      </c>
      <c r="E39" s="8" t="n">
        <f aca="false">MAX(0,MIN(ROUND(D39*Assumptions!$B$29,0),Assumptions!$B$5-(C39-F39)))</f>
        <v>9</v>
      </c>
      <c r="F39" s="8" t="n">
        <f aca="false">ROUND(C39*Assumptions!$B$30,0)</f>
        <v>7</v>
      </c>
      <c r="G39" s="8" t="n">
        <f aca="false">MAX(0,MIN(Assumptions!$B$5,C39+E39-F39))</f>
        <v>175</v>
      </c>
      <c r="H39" s="7" t="n">
        <f aca="false">C39*Assumptions!$B$28</f>
        <v>2595000</v>
      </c>
      <c r="I39" s="7" t="n">
        <f aca="false">E39*Assumptions!$B$6</f>
        <v>270000</v>
      </c>
      <c r="J39" s="7" t="n">
        <f aca="false">D39*Assumptions!$B$7</f>
        <v>30000</v>
      </c>
      <c r="K39" s="7" t="n">
        <f aca="false">C39*Assumptions!$B$37</f>
        <v>346000</v>
      </c>
      <c r="L39" s="17" t="n">
        <f aca="false">SUM(H39:K39)</f>
        <v>3241000</v>
      </c>
      <c r="M39" s="7" t="n">
        <f aca="false">K39*Assumptions!$B$8</f>
        <v>224900</v>
      </c>
      <c r="N39" s="7" t="n">
        <f aca="false">L39*Assumptions!$B$9*Assumptions!$B$10</f>
        <v>87507</v>
      </c>
      <c r="O39" s="17" t="n">
        <f aca="false">M39+N39</f>
        <v>312407</v>
      </c>
      <c r="P39" s="7" t="n">
        <f aca="false">Assumptions!$B$13</f>
        <v>400000</v>
      </c>
      <c r="Q39" s="7" t="n">
        <f aca="false">Assumptions!$B$36</f>
        <v>580000</v>
      </c>
      <c r="R39" s="7" t="n">
        <f aca="false">IF(A39&lt;=3,Assumptions!$B$34,Assumptions!$B$35)</f>
        <v>50000</v>
      </c>
      <c r="S39" s="7" t="n">
        <f aca="false">Assumptions!$B$44</f>
        <v>187460</v>
      </c>
      <c r="T39" s="17" t="n">
        <f aca="false">P39+Q39+R39+S39</f>
        <v>1217460</v>
      </c>
      <c r="U39" s="7" t="n">
        <f aca="false">(CAPEX!$B$18+CAPEX!$B$20)/(Assumptions!$B$11*12)+IF(A39&gt;=Assumptions!$B$51,Assumptions!$B$50/(Assumptions!$B$11*12),0)</f>
        <v>123273.80952381</v>
      </c>
      <c r="V39" s="17" t="n">
        <f aca="false">L39-O39-T39-U39</f>
        <v>1587859.19047619</v>
      </c>
      <c r="W39" s="17" t="n">
        <f aca="false">V39</f>
        <v>1587859.19047619</v>
      </c>
      <c r="X39" s="7" t="n">
        <f aca="false">MAX(0,W39)*Assumptions!$B$12</f>
        <v>476357.757142857</v>
      </c>
      <c r="Y39" s="17" t="n">
        <f aca="false">W39-X39</f>
        <v>1111501.43333333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4" min="3" style="0" width="11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3" t="s">
        <v>179</v>
      </c>
    </row>
    <row r="2" customFormat="false" ht="15" hidden="false" customHeight="false" outlineLevel="0" collapsed="false">
      <c r="A2" s="4" t="s">
        <v>180</v>
      </c>
    </row>
    <row r="3" customFormat="false" ht="32.8" hidden="false" customHeight="false" outlineLevel="0" collapsed="false">
      <c r="A3" s="10" t="s">
        <v>160</v>
      </c>
      <c r="B3" s="10" t="s">
        <v>181</v>
      </c>
      <c r="C3" s="10" t="s">
        <v>182</v>
      </c>
      <c r="D3" s="10" t="s">
        <v>183</v>
      </c>
      <c r="E3" s="10" t="s">
        <v>184</v>
      </c>
      <c r="F3" s="10" t="s">
        <v>185</v>
      </c>
      <c r="G3" s="10" t="s">
        <v>186</v>
      </c>
      <c r="H3" s="10" t="s">
        <v>187</v>
      </c>
      <c r="I3" s="10" t="s">
        <v>188</v>
      </c>
    </row>
    <row r="4" customFormat="false" ht="15" hidden="false" customHeight="false" outlineLevel="0" collapsed="false">
      <c r="A4" s="31" t="n">
        <v>0</v>
      </c>
      <c r="B4" s="31" t="n">
        <v>0</v>
      </c>
      <c r="C4" s="7" t="n">
        <f aca="false">-CAPEX!$B$21</f>
        <v>-12355000</v>
      </c>
      <c r="D4" s="7" t="n">
        <f aca="false">Assumptions!$B$24+Assumptions!$B$25</f>
        <v>15000000</v>
      </c>
      <c r="E4" s="31" t="n">
        <v>0</v>
      </c>
      <c r="F4" s="31" t="n">
        <f aca="false">B4+C4+D4+E4</f>
        <v>2645000</v>
      </c>
      <c r="G4" s="31" t="n">
        <f aca="false">F4</f>
        <v>2645000</v>
      </c>
      <c r="H4" s="31" t="n">
        <v>0</v>
      </c>
      <c r="I4" s="31" t="n">
        <v>9999</v>
      </c>
    </row>
    <row r="5" customFormat="false" ht="15" hidden="false" customHeight="false" outlineLevel="0" collapsed="false">
      <c r="A5" s="32" t="n">
        <v>1</v>
      </c>
      <c r="B5" s="7" t="n">
        <f aca="false">Monthly_PL!$Y4+Monthly_PL!$U4</f>
        <v>-746012</v>
      </c>
      <c r="C5" s="7" t="n">
        <f aca="false">IF(A5=Assumptions!$B$51,-Assumptions!$B$50,0)</f>
        <v>0</v>
      </c>
      <c r="D5" s="31" t="n">
        <v>0</v>
      </c>
      <c r="E5" s="7" t="n">
        <f aca="false">Assumptions!$B$47*Assumptions!$B$48*Assumptions!$B$28*(Monthly_PL!$G$4-0)</f>
        <v>697500</v>
      </c>
      <c r="F5" s="31" t="n">
        <f aca="false">B5+C5+D5+E5</f>
        <v>-48512</v>
      </c>
      <c r="G5" s="31" t="n">
        <f aca="false">G4+F5</f>
        <v>2596488</v>
      </c>
      <c r="H5" s="31" t="n">
        <f aca="false">SUM($B$5:B5)</f>
        <v>-746012</v>
      </c>
      <c r="I5" s="31" t="n">
        <f aca="false">IF(H5&gt;=CAPEX!$B$21,A5,9999)</f>
        <v>9999</v>
      </c>
    </row>
    <row r="6" customFormat="false" ht="15" hidden="false" customHeight="false" outlineLevel="0" collapsed="false">
      <c r="A6" s="32" t="n">
        <v>2</v>
      </c>
      <c r="B6" s="7" t="n">
        <f aca="false">Monthly_PL!$Y5+Monthly_PL!$U5</f>
        <v>-697689</v>
      </c>
      <c r="C6" s="7" t="n">
        <f aca="false">IF(A6=Assumptions!$B$51,-Assumptions!$B$50,0)</f>
        <v>0</v>
      </c>
      <c r="D6" s="31" t="n">
        <v>0</v>
      </c>
      <c r="E6" s="7" t="n">
        <f aca="false">Assumptions!$B$47*Assumptions!$B$48*Assumptions!$B$28*(Monthly_PL!$G$5-Monthly_PL!$G$4)</f>
        <v>45000</v>
      </c>
      <c r="F6" s="31" t="n">
        <f aca="false">B6+C6+D6+E6</f>
        <v>-652689</v>
      </c>
      <c r="G6" s="31" t="n">
        <f aca="false">G5+F6</f>
        <v>1943799</v>
      </c>
      <c r="H6" s="31" t="n">
        <f aca="false">SUM($B$5:B6)</f>
        <v>-1443701</v>
      </c>
      <c r="I6" s="31" t="n">
        <f aca="false">IF(H6&gt;=CAPEX!$B$21,A6,9999)</f>
        <v>9999</v>
      </c>
    </row>
    <row r="7" customFormat="false" ht="15" hidden="false" customHeight="false" outlineLevel="0" collapsed="false">
      <c r="A7" s="32" t="n">
        <v>3</v>
      </c>
      <c r="B7" s="7" t="n">
        <f aca="false">Monthly_PL!$Y6+Monthly_PL!$U6</f>
        <v>-602989</v>
      </c>
      <c r="C7" s="7" t="n">
        <f aca="false">IF(A7=Assumptions!$B$51,-Assumptions!$B$50,0)</f>
        <v>0</v>
      </c>
      <c r="D7" s="31" t="n">
        <v>0</v>
      </c>
      <c r="E7" s="7" t="n">
        <f aca="false">Assumptions!$B$47*Assumptions!$B$48*Assumptions!$B$28*(Monthly_PL!$G$6-Monthly_PL!$G$5)</f>
        <v>90000</v>
      </c>
      <c r="F7" s="31" t="n">
        <f aca="false">B7+C7+D7+E7</f>
        <v>-512989</v>
      </c>
      <c r="G7" s="31" t="n">
        <f aca="false">G6+F7</f>
        <v>1430810</v>
      </c>
      <c r="H7" s="31" t="n">
        <f aca="false">SUM($B$5:B7)</f>
        <v>-2046690</v>
      </c>
      <c r="I7" s="31" t="n">
        <f aca="false">IF(H7&gt;=CAPEX!$B$21,A7,9999)</f>
        <v>9999</v>
      </c>
    </row>
    <row r="8" customFormat="false" ht="15" hidden="false" customHeight="false" outlineLevel="0" collapsed="false">
      <c r="A8" s="32" t="n">
        <v>4</v>
      </c>
      <c r="B8" s="7" t="n">
        <f aca="false">Monthly_PL!$Y7+Monthly_PL!$U7</f>
        <v>-458943</v>
      </c>
      <c r="C8" s="7" t="n">
        <f aca="false">IF(A8=Assumptions!$B$51,-Assumptions!$B$50,0)</f>
        <v>0</v>
      </c>
      <c r="D8" s="31" t="n">
        <v>0</v>
      </c>
      <c r="E8" s="7" t="n">
        <f aca="false">Assumptions!$B$47*Assumptions!$B$48*Assumptions!$B$28*(Monthly_PL!$G$7-Monthly_PL!$G$6)</f>
        <v>112500</v>
      </c>
      <c r="F8" s="31" t="n">
        <f aca="false">B8+C8+D8+E8</f>
        <v>-346443</v>
      </c>
      <c r="G8" s="31" t="n">
        <f aca="false">G7+F8</f>
        <v>1084367</v>
      </c>
      <c r="H8" s="31" t="n">
        <f aca="false">SUM($B$5:B8)</f>
        <v>-2505633</v>
      </c>
      <c r="I8" s="31" t="n">
        <f aca="false">IF(H8&gt;=CAPEX!$B$21,A8,9999)</f>
        <v>9999</v>
      </c>
    </row>
    <row r="9" customFormat="false" ht="15" hidden="false" customHeight="false" outlineLevel="0" collapsed="false">
      <c r="A9" s="32" t="n">
        <v>5</v>
      </c>
      <c r="B9" s="7" t="n">
        <f aca="false">Monthly_PL!$Y8+Monthly_PL!$U8</f>
        <v>-318520</v>
      </c>
      <c r="C9" s="7" t="n">
        <f aca="false">IF(A9=Assumptions!$B$51,-Assumptions!$B$50,0)</f>
        <v>0</v>
      </c>
      <c r="D9" s="31" t="n">
        <v>0</v>
      </c>
      <c r="E9" s="7" t="n">
        <f aca="false">Assumptions!$B$47*Assumptions!$B$48*Assumptions!$B$28*(Monthly_PL!$G$8-Monthly_PL!$G$7)</f>
        <v>135000</v>
      </c>
      <c r="F9" s="31" t="n">
        <f aca="false">B9+C9+D9+E9</f>
        <v>-183520</v>
      </c>
      <c r="G9" s="31" t="n">
        <f aca="false">G8+F9</f>
        <v>900847</v>
      </c>
      <c r="H9" s="31" t="n">
        <f aca="false">SUM($B$5:B9)</f>
        <v>-2824153</v>
      </c>
      <c r="I9" s="31" t="n">
        <f aca="false">IF(H9&gt;=CAPEX!$B$21,A9,9999)</f>
        <v>9999</v>
      </c>
    </row>
    <row r="10" customFormat="false" ht="15" hidden="false" customHeight="false" outlineLevel="0" collapsed="false">
      <c r="A10" s="32" t="n">
        <v>6</v>
      </c>
      <c r="B10" s="7" t="n">
        <f aca="false">Monthly_PL!$Y9+Monthly_PL!$U9</f>
        <v>-193992</v>
      </c>
      <c r="C10" s="7" t="n">
        <f aca="false">IF(A10=Assumptions!$B$51,-Assumptions!$B$50,0)</f>
        <v>-400000</v>
      </c>
      <c r="D10" s="31" t="n">
        <v>0</v>
      </c>
      <c r="E10" s="7" t="n">
        <f aca="false">Assumptions!$B$47*Assumptions!$B$48*Assumptions!$B$28*(Monthly_PL!$G$9-Monthly_PL!$G$8)</f>
        <v>157500</v>
      </c>
      <c r="F10" s="31" t="n">
        <f aca="false">B10+C10+D10+E10</f>
        <v>-436492</v>
      </c>
      <c r="G10" s="31" t="n">
        <f aca="false">G9+F10</f>
        <v>464355</v>
      </c>
      <c r="H10" s="31" t="n">
        <f aca="false">SUM($B$5:B10)</f>
        <v>-3018145</v>
      </c>
      <c r="I10" s="31" t="n">
        <f aca="false">IF(H10&gt;=CAPEX!$B$21,A10,9999)</f>
        <v>9999</v>
      </c>
    </row>
    <row r="11" customFormat="false" ht="15" hidden="false" customHeight="false" outlineLevel="0" collapsed="false">
      <c r="A11" s="32" t="n">
        <v>7</v>
      </c>
      <c r="B11" s="7" t="n">
        <f aca="false">Monthly_PL!$Y10+Monthly_PL!$U10</f>
        <v>-87305</v>
      </c>
      <c r="C11" s="7" t="n">
        <f aca="false">IF(A11=Assumptions!$B$51,-Assumptions!$B$50,0)</f>
        <v>0</v>
      </c>
      <c r="D11" s="31" t="n">
        <v>0</v>
      </c>
      <c r="E11" s="7" t="n">
        <f aca="false">Assumptions!$B$47*Assumptions!$B$48*Assumptions!$B$28*(Monthly_PL!$G$10-Monthly_PL!$G$9)</f>
        <v>157500</v>
      </c>
      <c r="F11" s="31" t="n">
        <f aca="false">B11+C11+D11+E11</f>
        <v>70195</v>
      </c>
      <c r="G11" s="31" t="n">
        <f aca="false">G10+F11</f>
        <v>534550</v>
      </c>
      <c r="H11" s="31" t="n">
        <f aca="false">SUM($B$5:B11)</f>
        <v>-3105450</v>
      </c>
      <c r="I11" s="31" t="n">
        <f aca="false">IF(H11&gt;=CAPEX!$B$21,A11,9999)</f>
        <v>9999</v>
      </c>
    </row>
    <row r="12" customFormat="false" ht="15" hidden="false" customHeight="false" outlineLevel="0" collapsed="false">
      <c r="A12" s="32" t="n">
        <v>8</v>
      </c>
      <c r="B12" s="7" t="n">
        <f aca="false">Monthly_PL!$Y11+Monthly_PL!$U11</f>
        <v>19382</v>
      </c>
      <c r="C12" s="7" t="n">
        <f aca="false">IF(A12=Assumptions!$B$51,-Assumptions!$B$50,0)</f>
        <v>0</v>
      </c>
      <c r="D12" s="31" t="n">
        <v>0</v>
      </c>
      <c r="E12" s="7" t="n">
        <f aca="false">Assumptions!$B$47*Assumptions!$B$48*Assumptions!$B$28*(Monthly_PL!$G$11-Monthly_PL!$G$10)</f>
        <v>157500</v>
      </c>
      <c r="F12" s="31" t="n">
        <f aca="false">B12+C12+D12+E12</f>
        <v>176882</v>
      </c>
      <c r="G12" s="31" t="n">
        <f aca="false">G11+F12</f>
        <v>711432</v>
      </c>
      <c r="H12" s="31" t="n">
        <f aca="false">SUM($B$5:B12)</f>
        <v>-3086068</v>
      </c>
      <c r="I12" s="31" t="n">
        <f aca="false">IF(H12&gt;=CAPEX!$B$21,A12,9999)</f>
        <v>9999</v>
      </c>
    </row>
    <row r="13" customFormat="false" ht="15" hidden="false" customHeight="false" outlineLevel="0" collapsed="false">
      <c r="A13" s="32" t="n">
        <v>9</v>
      </c>
      <c r="B13" s="7" t="n">
        <f aca="false">Monthly_PL!$Y12+Monthly_PL!$U12</f>
        <v>125230.442857143</v>
      </c>
      <c r="C13" s="7" t="n">
        <f aca="false">IF(A13=Assumptions!$B$51,-Assumptions!$B$50,0)</f>
        <v>0</v>
      </c>
      <c r="D13" s="31" t="n">
        <v>0</v>
      </c>
      <c r="E13" s="7" t="n">
        <f aca="false">Assumptions!$B$47*Assumptions!$B$48*Assumptions!$B$28*(Monthly_PL!$G$12-Monthly_PL!$G$11)</f>
        <v>135000</v>
      </c>
      <c r="F13" s="31" t="n">
        <f aca="false">B13+C13+D13+E13</f>
        <v>260230.442857143</v>
      </c>
      <c r="G13" s="31" t="n">
        <f aca="false">G12+F13</f>
        <v>971662.442857143</v>
      </c>
      <c r="H13" s="31" t="n">
        <f aca="false">SUM($B$5:B13)</f>
        <v>-2960837.55714286</v>
      </c>
      <c r="I13" s="31" t="n">
        <f aca="false">IF(H13&gt;=CAPEX!$B$21,A13,9999)</f>
        <v>9999</v>
      </c>
    </row>
    <row r="14" customFormat="false" ht="15" hidden="false" customHeight="false" outlineLevel="0" collapsed="false">
      <c r="A14" s="32" t="n">
        <v>10</v>
      </c>
      <c r="B14" s="7" t="n">
        <f aca="false">Monthly_PL!$Y13+Monthly_PL!$U13</f>
        <v>189242.642857143</v>
      </c>
      <c r="C14" s="7" t="n">
        <f aca="false">IF(A14=Assumptions!$B$51,-Assumptions!$B$50,0)</f>
        <v>0</v>
      </c>
      <c r="D14" s="31" t="n">
        <v>0</v>
      </c>
      <c r="E14" s="7" t="n">
        <f aca="false">Assumptions!$B$47*Assumptions!$B$48*Assumptions!$B$28*(Monthly_PL!$G$13-Monthly_PL!$G$12)</f>
        <v>135000</v>
      </c>
      <c r="F14" s="31" t="n">
        <f aca="false">B14+C14+D14+E14</f>
        <v>324242.642857143</v>
      </c>
      <c r="G14" s="31" t="n">
        <f aca="false">G13+F14</f>
        <v>1295905.08571429</v>
      </c>
      <c r="H14" s="31" t="n">
        <f aca="false">SUM($B$5:B14)</f>
        <v>-2771594.91428571</v>
      </c>
      <c r="I14" s="31" t="n">
        <f aca="false">IF(H14&gt;=CAPEX!$B$21,A14,9999)</f>
        <v>9999</v>
      </c>
    </row>
    <row r="15" customFormat="false" ht="15" hidden="false" customHeight="false" outlineLevel="0" collapsed="false">
      <c r="A15" s="32" t="n">
        <v>11</v>
      </c>
      <c r="B15" s="7" t="n">
        <f aca="false">Monthly_PL!$Y14+Monthly_PL!$U14</f>
        <v>253254.842857143</v>
      </c>
      <c r="C15" s="7" t="n">
        <f aca="false">IF(A15=Assumptions!$B$51,-Assumptions!$B$50,0)</f>
        <v>0</v>
      </c>
      <c r="D15" s="31" t="n">
        <v>0</v>
      </c>
      <c r="E15" s="7" t="n">
        <f aca="false">Assumptions!$B$47*Assumptions!$B$48*Assumptions!$B$28*(Monthly_PL!$G$14-Monthly_PL!$G$13)</f>
        <v>135000</v>
      </c>
      <c r="F15" s="31" t="n">
        <f aca="false">B15+C15+D15+E15</f>
        <v>388254.842857143</v>
      </c>
      <c r="G15" s="31" t="n">
        <f aca="false">G14+F15</f>
        <v>1684159.92857143</v>
      </c>
      <c r="H15" s="31" t="n">
        <f aca="false">SUM($B$5:B15)</f>
        <v>-2518340.07142857</v>
      </c>
      <c r="I15" s="31" t="n">
        <f aca="false">IF(H15&gt;=CAPEX!$B$21,A15,9999)</f>
        <v>9999</v>
      </c>
    </row>
    <row r="16" customFormat="false" ht="15" hidden="false" customHeight="false" outlineLevel="0" collapsed="false">
      <c r="A16" s="32" t="n">
        <v>12</v>
      </c>
      <c r="B16" s="7" t="n">
        <f aca="false">Monthly_PL!$Y15+Monthly_PL!$U15</f>
        <v>317267.042857143</v>
      </c>
      <c r="C16" s="7" t="n">
        <f aca="false">IF(A16=Assumptions!$B$51,-Assumptions!$B$50,0)</f>
        <v>0</v>
      </c>
      <c r="D16" s="31" t="n">
        <v>0</v>
      </c>
      <c r="E16" s="7" t="n">
        <f aca="false">Assumptions!$B$47*Assumptions!$B$48*Assumptions!$B$28*(Monthly_PL!$G$15-Monthly_PL!$G$14)</f>
        <v>135000</v>
      </c>
      <c r="F16" s="31" t="n">
        <f aca="false">B16+C16+D16+E16</f>
        <v>452267.042857143</v>
      </c>
      <c r="G16" s="31" t="n">
        <f aca="false">G15+F16</f>
        <v>2136426.97142857</v>
      </c>
      <c r="H16" s="31" t="n">
        <f aca="false">SUM($B$5:B16)</f>
        <v>-2201073.02857143</v>
      </c>
      <c r="I16" s="31" t="n">
        <f aca="false">IF(H16&gt;=CAPEX!$B$21,A16,9999)</f>
        <v>9999</v>
      </c>
    </row>
    <row r="17" customFormat="false" ht="15" hidden="false" customHeight="false" outlineLevel="0" collapsed="false">
      <c r="A17" s="32" t="n">
        <v>13</v>
      </c>
      <c r="B17" s="7" t="n">
        <f aca="false">Monthly_PL!$Y16+Monthly_PL!$U16</f>
        <v>381279.242857143</v>
      </c>
      <c r="C17" s="7" t="n">
        <f aca="false">IF(A17=Assumptions!$B$51,-Assumptions!$B$50,0)</f>
        <v>0</v>
      </c>
      <c r="D17" s="31" t="n">
        <v>0</v>
      </c>
      <c r="E17" s="7" t="n">
        <f aca="false">Assumptions!$B$47*Assumptions!$B$48*Assumptions!$B$28*(Monthly_PL!$G$16-Monthly_PL!$G$15)</f>
        <v>112500</v>
      </c>
      <c r="F17" s="31" t="n">
        <f aca="false">B17+C17+D17+E17</f>
        <v>493779.242857143</v>
      </c>
      <c r="G17" s="31" t="n">
        <f aca="false">G16+F17</f>
        <v>2630206.21428571</v>
      </c>
      <c r="H17" s="31" t="n">
        <f aca="false">SUM($B$5:B17)</f>
        <v>-1819793.78571429</v>
      </c>
      <c r="I17" s="31" t="n">
        <f aca="false">IF(H17&gt;=CAPEX!$B$21,A17,9999)</f>
        <v>9999</v>
      </c>
    </row>
    <row r="18" customFormat="false" ht="15" hidden="false" customHeight="false" outlineLevel="0" collapsed="false">
      <c r="A18" s="32" t="n">
        <v>14</v>
      </c>
      <c r="B18" s="7" t="n">
        <f aca="false">Monthly_PL!$Y17+Monthly_PL!$U17</f>
        <v>434622.742857143</v>
      </c>
      <c r="C18" s="7" t="n">
        <f aca="false">IF(A18=Assumptions!$B$51,-Assumptions!$B$50,0)</f>
        <v>0</v>
      </c>
      <c r="D18" s="31" t="n">
        <v>0</v>
      </c>
      <c r="E18" s="7" t="n">
        <f aca="false">Assumptions!$B$47*Assumptions!$B$48*Assumptions!$B$28*(Monthly_PL!$G$17-Monthly_PL!$G$16)</f>
        <v>112500</v>
      </c>
      <c r="F18" s="31" t="n">
        <f aca="false">B18+C18+D18+E18</f>
        <v>547122.742857143</v>
      </c>
      <c r="G18" s="31" t="n">
        <f aca="false">G17+F18</f>
        <v>3177328.95714286</v>
      </c>
      <c r="H18" s="31" t="n">
        <f aca="false">SUM($B$5:B18)</f>
        <v>-1385171.04285714</v>
      </c>
      <c r="I18" s="31" t="n">
        <f aca="false">IF(H18&gt;=CAPEX!$B$21,A18,9999)</f>
        <v>9999</v>
      </c>
    </row>
    <row r="19" customFormat="false" ht="15" hidden="false" customHeight="false" outlineLevel="0" collapsed="false">
      <c r="A19" s="32" t="n">
        <v>15</v>
      </c>
      <c r="B19" s="7" t="n">
        <f aca="false">Monthly_PL!$Y18+Monthly_PL!$U18</f>
        <v>487966.242857143</v>
      </c>
      <c r="C19" s="7" t="n">
        <f aca="false">IF(A19=Assumptions!$B$51,-Assumptions!$B$50,0)</f>
        <v>0</v>
      </c>
      <c r="D19" s="31" t="n">
        <v>0</v>
      </c>
      <c r="E19" s="7" t="n">
        <f aca="false">Assumptions!$B$47*Assumptions!$B$48*Assumptions!$B$28*(Monthly_PL!$G$18-Monthly_PL!$G$17)</f>
        <v>112500</v>
      </c>
      <c r="F19" s="31" t="n">
        <f aca="false">B19+C19+D19+E19</f>
        <v>600466.242857143</v>
      </c>
      <c r="G19" s="31" t="n">
        <f aca="false">G18+F19</f>
        <v>3777795.2</v>
      </c>
      <c r="H19" s="31" t="n">
        <f aca="false">SUM($B$5:B19)</f>
        <v>-897204.8</v>
      </c>
      <c r="I19" s="31" t="n">
        <f aca="false">IF(H19&gt;=CAPEX!$B$21,A19,9999)</f>
        <v>9999</v>
      </c>
    </row>
    <row r="20" customFormat="false" ht="15" hidden="false" customHeight="false" outlineLevel="0" collapsed="false">
      <c r="A20" s="32" t="n">
        <v>16</v>
      </c>
      <c r="B20" s="7" t="n">
        <f aca="false">Monthly_PL!$Y19+Monthly_PL!$U19</f>
        <v>541309.742857143</v>
      </c>
      <c r="C20" s="7" t="n">
        <f aca="false">IF(A20=Assumptions!$B$51,-Assumptions!$B$50,0)</f>
        <v>0</v>
      </c>
      <c r="D20" s="31" t="n">
        <v>0</v>
      </c>
      <c r="E20" s="7" t="n">
        <f aca="false">Assumptions!$B$47*Assumptions!$B$48*Assumptions!$B$28*(Monthly_PL!$G$19-Monthly_PL!$G$18)</f>
        <v>112500</v>
      </c>
      <c r="F20" s="31" t="n">
        <f aca="false">B20+C20+D20+E20</f>
        <v>653809.742857143</v>
      </c>
      <c r="G20" s="31" t="n">
        <f aca="false">G19+F20</f>
        <v>4431604.94285714</v>
      </c>
      <c r="H20" s="31" t="n">
        <f aca="false">SUM($B$5:B20)</f>
        <v>-355895.057142857</v>
      </c>
      <c r="I20" s="31" t="n">
        <f aca="false">IF(H20&gt;=CAPEX!$B$21,A20,9999)</f>
        <v>9999</v>
      </c>
    </row>
    <row r="21" customFormat="false" ht="15" hidden="false" customHeight="false" outlineLevel="0" collapsed="false">
      <c r="A21" s="32" t="n">
        <v>17</v>
      </c>
      <c r="B21" s="7" t="n">
        <f aca="false">Monthly_PL!$Y20+Monthly_PL!$U20</f>
        <v>594653.242857143</v>
      </c>
      <c r="C21" s="7" t="n">
        <f aca="false">IF(A21=Assumptions!$B$51,-Assumptions!$B$50,0)</f>
        <v>0</v>
      </c>
      <c r="D21" s="31" t="n">
        <v>0</v>
      </c>
      <c r="E21" s="7" t="n">
        <f aca="false">Assumptions!$B$47*Assumptions!$B$48*Assumptions!$B$28*(Monthly_PL!$G$20-Monthly_PL!$G$19)</f>
        <v>90000</v>
      </c>
      <c r="F21" s="31" t="n">
        <f aca="false">B21+C21+D21+E21</f>
        <v>684653.242857143</v>
      </c>
      <c r="G21" s="31" t="n">
        <f aca="false">G20+F21</f>
        <v>5116258.18571429</v>
      </c>
      <c r="H21" s="31" t="n">
        <f aca="false">SUM($B$5:B21)</f>
        <v>238758.185714286</v>
      </c>
      <c r="I21" s="31" t="n">
        <f aca="false">IF(H21&gt;=CAPEX!$B$21,A21,9999)</f>
        <v>9999</v>
      </c>
    </row>
    <row r="22" customFormat="false" ht="15" hidden="false" customHeight="false" outlineLevel="0" collapsed="false">
      <c r="A22" s="32" t="n">
        <v>18</v>
      </c>
      <c r="B22" s="7" t="n">
        <f aca="false">Monthly_PL!$Y21+Monthly_PL!$U21</f>
        <v>637328.042857143</v>
      </c>
      <c r="C22" s="7" t="n">
        <f aca="false">IF(A22=Assumptions!$B$51,-Assumptions!$B$50,0)</f>
        <v>0</v>
      </c>
      <c r="D22" s="31" t="n">
        <v>0</v>
      </c>
      <c r="E22" s="7" t="n">
        <f aca="false">Assumptions!$B$47*Assumptions!$B$48*Assumptions!$B$28*(Monthly_PL!$G$21-Monthly_PL!$G$20)</f>
        <v>90000</v>
      </c>
      <c r="F22" s="31" t="n">
        <f aca="false">B22+C22+D22+E22</f>
        <v>727328.042857143</v>
      </c>
      <c r="G22" s="31" t="n">
        <f aca="false">G21+F22</f>
        <v>5843586.22857143</v>
      </c>
      <c r="H22" s="31" t="n">
        <f aca="false">SUM($B$5:B22)</f>
        <v>876086.228571429</v>
      </c>
      <c r="I22" s="31" t="n">
        <f aca="false">IF(H22&gt;=CAPEX!$B$21,A22,9999)</f>
        <v>9999</v>
      </c>
    </row>
    <row r="23" customFormat="false" ht="15" hidden="false" customHeight="false" outlineLevel="0" collapsed="false">
      <c r="A23" s="32" t="n">
        <v>19</v>
      </c>
      <c r="B23" s="7" t="n">
        <f aca="false">Monthly_PL!$Y22+Monthly_PL!$U22</f>
        <v>680002.842857143</v>
      </c>
      <c r="C23" s="7" t="n">
        <f aca="false">IF(A23=Assumptions!$B$51,-Assumptions!$B$50,0)</f>
        <v>0</v>
      </c>
      <c r="D23" s="31" t="n">
        <v>0</v>
      </c>
      <c r="E23" s="7" t="n">
        <f aca="false">Assumptions!$B$47*Assumptions!$B$48*Assumptions!$B$28*(Monthly_PL!$G$22-Monthly_PL!$G$21)</f>
        <v>90000</v>
      </c>
      <c r="F23" s="31" t="n">
        <f aca="false">B23+C23+D23+E23</f>
        <v>770002.842857143</v>
      </c>
      <c r="G23" s="31" t="n">
        <f aca="false">G22+F23</f>
        <v>6613589.07142857</v>
      </c>
      <c r="H23" s="31" t="n">
        <f aca="false">SUM($B$5:B23)</f>
        <v>1556089.07142857</v>
      </c>
      <c r="I23" s="31" t="n">
        <f aca="false">IF(H23&gt;=CAPEX!$B$21,A23,9999)</f>
        <v>9999</v>
      </c>
    </row>
    <row r="24" customFormat="false" ht="15" hidden="false" customHeight="false" outlineLevel="0" collapsed="false">
      <c r="A24" s="32" t="n">
        <v>20</v>
      </c>
      <c r="B24" s="7" t="n">
        <f aca="false">Monthly_PL!$Y23+Monthly_PL!$U23</f>
        <v>722677.642857143</v>
      </c>
      <c r="C24" s="7" t="n">
        <f aca="false">IF(A24=Assumptions!$B$51,-Assumptions!$B$50,0)</f>
        <v>0</v>
      </c>
      <c r="D24" s="31" t="n">
        <v>0</v>
      </c>
      <c r="E24" s="7" t="n">
        <f aca="false">Assumptions!$B$47*Assumptions!$B$48*Assumptions!$B$28*(Monthly_PL!$G$23-Monthly_PL!$G$22)</f>
        <v>90000</v>
      </c>
      <c r="F24" s="31" t="n">
        <f aca="false">B24+C24+D24+E24</f>
        <v>812677.642857143</v>
      </c>
      <c r="G24" s="31" t="n">
        <f aca="false">G23+F24</f>
        <v>7426266.71428572</v>
      </c>
      <c r="H24" s="31" t="n">
        <f aca="false">SUM($B$5:B24)</f>
        <v>2278766.71428571</v>
      </c>
      <c r="I24" s="31" t="n">
        <f aca="false">IF(H24&gt;=CAPEX!$B$21,A24,9999)</f>
        <v>9999</v>
      </c>
    </row>
    <row r="25" customFormat="false" ht="15" hidden="false" customHeight="false" outlineLevel="0" collapsed="false">
      <c r="A25" s="32" t="n">
        <v>21</v>
      </c>
      <c r="B25" s="7" t="n">
        <f aca="false">Monthly_PL!$Y24+Monthly_PL!$U24</f>
        <v>765352.442857143</v>
      </c>
      <c r="C25" s="7" t="n">
        <f aca="false">IF(A25=Assumptions!$B$51,-Assumptions!$B$50,0)</f>
        <v>0</v>
      </c>
      <c r="D25" s="31" t="n">
        <v>0</v>
      </c>
      <c r="E25" s="7" t="n">
        <f aca="false">Assumptions!$B$47*Assumptions!$B$48*Assumptions!$B$28*(Monthly_PL!$G$24-Monthly_PL!$G$23)</f>
        <v>90000</v>
      </c>
      <c r="F25" s="31" t="n">
        <f aca="false">B25+C25+D25+E25</f>
        <v>855352.442857143</v>
      </c>
      <c r="G25" s="31" t="n">
        <f aca="false">G24+F25</f>
        <v>8281619.15714286</v>
      </c>
      <c r="H25" s="31" t="n">
        <f aca="false">SUM($B$5:B25)</f>
        <v>3044119.15714286</v>
      </c>
      <c r="I25" s="31" t="n">
        <f aca="false">IF(H25&gt;=CAPEX!$B$21,A25,9999)</f>
        <v>9999</v>
      </c>
    </row>
    <row r="26" customFormat="false" ht="15" hidden="false" customHeight="false" outlineLevel="0" collapsed="false">
      <c r="A26" s="32" t="n">
        <v>22</v>
      </c>
      <c r="B26" s="7" t="n">
        <f aca="false">Monthly_PL!$Y25+Monthly_PL!$U25</f>
        <v>808027.242857143</v>
      </c>
      <c r="C26" s="7" t="n">
        <f aca="false">IF(A26=Assumptions!$B$51,-Assumptions!$B$50,0)</f>
        <v>0</v>
      </c>
      <c r="D26" s="31" t="n">
        <v>0</v>
      </c>
      <c r="E26" s="7" t="n">
        <f aca="false">Assumptions!$B$47*Assumptions!$B$48*Assumptions!$B$28*(Monthly_PL!$G$25-Monthly_PL!$G$24)</f>
        <v>90000</v>
      </c>
      <c r="F26" s="31" t="n">
        <f aca="false">B26+C26+D26+E26</f>
        <v>898027.242857143</v>
      </c>
      <c r="G26" s="31" t="n">
        <f aca="false">G25+F26</f>
        <v>9179646.4</v>
      </c>
      <c r="H26" s="31" t="n">
        <f aca="false">SUM($B$5:B26)</f>
        <v>3852146.4</v>
      </c>
      <c r="I26" s="31" t="n">
        <f aca="false">IF(H26&gt;=CAPEX!$B$21,A26,9999)</f>
        <v>9999</v>
      </c>
    </row>
    <row r="27" customFormat="false" ht="15" hidden="false" customHeight="false" outlineLevel="0" collapsed="false">
      <c r="A27" s="32" t="n">
        <v>23</v>
      </c>
      <c r="B27" s="7" t="n">
        <f aca="false">Monthly_PL!$Y26+Monthly_PL!$U26</f>
        <v>850702.042857143</v>
      </c>
      <c r="C27" s="7" t="n">
        <f aca="false">IF(A27=Assumptions!$B$51,-Assumptions!$B$50,0)</f>
        <v>0</v>
      </c>
      <c r="D27" s="31" t="n">
        <v>0</v>
      </c>
      <c r="E27" s="7" t="n">
        <f aca="false">Assumptions!$B$47*Assumptions!$B$48*Assumptions!$B$28*(Monthly_PL!$G$26-Monthly_PL!$G$25)</f>
        <v>90000</v>
      </c>
      <c r="F27" s="31" t="n">
        <f aca="false">B27+C27+D27+E27</f>
        <v>940702.042857143</v>
      </c>
      <c r="G27" s="31" t="n">
        <f aca="false">G26+F27</f>
        <v>10120348.4428571</v>
      </c>
      <c r="H27" s="31" t="n">
        <f aca="false">SUM($B$5:B27)</f>
        <v>4702848.44285714</v>
      </c>
      <c r="I27" s="31" t="n">
        <f aca="false">IF(H27&gt;=CAPEX!$B$21,A27,9999)</f>
        <v>9999</v>
      </c>
    </row>
    <row r="28" customFormat="false" ht="15" hidden="false" customHeight="false" outlineLevel="0" collapsed="false">
      <c r="A28" s="32" t="n">
        <v>24</v>
      </c>
      <c r="B28" s="7" t="n">
        <f aca="false">Monthly_PL!$Y27+Monthly_PL!$U27</f>
        <v>893376.842857143</v>
      </c>
      <c r="C28" s="7" t="n">
        <f aca="false">IF(A28=Assumptions!$B$51,-Assumptions!$B$50,0)</f>
        <v>0</v>
      </c>
      <c r="D28" s="31" t="n">
        <v>0</v>
      </c>
      <c r="E28" s="7" t="n">
        <f aca="false">Assumptions!$B$47*Assumptions!$B$48*Assumptions!$B$28*(Monthly_PL!$G$27-Monthly_PL!$G$26)</f>
        <v>67500</v>
      </c>
      <c r="F28" s="31" t="n">
        <f aca="false">B28+C28+D28+E28</f>
        <v>960876.842857143</v>
      </c>
      <c r="G28" s="31" t="n">
        <f aca="false">G27+F28</f>
        <v>11081225.2857143</v>
      </c>
      <c r="H28" s="31" t="n">
        <f aca="false">SUM($B$5:B28)</f>
        <v>5596225.28571429</v>
      </c>
      <c r="I28" s="31" t="n">
        <f aca="false">IF(H28&gt;=CAPEX!$B$21,A28,9999)</f>
        <v>9999</v>
      </c>
    </row>
    <row r="29" customFormat="false" ht="15" hidden="false" customHeight="false" outlineLevel="0" collapsed="false">
      <c r="A29" s="32" t="n">
        <v>25</v>
      </c>
      <c r="B29" s="7" t="n">
        <f aca="false">Monthly_PL!$Y28+Monthly_PL!$U28</f>
        <v>925382.942857143</v>
      </c>
      <c r="C29" s="7" t="n">
        <f aca="false">IF(A29=Assumptions!$B$51,-Assumptions!$B$50,0)</f>
        <v>0</v>
      </c>
      <c r="D29" s="31" t="n">
        <v>0</v>
      </c>
      <c r="E29" s="7" t="n">
        <f aca="false">Assumptions!$B$47*Assumptions!$B$48*Assumptions!$B$28*(Monthly_PL!$G$28-Monthly_PL!$G$27)</f>
        <v>67500</v>
      </c>
      <c r="F29" s="31" t="n">
        <f aca="false">B29+C29+D29+E29</f>
        <v>992882.942857143</v>
      </c>
      <c r="G29" s="31" t="n">
        <f aca="false">G28+F29</f>
        <v>12074108.2285714</v>
      </c>
      <c r="H29" s="31" t="n">
        <f aca="false">SUM($B$5:B29)</f>
        <v>6521608.22857143</v>
      </c>
      <c r="I29" s="31" t="n">
        <f aca="false">IF(H29&gt;=CAPEX!$B$21,A29,9999)</f>
        <v>9999</v>
      </c>
    </row>
    <row r="30" customFormat="false" ht="15" hidden="false" customHeight="false" outlineLevel="0" collapsed="false">
      <c r="A30" s="32" t="n">
        <v>26</v>
      </c>
      <c r="B30" s="7" t="n">
        <f aca="false">Monthly_PL!$Y29+Monthly_PL!$U29</f>
        <v>957389.042857143</v>
      </c>
      <c r="C30" s="7" t="n">
        <f aca="false">IF(A30=Assumptions!$B$51,-Assumptions!$B$50,0)</f>
        <v>0</v>
      </c>
      <c r="D30" s="31" t="n">
        <v>0</v>
      </c>
      <c r="E30" s="7" t="n">
        <f aca="false">Assumptions!$B$47*Assumptions!$B$48*Assumptions!$B$28*(Monthly_PL!$G$29-Monthly_PL!$G$28)</f>
        <v>67500</v>
      </c>
      <c r="F30" s="31" t="n">
        <f aca="false">B30+C30+D30+E30</f>
        <v>1024889.04285714</v>
      </c>
      <c r="G30" s="31" t="n">
        <f aca="false">G29+F30</f>
        <v>13098997.2714286</v>
      </c>
      <c r="H30" s="31" t="n">
        <f aca="false">SUM($B$5:B30)</f>
        <v>7478997.27142857</v>
      </c>
      <c r="I30" s="31" t="n">
        <f aca="false">IF(H30&gt;=CAPEX!$B$21,A30,9999)</f>
        <v>9999</v>
      </c>
    </row>
    <row r="31" customFormat="false" ht="15" hidden="false" customHeight="false" outlineLevel="0" collapsed="false">
      <c r="A31" s="32" t="n">
        <v>27</v>
      </c>
      <c r="B31" s="7" t="n">
        <f aca="false">Monthly_PL!$Y30+Monthly_PL!$U30</f>
        <v>989395.142857143</v>
      </c>
      <c r="C31" s="7" t="n">
        <f aca="false">IF(A31=Assumptions!$B$51,-Assumptions!$B$50,0)</f>
        <v>0</v>
      </c>
      <c r="D31" s="31" t="n">
        <v>0</v>
      </c>
      <c r="E31" s="7" t="n">
        <f aca="false">Assumptions!$B$47*Assumptions!$B$48*Assumptions!$B$28*(Monthly_PL!$G$30-Monthly_PL!$G$29)</f>
        <v>67500</v>
      </c>
      <c r="F31" s="31" t="n">
        <f aca="false">B31+C31+D31+E31</f>
        <v>1056895.14285714</v>
      </c>
      <c r="G31" s="31" t="n">
        <f aca="false">G30+F31</f>
        <v>14155892.4142857</v>
      </c>
      <c r="H31" s="31" t="n">
        <f aca="false">SUM($B$5:B31)</f>
        <v>8468392.41428571</v>
      </c>
      <c r="I31" s="31" t="n">
        <f aca="false">IF(H31&gt;=CAPEX!$B$21,A31,9999)</f>
        <v>9999</v>
      </c>
    </row>
    <row r="32" customFormat="false" ht="15" hidden="false" customHeight="false" outlineLevel="0" collapsed="false">
      <c r="A32" s="32" t="n">
        <v>28</v>
      </c>
      <c r="B32" s="7" t="n">
        <f aca="false">Monthly_PL!$Y31+Monthly_PL!$U31</f>
        <v>1021401.24285714</v>
      </c>
      <c r="C32" s="7" t="n">
        <f aca="false">IF(A32=Assumptions!$B$51,-Assumptions!$B$50,0)</f>
        <v>0</v>
      </c>
      <c r="D32" s="31" t="n">
        <v>0</v>
      </c>
      <c r="E32" s="7" t="n">
        <f aca="false">Assumptions!$B$47*Assumptions!$B$48*Assumptions!$B$28*(Monthly_PL!$G$31-Monthly_PL!$G$30)</f>
        <v>67500</v>
      </c>
      <c r="F32" s="31" t="n">
        <f aca="false">B32+C32+D32+E32</f>
        <v>1088901.24285714</v>
      </c>
      <c r="G32" s="31" t="n">
        <f aca="false">G31+F32</f>
        <v>15244793.6571429</v>
      </c>
      <c r="H32" s="31" t="n">
        <f aca="false">SUM($B$5:B32)</f>
        <v>9489793.65714286</v>
      </c>
      <c r="I32" s="31" t="n">
        <f aca="false">IF(H32&gt;=CAPEX!$B$21,A32,9999)</f>
        <v>9999</v>
      </c>
    </row>
    <row r="33" customFormat="false" ht="15" hidden="false" customHeight="false" outlineLevel="0" collapsed="false">
      <c r="A33" s="32" t="n">
        <v>29</v>
      </c>
      <c r="B33" s="7" t="n">
        <f aca="false">Monthly_PL!$Y32+Monthly_PL!$U32</f>
        <v>1053407.34285714</v>
      </c>
      <c r="C33" s="7" t="n">
        <f aca="false">IF(A33=Assumptions!$B$51,-Assumptions!$B$50,0)</f>
        <v>0</v>
      </c>
      <c r="D33" s="31" t="n">
        <v>0</v>
      </c>
      <c r="E33" s="7" t="n">
        <f aca="false">Assumptions!$B$47*Assumptions!$B$48*Assumptions!$B$28*(Monthly_PL!$G$32-Monthly_PL!$G$31)</f>
        <v>67500</v>
      </c>
      <c r="F33" s="31" t="n">
        <f aca="false">B33+C33+D33+E33</f>
        <v>1120907.34285714</v>
      </c>
      <c r="G33" s="31" t="n">
        <f aca="false">G32+F33</f>
        <v>16365701</v>
      </c>
      <c r="H33" s="31" t="n">
        <f aca="false">SUM($B$5:B33)</f>
        <v>10543201</v>
      </c>
      <c r="I33" s="31" t="n">
        <f aca="false">IF(H33&gt;=CAPEX!$B$21,A33,9999)</f>
        <v>9999</v>
      </c>
    </row>
    <row r="34" customFormat="false" ht="15" hidden="false" customHeight="false" outlineLevel="0" collapsed="false">
      <c r="A34" s="32" t="n">
        <v>30</v>
      </c>
      <c r="B34" s="7" t="n">
        <f aca="false">Monthly_PL!$Y33+Monthly_PL!$U33</f>
        <v>1085413.44285714</v>
      </c>
      <c r="C34" s="7" t="n">
        <f aca="false">IF(A34=Assumptions!$B$51,-Assumptions!$B$50,0)</f>
        <v>0</v>
      </c>
      <c r="D34" s="31" t="n">
        <v>0</v>
      </c>
      <c r="E34" s="7" t="n">
        <f aca="false">Assumptions!$B$47*Assumptions!$B$48*Assumptions!$B$28*(Monthly_PL!$G$33-Monthly_PL!$G$32)</f>
        <v>67500</v>
      </c>
      <c r="F34" s="31" t="n">
        <f aca="false">B34+C34+D34+E34</f>
        <v>1152913.44285714</v>
      </c>
      <c r="G34" s="31" t="n">
        <f aca="false">G33+F34</f>
        <v>17518614.4428571</v>
      </c>
      <c r="H34" s="31" t="n">
        <f aca="false">SUM($B$5:B34)</f>
        <v>11628614.4428571</v>
      </c>
      <c r="I34" s="31" t="n">
        <f aca="false">IF(H34&gt;=CAPEX!$B$21,A34,9999)</f>
        <v>9999</v>
      </c>
    </row>
    <row r="35" customFormat="false" ht="15" hidden="false" customHeight="false" outlineLevel="0" collapsed="false">
      <c r="A35" s="32" t="n">
        <v>31</v>
      </c>
      <c r="B35" s="7" t="n">
        <f aca="false">Monthly_PL!$Y34+Monthly_PL!$U34</f>
        <v>1117419.54285714</v>
      </c>
      <c r="C35" s="7" t="n">
        <f aca="false">IF(A35=Assumptions!$B$51,-Assumptions!$B$50,0)</f>
        <v>0</v>
      </c>
      <c r="D35" s="31" t="n">
        <v>0</v>
      </c>
      <c r="E35" s="7" t="n">
        <f aca="false">Assumptions!$B$47*Assumptions!$B$48*Assumptions!$B$28*(Monthly_PL!$G$34-Monthly_PL!$G$33)</f>
        <v>67500</v>
      </c>
      <c r="F35" s="31" t="n">
        <f aca="false">B35+C35+D35+E35</f>
        <v>1184919.54285714</v>
      </c>
      <c r="G35" s="31" t="n">
        <f aca="false">G34+F35</f>
        <v>18703533.9857143</v>
      </c>
      <c r="H35" s="31" t="n">
        <f aca="false">SUM($B$5:B35)</f>
        <v>12746033.9857143</v>
      </c>
      <c r="I35" s="31" t="n">
        <f aca="false">IF(H35&gt;=CAPEX!$B$21,A35,9999)</f>
        <v>31</v>
      </c>
    </row>
    <row r="36" customFormat="false" ht="15" hidden="false" customHeight="false" outlineLevel="0" collapsed="false">
      <c r="A36" s="32" t="n">
        <v>32</v>
      </c>
      <c r="B36" s="7" t="n">
        <f aca="false">Monthly_PL!$Y35+Monthly_PL!$U35</f>
        <v>1149425.64285714</v>
      </c>
      <c r="C36" s="7" t="n">
        <f aca="false">IF(A36=Assumptions!$B$51,-Assumptions!$B$50,0)</f>
        <v>0</v>
      </c>
      <c r="D36" s="31" t="n">
        <v>0</v>
      </c>
      <c r="E36" s="7" t="n">
        <f aca="false">Assumptions!$B$47*Assumptions!$B$48*Assumptions!$B$28*(Monthly_PL!$G$35-Monthly_PL!$G$34)</f>
        <v>45000</v>
      </c>
      <c r="F36" s="31" t="n">
        <f aca="false">B36+C36+D36+E36</f>
        <v>1194425.64285714</v>
      </c>
      <c r="G36" s="31" t="n">
        <f aca="false">G35+F36</f>
        <v>19897959.6285714</v>
      </c>
      <c r="H36" s="31" t="n">
        <f aca="false">SUM($B$5:B36)</f>
        <v>13895459.6285714</v>
      </c>
      <c r="I36" s="31" t="n">
        <f aca="false">IF(H36&gt;=CAPEX!$B$21,A36,9999)</f>
        <v>32</v>
      </c>
    </row>
    <row r="37" customFormat="false" ht="15" hidden="false" customHeight="false" outlineLevel="0" collapsed="false">
      <c r="A37" s="32" t="n">
        <v>33</v>
      </c>
      <c r="B37" s="7" t="n">
        <f aca="false">Monthly_PL!$Y36+Monthly_PL!$U36</f>
        <v>1170763.04285714</v>
      </c>
      <c r="C37" s="7" t="n">
        <f aca="false">IF(A37=Assumptions!$B$51,-Assumptions!$B$50,0)</f>
        <v>0</v>
      </c>
      <c r="D37" s="31" t="n">
        <v>0</v>
      </c>
      <c r="E37" s="7" t="n">
        <f aca="false">Assumptions!$B$47*Assumptions!$B$48*Assumptions!$B$28*(Monthly_PL!$G$36-Monthly_PL!$G$35)</f>
        <v>45000</v>
      </c>
      <c r="F37" s="31" t="n">
        <f aca="false">B37+C37+D37+E37</f>
        <v>1215763.04285714</v>
      </c>
      <c r="G37" s="31" t="n">
        <f aca="false">G36+F37</f>
        <v>21113722.6714286</v>
      </c>
      <c r="H37" s="31" t="n">
        <f aca="false">SUM($B$5:B37)</f>
        <v>15066222.6714286</v>
      </c>
      <c r="I37" s="31" t="n">
        <f aca="false">IF(H37&gt;=CAPEX!$B$21,A37,9999)</f>
        <v>33</v>
      </c>
    </row>
    <row r="38" customFormat="false" ht="15" hidden="false" customHeight="false" outlineLevel="0" collapsed="false">
      <c r="A38" s="32" t="n">
        <v>34</v>
      </c>
      <c r="B38" s="7" t="n">
        <f aca="false">Monthly_PL!$Y37+Monthly_PL!$U37</f>
        <v>1192100.44285714</v>
      </c>
      <c r="C38" s="7" t="n">
        <f aca="false">IF(A38=Assumptions!$B$51,-Assumptions!$B$50,0)</f>
        <v>0</v>
      </c>
      <c r="D38" s="31" t="n">
        <v>0</v>
      </c>
      <c r="E38" s="7" t="n">
        <f aca="false">Assumptions!$B$47*Assumptions!$B$48*Assumptions!$B$28*(Monthly_PL!$G$37-Monthly_PL!$G$36)</f>
        <v>45000</v>
      </c>
      <c r="F38" s="31" t="n">
        <f aca="false">B38+C38+D38+E38</f>
        <v>1237100.44285714</v>
      </c>
      <c r="G38" s="31" t="n">
        <f aca="false">G37+F38</f>
        <v>22350823.1142857</v>
      </c>
      <c r="H38" s="31" t="n">
        <f aca="false">SUM($B$5:B38)</f>
        <v>16258323.1142857</v>
      </c>
      <c r="I38" s="31" t="n">
        <f aca="false">IF(H38&gt;=CAPEX!$B$21,A38,9999)</f>
        <v>34</v>
      </c>
    </row>
    <row r="39" customFormat="false" ht="15" hidden="false" customHeight="false" outlineLevel="0" collapsed="false">
      <c r="A39" s="32" t="n">
        <v>35</v>
      </c>
      <c r="B39" s="7" t="n">
        <f aca="false">Monthly_PL!$Y38+Monthly_PL!$U38</f>
        <v>1213437.84285714</v>
      </c>
      <c r="C39" s="7" t="n">
        <f aca="false">IF(A39=Assumptions!$B$51,-Assumptions!$B$50,0)</f>
        <v>0</v>
      </c>
      <c r="D39" s="31" t="n">
        <v>0</v>
      </c>
      <c r="E39" s="7" t="n">
        <f aca="false">Assumptions!$B$47*Assumptions!$B$48*Assumptions!$B$28*(Monthly_PL!$G$38-Monthly_PL!$G$37)</f>
        <v>45000</v>
      </c>
      <c r="F39" s="31" t="n">
        <f aca="false">B39+C39+D39+E39</f>
        <v>1258437.84285714</v>
      </c>
      <c r="G39" s="31" t="n">
        <f aca="false">G38+F39</f>
        <v>23609260.9571429</v>
      </c>
      <c r="H39" s="31" t="n">
        <f aca="false">SUM($B$5:B39)</f>
        <v>17471760.9571429</v>
      </c>
      <c r="I39" s="31" t="n">
        <f aca="false">IF(H39&gt;=CAPEX!$B$21,A39,9999)</f>
        <v>35</v>
      </c>
    </row>
    <row r="40" customFormat="false" ht="15" hidden="false" customHeight="false" outlineLevel="0" collapsed="false">
      <c r="A40" s="32" t="n">
        <v>36</v>
      </c>
      <c r="B40" s="7" t="n">
        <f aca="false">Monthly_PL!$Y39+Monthly_PL!$U39</f>
        <v>1234775.24285714</v>
      </c>
      <c r="C40" s="7" t="n">
        <f aca="false">IF(A40=Assumptions!$B$51,-Assumptions!$B$50,0)</f>
        <v>0</v>
      </c>
      <c r="D40" s="31" t="n">
        <v>0</v>
      </c>
      <c r="E40" s="7" t="n">
        <f aca="false">Assumptions!$B$47*Assumptions!$B$48*Assumptions!$B$28*(Monthly_PL!$G$39-Monthly_PL!$G$38)</f>
        <v>45000</v>
      </c>
      <c r="F40" s="31" t="n">
        <f aca="false">B40+C40+D40+E40</f>
        <v>1279775.24285714</v>
      </c>
      <c r="G40" s="31" t="n">
        <f aca="false">G39+F40</f>
        <v>24889036.2</v>
      </c>
      <c r="H40" s="31" t="n">
        <f aca="false">SUM($B$5:B40)</f>
        <v>18706536.2</v>
      </c>
      <c r="I40" s="31" t="n">
        <f aca="false">IF(H40&gt;=CAPEX!$B$21,A40,9999)</f>
        <v>36</v>
      </c>
    </row>
  </sheetData>
  <conditionalFormatting sqref="G5:G4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3" t="s">
        <v>189</v>
      </c>
    </row>
    <row r="2" customFormat="false" ht="17.15" hidden="false" customHeight="false" outlineLevel="0" collapsed="false">
      <c r="A2" s="6" t="s">
        <v>190</v>
      </c>
      <c r="B2" s="7" t="n">
        <f aca="false">Assumptions!$B$13+Assumptions!$B$36+Assumptions!$B$35+Assumptions!$B$44</f>
        <v>1217460</v>
      </c>
    </row>
    <row r="3" customFormat="false" ht="17.15" hidden="false" customHeight="false" outlineLevel="0" collapsed="false">
      <c r="A3" s="6" t="s">
        <v>35</v>
      </c>
      <c r="B3" s="7" t="n">
        <f aca="false">Assumptions!$B$28</f>
        <v>15000</v>
      </c>
    </row>
    <row r="4" customFormat="false" ht="17.15" hidden="false" customHeight="false" outlineLevel="0" collapsed="false">
      <c r="A4" s="6" t="s">
        <v>191</v>
      </c>
      <c r="B4" s="7" t="n">
        <f aca="false">Assumptions!$B$37</f>
        <v>2000</v>
      </c>
    </row>
    <row r="5" customFormat="false" ht="17.15" hidden="false" customHeight="false" outlineLevel="0" collapsed="false">
      <c r="A5" s="6" t="s">
        <v>63</v>
      </c>
      <c r="B5" s="23" t="n">
        <f aca="false">Assumptions!$B$8</f>
        <v>0.65</v>
      </c>
    </row>
    <row r="6" customFormat="false" ht="17.15" hidden="false" customHeight="false" outlineLevel="0" collapsed="false">
      <c r="A6" s="6" t="s">
        <v>192</v>
      </c>
      <c r="B6" s="23" t="n">
        <f aca="false">Assumptions!$B$9*Assumptions!$B$10</f>
        <v>0.027</v>
      </c>
    </row>
    <row r="7" customFormat="false" ht="17.15" hidden="false" customHeight="false" outlineLevel="0" collapsed="false">
      <c r="A7" s="6" t="s">
        <v>193</v>
      </c>
      <c r="B7" s="17" t="n">
        <f aca="false">B3*(1-B6)+B4*(1-B5)-B4*B6</f>
        <v>15241</v>
      </c>
    </row>
    <row r="8" customFormat="false" ht="17.15" hidden="false" customHeight="false" outlineLevel="0" collapsed="false">
      <c r="A8" s="6" t="s">
        <v>194</v>
      </c>
      <c r="B8" s="21" t="n">
        <f aca="false">ROUNDUP(B2/B7,0)</f>
        <v>80</v>
      </c>
    </row>
    <row r="9" customFormat="false" ht="17.15" hidden="false" customHeight="false" outlineLevel="0" collapsed="false">
      <c r="A9" s="6" t="s">
        <v>195</v>
      </c>
      <c r="B9" s="17" t="n">
        <f aca="false">B8*(B3+B4)</f>
        <v>1360000</v>
      </c>
    </row>
    <row r="10" customFormat="false" ht="17.15" hidden="false" customHeight="false" outlineLevel="0" collapsed="false">
      <c r="A10" s="6" t="s">
        <v>196</v>
      </c>
      <c r="B10" s="8" t="n">
        <f aca="false">Monthly_PL!$G$39</f>
        <v>175</v>
      </c>
    </row>
    <row r="11" customFormat="false" ht="17.15" hidden="false" customHeight="false" outlineLevel="0" collapsed="false">
      <c r="A11" s="25" t="s">
        <v>197</v>
      </c>
      <c r="B11" s="21" t="n">
        <f aca="false">B8-B10</f>
        <v>-95</v>
      </c>
    </row>
    <row r="12" customFormat="false" ht="32.8" hidden="false" customHeight="false" outlineLevel="0" collapsed="false">
      <c r="A12" s="25" t="s">
        <v>198</v>
      </c>
      <c r="B12" s="21" t="n">
        <f aca="false">ROUNDUP(B8*Assumptions!$B$30,0)</f>
        <v>4</v>
      </c>
    </row>
    <row r="13" customFormat="false" ht="17.15" hidden="false" customHeight="false" outlineLevel="0" collapsed="false">
      <c r="A13" s="6" t="s">
        <v>199</v>
      </c>
      <c r="B13" s="21" t="n">
        <f aca="false">ROUNDUP(B11/Assumptions!$B$29,0)</f>
        <v>-159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8"/>
  </cols>
  <sheetData>
    <row r="1" customFormat="false" ht="16.15" hidden="false" customHeight="false" outlineLevel="0" collapsed="false">
      <c r="A1" s="13" t="s">
        <v>200</v>
      </c>
    </row>
    <row r="2" customFormat="false" ht="15" hidden="false" customHeight="false" outlineLevel="0" collapsed="false">
      <c r="A2" s="4" t="s">
        <v>201</v>
      </c>
    </row>
    <row r="4" customFormat="false" ht="32.8" hidden="false" customHeight="false" outlineLevel="0" collapsed="false">
      <c r="A4" s="5" t="s">
        <v>202</v>
      </c>
      <c r="B4" s="7" t="n">
        <f aca="false">SUM(Monthly_PL!$V$28:$V$39)</f>
        <v>16615750.2857143</v>
      </c>
    </row>
    <row r="6" customFormat="false" ht="17.15" hidden="false" customHeight="false" outlineLevel="0" collapsed="false">
      <c r="A6" s="10" t="s">
        <v>203</v>
      </c>
      <c r="B6" s="10" t="s">
        <v>204</v>
      </c>
      <c r="C6" s="10" t="s">
        <v>205</v>
      </c>
    </row>
    <row r="7" customFormat="false" ht="15" hidden="false" customHeight="false" outlineLevel="0" collapsed="false">
      <c r="A7" s="28" t="s">
        <v>206</v>
      </c>
      <c r="B7" s="33" t="s">
        <v>207</v>
      </c>
      <c r="C7" s="7" t="n">
        <f aca="false">0.1*Monthly_PL!$G$39*BreakEven!$B$7*12</f>
        <v>3200610</v>
      </c>
    </row>
    <row r="8" customFormat="false" ht="15" hidden="false" customHeight="false" outlineLevel="0" collapsed="false">
      <c r="A8" s="28" t="s">
        <v>206</v>
      </c>
      <c r="B8" s="33" t="s">
        <v>208</v>
      </c>
      <c r="C8" s="7" t="n">
        <f aca="false">-0.1*Monthly_PL!$G$39*BreakEven!$B$7*12</f>
        <v>-3200610</v>
      </c>
    </row>
    <row r="9" customFormat="false" ht="17.15" hidden="false" customHeight="false" outlineLevel="0" collapsed="false">
      <c r="A9" s="28" t="s">
        <v>209</v>
      </c>
      <c r="B9" s="33" t="s">
        <v>210</v>
      </c>
      <c r="C9" s="7" t="n">
        <f aca="false">Monthly_PL!$G$39*1000*(1-Assumptions!$B$9*Assumptions!$B$10)*12</f>
        <v>2043300</v>
      </c>
    </row>
    <row r="10" customFormat="false" ht="17.15" hidden="false" customHeight="false" outlineLevel="0" collapsed="false">
      <c r="A10" s="28" t="s">
        <v>209</v>
      </c>
      <c r="B10" s="33" t="s">
        <v>211</v>
      </c>
      <c r="C10" s="7" t="n">
        <f aca="false">-Monthly_PL!$G$39*1000*(1-Assumptions!$B$9*Assumptions!$B$10)*12</f>
        <v>-2043300</v>
      </c>
    </row>
    <row r="11" customFormat="false" ht="15" hidden="false" customHeight="false" outlineLevel="0" collapsed="false">
      <c r="A11" s="28" t="s">
        <v>212</v>
      </c>
      <c r="B11" s="33" t="s">
        <v>213</v>
      </c>
      <c r="C11" s="7" t="n">
        <f aca="false">-Monthly_PL!$G$39*0.02*BreakEven!$B$7*12</f>
        <v>-640122</v>
      </c>
    </row>
    <row r="12" customFormat="false" ht="15" hidden="false" customHeight="false" outlineLevel="0" collapsed="false">
      <c r="A12" s="28" t="s">
        <v>173</v>
      </c>
      <c r="B12" s="33" t="s">
        <v>214</v>
      </c>
      <c r="C12" s="7" t="n">
        <f aca="false">-Assumptions!$B$35*0.2*12</f>
        <v>-120000</v>
      </c>
    </row>
    <row r="13" customFormat="false" ht="15" hidden="false" customHeight="false" outlineLevel="0" collapsed="false">
      <c r="A13" s="28" t="s">
        <v>131</v>
      </c>
      <c r="B13" s="33" t="s">
        <v>207</v>
      </c>
      <c r="C13" s="7" t="n">
        <f aca="false">-Assumptions!$B$36*0.1*12</f>
        <v>-696000</v>
      </c>
    </row>
    <row r="14" customFormat="false" ht="15" hidden="false" customHeight="false" outlineLevel="0" collapsed="false">
      <c r="A14" s="28" t="s">
        <v>129</v>
      </c>
      <c r="B14" s="33" t="s">
        <v>207</v>
      </c>
      <c r="C14" s="7" t="n">
        <f aca="false">-Assumptions!$B$13*0.1*12</f>
        <v>-480000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3" t="s">
        <v>215</v>
      </c>
    </row>
    <row r="3" customFormat="false" ht="32.8" hidden="false" customHeight="false" outlineLevel="0" collapsed="false">
      <c r="A3" s="10" t="s">
        <v>216</v>
      </c>
      <c r="B3" s="10" t="s">
        <v>217</v>
      </c>
      <c r="C3" s="10" t="s">
        <v>218</v>
      </c>
      <c r="D3" s="10" t="s">
        <v>219</v>
      </c>
      <c r="E3" s="10" t="s">
        <v>220</v>
      </c>
    </row>
    <row r="4" customFormat="false" ht="32.8" hidden="false" customHeight="false" outlineLevel="0" collapsed="false">
      <c r="A4" s="34" t="s">
        <v>221</v>
      </c>
      <c r="B4" s="34" t="s">
        <v>222</v>
      </c>
      <c r="C4" s="34" t="s">
        <v>223</v>
      </c>
      <c r="D4" s="34" t="s">
        <v>224</v>
      </c>
      <c r="E4" s="34" t="s">
        <v>225</v>
      </c>
    </row>
    <row r="5" customFormat="false" ht="32.8" hidden="false" customHeight="false" outlineLevel="0" collapsed="false">
      <c r="A5" s="34" t="s">
        <v>226</v>
      </c>
      <c r="B5" s="34" t="s">
        <v>227</v>
      </c>
      <c r="C5" s="34" t="s">
        <v>223</v>
      </c>
      <c r="D5" s="34" t="s">
        <v>223</v>
      </c>
      <c r="E5" s="34" t="s">
        <v>228</v>
      </c>
    </row>
    <row r="6" customFormat="false" ht="17.15" hidden="false" customHeight="false" outlineLevel="0" collapsed="false">
      <c r="A6" s="34" t="s">
        <v>226</v>
      </c>
      <c r="B6" s="34" t="s">
        <v>229</v>
      </c>
      <c r="C6" s="34" t="s">
        <v>223</v>
      </c>
      <c r="D6" s="34" t="s">
        <v>224</v>
      </c>
      <c r="E6" s="34" t="s">
        <v>230</v>
      </c>
    </row>
    <row r="7" customFormat="false" ht="32.8" hidden="false" customHeight="false" outlineLevel="0" collapsed="false">
      <c r="A7" s="34" t="s">
        <v>231</v>
      </c>
      <c r="B7" s="34" t="s">
        <v>232</v>
      </c>
      <c r="C7" s="34" t="s">
        <v>223</v>
      </c>
      <c r="D7" s="34" t="s">
        <v>224</v>
      </c>
      <c r="E7" s="34" t="s">
        <v>233</v>
      </c>
    </row>
    <row r="8" customFormat="false" ht="32.8" hidden="false" customHeight="false" outlineLevel="0" collapsed="false">
      <c r="A8" s="34" t="s">
        <v>234</v>
      </c>
      <c r="B8" s="34" t="s">
        <v>235</v>
      </c>
      <c r="C8" s="34" t="s">
        <v>223</v>
      </c>
      <c r="D8" s="34" t="s">
        <v>223</v>
      </c>
      <c r="E8" s="35" t="s">
        <v>236</v>
      </c>
    </row>
    <row r="9" customFormat="false" ht="32.8" hidden="false" customHeight="false" outlineLevel="0" collapsed="false">
      <c r="A9" s="34" t="s">
        <v>234</v>
      </c>
      <c r="B9" s="34" t="s">
        <v>237</v>
      </c>
      <c r="C9" s="34" t="s">
        <v>223</v>
      </c>
      <c r="D9" s="34" t="s">
        <v>224</v>
      </c>
      <c r="E9" s="34" t="s">
        <v>238</v>
      </c>
    </row>
    <row r="10" customFormat="false" ht="17.15" hidden="false" customHeight="false" outlineLevel="0" collapsed="false">
      <c r="A10" s="34" t="s">
        <v>239</v>
      </c>
      <c r="B10" s="34" t="s">
        <v>240</v>
      </c>
      <c r="C10" s="34" t="s">
        <v>224</v>
      </c>
      <c r="D10" s="34" t="s">
        <v>224</v>
      </c>
      <c r="E10" s="34" t="s">
        <v>241</v>
      </c>
    </row>
    <row r="11" customFormat="false" ht="17.15" hidden="false" customHeight="false" outlineLevel="0" collapsed="false">
      <c r="A11" s="34" t="s">
        <v>242</v>
      </c>
      <c r="B11" s="34" t="s">
        <v>243</v>
      </c>
      <c r="C11" s="34" t="s">
        <v>224</v>
      </c>
      <c r="D11" s="34" t="s">
        <v>224</v>
      </c>
      <c r="E11" s="34" t="s">
        <v>244</v>
      </c>
    </row>
    <row r="12" customFormat="false" ht="17.15" hidden="false" customHeight="false" outlineLevel="0" collapsed="false">
      <c r="A12" s="34" t="s">
        <v>245</v>
      </c>
      <c r="B12" s="34" t="s">
        <v>246</v>
      </c>
      <c r="C12" s="34" t="s">
        <v>223</v>
      </c>
      <c r="D12" s="34" t="s">
        <v>224</v>
      </c>
      <c r="E12" s="34" t="s">
        <v>247</v>
      </c>
    </row>
    <row r="13" customFormat="false" ht="17.15" hidden="false" customHeight="false" outlineLevel="0" collapsed="false">
      <c r="A13" s="34" t="s">
        <v>248</v>
      </c>
      <c r="B13" s="34" t="s">
        <v>249</v>
      </c>
      <c r="C13" s="34" t="s">
        <v>224</v>
      </c>
      <c r="D13" s="34" t="s">
        <v>224</v>
      </c>
      <c r="E13" s="34" t="s">
        <v>250</v>
      </c>
    </row>
    <row r="14" customFormat="false" ht="17.15" hidden="false" customHeight="false" outlineLevel="0" collapsed="false">
      <c r="A14" s="34" t="s">
        <v>251</v>
      </c>
      <c r="B14" s="34" t="s">
        <v>252</v>
      </c>
      <c r="C14" s="34" t="s">
        <v>224</v>
      </c>
      <c r="D14" s="34" t="s">
        <v>253</v>
      </c>
      <c r="E14" s="34" t="s">
        <v>254</v>
      </c>
    </row>
    <row r="15" customFormat="false" ht="32.8" hidden="false" customHeight="false" outlineLevel="0" collapsed="false">
      <c r="A15" s="34" t="s">
        <v>255</v>
      </c>
      <c r="B15" s="34" t="s">
        <v>256</v>
      </c>
      <c r="C15" s="34" t="s">
        <v>223</v>
      </c>
      <c r="D15" s="34" t="s">
        <v>224</v>
      </c>
      <c r="E15" s="35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0.1" hidden="false" customHeight="false" outlineLevel="0" collapsed="false">
      <c r="A1" s="13" t="s">
        <v>258</v>
      </c>
    </row>
    <row r="3" customFormat="false" ht="17.15" hidden="false" customHeight="false" outlineLevel="0" collapsed="false">
      <c r="A3" s="10" t="s">
        <v>259</v>
      </c>
      <c r="B3" s="10" t="s">
        <v>260</v>
      </c>
    </row>
    <row r="4" customFormat="false" ht="32.8" hidden="false" customHeight="false" outlineLevel="0" collapsed="false">
      <c r="A4" s="34" t="s">
        <v>261</v>
      </c>
      <c r="B4" s="34" t="s">
        <v>262</v>
      </c>
    </row>
    <row r="5" customFormat="false" ht="48.5" hidden="false" customHeight="false" outlineLevel="0" collapsed="false">
      <c r="A5" s="34" t="s">
        <v>263</v>
      </c>
      <c r="B5" s="34" t="s">
        <v>264</v>
      </c>
    </row>
    <row r="6" customFormat="false" ht="32.8" hidden="false" customHeight="false" outlineLevel="0" collapsed="false">
      <c r="A6" s="34" t="s">
        <v>265</v>
      </c>
      <c r="B6" s="35" t="s">
        <v>266</v>
      </c>
    </row>
    <row r="7" customFormat="false" ht="17.15" hidden="false" customHeight="false" outlineLevel="0" collapsed="false">
      <c r="A7" s="34" t="s">
        <v>267</v>
      </c>
      <c r="B7" s="35" t="s">
        <v>268</v>
      </c>
    </row>
    <row r="8" customFormat="false" ht="32.8" hidden="false" customHeight="false" outlineLevel="0" collapsed="false">
      <c r="A8" s="34" t="s">
        <v>269</v>
      </c>
      <c r="B8" s="34" t="s">
        <v>270</v>
      </c>
    </row>
    <row r="9" customFormat="false" ht="32.8" hidden="false" customHeight="false" outlineLevel="0" collapsed="false">
      <c r="A9" s="34" t="s">
        <v>271</v>
      </c>
      <c r="B9" s="35" t="s">
        <v>272</v>
      </c>
    </row>
    <row r="10" customFormat="false" ht="32.8" hidden="false" customHeight="false" outlineLevel="0" collapsed="false">
      <c r="A10" s="34" t="s">
        <v>273</v>
      </c>
      <c r="B10" s="34" t="s">
        <v>274</v>
      </c>
    </row>
    <row r="11" customFormat="false" ht="17.15" hidden="false" customHeight="false" outlineLevel="0" collapsed="false">
      <c r="A11" s="34" t="s">
        <v>275</v>
      </c>
      <c r="B11" s="34" t="s">
        <v>276</v>
      </c>
    </row>
    <row r="12" customFormat="false" ht="17.15" hidden="false" customHeight="false" outlineLevel="0" collapsed="false">
      <c r="A12" s="34" t="s">
        <v>277</v>
      </c>
      <c r="B12" s="34" t="s">
        <v>278</v>
      </c>
    </row>
    <row r="13" customFormat="false" ht="32.8" hidden="false" customHeight="false" outlineLevel="0" collapsed="false">
      <c r="A13" s="34" t="s">
        <v>279</v>
      </c>
      <c r="B13" s="34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2026-07-09T09:19:52Z</dcterms:created>
  <dc:creator>openpyxl</dc:creator>
  <dc:description/>
  <dc:language>en-US</dc:language>
  <cp:lastModifiedBy/>
  <dcterms:modified xsi:type="dcterms:W3CDTF">2026-07-09T09:19:52Z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