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cenarios" sheetId="2" state="visible" r:id="rId4"/>
    <sheet name="Assumptions" sheetId="3" state="visible" r:id="rId5"/>
    <sheet name="CAPEX" sheetId="4" state="visible" r:id="rId6"/>
    <sheet name="OPEX" sheetId="5" state="visible" r:id="rId7"/>
    <sheet name="Monthly_PL" sheetId="6" state="visible" r:id="rId8"/>
    <sheet name="Cash_Flow" sheetId="7" state="visible" r:id="rId9"/>
    <sheet name="BreakEven" sheetId="8" state="visible" r:id="rId10"/>
    <sheet name="Sensitivity" sheetId="9" state="visible" r:id="rId11"/>
    <sheet name="Risks" sheetId="10" state="visible" r:id="rId12"/>
    <sheet name="Investor_Q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<sst xmlns="http://schemas.openxmlformats.org/spreadsheetml/2006/main" count="337" uniqueCount="265">
  <si>
    <r>
      <rPr>
        <b val="true"/>
        <sz val="13"/>
        <color rgb="FF1F3864"/>
        <rFont val="Arial"/>
        <family val="0"/>
        <charset val="1"/>
      </rPr>
      <t xml:space="preserve">GOLF WING 2</t>
    </r>
    <r>
      <rPr>
        <b val="true"/>
        <sz val="13"/>
        <color rgb="FF1F3864"/>
        <rFont val="Noto Sans CJK SC"/>
        <family val="2"/>
      </rPr>
      <t xml:space="preserve">号店 収支サマリー</t>
    </r>
  </si>
  <si>
    <r>
      <rPr>
        <b val="true"/>
        <sz val="11"/>
        <color rgb="FF1F3864"/>
        <rFont val="Noto Sans CJK SC"/>
        <family val="2"/>
      </rPr>
      <t xml:space="preserve">選択シナリオ</t>
    </r>
    <r>
      <rPr>
        <b val="true"/>
        <sz val="11"/>
        <color rgb="FF1F3864"/>
        <rFont val="Arial"/>
        <family val="0"/>
        <charset val="1"/>
      </rPr>
      <t xml:space="preserve">:</t>
    </r>
  </si>
  <si>
    <r>
      <rPr>
        <i val="true"/>
        <sz val="9"/>
        <color rgb="FF808080"/>
        <rFont val="Noto Sans CJK SC"/>
        <family val="2"/>
      </rPr>
      <t xml:space="preserve">打席数・坪数は</t>
    </r>
    <r>
      <rPr>
        <i val="true"/>
        <sz val="9"/>
        <color rgb="FF808080"/>
        <rFont val="Arial"/>
        <family val="0"/>
        <charset val="1"/>
      </rPr>
      <t xml:space="preserve">Assumptions</t>
    </r>
    <r>
      <rPr>
        <i val="true"/>
        <sz val="9"/>
        <color rgb="FF808080"/>
        <rFont val="Noto Sans CJK SC"/>
        <family val="2"/>
      </rPr>
      <t xml:space="preserve">で変更</t>
    </r>
  </si>
  <si>
    <t xml:space="preserve">■ 店舗規模</t>
  </si>
  <si>
    <t xml:space="preserve">打席数</t>
  </si>
  <si>
    <t xml:space="preserve">坪数</t>
  </si>
  <si>
    <t xml:space="preserve">会員上限</t>
  </si>
  <si>
    <t xml:space="preserve">■ 資金</t>
  </si>
  <si>
    <t xml:space="preserve">総初期投資</t>
  </si>
  <si>
    <t xml:space="preserve">うち内装工事</t>
  </si>
  <si>
    <t xml:space="preserve">うち機材</t>
  </si>
  <si>
    <t xml:space="preserve">出資金</t>
  </si>
  <si>
    <t xml:space="preserve">自己資金・融資</t>
  </si>
  <si>
    <t xml:space="preserve">開業時運転資金</t>
  </si>
  <si>
    <t xml:space="preserve">最低現金残高</t>
  </si>
  <si>
    <t xml:space="preserve">資金ショート月数</t>
  </si>
  <si>
    <r>
      <rPr>
        <sz val="11"/>
        <rFont val="Noto Sans CJK SC"/>
        <family val="2"/>
      </rPr>
      <t xml:space="preserve">投資回収期間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</si>
  <si>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color rgb="FF1F3864"/>
        <rFont val="Noto Sans CJK SC"/>
        <family val="2"/>
      </rPr>
      <t xml:space="preserve">■ 損益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年次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</si>
  <si>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指標</t>
  </si>
  <si>
    <t xml:space="preserve">Y1</t>
  </si>
  <si>
    <t xml:space="preserve">Y2</t>
  </si>
  <si>
    <t xml:space="preserve">Y3</t>
  </si>
  <si>
    <r>
      <rPr>
        <b val="true"/>
        <sz val="11"/>
        <color rgb="FFFFFFFF"/>
        <rFont val="Arial"/>
        <family val="0"/>
        <charset val="1"/>
      </rPr>
      <t xml:space="preserve">36</t>
    </r>
    <r>
      <rPr>
        <b val="true"/>
        <sz val="11"/>
        <color rgb="FFFFFFFF"/>
        <rFont val="Noto Sans CJK SC"/>
        <family val="2"/>
      </rPr>
      <t xml:space="preserve">ヶ月累計</t>
    </r>
  </si>
  <si>
    <t xml:space="preserve">売上高</t>
  </si>
  <si>
    <t xml:space="preserve">営業利益</t>
  </si>
  <si>
    <t xml:space="preserve">税引後利益</t>
  </si>
  <si>
    <t xml:space="preserve">■ 主要指標</t>
  </si>
  <si>
    <r>
      <rPr>
        <sz val="11"/>
        <rFont val="Noto Sans CJK SC"/>
        <family val="2"/>
      </rPr>
      <t xml:space="preserve">期末会員数</t>
    </r>
    <r>
      <rPr>
        <sz val="11"/>
        <rFont val="Arial"/>
        <family val="0"/>
        <charset val="1"/>
      </rPr>
      <t xml:space="preserve">(36</t>
    </r>
    <r>
      <rPr>
        <sz val="11"/>
        <rFont val="Noto Sans CJK SC"/>
        <family val="2"/>
      </rPr>
      <t xml:space="preserve">ヶ月</t>
    </r>
    <r>
      <rPr>
        <sz val="11"/>
        <rFont val="Arial"/>
        <family val="0"/>
        <charset val="1"/>
      </rPr>
      <t xml:space="preserve">)</t>
    </r>
  </si>
  <si>
    <t xml:space="preserve">損益分岐点会員数</t>
  </si>
  <si>
    <r>
      <rPr>
        <sz val="11"/>
        <rFont val="Noto Sans CJK SC"/>
        <family val="2"/>
      </rPr>
      <t xml:space="preserve">現状</t>
    </r>
    <r>
      <rPr>
        <sz val="11"/>
        <rFont val="Arial"/>
        <family val="0"/>
        <charset val="1"/>
      </rPr>
      <t xml:space="preserve">-BEP</t>
    </r>
    <r>
      <rPr>
        <sz val="11"/>
        <rFont val="Noto Sans CJK SC"/>
        <family val="2"/>
      </rPr>
      <t xml:space="preserve">会員差</t>
    </r>
  </si>
  <si>
    <r>
      <rPr>
        <i val="true"/>
        <sz val="9"/>
        <color rgb="FF808080"/>
        <rFont val="Noto Sans CJK SC"/>
        <family val="2"/>
      </rPr>
      <t xml:space="preserve">注</t>
    </r>
    <r>
      <rPr>
        <i val="true"/>
        <sz val="9"/>
        <color rgb="FF808080"/>
        <rFont val="Arial"/>
        <family val="0"/>
        <charset val="1"/>
      </rPr>
      <t xml:space="preserve">: </t>
    </r>
    <r>
      <rPr>
        <i val="true"/>
        <sz val="9"/>
        <color rgb="FF808080"/>
        <rFont val="Noto Sans CJK SC"/>
        <family val="2"/>
      </rPr>
      <t xml:space="preserve">非居抜き前提の仮置き初版。物件条件確定で更新。</t>
    </r>
  </si>
  <si>
    <r>
      <rPr>
        <b val="true"/>
        <sz val="13"/>
        <color rgb="FF1F3864"/>
        <rFont val="Noto Sans CJK SC"/>
        <family val="2"/>
      </rPr>
      <t xml:space="preserve">シナリオ設定（</t>
    </r>
    <r>
      <rPr>
        <b val="true"/>
        <sz val="13"/>
        <color rgb="FF1F3864"/>
        <rFont val="Arial"/>
        <family val="0"/>
        <charset val="1"/>
      </rPr>
      <t xml:space="preserve">4</t>
    </r>
    <r>
      <rPr>
        <b val="true"/>
        <sz val="13"/>
        <color rgb="FF1F3864"/>
        <rFont val="Noto Sans CJK SC"/>
        <family val="2"/>
      </rPr>
      <t xml:space="preserve">パターン）</t>
    </r>
  </si>
  <si>
    <t xml:space="preserve">選択シナリオ →</t>
  </si>
  <si>
    <t xml:space="preserve">標準</t>
  </si>
  <si>
    <r>
      <rPr>
        <i val="true"/>
        <sz val="9"/>
        <color rgb="FF808080"/>
        <rFont val="Arial"/>
        <family val="0"/>
        <charset val="1"/>
      </rPr>
      <t xml:space="preserve">B2</t>
    </r>
    <r>
      <rPr>
        <i val="true"/>
        <sz val="9"/>
        <color rgb="FF808080"/>
        <rFont val="Noto Sans CJK SC"/>
        <family val="2"/>
      </rPr>
      <t xml:space="preserve">で全シート自動更新</t>
    </r>
  </si>
  <si>
    <t xml:space="preserve">パラメータ</t>
  </si>
  <si>
    <t xml:space="preserve">楽観</t>
  </si>
  <si>
    <t xml:space="preserve">悲観</t>
  </si>
  <si>
    <t xml:space="preserve">最悪</t>
  </si>
  <si>
    <r>
      <rPr>
        <b val="true"/>
        <sz val="11"/>
        <color rgb="FFFFFFFF"/>
        <rFont val="Noto Sans CJK SC"/>
        <family val="2"/>
      </rPr>
      <t xml:space="preserve">選択中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自動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</si>
  <si>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備考</t>
  </si>
  <si>
    <r>
      <rPr>
        <sz val="11"/>
        <rFont val="Noto Sans CJK SC"/>
        <family val="2"/>
      </rPr>
      <t xml:space="preserve">平均月会費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税抜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</si>
  <si>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8</t>
    </r>
    <r>
      <rPr>
        <i val="true"/>
        <sz val="9"/>
        <color rgb="FF808080"/>
        <rFont val="Noto Sans CJK SC"/>
        <family val="2"/>
      </rPr>
      <t xml:space="preserve">月値上げ後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レギュラー</t>
    </r>
    <r>
      <rPr>
        <i val="true"/>
        <sz val="9"/>
        <color rgb="FF808080"/>
        <rFont val="Arial"/>
        <family val="0"/>
        <charset val="1"/>
      </rPr>
      <t xml:space="preserve">19,800/</t>
    </r>
    <r>
      <rPr>
        <i val="true"/>
        <sz val="9"/>
        <color rgb="FF808080"/>
        <rFont val="Noto Sans CJK SC"/>
        <family val="2"/>
      </rPr>
      <t xml:space="preserve">マスター</t>
    </r>
    <r>
      <rPr>
        <i val="true"/>
        <sz val="9"/>
        <color rgb="FF808080"/>
        <rFont val="Arial"/>
        <family val="0"/>
        <charset val="1"/>
      </rPr>
      <t xml:space="preserve">24,800</t>
    </r>
    <r>
      <rPr>
        <i val="true"/>
        <sz val="9"/>
        <color rgb="FF808080"/>
        <rFont val="Noto Sans CJK SC"/>
        <family val="2"/>
      </rPr>
      <t xml:space="preserve">等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の加重平均を保守補正</t>
    </r>
  </si>
  <si>
    <r>
      <rPr>
        <sz val="11"/>
        <rFont val="Noto Sans CJK SC"/>
        <family val="2"/>
      </rPr>
      <t xml:space="preserve">入会率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体験→入会</t>
    </r>
    <r>
      <rPr>
        <sz val="11"/>
        <rFont val="Arial"/>
        <family val="0"/>
        <charset val="1"/>
      </rPr>
      <t xml:space="preserve">)</t>
    </r>
  </si>
  <si>
    <t xml:space="preserve">宝塚の高転換を参考に保守設定</t>
  </si>
  <si>
    <r>
      <rPr>
        <sz val="11"/>
        <rFont val="Noto Sans CJK SC"/>
        <family val="2"/>
      </rPr>
      <t xml:space="preserve">退会率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月次</t>
    </r>
    <r>
      <rPr>
        <sz val="11"/>
        <rFont val="Arial"/>
        <family val="0"/>
        <charset val="1"/>
      </rPr>
      <t xml:space="preserve">)</t>
    </r>
  </si>
  <si>
    <t xml:space="preserve">相互利用で定着改善を見込むが保守</t>
  </si>
  <si>
    <r>
      <rPr>
        <sz val="11"/>
        <rFont val="Noto Sans CJK SC"/>
        <family val="2"/>
      </rPr>
      <t xml:space="preserve">月間体験数 </t>
    </r>
    <r>
      <rPr>
        <sz val="11"/>
        <rFont val="Arial"/>
        <family val="0"/>
        <charset val="1"/>
      </rPr>
      <t xml:space="preserve">Y1</t>
    </r>
  </si>
  <si>
    <t xml:space="preserve">初年度</t>
  </si>
  <si>
    <r>
      <rPr>
        <sz val="11"/>
        <rFont val="Noto Sans CJK SC"/>
        <family val="2"/>
      </rPr>
      <t xml:space="preserve">月間体験数 </t>
    </r>
    <r>
      <rPr>
        <sz val="11"/>
        <rFont val="Arial"/>
        <family val="0"/>
        <charset val="1"/>
      </rPr>
      <t xml:space="preserve">Y2</t>
    </r>
  </si>
  <si>
    <r>
      <rPr>
        <sz val="11"/>
        <rFont val="Noto Sans CJK SC"/>
        <family val="2"/>
      </rPr>
      <t xml:space="preserve">月間体験数 </t>
    </r>
    <r>
      <rPr>
        <sz val="11"/>
        <rFont val="Arial"/>
        <family val="0"/>
        <charset val="1"/>
      </rPr>
      <t xml:space="preserve">Y3</t>
    </r>
  </si>
  <si>
    <r>
      <rPr>
        <sz val="11"/>
        <rFont val="Noto Sans CJK SC"/>
        <family val="2"/>
      </rPr>
      <t xml:space="preserve">広告費 開業</t>
    </r>
    <r>
      <rPr>
        <sz val="11"/>
        <rFont val="Arial"/>
        <family val="0"/>
        <charset val="1"/>
      </rPr>
      <t xml:space="preserve">1-3</t>
    </r>
    <r>
      <rPr>
        <sz val="11"/>
        <rFont val="Noto Sans CJK SC"/>
        <family val="2"/>
      </rPr>
      <t xml:space="preserve">ヶ月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</si>
  <si>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t xml:space="preserve">大型店の開業集客</t>
  </si>
  <si>
    <r>
      <rPr>
        <sz val="11"/>
        <rFont val="Noto Sans CJK SC"/>
        <family val="2"/>
      </rPr>
      <t xml:space="preserve">広告費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ヶ月目以降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</si>
  <si>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人件費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</si>
  <si>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3-5</t>
    </r>
    <r>
      <rPr>
        <i val="true"/>
        <sz val="9"/>
        <color rgb="FF808080"/>
        <rFont val="Noto Sans CJK SC"/>
        <family val="2"/>
      </rPr>
      <t xml:space="preserve">打席・一部有人。最悪は増員</t>
    </r>
  </si>
  <si>
    <r>
      <rPr>
        <sz val="11"/>
        <rFont val="Noto Sans CJK SC"/>
        <family val="2"/>
      </rPr>
      <t xml:space="preserve">物販</t>
    </r>
    <r>
      <rPr>
        <sz val="11"/>
        <rFont val="Arial"/>
        <family val="0"/>
        <charset val="1"/>
      </rPr>
      <t xml:space="preserve">ARPU(</t>
    </r>
    <r>
      <rPr>
        <sz val="11"/>
        <rFont val="Noto Sans CJK SC"/>
        <family val="2"/>
      </rPr>
      <t xml:space="preserve">会員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</si>
  <si>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t xml:space="preserve">開業時先行会員数</t>
  </si>
  <si>
    <t xml:space="preserve">宝塚会員の相互利用移行含む</t>
  </si>
  <si>
    <r>
      <rPr>
        <sz val="11"/>
        <rFont val="Noto Sans CJK SC"/>
        <family val="2"/>
      </rPr>
      <t xml:space="preserve">追加</t>
    </r>
    <r>
      <rPr>
        <sz val="11"/>
        <rFont val="Arial"/>
        <family val="0"/>
        <charset val="1"/>
      </rPr>
      <t xml:space="preserve">CAPEX(</t>
    </r>
    <r>
      <rPr>
        <sz val="11"/>
        <rFont val="Noto Sans CJK SC"/>
        <family val="2"/>
      </rPr>
      <t xml:space="preserve">初期不良等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</si>
  <si>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悲観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最悪</t>
    </r>
  </si>
  <si>
    <t xml:space="preserve">前提条件（入力の集約）</t>
  </si>
  <si>
    <r>
      <rPr>
        <i val="true"/>
        <sz val="9"/>
        <color rgb="FF808080"/>
        <rFont val="Noto Sans CJK SC"/>
        <family val="2"/>
      </rPr>
      <t xml:space="preserve">黄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入力／緑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参照。打席数・坪数を変えると会員上限・内装・機材・家賃が自動連動</t>
    </r>
  </si>
  <si>
    <t xml:space="preserve">■ 店舗規模・基本前提</t>
  </si>
  <si>
    <r>
      <rPr>
        <sz val="11"/>
        <rFont val="Noto Sans CJK SC"/>
        <family val="2"/>
      </rPr>
      <t xml:space="preserve">会員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打席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上限係数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</si>
  <si>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入会金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税抜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</si>
  <si>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体験単価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税抜</t>
    </r>
    <r>
      <rPr>
        <sz val="11"/>
        <rFont val="Arial"/>
        <family val="0"/>
        <charset val="1"/>
      </rPr>
      <t xml:space="preserve">)</t>
    </r>
  </si>
  <si>
    <t xml:space="preserve">物販原価率</t>
  </si>
  <si>
    <t xml:space="preserve">決済手数料率</t>
  </si>
  <si>
    <t xml:space="preserve">決済適用率</t>
  </si>
  <si>
    <r>
      <rPr>
        <sz val="11"/>
        <rFont val="Noto Sans CJK SC"/>
        <family val="2"/>
      </rPr>
      <t xml:space="preserve">減価償却年数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設備</t>
    </r>
    <r>
      <rPr>
        <sz val="11"/>
        <rFont val="Arial"/>
        <family val="0"/>
        <charset val="1"/>
      </rPr>
      <t xml:space="preserve">)</t>
    </r>
  </si>
  <si>
    <t xml:space="preserve">実効税率</t>
  </si>
  <si>
    <r>
      <rPr>
        <sz val="11"/>
        <rFont val="Noto Sans CJK SC"/>
        <family val="2"/>
      </rPr>
      <t xml:space="preserve">賃料坪単価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</si>
  <si>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内装坪単価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非居抜き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</si>
  <si>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シミュレーター単価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打席</t>
    </r>
  </si>
  <si>
    <r>
      <rPr>
        <sz val="11"/>
        <rFont val="Noto Sans CJK SC"/>
        <family val="2"/>
      </rPr>
      <t xml:space="preserve">光熱費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</si>
  <si>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通信費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</si>
  <si>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保険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</si>
  <si>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システム費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</si>
  <si>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清掃費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</si>
  <si>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修繕・設備更新積立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</si>
  <si>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消耗品費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</si>
  <si>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税理士費用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</si>
  <si>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予備費率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対その他固定費</t>
    </r>
    <r>
      <rPr>
        <sz val="11"/>
        <rFont val="Arial"/>
        <family val="0"/>
        <charset val="1"/>
      </rPr>
      <t xml:space="preserve">)</t>
    </r>
  </si>
  <si>
    <t xml:space="preserve">保証金月数</t>
  </si>
  <si>
    <r>
      <rPr>
        <sz val="11"/>
        <rFont val="Noto Sans CJK SC"/>
        <family val="2"/>
      </rPr>
      <t xml:space="preserve">会員上限</t>
    </r>
    <r>
      <rPr>
        <sz val="11"/>
        <rFont val="Arial"/>
        <family val="0"/>
        <charset val="1"/>
      </rPr>
      <t xml:space="preserve">(=</t>
    </r>
    <r>
      <rPr>
        <sz val="11"/>
        <rFont val="Noto Sans CJK SC"/>
        <family val="2"/>
      </rPr>
      <t xml:space="preserve">打席</t>
    </r>
    <r>
      <rPr>
        <sz val="11"/>
        <rFont val="Arial"/>
        <family val="0"/>
        <charset val="1"/>
      </rPr>
      <t xml:space="preserve">×</t>
    </r>
    <r>
      <rPr>
        <sz val="11"/>
        <rFont val="Noto Sans CJK SC"/>
        <family val="2"/>
      </rPr>
      <t xml:space="preserve">係数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</si>
  <si>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家賃</t>
    </r>
    <r>
      <rPr>
        <sz val="11"/>
        <rFont val="Arial"/>
        <family val="0"/>
        <charset val="1"/>
      </rPr>
      <t xml:space="preserve">(=</t>
    </r>
    <r>
      <rPr>
        <sz val="11"/>
        <rFont val="Noto Sans CJK SC"/>
        <family val="2"/>
      </rPr>
      <t xml:space="preserve">坪数</t>
    </r>
    <r>
      <rPr>
        <sz val="11"/>
        <rFont val="Arial"/>
        <family val="0"/>
        <charset val="1"/>
      </rPr>
      <t xml:space="preserve">×</t>
    </r>
    <r>
      <rPr>
        <sz val="11"/>
        <rFont val="Noto Sans CJK SC"/>
        <family val="2"/>
      </rPr>
      <t xml:space="preserve">賃料坪単価</t>
    </r>
    <r>
      <rPr>
        <sz val="11"/>
        <rFont val="Arial"/>
        <family val="0"/>
        <charset val="1"/>
      </rPr>
      <t xml:space="preserve">)</t>
    </r>
  </si>
  <si>
    <t xml:space="preserve">■ 選択シナリオ反映値（自動）</t>
  </si>
  <si>
    <t xml:space="preserve">入会率</t>
  </si>
  <si>
    <r>
      <rPr>
        <sz val="11"/>
        <rFont val="Noto Sans CJK SC"/>
        <family val="2"/>
      </rPr>
      <t xml:space="preserve">退会率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</si>
  <si>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物販</t>
    </r>
    <r>
      <rPr>
        <sz val="11"/>
        <rFont val="Arial"/>
        <family val="0"/>
        <charset val="1"/>
      </rPr>
      <t xml:space="preserve">ARPU(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</si>
  <si>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追加</t>
    </r>
    <r>
      <rPr>
        <sz val="11"/>
        <rFont val="Arial"/>
        <family val="0"/>
        <charset val="1"/>
      </rPr>
      <t xml:space="preserve">CAPEX</t>
    </r>
  </si>
  <si>
    <t xml:space="preserve">その他固定費小計</t>
  </si>
  <si>
    <t xml:space="preserve">予備費</t>
  </si>
  <si>
    <t xml:space="preserve">その他固定費 計</t>
  </si>
  <si>
    <t xml:space="preserve">■ 前受け（月会費先取り）</t>
  </si>
  <si>
    <r>
      <rPr>
        <sz val="11"/>
        <rFont val="Noto Sans CJK SC"/>
        <family val="2"/>
      </rPr>
      <t xml:space="preserve">前受け</t>
    </r>
    <r>
      <rPr>
        <sz val="11"/>
        <rFont val="Arial"/>
        <family val="0"/>
        <charset val="1"/>
      </rPr>
      <t xml:space="preserve">ON(1=</t>
    </r>
    <r>
      <rPr>
        <sz val="11"/>
        <rFont val="Noto Sans CJK SC"/>
        <family val="2"/>
      </rPr>
      <t xml:space="preserve">有効</t>
    </r>
    <r>
      <rPr>
        <sz val="11"/>
        <rFont val="Arial"/>
        <family val="0"/>
        <charset val="1"/>
      </rPr>
      <t xml:space="preserve">,0=</t>
    </r>
    <r>
      <rPr>
        <sz val="11"/>
        <rFont val="Noto Sans CJK SC"/>
        <family val="2"/>
      </rPr>
      <t xml:space="preserve">無効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</si>
  <si>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前受けフロート係数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月分</t>
    </r>
    <r>
      <rPr>
        <sz val="11"/>
        <rFont val="Arial"/>
        <family val="0"/>
        <charset val="1"/>
      </rPr>
      <t xml:space="preserve">)</t>
    </r>
  </si>
  <si>
    <t xml:space="preserve">■ 後日投資（防犯・セキュリティ）</t>
  </si>
  <si>
    <t xml:space="preserve">防犯・セキュリティ投資額</t>
  </si>
  <si>
    <r>
      <rPr>
        <sz val="11"/>
        <rFont val="Noto Sans CJK SC"/>
        <family val="2"/>
      </rPr>
      <t xml:space="preserve">実施月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開業何ヶ月後</t>
    </r>
    <r>
      <rPr>
        <sz val="11"/>
        <rFont val="Arial"/>
        <family val="0"/>
        <charset val="1"/>
      </rPr>
      <t xml:space="preserve">)</t>
    </r>
  </si>
  <si>
    <r>
      <rPr>
        <b val="true"/>
        <sz val="13"/>
        <color rgb="FF1F3864"/>
        <rFont val="Noto Sans CJK SC"/>
        <family val="2"/>
      </rPr>
      <t xml:space="preserve">初期投資（</t>
    </r>
    <r>
      <rPr>
        <b val="true"/>
        <sz val="13"/>
        <color rgb="FF1F3864"/>
        <rFont val="Arial"/>
        <family val="0"/>
        <charset val="1"/>
      </rPr>
      <t xml:space="preserve">CAPEX</t>
    </r>
    <r>
      <rPr>
        <b val="true"/>
        <sz val="13"/>
        <color rgb="FF1F3864"/>
        <rFont val="Noto Sans CJK SC"/>
        <family val="2"/>
      </rPr>
      <t xml:space="preserve">）内訳 ※非居抜き</t>
    </r>
  </si>
  <si>
    <r>
      <rPr>
        <i val="true"/>
        <sz val="9"/>
        <color rgb="FF808080"/>
        <rFont val="Noto Sans CJK SC"/>
        <family val="2"/>
      </rPr>
      <t xml:space="preserve">内装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坪数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Noto Sans CJK SC"/>
        <family val="2"/>
      </rPr>
      <t xml:space="preserve">内装坪単価、機材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打席数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Noto Sans CJK SC"/>
        <family val="2"/>
      </rPr>
      <t xml:space="preserve">単価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打席 で自動連動。防犯は初期投資外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開業</t>
    </r>
    <r>
      <rPr>
        <i val="true"/>
        <sz val="9"/>
        <color rgb="FF808080"/>
        <rFont val="Arial"/>
        <family val="0"/>
        <charset val="1"/>
      </rPr>
      <t xml:space="preserve">N </t>
    </r>
    <r>
      <rPr>
        <i val="true"/>
        <sz val="9"/>
        <color rgb="FF808080"/>
        <rFont val="Noto Sans CJK SC"/>
        <family val="2"/>
      </rPr>
      <t xml:space="preserve">ヶ月後</t>
    </r>
    <r>
      <rPr>
        <i val="true"/>
        <sz val="9"/>
        <color rgb="FF808080"/>
        <rFont val="Arial"/>
        <family val="0"/>
        <charset val="1"/>
      </rPr>
      <t xml:space="preserve">)</t>
    </r>
  </si>
  <si>
    <t xml:space="preserve">項目</t>
  </si>
  <si>
    <t xml:space="preserve">金額</t>
  </si>
  <si>
    <r>
      <rPr>
        <sz val="11"/>
        <rFont val="Noto Sans CJK SC"/>
        <family val="2"/>
      </rPr>
      <t xml:space="preserve">内装工事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非居抜き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</si>
  <si>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坪数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Noto Sans CJK SC"/>
        <family val="2"/>
      </rPr>
      <t xml:space="preserve">坪単価。スケルトンから造作・打席ブース</t>
    </r>
  </si>
  <si>
    <t xml:space="preserve">電気工事</t>
  </si>
  <si>
    <t xml:space="preserve">分電盤・打席電源・照明</t>
  </si>
  <si>
    <t xml:space="preserve">空調・換気・設備工事</t>
  </si>
  <si>
    <t xml:space="preserve">大型・打席発熱対応</t>
  </si>
  <si>
    <t xml:space="preserve">防音・安全対策</t>
  </si>
  <si>
    <t xml:space="preserve">防音・防球・防護</t>
  </si>
  <si>
    <t xml:space="preserve">シミュレーター・機材</t>
  </si>
  <si>
    <r>
      <rPr>
        <i val="true"/>
        <sz val="9"/>
        <color rgb="FF808080"/>
        <rFont val="Noto Sans CJK SC"/>
        <family val="2"/>
      </rPr>
      <t xml:space="preserve">打席数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Noto Sans CJK SC"/>
        <family val="2"/>
      </rPr>
      <t xml:space="preserve">単価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打席</t>
    </r>
  </si>
  <si>
    <r>
      <rPr>
        <sz val="11"/>
        <rFont val="Arial"/>
        <family val="0"/>
        <charset val="1"/>
      </rPr>
      <t xml:space="preserve">PC</t>
    </r>
    <r>
      <rPr>
        <sz val="11"/>
        <rFont val="Noto Sans CJK SC"/>
        <family val="2"/>
      </rPr>
      <t xml:space="preserve">・ネットワーク・</t>
    </r>
    <r>
      <rPr>
        <sz val="11"/>
        <rFont val="Arial"/>
        <family val="0"/>
        <charset val="1"/>
      </rPr>
      <t xml:space="preserve">AV</t>
    </r>
  </si>
  <si>
    <t xml:space="preserve">什器・備品</t>
  </si>
  <si>
    <t xml:space="preserve">看板・サイン</t>
  </si>
  <si>
    <r>
      <rPr>
        <sz val="11"/>
        <rFont val="Noto Sans CJK SC"/>
        <family val="2"/>
      </rPr>
      <t xml:space="preserve">決済・</t>
    </r>
    <r>
      <rPr>
        <sz val="11"/>
        <rFont val="Arial"/>
        <family val="0"/>
        <charset val="1"/>
      </rPr>
      <t xml:space="preserve">POS</t>
    </r>
    <r>
      <rPr>
        <sz val="11"/>
        <rFont val="Noto Sans CJK SC"/>
        <family val="2"/>
      </rPr>
      <t xml:space="preserve">環境</t>
    </r>
  </si>
  <si>
    <r>
      <rPr>
        <sz val="11"/>
        <rFont val="Arial"/>
        <family val="0"/>
        <charset val="1"/>
      </rPr>
      <t xml:space="preserve">HP</t>
    </r>
    <r>
      <rPr>
        <sz val="11"/>
        <rFont val="Noto Sans CJK SC"/>
        <family val="2"/>
      </rPr>
      <t xml:space="preserve">制作・初期ブランディング</t>
    </r>
  </si>
  <si>
    <t xml:space="preserve">YOZAN WEB</t>
  </si>
  <si>
    <r>
      <rPr>
        <sz val="11"/>
        <rFont val="Noto Sans CJK SC"/>
        <family val="2"/>
      </rPr>
      <t xml:space="preserve">開業前費用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採用・研修・内覧</t>
    </r>
    <r>
      <rPr>
        <sz val="11"/>
        <rFont val="Arial"/>
        <family val="0"/>
        <charset val="1"/>
      </rPr>
      <t xml:space="preserve">)</t>
    </r>
  </si>
  <si>
    <t xml:space="preserve">設備小計</t>
  </si>
  <si>
    <r>
      <rPr>
        <b val="true"/>
        <sz val="11"/>
        <color rgb="FF1F3864"/>
        <rFont val="Noto Sans CJK SC"/>
        <family val="2"/>
      </rPr>
      <t xml:space="preserve">予備費</t>
    </r>
    <r>
      <rPr>
        <b val="true"/>
        <sz val="11"/>
        <color rgb="FF1F3864"/>
        <rFont val="Arial"/>
        <family val="0"/>
        <charset val="1"/>
      </rPr>
      <t xml:space="preserve">(10%)</t>
    </r>
  </si>
  <si>
    <r>
      <rPr>
        <b val="true"/>
        <sz val="11"/>
        <color rgb="FF1F3864"/>
        <rFont val="Arial"/>
        <family val="0"/>
        <charset val="1"/>
      </rPr>
      <t xml:space="preserve">CAPEX</t>
    </r>
    <r>
      <rPr>
        <b val="true"/>
        <sz val="11"/>
        <color rgb="FF1F3864"/>
        <rFont val="Noto Sans CJK SC"/>
        <family val="2"/>
      </rPr>
      <t xml:space="preserve">計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減価償却対象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</si>
  <si>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保証金・敷金</t>
  </si>
  <si>
    <r>
      <rPr>
        <b val="true"/>
        <sz val="11"/>
        <color rgb="FF1F3864"/>
        <rFont val="Noto Sans CJK SC"/>
        <family val="2"/>
      </rPr>
      <t xml:space="preserve">追加</t>
    </r>
    <r>
      <rPr>
        <b val="true"/>
        <sz val="11"/>
        <color rgb="FF1F3864"/>
        <rFont val="Arial"/>
        <family val="0"/>
        <charset val="1"/>
      </rPr>
      <t xml:space="preserve">CAPEX(</t>
    </r>
    <r>
      <rPr>
        <b val="true"/>
        <sz val="11"/>
        <color rgb="FF1F3864"/>
        <rFont val="Noto Sans CJK SC"/>
        <family val="2"/>
      </rPr>
      <t xml:space="preserve">シナリオ</t>
    </r>
    <r>
      <rPr>
        <b val="true"/>
        <sz val="11"/>
        <color rgb="FF1F3864"/>
        <rFont val="Arial"/>
        <family val="0"/>
        <charset val="1"/>
      </rPr>
      <t xml:space="preserve">)</t>
    </r>
  </si>
  <si>
    <r>
      <rPr>
        <b val="true"/>
        <sz val="13"/>
        <color rgb="FF1F3864"/>
        <rFont val="Noto Sans CJK SC"/>
        <family val="2"/>
      </rPr>
      <t xml:space="preserve">月次コスト内訳（</t>
    </r>
    <r>
      <rPr>
        <b val="true"/>
        <sz val="13"/>
        <color rgb="FF1F3864"/>
        <rFont val="Arial"/>
        <family val="0"/>
        <charset val="1"/>
      </rPr>
      <t xml:space="preserve">OPEX</t>
    </r>
    <r>
      <rPr>
        <b val="true"/>
        <sz val="13"/>
        <color rgb="FF1F3864"/>
        <rFont val="Noto Sans CJK SC"/>
        <family val="2"/>
      </rPr>
      <t xml:space="preserve">）</t>
    </r>
  </si>
  <si>
    <t xml:space="preserve">区分</t>
  </si>
  <si>
    <r>
      <rPr>
        <b val="true"/>
        <sz val="11"/>
        <color rgb="FFFFFFFF"/>
        <rFont val="Noto Sans CJK SC"/>
        <family val="2"/>
      </rPr>
      <t xml:space="preserve">金額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</si>
  <si>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種別</t>
  </si>
  <si>
    <t xml:space="preserve">固定費</t>
  </si>
  <si>
    <r>
      <rPr>
        <sz val="11"/>
        <color theme="1"/>
        <rFont val="Noto Sans CJK SC"/>
        <family val="2"/>
      </rPr>
      <t xml:space="preserve">家賃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坪数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坪単価</t>
    </r>
    <r>
      <rPr>
        <sz val="11"/>
        <color theme="1"/>
        <rFont val="Calibri"/>
        <family val="2"/>
        <charset val="1"/>
      </rPr>
      <t xml:space="preserve">)</t>
    </r>
  </si>
  <si>
    <t xml:space="preserve">固定</t>
  </si>
  <si>
    <t xml:space="preserve">人件費</t>
  </si>
  <si>
    <r>
      <rPr>
        <sz val="11"/>
        <color theme="1"/>
        <rFont val="Noto Sans CJK SC"/>
        <family val="2"/>
      </rPr>
      <t xml:space="preserve">固定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シナリオ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</si>
  <si>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広告費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開業</t>
    </r>
    <r>
      <rPr>
        <sz val="11"/>
        <color theme="1"/>
        <rFont val="Calibri"/>
        <family val="2"/>
        <charset val="1"/>
      </rPr>
      <t xml:space="preserve">1-3</t>
    </r>
    <r>
      <rPr>
        <sz val="11"/>
        <color theme="1"/>
        <rFont val="Noto Sans CJK SC"/>
        <family val="2"/>
      </rPr>
      <t xml:space="preserve">ヶ月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</si>
  <si>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固定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期間変動</t>
    </r>
    <r>
      <rPr>
        <sz val="11"/>
        <color theme="1"/>
        <rFont val="Calibri"/>
        <family val="2"/>
        <charset val="1"/>
      </rPr>
      <t xml:space="preserve">)</t>
    </r>
  </si>
  <si>
    <t xml:space="preserve">開業直後</t>
  </si>
  <si>
    <r>
      <rPr>
        <sz val="11"/>
        <color theme="1"/>
        <rFont val="Noto Sans CJK SC"/>
        <family val="2"/>
      </rPr>
      <t xml:space="preserve">広告費</t>
    </r>
    <r>
      <rPr>
        <sz val="11"/>
        <color theme="1"/>
        <rFont val="Calibri"/>
        <family val="2"/>
        <charset val="1"/>
      </rPr>
      <t xml:space="preserve">(4</t>
    </r>
    <r>
      <rPr>
        <sz val="11"/>
        <color theme="1"/>
        <rFont val="Noto Sans CJK SC"/>
        <family val="2"/>
      </rPr>
      <t xml:space="preserve">ヶ月〜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</si>
  <si>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4</t>
    </r>
    <r>
      <rPr>
        <i val="true"/>
        <sz val="9"/>
        <color rgb="FF808080"/>
        <rFont val="Noto Sans CJK SC"/>
        <family val="2"/>
      </rPr>
      <t xml:space="preserve">ヶ月目以降</t>
    </r>
  </si>
  <si>
    <t xml:space="preserve">光熱費</t>
  </si>
  <si>
    <t xml:space="preserve">通信費</t>
  </si>
  <si>
    <t xml:space="preserve">保険</t>
  </si>
  <si>
    <t xml:space="preserve">システム費</t>
  </si>
  <si>
    <r>
      <rPr>
        <i val="true"/>
        <sz val="9"/>
        <color rgb="FF808080"/>
        <rFont val="Noto Sans CJK SC"/>
        <family val="2"/>
      </rPr>
      <t xml:space="preserve">自社</t>
    </r>
    <r>
      <rPr>
        <i val="true"/>
        <sz val="9"/>
        <color rgb="FF808080"/>
        <rFont val="Arial"/>
        <family val="0"/>
        <charset val="1"/>
      </rPr>
      <t xml:space="preserve">Genesis</t>
    </r>
  </si>
  <si>
    <t xml:space="preserve">清掃費</t>
  </si>
  <si>
    <t xml:space="preserve">修繕・設備更新積立</t>
  </si>
  <si>
    <t xml:space="preserve">消耗品費</t>
  </si>
  <si>
    <t xml:space="preserve">税理士費用</t>
  </si>
  <si>
    <r>
      <rPr>
        <i val="true"/>
        <sz val="9"/>
        <color rgb="FF808080"/>
        <rFont val="Arial"/>
        <family val="0"/>
        <charset val="1"/>
      </rPr>
      <t xml:space="preserve">YOZAN</t>
    </r>
    <r>
      <rPr>
        <i val="true"/>
        <sz val="9"/>
        <color rgb="FF808080"/>
        <rFont val="Noto Sans CJK SC"/>
        <family val="2"/>
      </rPr>
      <t xml:space="preserve">税理士</t>
    </r>
    <r>
      <rPr>
        <i val="true"/>
        <sz val="9"/>
        <color rgb="FF808080"/>
        <rFont val="Arial"/>
        <family val="0"/>
        <charset val="1"/>
      </rPr>
      <t xml:space="preserve">=0</t>
    </r>
  </si>
  <si>
    <t xml:space="preserve">変動費</t>
  </si>
  <si>
    <t xml:space="preserve">決済手数料</t>
  </si>
  <si>
    <r>
      <rPr>
        <i val="true"/>
        <sz val="9"/>
        <color rgb="FF808080"/>
        <rFont val="Noto Sans CJK SC"/>
        <family val="2"/>
      </rPr>
      <t xml:space="preserve">売上</t>
    </r>
    <r>
      <rPr>
        <i val="true"/>
        <sz val="9"/>
        <color rgb="FF808080"/>
        <rFont val="Arial"/>
        <family val="0"/>
        <charset val="1"/>
      </rPr>
      <t xml:space="preserve">×3%×</t>
    </r>
    <r>
      <rPr>
        <i val="true"/>
        <sz val="9"/>
        <color rgb="FF808080"/>
        <rFont val="Noto Sans CJK SC"/>
        <family val="2"/>
      </rPr>
      <t xml:space="preserve">適用率</t>
    </r>
  </si>
  <si>
    <t xml:space="preserve">変動</t>
  </si>
  <si>
    <t xml:space="preserve">Monthly_PL</t>
  </si>
  <si>
    <t xml:space="preserve">物販原価</t>
  </si>
  <si>
    <r>
      <rPr>
        <i val="true"/>
        <sz val="9"/>
        <color rgb="FF808080"/>
        <rFont val="Noto Sans CJK SC"/>
        <family val="2"/>
      </rPr>
      <t xml:space="preserve">物販売上</t>
    </r>
    <r>
      <rPr>
        <i val="true"/>
        <sz val="9"/>
        <color rgb="FF808080"/>
        <rFont val="Arial"/>
        <family val="0"/>
        <charset val="1"/>
      </rPr>
      <t xml:space="preserve">×65%</t>
    </r>
  </si>
  <si>
    <r>
      <rPr>
        <b val="true"/>
        <sz val="13"/>
        <color rgb="FF1F3864"/>
        <rFont val="Noto Sans CJK SC"/>
        <family val="2"/>
      </rPr>
      <t xml:space="preserve">月次損益計画（</t>
    </r>
    <r>
      <rPr>
        <b val="true"/>
        <sz val="13"/>
        <color rgb="FF1F3864"/>
        <rFont val="Arial"/>
        <family val="0"/>
        <charset val="1"/>
      </rPr>
      <t xml:space="preserve">36</t>
    </r>
    <r>
      <rPr>
        <b val="true"/>
        <sz val="13"/>
        <color rgb="FF1F3864"/>
        <rFont val="Noto Sans CJK SC"/>
        <family val="2"/>
      </rPr>
      <t xml:space="preserve">ヶ月）</t>
    </r>
  </si>
  <si>
    <t xml:space="preserve">月</t>
  </si>
  <si>
    <t xml:space="preserve">年</t>
  </si>
  <si>
    <t xml:space="preserve">期首会員</t>
  </si>
  <si>
    <t xml:space="preserve">体験数</t>
  </si>
  <si>
    <t xml:space="preserve">入会数</t>
  </si>
  <si>
    <t xml:space="preserve">退会数</t>
  </si>
  <si>
    <t xml:space="preserve">期末会員</t>
  </si>
  <si>
    <t xml:space="preserve">月会費売上</t>
  </si>
  <si>
    <t xml:space="preserve">入会金売上</t>
  </si>
  <si>
    <t xml:space="preserve">体験売上</t>
  </si>
  <si>
    <t xml:space="preserve">物販売上</t>
  </si>
  <si>
    <t xml:space="preserve">売上合計</t>
  </si>
  <si>
    <t xml:space="preserve">変動費計</t>
  </si>
  <si>
    <t xml:space="preserve">家賃</t>
  </si>
  <si>
    <t xml:space="preserve">広告費</t>
  </si>
  <si>
    <t xml:space="preserve">その他固定費</t>
  </si>
  <si>
    <t xml:space="preserve">固定費計</t>
  </si>
  <si>
    <t xml:space="preserve">減価償却</t>
  </si>
  <si>
    <t xml:space="preserve">税前利益</t>
  </si>
  <si>
    <t xml:space="preserve">法人税等</t>
  </si>
  <si>
    <t xml:space="preserve">月次キャッシュフロー</t>
  </si>
  <si>
    <r>
      <rPr>
        <i val="true"/>
        <sz val="9"/>
        <color rgb="FF808080"/>
        <rFont val="Noto Sans CJK SC"/>
        <family val="2"/>
      </rPr>
      <t xml:space="preserve">期末現金マイナス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資金ショート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赤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。営業</t>
    </r>
    <r>
      <rPr>
        <i val="true"/>
        <sz val="9"/>
        <color rgb="FF808080"/>
        <rFont val="Arial"/>
        <family val="0"/>
        <charset val="1"/>
      </rPr>
      <t xml:space="preserve">CF=</t>
    </r>
    <r>
      <rPr>
        <i val="true"/>
        <sz val="9"/>
        <color rgb="FF808080"/>
        <rFont val="Noto Sans CJK SC"/>
        <family val="2"/>
      </rPr>
      <t xml:space="preserve">税引後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Noto Sans CJK SC"/>
        <family val="2"/>
      </rPr>
      <t xml:space="preserve">減価償却。前受け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運転資本。</t>
    </r>
  </si>
  <si>
    <r>
      <rPr>
        <b val="true"/>
        <sz val="11"/>
        <color rgb="FFFFFFFF"/>
        <rFont val="Noto Sans CJK SC"/>
        <family val="2"/>
      </rPr>
      <t xml:space="preserve">営業</t>
    </r>
    <r>
      <rPr>
        <b val="true"/>
        <sz val="11"/>
        <color rgb="FFFFFFFF"/>
        <rFont val="Arial"/>
        <family val="0"/>
        <charset val="1"/>
      </rPr>
      <t xml:space="preserve">CF</t>
    </r>
  </si>
  <si>
    <r>
      <rPr>
        <b val="true"/>
        <sz val="11"/>
        <color rgb="FFFFFFFF"/>
        <rFont val="Noto Sans CJK SC"/>
        <family val="2"/>
      </rPr>
      <t xml:space="preserve">投資</t>
    </r>
    <r>
      <rPr>
        <b val="true"/>
        <sz val="11"/>
        <color rgb="FFFFFFFF"/>
        <rFont val="Arial"/>
        <family val="0"/>
        <charset val="1"/>
      </rPr>
      <t xml:space="preserve">CF</t>
    </r>
  </si>
  <si>
    <r>
      <rPr>
        <b val="true"/>
        <sz val="11"/>
        <color rgb="FFFFFFFF"/>
        <rFont val="Noto Sans CJK SC"/>
        <family val="2"/>
      </rPr>
      <t xml:space="preserve">財務</t>
    </r>
    <r>
      <rPr>
        <b val="true"/>
        <sz val="11"/>
        <color rgb="FFFFFFFF"/>
        <rFont val="Arial"/>
        <family val="0"/>
        <charset val="1"/>
      </rPr>
      <t xml:space="preserve">CF</t>
    </r>
  </si>
  <si>
    <r>
      <rPr>
        <b val="true"/>
        <sz val="11"/>
        <color rgb="FFFFFFFF"/>
        <rFont val="Noto Sans CJK SC"/>
        <family val="2"/>
      </rPr>
      <t xml:space="preserve">前受け</t>
    </r>
    <r>
      <rPr>
        <b val="true"/>
        <sz val="11"/>
        <color rgb="FFFFFFFF"/>
        <rFont val="Arial"/>
        <family val="0"/>
        <charset val="1"/>
      </rPr>
      <t xml:space="preserve">CF(</t>
    </r>
    <r>
      <rPr>
        <b val="true"/>
        <sz val="11"/>
        <color rgb="FFFFFFFF"/>
        <rFont val="Noto Sans CJK SC"/>
        <family val="2"/>
      </rPr>
      <t xml:space="preserve">運転資本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</si>
  <si>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純増減</t>
  </si>
  <si>
    <t xml:space="preserve">期末現金</t>
  </si>
  <si>
    <r>
      <rPr>
        <b val="true"/>
        <sz val="11"/>
        <color rgb="FFFFFFFF"/>
        <rFont val="Noto Sans CJK SC"/>
        <family val="2"/>
      </rPr>
      <t xml:space="preserve">累計営業</t>
    </r>
    <r>
      <rPr>
        <b val="true"/>
        <sz val="11"/>
        <color rgb="FFFFFFFF"/>
        <rFont val="Arial"/>
        <family val="0"/>
        <charset val="1"/>
      </rPr>
      <t xml:space="preserve">CF</t>
    </r>
  </si>
  <si>
    <r>
      <rPr>
        <b val="true"/>
        <sz val="11"/>
        <color rgb="FFFFFFFF"/>
        <rFont val="Noto Sans CJK SC"/>
        <family val="2"/>
      </rPr>
      <t xml:space="preserve">回収判定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内部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</si>
  <si>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損益分岐点分析</t>
  </si>
  <si>
    <r>
      <rPr>
        <sz val="11"/>
        <rFont val="Noto Sans CJK SC"/>
        <family val="2"/>
      </rPr>
      <t xml:space="preserve">月固定費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定常</t>
    </r>
    <r>
      <rPr>
        <sz val="11"/>
        <rFont val="Arial"/>
        <family val="0"/>
        <charset val="1"/>
      </rPr>
      <t xml:space="preserve">/4</t>
    </r>
    <r>
      <rPr>
        <sz val="11"/>
        <rFont val="Noto Sans CJK SC"/>
        <family val="2"/>
      </rPr>
      <t xml:space="preserve">ヶ月〜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</si>
  <si>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物販</t>
    </r>
    <r>
      <rPr>
        <sz val="11"/>
        <rFont val="Arial"/>
        <family val="0"/>
        <charset val="1"/>
      </rPr>
      <t xml:space="preserve">ARPU</t>
    </r>
  </si>
  <si>
    <t xml:space="preserve">決済実効率</t>
  </si>
  <si>
    <t xml:space="preserve">会員あたり月次貢献</t>
  </si>
  <si>
    <t xml:space="preserve">損益分岐点 会員数</t>
  </si>
  <si>
    <r>
      <rPr>
        <sz val="11"/>
        <rFont val="Noto Sans CJK SC"/>
        <family val="2"/>
      </rPr>
      <t xml:space="preserve">会員上限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打席</t>
    </r>
    <r>
      <rPr>
        <sz val="11"/>
        <rFont val="Arial"/>
        <family val="0"/>
        <charset val="1"/>
      </rPr>
      <t xml:space="preserve">×</t>
    </r>
    <r>
      <rPr>
        <sz val="11"/>
        <rFont val="Noto Sans CJK SC"/>
        <family val="2"/>
      </rPr>
      <t xml:space="preserve">係数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</si>
  <si>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必要月商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概算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</si>
  <si>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現状会員</t>
    </r>
    <r>
      <rPr>
        <sz val="11"/>
        <rFont val="Arial"/>
        <family val="0"/>
        <charset val="1"/>
      </rPr>
      <t xml:space="preserve">(36</t>
    </r>
    <r>
      <rPr>
        <sz val="11"/>
        <rFont val="Noto Sans CJK SC"/>
        <family val="2"/>
      </rPr>
      <t xml:space="preserve">ヶ月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</si>
  <si>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BEP</t>
    </r>
    <r>
      <rPr>
        <sz val="11"/>
        <rFont val="Noto Sans CJK SC"/>
        <family val="2"/>
      </rPr>
      <t xml:space="preserve">維持に必要な月間入会</t>
    </r>
  </si>
  <si>
    <t xml:space="preserve">必要月間体験数</t>
  </si>
  <si>
    <t xml:space="preserve">感応度分析（年間営業利益への影響・一次近似）</t>
  </si>
  <si>
    <r>
      <rPr>
        <i val="true"/>
        <sz val="9"/>
        <color rgb="FF808080"/>
        <rFont val="Noto Sans CJK SC"/>
        <family val="2"/>
      </rPr>
      <t xml:space="preserve">精緻な再計算は</t>
    </r>
    <r>
      <rPr>
        <i val="true"/>
        <sz val="9"/>
        <color rgb="FF808080"/>
        <rFont val="Arial"/>
        <family val="0"/>
        <charset val="1"/>
      </rPr>
      <t xml:space="preserve">Assumptions</t>
    </r>
    <r>
      <rPr>
        <i val="true"/>
        <sz val="9"/>
        <color rgb="FF808080"/>
        <rFont val="Noto Sans CJK SC"/>
        <family val="2"/>
      </rPr>
      <t xml:space="preserve">変更→</t>
    </r>
    <r>
      <rPr>
        <i val="true"/>
        <sz val="9"/>
        <color rgb="FF808080"/>
        <rFont val="Arial"/>
        <family val="0"/>
        <charset val="1"/>
      </rPr>
      <t xml:space="preserve">Summary</t>
    </r>
    <r>
      <rPr>
        <i val="true"/>
        <sz val="9"/>
        <color rgb="FF808080"/>
        <rFont val="Noto Sans CJK SC"/>
        <family val="2"/>
      </rPr>
      <t xml:space="preserve">で確認。下表は目安</t>
    </r>
  </si>
  <si>
    <r>
      <rPr>
        <b val="true"/>
        <sz val="11"/>
        <color rgb="FF1F3864"/>
        <rFont val="Noto Sans CJK SC"/>
        <family val="2"/>
      </rPr>
      <t xml:space="preserve">基準</t>
    </r>
    <r>
      <rPr>
        <b val="true"/>
        <sz val="11"/>
        <color rgb="FF1F3864"/>
        <rFont val="Arial"/>
        <family val="0"/>
        <charset val="1"/>
      </rPr>
      <t xml:space="preserve">:</t>
    </r>
    <r>
      <rPr>
        <b val="true"/>
        <sz val="11"/>
        <color rgb="FF1F3864"/>
        <rFont val="Noto Sans CJK SC"/>
        <family val="2"/>
      </rPr>
      <t xml:space="preserve">年間営業利益</t>
    </r>
    <r>
      <rPr>
        <b val="true"/>
        <sz val="11"/>
        <color rgb="FF1F3864"/>
        <rFont val="Arial"/>
        <family val="0"/>
        <charset val="1"/>
      </rPr>
      <t xml:space="preserve">(Y3)</t>
    </r>
  </si>
  <si>
    <t xml:space="preserve">変動要因</t>
  </si>
  <si>
    <t xml:space="preserve">変化幅</t>
  </si>
  <si>
    <r>
      <rPr>
        <b val="true"/>
        <sz val="11"/>
        <color rgb="FFFFFFFF"/>
        <rFont val="Noto Sans CJK SC"/>
        <family val="2"/>
      </rPr>
      <t xml:space="preserve">年間営業利益への影響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近似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</si>
  <si>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+1</t>
    </r>
    <r>
      <rPr>
        <sz val="11"/>
        <color theme="1"/>
        <rFont val="Noto Sans CJK SC"/>
        <family val="2"/>
      </rPr>
      <t xml:space="preserve">打席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会員上限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係数</t>
    </r>
    <r>
      <rPr>
        <sz val="11"/>
        <color theme="1"/>
        <rFont val="Calibri"/>
        <family val="2"/>
        <charset val="1"/>
      </rPr>
      <t xml:space="preserve">)</t>
    </r>
  </si>
  <si>
    <t xml:space="preserve">会員数</t>
  </si>
  <si>
    <t xml:space="preserve">+10%</t>
  </si>
  <si>
    <t xml:space="preserve">平均月会費</t>
  </si>
  <si>
    <r>
      <rPr>
        <sz val="11"/>
        <color theme="1"/>
        <rFont val="Calibri"/>
        <family val="2"/>
        <charset val="1"/>
      </rPr>
      <t xml:space="preserve">+1,000</t>
    </r>
    <r>
      <rPr>
        <sz val="11"/>
        <color theme="1"/>
        <rFont val="Noto Sans CJK SC"/>
        <family val="2"/>
      </rPr>
      <t xml:space="preserve">円</t>
    </r>
  </si>
  <si>
    <t xml:space="preserve">退会率</t>
  </si>
  <si>
    <t xml:space="preserve">+2pt</t>
  </si>
  <si>
    <t xml:space="preserve">内装坪単価</t>
  </si>
  <si>
    <r>
      <rPr>
        <sz val="11"/>
        <color theme="1"/>
        <rFont val="Calibri"/>
        <family val="2"/>
        <charset val="1"/>
      </rPr>
      <t xml:space="preserve">+5</t>
    </r>
    <r>
      <rPr>
        <sz val="11"/>
        <color theme="1"/>
        <rFont val="Noto Sans CJK SC"/>
        <family val="2"/>
      </rPr>
      <t xml:space="preserve">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坪</t>
    </r>
  </si>
  <si>
    <t xml:space="preserve">リスク一覧</t>
  </si>
  <si>
    <t xml:space="preserve">分類</t>
  </si>
  <si>
    <t xml:space="preserve">リスク</t>
  </si>
  <si>
    <t xml:space="preserve">影響度</t>
  </si>
  <si>
    <t xml:space="preserve">発生可能性</t>
  </si>
  <si>
    <t xml:space="preserve">対策</t>
  </si>
  <si>
    <t xml:space="preserve">出店</t>
  </si>
  <si>
    <r>
      <rPr>
        <sz val="11"/>
        <color theme="1"/>
        <rFont val="Noto Sans CJK SC"/>
        <family val="2"/>
      </rPr>
      <t xml:space="preserve">駐車場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打席</t>
    </r>
    <r>
      <rPr>
        <sz val="11"/>
        <color theme="1"/>
        <rFont val="Calibri"/>
        <family val="2"/>
        <charset val="1"/>
      </rPr>
      <t xml:space="preserve">×2</t>
    </r>
    <r>
      <rPr>
        <sz val="11"/>
        <color theme="1"/>
        <rFont val="Noto Sans CJK SC"/>
        <family val="2"/>
      </rPr>
      <t xml:space="preserve">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確保が困難</t>
    </r>
  </si>
  <si>
    <t xml:space="preserve">高</t>
  </si>
  <si>
    <r>
      <rPr>
        <sz val="11"/>
        <color theme="1"/>
        <rFont val="Noto Sans CJK SC"/>
        <family val="2"/>
      </rPr>
      <t xml:space="preserve">探索条件緩和・近隣コイン</t>
    </r>
    <r>
      <rPr>
        <sz val="11"/>
        <color theme="1"/>
        <rFont val="Calibri"/>
        <family val="2"/>
        <charset val="1"/>
      </rPr>
      <t xml:space="preserve">P</t>
    </r>
    <r>
      <rPr>
        <sz val="11"/>
        <color theme="1"/>
        <rFont val="Noto Sans CJK SC"/>
        <family val="2"/>
      </rPr>
      <t xml:space="preserve">併用・打席数調整</t>
    </r>
  </si>
  <si>
    <t xml:space="preserve">資金</t>
  </si>
  <si>
    <t xml:space="preserve">非居抜き内装で初期投資が膨らむ</t>
  </si>
  <si>
    <t xml:space="preserve">内装坪単価精査・打席数縮小・段階投資・融資増額</t>
  </si>
  <si>
    <r>
      <rPr>
        <sz val="11"/>
        <color theme="1"/>
        <rFont val="Noto Sans CJK SC"/>
        <family val="2"/>
      </rPr>
      <t xml:space="preserve">融資が下りない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条件悪い</t>
    </r>
  </si>
  <si>
    <t xml:space="preserve">中</t>
  </si>
  <si>
    <r>
      <rPr>
        <sz val="11"/>
        <color theme="1"/>
        <rFont val="Noto Sans CJK SC"/>
        <family val="2"/>
      </rPr>
      <t xml:space="preserve">複数行並行・公庫＋民間・自己資金比率</t>
    </r>
    <r>
      <rPr>
        <sz val="11"/>
        <color theme="1"/>
        <rFont val="Calibri"/>
        <family val="2"/>
        <charset val="1"/>
      </rPr>
      <t xml:space="preserve">UP</t>
    </r>
  </si>
  <si>
    <t xml:space="preserve">集客</t>
  </si>
  <si>
    <t xml:space="preserve">初年度立ち上がり遅延</t>
  </si>
  <si>
    <t xml:space="preserve">相互利用告知・紹介・体験導線・広告前倒し</t>
  </si>
  <si>
    <t xml:space="preserve">運営</t>
  </si>
  <si>
    <t xml:space="preserve">退会率上昇</t>
  </si>
  <si>
    <t xml:space="preserve">予約改善・レッスン価値・相互利用の利便性</t>
  </si>
  <si>
    <t xml:space="preserve">設備</t>
  </si>
  <si>
    <r>
      <rPr>
        <sz val="11"/>
        <color theme="1"/>
        <rFont val="Noto Sans CJK SC"/>
        <family val="2"/>
      </rPr>
      <t xml:space="preserve">機材納期</t>
    </r>
    <r>
      <rPr>
        <sz val="11"/>
        <color theme="1"/>
        <rFont val="Calibri"/>
        <family val="2"/>
        <charset val="1"/>
      </rPr>
      <t xml:space="preserve">(3-5</t>
    </r>
    <r>
      <rPr>
        <sz val="11"/>
        <color theme="1"/>
        <rFont val="Noto Sans CJK SC"/>
        <family val="2"/>
      </rPr>
      <t xml:space="preserve">打席分</t>
    </r>
    <r>
      <rPr>
        <sz val="11"/>
        <color theme="1"/>
        <rFont val="Calibri"/>
        <family val="2"/>
        <charset val="1"/>
      </rPr>
      <t xml:space="preserve">)</t>
    </r>
  </si>
  <si>
    <t xml:space="preserve">早期発注・段階開業・リース</t>
  </si>
  <si>
    <t xml:space="preserve">法務</t>
  </si>
  <si>
    <r>
      <rPr>
        <sz val="11"/>
        <color theme="1"/>
        <rFont val="Noto Sans CJK SC"/>
        <family val="2"/>
      </rPr>
      <t xml:space="preserve">ブランド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相互利用条件の相違</t>
    </r>
  </si>
  <si>
    <t xml:space="preserve">ファインと書面合意</t>
  </si>
  <si>
    <t xml:space="preserve">近隣</t>
  </si>
  <si>
    <t xml:space="preserve">騒音クレーム</t>
  </si>
  <si>
    <t xml:space="preserve">低</t>
  </si>
  <si>
    <t xml:space="preserve">事前騒音測定・防音余裕設計</t>
  </si>
  <si>
    <t xml:space="preserve">ブランド</t>
  </si>
  <si>
    <r>
      <rPr>
        <sz val="11"/>
        <color theme="1"/>
        <rFont val="Noto Sans CJK SC"/>
        <family val="2"/>
      </rPr>
      <t xml:space="preserve">品質ばらつきで</t>
    </r>
    <r>
      <rPr>
        <sz val="11"/>
        <color theme="1"/>
        <rFont val="Calibri"/>
        <family val="2"/>
        <charset val="1"/>
      </rPr>
      <t xml:space="preserve">GOLF WING</t>
    </r>
    <r>
      <rPr>
        <sz val="11"/>
        <color theme="1"/>
        <rFont val="Noto Sans CJK SC"/>
        <family val="2"/>
      </rPr>
      <t xml:space="preserve">毀損</t>
    </r>
  </si>
  <si>
    <r>
      <rPr>
        <sz val="11"/>
        <color theme="1"/>
        <rFont val="Calibri"/>
        <family val="2"/>
        <charset val="1"/>
      </rPr>
      <t xml:space="preserve">SOP</t>
    </r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監視・是正フロー</t>
    </r>
  </si>
  <si>
    <t xml:space="preserve">想定問答</t>
  </si>
  <si>
    <t xml:space="preserve">想定質問</t>
  </si>
  <si>
    <t xml:space="preserve">回答案</t>
  </si>
  <si>
    <r>
      <rPr>
        <sz val="11"/>
        <color theme="1"/>
        <rFont val="Noto Sans CJK SC"/>
        <family val="2"/>
      </rPr>
      <t xml:space="preserve">なぜ非居抜きで高い投資を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</si>
  <si>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宝塚</t>
    </r>
    <r>
      <rPr>
        <sz val="11"/>
        <color theme="1"/>
        <rFont val="Calibri"/>
        <family val="2"/>
        <charset val="1"/>
      </rPr>
      <t xml:space="preserve">10km</t>
    </r>
    <r>
      <rPr>
        <sz val="11"/>
        <color theme="1"/>
        <rFont val="Noto Sans CJK SC"/>
        <family val="2"/>
      </rPr>
      <t xml:space="preserve">圏の相互利用で会員利便と定着を高める立地優先。内装は坪単価を精査し打席数で調整可能。</t>
    </r>
  </si>
  <si>
    <r>
      <rPr>
        <sz val="11"/>
        <color theme="1"/>
        <rFont val="Noto Sans CJK SC"/>
        <family val="2"/>
      </rPr>
      <t xml:space="preserve">必要資金と調達は</t>
    </r>
    <r>
      <rPr>
        <sz val="11"/>
        <color theme="1"/>
        <rFont val="Calibri"/>
        <family val="2"/>
        <charset val="1"/>
      </rPr>
      <t xml:space="preserve">?</t>
    </r>
  </si>
  <si>
    <t xml:space="preserve">打席数・坪数で総初期投資が自動算出。出資＋融資＋自己資金で構成し、融資内諾を契約の前提とする。</t>
  </si>
  <si>
    <r>
      <rPr>
        <sz val="11"/>
        <color theme="1"/>
        <rFont val="Noto Sans CJK SC"/>
        <family val="2"/>
      </rPr>
      <t xml:space="preserve">売上前提は妥当か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</si>
  <si>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月値上げ後料金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会員構成。入会率・退会率は宝塚実績を保守補正。悲観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最悪で耐性確認。</t>
    </r>
  </si>
  <si>
    <r>
      <rPr>
        <sz val="11"/>
        <color theme="1"/>
        <rFont val="Noto Sans CJK SC"/>
        <family val="2"/>
      </rPr>
      <t xml:space="preserve">相互利用の効果は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</si>
  <si>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宝塚会員の一部が移行・併用し初速を確保。ただし会費</t>
    </r>
    <r>
      <rPr>
        <sz val="11"/>
        <color theme="1"/>
        <rFont val="Calibri"/>
        <family val="2"/>
        <charset val="1"/>
      </rPr>
      <t xml:space="preserve">/KPI</t>
    </r>
    <r>
      <rPr>
        <sz val="11"/>
        <color theme="1"/>
        <rFont val="Noto Sans CJK SC"/>
        <family val="2"/>
      </rPr>
      <t xml:space="preserve">帰属はファインと事前合意。</t>
    </r>
  </si>
  <si>
    <r>
      <rPr>
        <sz val="11"/>
        <color theme="1"/>
        <rFont val="Noto Sans CJK SC"/>
        <family val="2"/>
      </rPr>
      <t xml:space="preserve">打席数は何面が最適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</si>
  <si>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打席数を変えると必要資金・会員上限・損益分岐点が自動更新。</t>
    </r>
    <r>
      <rPr>
        <sz val="11"/>
        <color theme="1"/>
        <rFont val="Calibri"/>
        <family val="2"/>
        <charset val="1"/>
      </rPr>
      <t xml:space="preserve">3/4/5</t>
    </r>
    <r>
      <rPr>
        <sz val="11"/>
        <color theme="1"/>
        <rFont val="Noto Sans CJK SC"/>
        <family val="2"/>
      </rPr>
      <t xml:space="preserve">で比較し投資対効果で決定。</t>
    </r>
  </si>
  <si>
    <r>
      <rPr>
        <sz val="11"/>
        <color theme="1"/>
        <rFont val="Noto Sans CJK SC"/>
        <family val="2"/>
      </rPr>
      <t xml:space="preserve">資金ショートは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</si>
  <si>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Cash_Flow</t>
    </r>
    <r>
      <rPr>
        <sz val="11"/>
        <color theme="1"/>
        <rFont val="Noto Sans CJK SC"/>
        <family val="2"/>
      </rPr>
      <t xml:space="preserve">で月末現金を可視化、赤表示。前受けで運転資本を改善。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</si>
</sst>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;\(#,##0\);\-"/>
    <numFmt numFmtId="167" formatCode="0.0%"/>
    <numFmt numFmtId="168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3"/>
      <color rgb="FF1F3864"/>
      <name val="Noto Sans CJK SC"/>
      <family val="2"/>
    </font>
    <font>
      <b val="true"/>
      <sz val="11"/>
      <color rgb="FF1F3864"/>
      <name val="Noto Sans CJK SC"/>
      <family val="2"/>
    </font>
    <font>
      <b val="true"/>
      <sz val="11"/>
      <color rgb="FF1F3864"/>
      <name val="Arial"/>
      <family val="0"/>
      <charset val="1"/>
    </font>
    <font>
      <b val="true"/>
      <sz val="11"/>
      <color rgb="FFC00000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sz val="11"/>
      <name val="Noto Sans CJK SC"/>
      <family val="2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Noto Sans CJK SC"/>
      <family val="2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theme="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5"/>
  </cols>
  <sheetData>
    <row r="1" customFormat="false" ht="20.1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  <c r="B2" s="3" t="str">
        <f aca="false">Scenarios!$B$2</f>
        <v>標準</v>
      </c>
      <c r="D2" s="4" t="s">
        <v>2</v>
      </c>
    </row>
    <row r="4" customFormat="false" ht="17.15" hidden="false" customHeight="false" outlineLevel="0" collapsed="false">
      <c r="A4" s="5" t="s">
        <v>3</v>
      </c>
    </row>
    <row r="5" customFormat="false" ht="17.15" hidden="false" customHeight="false" outlineLevel="0" collapsed="false">
      <c r="A5" s="6" t="s">
        <v>4</v>
      </c>
      <c r="B5" s="7" t="n">
        <f aca="false">Assumptions!$B$5</f>
        <v>4</v>
      </c>
    </row>
    <row r="6" customFormat="false" ht="17.15" hidden="false" customHeight="false" outlineLevel="0" collapsed="false">
      <c r="A6" s="6" t="s">
        <v>5</v>
      </c>
      <c r="B6" s="7" t="n">
        <f aca="false">Assumptions!$B$6</f>
        <v>48</v>
      </c>
    </row>
    <row r="7" customFormat="false" ht="17.15" hidden="false" customHeight="false" outlineLevel="0" collapsed="false">
      <c r="A7" s="6" t="s">
        <v>6</v>
      </c>
      <c r="B7" s="7" t="n">
        <f aca="false">Assumptions!$B$31</f>
        <v>180</v>
      </c>
    </row>
    <row r="9" customFormat="false" ht="17.15" hidden="false" customHeight="false" outlineLevel="0" collapsed="false">
      <c r="A9" s="5" t="s">
        <v>7</v>
      </c>
    </row>
    <row r="10" customFormat="false" ht="17.15" hidden="false" customHeight="false" outlineLevel="0" collapsed="false">
      <c r="A10" s="6" t="s">
        <v>8</v>
      </c>
      <c r="B10" s="8" t="n">
        <f aca="false">CAPEX!$B$21</f>
        <v>32386000</v>
      </c>
    </row>
    <row r="11" customFormat="false" ht="17.15" hidden="false" customHeight="false" outlineLevel="0" collapsed="false">
      <c r="A11" s="6" t="s">
        <v>9</v>
      </c>
      <c r="B11" s="8" t="n">
        <f aca="false">CAPEX!$B$5</f>
        <v>14400000</v>
      </c>
    </row>
    <row r="12" customFormat="false" ht="17.15" hidden="false" customHeight="false" outlineLevel="0" collapsed="false">
      <c r="A12" s="6" t="s">
        <v>10</v>
      </c>
      <c r="B12" s="8" t="n">
        <f aca="false">CAPEX!$B$9</f>
        <v>5200000</v>
      </c>
    </row>
    <row r="13" customFormat="false" ht="17.15" hidden="false" customHeight="false" outlineLevel="0" collapsed="false">
      <c r="A13" s="6" t="s">
        <v>11</v>
      </c>
      <c r="B13" s="8" t="n">
        <f aca="false">Assumptions!$B$28</f>
        <v>20000000</v>
      </c>
    </row>
    <row r="14" customFormat="false" ht="17.15" hidden="false" customHeight="false" outlineLevel="0" collapsed="false">
      <c r="A14" s="6" t="s">
        <v>12</v>
      </c>
      <c r="B14" s="8" t="n">
        <f aca="false">Assumptions!$B$29</f>
        <v>0</v>
      </c>
    </row>
    <row r="15" customFormat="false" ht="17.15" hidden="false" customHeight="false" outlineLevel="0" collapsed="false">
      <c r="A15" s="6" t="s">
        <v>13</v>
      </c>
      <c r="B15" s="8" t="n">
        <f aca="false">Assumptions!$B$28+Assumptions!$B$29-CAPEX!$B$21</f>
        <v>-12386000</v>
      </c>
    </row>
    <row r="16" customFormat="false" ht="17.15" hidden="false" customHeight="false" outlineLevel="0" collapsed="false">
      <c r="A16" s="6" t="s">
        <v>14</v>
      </c>
      <c r="B16" s="8" t="n">
        <f aca="false">MIN(Cash_Flow!$G$4:$G$40)</f>
        <v>-18580103</v>
      </c>
    </row>
    <row r="17" customFormat="false" ht="17.15" hidden="false" customHeight="false" outlineLevel="0" collapsed="false">
      <c r="A17" s="6" t="s">
        <v>15</v>
      </c>
      <c r="B17" s="7" t="n">
        <f aca="false">COUNTIF(Cash_Flow!$G$5:$G$40,"&lt;0")</f>
        <v>30</v>
      </c>
    </row>
    <row r="18" customFormat="false" ht="17.15" hidden="false" customHeight="false" outlineLevel="0" collapsed="false">
      <c r="A18" s="6" t="s">
        <v>16</v>
      </c>
      <c r="B18" s="9" t="str">
        <f aca="false">IF(MIN(Cash_Flow!$I$5:$I$40)=9999,"36ヶ月内未回収",MIN(Cash_Flow!$I$5:$I$40))</f>
        <v>36ヶ月内未回収</v>
      </c>
    </row>
    <row r="20" customFormat="false" ht="17.15" hidden="false" customHeight="false" outlineLevel="0" collapsed="false">
      <c r="A20" s="5" t="s">
        <v>17</v>
      </c>
    </row>
    <row r="21" customFormat="false" ht="17.15" hidden="false" customHeight="false" outlineLevel="0" collapsed="false">
      <c r="A21" s="10" t="s">
        <v>18</v>
      </c>
      <c r="B21" s="11" t="s">
        <v>19</v>
      </c>
      <c r="C21" s="11" t="s">
        <v>20</v>
      </c>
      <c r="D21" s="11" t="s">
        <v>21</v>
      </c>
      <c r="E21" s="11" t="s">
        <v>22</v>
      </c>
    </row>
    <row r="22" customFormat="false" ht="15" hidden="false" customHeight="false" outlineLevel="0" collapsed="false">
      <c r="A22" s="12" t="s">
        <v>23</v>
      </c>
      <c r="B22" s="8" t="n">
        <f aca="false">SUM(Monthly_PL!$L$4:$L$15)</f>
        <v>15247400</v>
      </c>
      <c r="C22" s="8" t="n">
        <f aca="false">SUM(Monthly_PL!$L$16:$L$27)</f>
        <v>35593800</v>
      </c>
      <c r="D22" s="8" t="n">
        <f aca="false">SUM(Monthly_PL!$L$28:$L$39)</f>
        <v>45390900</v>
      </c>
      <c r="E22" s="8" t="n">
        <f aca="false">SUM(Monthly_PL!$L$4:$L$39)</f>
        <v>96232100</v>
      </c>
    </row>
    <row r="23" customFormat="false" ht="15" hidden="false" customHeight="false" outlineLevel="0" collapsed="false">
      <c r="A23" s="12" t="s">
        <v>24</v>
      </c>
      <c r="B23" s="8" t="n">
        <f aca="false">SUM(Monthly_PL!$V$4:$V$15)</f>
        <v>-11489238.1333333</v>
      </c>
      <c r="C23" s="8" t="n">
        <f aca="false">SUM(Monthly_PL!$V$16:$V$27)</f>
        <v>6994267.4</v>
      </c>
      <c r="D23" s="8" t="n">
        <f aca="false">SUM(Monthly_PL!$V$28:$V$39)</f>
        <v>15589220.7</v>
      </c>
      <c r="E23" s="8" t="n">
        <f aca="false">SUM(Monthly_PL!$V$4:$V$39)</f>
        <v>11094249.9666667</v>
      </c>
    </row>
    <row r="24" customFormat="false" ht="15" hidden="false" customHeight="false" outlineLevel="0" collapsed="false">
      <c r="A24" s="12" t="s">
        <v>25</v>
      </c>
      <c r="B24" s="8" t="n">
        <f aca="false">SUM(Monthly_PL!$Y$4:$Y$15)</f>
        <v>-11489238.1333333</v>
      </c>
      <c r="C24" s="8" t="n">
        <f aca="false">SUM(Monthly_PL!$Y$16:$Y$27)</f>
        <v>4861794.44</v>
      </c>
      <c r="D24" s="8" t="n">
        <f aca="false">SUM(Monthly_PL!$Y$28:$Y$39)</f>
        <v>10912454.49</v>
      </c>
      <c r="E24" s="8" t="n">
        <f aca="false">SUM(Monthly_PL!$Y$4:$Y$39)</f>
        <v>4285010.79666667</v>
      </c>
    </row>
    <row r="26" customFormat="false" ht="17.15" hidden="false" customHeight="false" outlineLevel="0" collapsed="false">
      <c r="A26" s="5" t="s">
        <v>26</v>
      </c>
    </row>
    <row r="27" customFormat="false" ht="17.15" hidden="false" customHeight="false" outlineLevel="0" collapsed="false">
      <c r="A27" s="6" t="s">
        <v>27</v>
      </c>
      <c r="B27" s="7" t="n">
        <f aca="false">Monthly_PL!$G$39</f>
        <v>180</v>
      </c>
    </row>
    <row r="28" customFormat="false" ht="17.15" hidden="false" customHeight="false" outlineLevel="0" collapsed="false">
      <c r="A28" s="6" t="s">
        <v>28</v>
      </c>
      <c r="B28" s="7" t="n">
        <f aca="false">BreakEven!$B$8</f>
        <v>103</v>
      </c>
    </row>
    <row r="29" customFormat="false" ht="17.15" hidden="false" customHeight="false" outlineLevel="0" collapsed="false">
      <c r="A29" s="6" t="s">
        <v>29</v>
      </c>
      <c r="B29" s="7" t="n">
        <f aca="false">Monthly_PL!$G$39-BreakEven!$B$8</f>
        <v>77</v>
      </c>
    </row>
    <row r="32" customFormat="false" ht="15" hidden="false" customHeight="false" outlineLevel="0" collapsed="false">
      <c r="A32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1"/>
    <col collapsed="false" customWidth="true" hidden="false" outlineLevel="0" max="6" min="6" style="0" width="13"/>
    <col collapsed="false" customWidth="true" hidden="false" outlineLevel="0" max="7" min="7" style="0" width="40"/>
  </cols>
  <sheetData>
    <row r="1" customFormat="false" ht="20.1" hidden="false" customHeight="false" outlineLevel="0" collapsed="false">
      <c r="A1" s="13" t="s">
        <v>31</v>
      </c>
    </row>
    <row r="2" customFormat="false" ht="15" hidden="false" customHeight="false" outlineLevel="0" collapsed="false">
      <c r="A2" s="2" t="s">
        <v>32</v>
      </c>
      <c r="B2" s="14" t="s">
        <v>33</v>
      </c>
      <c r="D2" s="15" t="s">
        <v>34</v>
      </c>
    </row>
    <row r="4" customFormat="false" ht="17.15" hidden="false" customHeight="false" outlineLevel="0" collapsed="false">
      <c r="A4" s="10" t="s">
        <v>35</v>
      </c>
      <c r="B4" s="10" t="s">
        <v>36</v>
      </c>
      <c r="C4" s="10" t="s">
        <v>33</v>
      </c>
      <c r="D4" s="10" t="s">
        <v>37</v>
      </c>
      <c r="E4" s="10" t="s">
        <v>38</v>
      </c>
      <c r="F4" s="10" t="s">
        <v>39</v>
      </c>
      <c r="G4" s="10" t="s">
        <v>40</v>
      </c>
    </row>
    <row r="5" customFormat="false" ht="17.15" hidden="false" customHeight="false" outlineLevel="0" collapsed="false">
      <c r="A5" s="6" t="s">
        <v>41</v>
      </c>
      <c r="B5" s="16" t="n">
        <v>18500</v>
      </c>
      <c r="C5" s="16" t="n">
        <v>17000</v>
      </c>
      <c r="D5" s="16" t="n">
        <v>15500</v>
      </c>
      <c r="E5" s="16" t="n">
        <v>14000</v>
      </c>
      <c r="F5" s="17" t="n">
        <f aca="false">INDEX(B5:E5,MATCH($B$2,$B$4:$E$4,0))</f>
        <v>17000</v>
      </c>
      <c r="G5" s="15" t="s">
        <v>42</v>
      </c>
    </row>
    <row r="6" customFormat="false" ht="17.15" hidden="false" customHeight="false" outlineLevel="0" collapsed="false">
      <c r="A6" s="6" t="s">
        <v>43</v>
      </c>
      <c r="B6" s="18" t="n">
        <v>0.65</v>
      </c>
      <c r="C6" s="18" t="n">
        <v>0.55</v>
      </c>
      <c r="D6" s="18" t="n">
        <v>0.35</v>
      </c>
      <c r="E6" s="18" t="n">
        <v>0.25</v>
      </c>
      <c r="F6" s="19" t="n">
        <f aca="false">INDEX(B6:E6,MATCH($B$2,$B$4:$E$4,0))</f>
        <v>0.55</v>
      </c>
      <c r="G6" s="4" t="s">
        <v>44</v>
      </c>
    </row>
    <row r="7" customFormat="false" ht="17.15" hidden="false" customHeight="false" outlineLevel="0" collapsed="false">
      <c r="A7" s="6" t="s">
        <v>45</v>
      </c>
      <c r="B7" s="18" t="n">
        <v>0.03</v>
      </c>
      <c r="C7" s="18" t="n">
        <v>0.04</v>
      </c>
      <c r="D7" s="18" t="n">
        <v>0.06</v>
      </c>
      <c r="E7" s="18" t="n">
        <v>0.08</v>
      </c>
      <c r="F7" s="19" t="n">
        <f aca="false">INDEX(B7:E7,MATCH($B$2,$B$4:$E$4,0))</f>
        <v>0.04</v>
      </c>
      <c r="G7" s="4" t="s">
        <v>46</v>
      </c>
    </row>
    <row r="8" customFormat="false" ht="17.15" hidden="false" customHeight="false" outlineLevel="0" collapsed="false">
      <c r="A8" s="6" t="s">
        <v>47</v>
      </c>
      <c r="B8" s="20" t="n">
        <v>22</v>
      </c>
      <c r="C8" s="20" t="n">
        <v>16</v>
      </c>
      <c r="D8" s="20" t="n">
        <v>10</v>
      </c>
      <c r="E8" s="20" t="n">
        <v>6</v>
      </c>
      <c r="F8" s="21" t="n">
        <f aca="false">INDEX(B8:E8,MATCH($B$2,$B$4:$E$4,0))</f>
        <v>16</v>
      </c>
      <c r="G8" s="4" t="s">
        <v>48</v>
      </c>
    </row>
    <row r="9" customFormat="false" ht="17.15" hidden="false" customHeight="false" outlineLevel="0" collapsed="false">
      <c r="A9" s="6" t="s">
        <v>49</v>
      </c>
      <c r="B9" s="20" t="n">
        <v>30</v>
      </c>
      <c r="C9" s="20" t="n">
        <v>22</v>
      </c>
      <c r="D9" s="20" t="n">
        <v>14</v>
      </c>
      <c r="E9" s="20" t="n">
        <v>9</v>
      </c>
      <c r="F9" s="21" t="n">
        <f aca="false">INDEX(B9:E9,MATCH($B$2,$B$4:$E$4,0))</f>
        <v>22</v>
      </c>
      <c r="G9" s="4"/>
    </row>
    <row r="10" customFormat="false" ht="17.15" hidden="false" customHeight="false" outlineLevel="0" collapsed="false">
      <c r="A10" s="6" t="s">
        <v>50</v>
      </c>
      <c r="B10" s="20" t="n">
        <v>36</v>
      </c>
      <c r="C10" s="20" t="n">
        <v>26</v>
      </c>
      <c r="D10" s="20" t="n">
        <v>18</v>
      </c>
      <c r="E10" s="20" t="n">
        <v>11</v>
      </c>
      <c r="F10" s="21" t="n">
        <f aca="false">INDEX(B10:E10,MATCH($B$2,$B$4:$E$4,0))</f>
        <v>26</v>
      </c>
      <c r="G10" s="4"/>
    </row>
    <row r="11" customFormat="false" ht="17.15" hidden="false" customHeight="false" outlineLevel="0" collapsed="false">
      <c r="A11" s="6" t="s">
        <v>51</v>
      </c>
      <c r="B11" s="16" t="n">
        <v>150000</v>
      </c>
      <c r="C11" s="16" t="n">
        <v>180000</v>
      </c>
      <c r="D11" s="16" t="n">
        <v>220000</v>
      </c>
      <c r="E11" s="16" t="n">
        <v>280000</v>
      </c>
      <c r="F11" s="17" t="n">
        <f aca="false">INDEX(B11:E11,MATCH($B$2,$B$4:$E$4,0))</f>
        <v>180000</v>
      </c>
      <c r="G11" s="4" t="s">
        <v>52</v>
      </c>
    </row>
    <row r="12" customFormat="false" ht="17.15" hidden="false" customHeight="false" outlineLevel="0" collapsed="false">
      <c r="A12" s="6" t="s">
        <v>53</v>
      </c>
      <c r="B12" s="16" t="n">
        <v>80000</v>
      </c>
      <c r="C12" s="16" t="n">
        <v>100000</v>
      </c>
      <c r="D12" s="16" t="n">
        <v>130000</v>
      </c>
      <c r="E12" s="16" t="n">
        <v>170000</v>
      </c>
      <c r="F12" s="17" t="n">
        <f aca="false">INDEX(B12:E12,MATCH($B$2,$B$4:$E$4,0))</f>
        <v>100000</v>
      </c>
      <c r="G12" s="4"/>
    </row>
    <row r="13" customFormat="false" ht="17.15" hidden="false" customHeight="false" outlineLevel="0" collapsed="false">
      <c r="A13" s="6" t="s">
        <v>54</v>
      </c>
      <c r="B13" s="16" t="n">
        <v>700000</v>
      </c>
      <c r="C13" s="16" t="n">
        <v>850000</v>
      </c>
      <c r="D13" s="16" t="n">
        <v>1000000</v>
      </c>
      <c r="E13" s="16" t="n">
        <v>1200000</v>
      </c>
      <c r="F13" s="17" t="n">
        <f aca="false">INDEX(B13:E13,MATCH($B$2,$B$4:$E$4,0))</f>
        <v>850000</v>
      </c>
      <c r="G13" s="15" t="s">
        <v>55</v>
      </c>
    </row>
    <row r="14" customFormat="false" ht="17.15" hidden="false" customHeight="false" outlineLevel="0" collapsed="false">
      <c r="A14" s="6" t="s">
        <v>56</v>
      </c>
      <c r="B14" s="16" t="n">
        <v>3500</v>
      </c>
      <c r="C14" s="16" t="n">
        <v>2500</v>
      </c>
      <c r="D14" s="16" t="n">
        <v>1800</v>
      </c>
      <c r="E14" s="16" t="n">
        <v>1200</v>
      </c>
      <c r="F14" s="17" t="n">
        <f aca="false">INDEX(B14:E14,MATCH($B$2,$B$4:$E$4,0))</f>
        <v>2500</v>
      </c>
      <c r="G14" s="4"/>
    </row>
    <row r="15" customFormat="false" ht="17.15" hidden="false" customHeight="false" outlineLevel="0" collapsed="false">
      <c r="A15" s="6" t="s">
        <v>57</v>
      </c>
      <c r="B15" s="20" t="n">
        <v>40</v>
      </c>
      <c r="C15" s="20" t="n">
        <v>30</v>
      </c>
      <c r="D15" s="20" t="n">
        <v>12</v>
      </c>
      <c r="E15" s="20" t="n">
        <v>6</v>
      </c>
      <c r="F15" s="21" t="n">
        <f aca="false">INDEX(B15:E15,MATCH($B$2,$B$4:$E$4,0))</f>
        <v>30</v>
      </c>
      <c r="G15" s="4" t="s">
        <v>58</v>
      </c>
    </row>
    <row r="16" customFormat="false" ht="17.15" hidden="false" customHeight="false" outlineLevel="0" collapsed="false">
      <c r="A16" s="6" t="s">
        <v>59</v>
      </c>
      <c r="B16" s="16" t="n">
        <v>0</v>
      </c>
      <c r="C16" s="16" t="n">
        <v>0</v>
      </c>
      <c r="D16" s="16" t="n">
        <v>500000</v>
      </c>
      <c r="E16" s="16" t="n">
        <v>1200000</v>
      </c>
      <c r="F16" s="17" t="n">
        <f aca="false">INDEX(B16:E16,MATCH($B$2,$B$4:$E$4,0))</f>
        <v>0</v>
      </c>
      <c r="G16" s="4" t="s">
        <v>60</v>
      </c>
    </row>
  </sheetData>
  <dataValidations count="1">
    <dataValidation allowBlank="false" errorStyle="stop" operator="between" showDropDown="false" showErrorMessage="false" showInputMessage="false" sqref="B2" type="list">
      <formula1>"楽観,標準,悲観,最悪"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6.15" hidden="false" customHeight="false" outlineLevel="0" collapsed="false">
      <c r="A1" s="13" t="s">
        <v>61</v>
      </c>
    </row>
    <row r="2" customFormat="false" ht="15" hidden="false" customHeight="false" outlineLevel="0" collapsed="false">
      <c r="A2" s="4" t="s">
        <v>62</v>
      </c>
    </row>
    <row r="4" customFormat="false" ht="17.15" hidden="false" customHeight="false" outlineLevel="0" collapsed="false">
      <c r="A4" s="5" t="s">
        <v>63</v>
      </c>
    </row>
    <row r="5" customFormat="false" ht="17.15" hidden="false" customHeight="false" outlineLevel="0" collapsed="false">
      <c r="A5" s="6" t="s">
        <v>4</v>
      </c>
      <c r="B5" s="20" t="n">
        <v>4</v>
      </c>
    </row>
    <row r="6" customFormat="false" ht="17.15" hidden="false" customHeight="false" outlineLevel="0" collapsed="false">
      <c r="A6" s="6" t="s">
        <v>5</v>
      </c>
      <c r="B6" s="20" t="n">
        <v>48</v>
      </c>
    </row>
    <row r="7" customFormat="false" ht="17.15" hidden="false" customHeight="false" outlineLevel="0" collapsed="false">
      <c r="A7" s="6" t="s">
        <v>64</v>
      </c>
      <c r="B7" s="20" t="n">
        <v>45</v>
      </c>
    </row>
    <row r="8" customFormat="false" ht="17.15" hidden="false" customHeight="false" outlineLevel="0" collapsed="false">
      <c r="A8" s="6" t="s">
        <v>65</v>
      </c>
      <c r="B8" s="16" t="n">
        <v>30000</v>
      </c>
    </row>
    <row r="9" customFormat="false" ht="17.15" hidden="false" customHeight="false" outlineLevel="0" collapsed="false">
      <c r="A9" s="6" t="s">
        <v>66</v>
      </c>
      <c r="B9" s="16" t="n">
        <v>2200</v>
      </c>
    </row>
    <row r="10" customFormat="false" ht="17.15" hidden="false" customHeight="false" outlineLevel="0" collapsed="false">
      <c r="A10" s="6" t="s">
        <v>67</v>
      </c>
      <c r="B10" s="18" t="n">
        <v>0.65</v>
      </c>
    </row>
    <row r="11" customFormat="false" ht="17.15" hidden="false" customHeight="false" outlineLevel="0" collapsed="false">
      <c r="A11" s="6" t="s">
        <v>68</v>
      </c>
      <c r="B11" s="18" t="n">
        <v>0.03</v>
      </c>
    </row>
    <row r="12" customFormat="false" ht="17.15" hidden="false" customHeight="false" outlineLevel="0" collapsed="false">
      <c r="A12" s="6" t="s">
        <v>69</v>
      </c>
      <c r="B12" s="18" t="n">
        <v>0.9</v>
      </c>
    </row>
    <row r="13" customFormat="false" ht="17.15" hidden="false" customHeight="false" outlineLevel="0" collapsed="false">
      <c r="A13" s="6" t="s">
        <v>70</v>
      </c>
      <c r="B13" s="20" t="n">
        <v>8</v>
      </c>
    </row>
    <row r="14" customFormat="false" ht="17.15" hidden="false" customHeight="false" outlineLevel="0" collapsed="false">
      <c r="A14" s="6" t="s">
        <v>71</v>
      </c>
      <c r="B14" s="18" t="n">
        <v>0.3</v>
      </c>
    </row>
    <row r="15" customFormat="false" ht="17.15" hidden="false" customHeight="false" outlineLevel="0" collapsed="false">
      <c r="A15" s="6" t="s">
        <v>72</v>
      </c>
      <c r="B15" s="16" t="n">
        <v>12000</v>
      </c>
    </row>
    <row r="16" customFormat="false" ht="17.15" hidden="false" customHeight="false" outlineLevel="0" collapsed="false">
      <c r="A16" s="6" t="s">
        <v>73</v>
      </c>
      <c r="B16" s="16" t="n">
        <v>300000</v>
      </c>
    </row>
    <row r="17" customFormat="false" ht="17.15" hidden="false" customHeight="false" outlineLevel="0" collapsed="false">
      <c r="A17" s="6" t="s">
        <v>74</v>
      </c>
      <c r="B17" s="16" t="n">
        <v>1300000</v>
      </c>
    </row>
    <row r="18" customFormat="false" ht="17.15" hidden="false" customHeight="false" outlineLevel="0" collapsed="false">
      <c r="A18" s="6" t="s">
        <v>75</v>
      </c>
      <c r="B18" s="16" t="n">
        <v>120000</v>
      </c>
    </row>
    <row r="19" customFormat="false" ht="17.15" hidden="false" customHeight="false" outlineLevel="0" collapsed="false">
      <c r="A19" s="6" t="s">
        <v>76</v>
      </c>
      <c r="B19" s="16" t="n">
        <v>15000</v>
      </c>
    </row>
    <row r="20" customFormat="false" ht="17.15" hidden="false" customHeight="false" outlineLevel="0" collapsed="false">
      <c r="A20" s="6" t="s">
        <v>77</v>
      </c>
      <c r="B20" s="16" t="n">
        <v>15000</v>
      </c>
    </row>
    <row r="21" customFormat="false" ht="17.15" hidden="false" customHeight="false" outlineLevel="0" collapsed="false">
      <c r="A21" s="6" t="s">
        <v>78</v>
      </c>
      <c r="B21" s="16" t="n">
        <v>10000</v>
      </c>
    </row>
    <row r="22" customFormat="false" ht="17.15" hidden="false" customHeight="false" outlineLevel="0" collapsed="false">
      <c r="A22" s="6" t="s">
        <v>79</v>
      </c>
      <c r="B22" s="16" t="n">
        <v>30000</v>
      </c>
    </row>
    <row r="23" customFormat="false" ht="17.15" hidden="false" customHeight="false" outlineLevel="0" collapsed="false">
      <c r="A23" s="6" t="s">
        <v>80</v>
      </c>
      <c r="B23" s="16" t="n">
        <v>40000</v>
      </c>
    </row>
    <row r="24" customFormat="false" ht="17.15" hidden="false" customHeight="false" outlineLevel="0" collapsed="false">
      <c r="A24" s="6" t="s">
        <v>81</v>
      </c>
      <c r="B24" s="16" t="n">
        <v>20000</v>
      </c>
    </row>
    <row r="25" customFormat="false" ht="17.15" hidden="false" customHeight="false" outlineLevel="0" collapsed="false">
      <c r="A25" s="6" t="s">
        <v>82</v>
      </c>
      <c r="B25" s="16" t="n">
        <v>0</v>
      </c>
    </row>
    <row r="26" customFormat="false" ht="17.15" hidden="false" customHeight="false" outlineLevel="0" collapsed="false">
      <c r="A26" s="6" t="s">
        <v>83</v>
      </c>
      <c r="B26" s="18" t="n">
        <v>0.03</v>
      </c>
    </row>
    <row r="27" customFormat="false" ht="17.15" hidden="false" customHeight="false" outlineLevel="0" collapsed="false">
      <c r="A27" s="6" t="s">
        <v>84</v>
      </c>
      <c r="B27" s="20" t="n">
        <v>6</v>
      </c>
    </row>
    <row r="28" customFormat="false" ht="17.15" hidden="false" customHeight="false" outlineLevel="0" collapsed="false">
      <c r="A28" s="6" t="s">
        <v>11</v>
      </c>
      <c r="B28" s="16" t="n">
        <v>20000000</v>
      </c>
    </row>
    <row r="29" customFormat="false" ht="17.15" hidden="false" customHeight="false" outlineLevel="0" collapsed="false">
      <c r="A29" s="6" t="s">
        <v>12</v>
      </c>
      <c r="B29" s="16" t="n">
        <v>0</v>
      </c>
    </row>
    <row r="31" customFormat="false" ht="17.15" hidden="false" customHeight="false" outlineLevel="0" collapsed="false">
      <c r="A31" s="6" t="s">
        <v>85</v>
      </c>
      <c r="B31" s="21" t="n">
        <f aca="false">B5*B7</f>
        <v>180</v>
      </c>
    </row>
    <row r="32" customFormat="false" ht="17.15" hidden="false" customHeight="false" outlineLevel="0" collapsed="false">
      <c r="A32" s="6" t="s">
        <v>86</v>
      </c>
      <c r="B32" s="17" t="n">
        <f aca="false">B6*B15</f>
        <v>576000</v>
      </c>
    </row>
    <row r="33" customFormat="false" ht="32.8" hidden="false" customHeight="false" outlineLevel="0" collapsed="false">
      <c r="A33" s="5" t="s">
        <v>87</v>
      </c>
    </row>
    <row r="34" customFormat="false" ht="17.15" hidden="false" customHeight="false" outlineLevel="0" collapsed="false">
      <c r="A34" s="6" t="s">
        <v>41</v>
      </c>
      <c r="B34" s="8" t="n">
        <f aca="false">Scenarios!F5</f>
        <v>17000</v>
      </c>
    </row>
    <row r="35" customFormat="false" ht="17.15" hidden="false" customHeight="false" outlineLevel="0" collapsed="false">
      <c r="A35" s="6" t="s">
        <v>88</v>
      </c>
      <c r="B35" s="22" t="n">
        <f aca="false">Scenarios!F6</f>
        <v>0.55</v>
      </c>
    </row>
    <row r="36" customFormat="false" ht="17.15" hidden="false" customHeight="false" outlineLevel="0" collapsed="false">
      <c r="A36" s="6" t="s">
        <v>89</v>
      </c>
      <c r="B36" s="22" t="n">
        <f aca="false">Scenarios!F7</f>
        <v>0.04</v>
      </c>
    </row>
    <row r="37" customFormat="false" ht="17.15" hidden="false" customHeight="false" outlineLevel="0" collapsed="false">
      <c r="A37" s="6" t="s">
        <v>47</v>
      </c>
      <c r="B37" s="7" t="n">
        <f aca="false">Scenarios!F8</f>
        <v>16</v>
      </c>
    </row>
    <row r="38" customFormat="false" ht="17.15" hidden="false" customHeight="false" outlineLevel="0" collapsed="false">
      <c r="A38" s="6" t="s">
        <v>49</v>
      </c>
      <c r="B38" s="7" t="n">
        <f aca="false">Scenarios!F9</f>
        <v>22</v>
      </c>
    </row>
    <row r="39" customFormat="false" ht="17.15" hidden="false" customHeight="false" outlineLevel="0" collapsed="false">
      <c r="A39" s="6" t="s">
        <v>50</v>
      </c>
      <c r="B39" s="7" t="n">
        <f aca="false">Scenarios!F10</f>
        <v>26</v>
      </c>
    </row>
    <row r="40" customFormat="false" ht="17.15" hidden="false" customHeight="false" outlineLevel="0" collapsed="false">
      <c r="A40" s="6" t="s">
        <v>51</v>
      </c>
      <c r="B40" s="8" t="n">
        <f aca="false">Scenarios!F11</f>
        <v>180000</v>
      </c>
    </row>
    <row r="41" customFormat="false" ht="17.15" hidden="false" customHeight="false" outlineLevel="0" collapsed="false">
      <c r="A41" s="6" t="s">
        <v>53</v>
      </c>
      <c r="B41" s="8" t="n">
        <f aca="false">Scenarios!F12</f>
        <v>100000</v>
      </c>
    </row>
    <row r="42" customFormat="false" ht="17.15" hidden="false" customHeight="false" outlineLevel="0" collapsed="false">
      <c r="A42" s="6" t="s">
        <v>54</v>
      </c>
      <c r="B42" s="8" t="n">
        <f aca="false">Scenarios!F13</f>
        <v>850000</v>
      </c>
    </row>
    <row r="43" customFormat="false" ht="17.15" hidden="false" customHeight="false" outlineLevel="0" collapsed="false">
      <c r="A43" s="6" t="s">
        <v>90</v>
      </c>
      <c r="B43" s="8" t="n">
        <f aca="false">Scenarios!F14</f>
        <v>2500</v>
      </c>
    </row>
    <row r="44" customFormat="false" ht="17.15" hidden="false" customHeight="false" outlineLevel="0" collapsed="false">
      <c r="A44" s="6" t="s">
        <v>57</v>
      </c>
      <c r="B44" s="7" t="n">
        <f aca="false">Scenarios!F15</f>
        <v>30</v>
      </c>
    </row>
    <row r="45" customFormat="false" ht="17.15" hidden="false" customHeight="false" outlineLevel="0" collapsed="false">
      <c r="A45" s="6" t="s">
        <v>91</v>
      </c>
      <c r="B45" s="8" t="n">
        <f aca="false">Scenarios!F16</f>
        <v>0</v>
      </c>
    </row>
    <row r="47" customFormat="false" ht="17.15" hidden="false" customHeight="false" outlineLevel="0" collapsed="false">
      <c r="A47" s="6" t="s">
        <v>92</v>
      </c>
      <c r="B47" s="17" t="n">
        <f aca="false">B18+B19+B20+B21+B22+B23+B24+B25</f>
        <v>250000</v>
      </c>
    </row>
    <row r="48" customFormat="false" ht="17.15" hidden="false" customHeight="false" outlineLevel="0" collapsed="false">
      <c r="A48" s="6" t="s">
        <v>93</v>
      </c>
      <c r="B48" s="17" t="n">
        <f aca="false">B47*B26</f>
        <v>7500</v>
      </c>
    </row>
    <row r="49" customFormat="false" ht="17.15" hidden="false" customHeight="false" outlineLevel="0" collapsed="false">
      <c r="A49" s="6" t="s">
        <v>94</v>
      </c>
      <c r="B49" s="17" t="n">
        <f aca="false">B47+B48</f>
        <v>257500</v>
      </c>
    </row>
    <row r="51" customFormat="false" ht="17.15" hidden="false" customHeight="false" outlineLevel="0" collapsed="false">
      <c r="A51" s="5" t="s">
        <v>95</v>
      </c>
    </row>
    <row r="52" customFormat="false" ht="17.15" hidden="false" customHeight="false" outlineLevel="0" collapsed="false">
      <c r="A52" s="6" t="s">
        <v>96</v>
      </c>
      <c r="B52" s="20" t="n">
        <v>1</v>
      </c>
    </row>
    <row r="53" customFormat="false" ht="17.15" hidden="false" customHeight="false" outlineLevel="0" collapsed="false">
      <c r="A53" s="6" t="s">
        <v>97</v>
      </c>
      <c r="B53" s="23" t="n">
        <v>1.5</v>
      </c>
    </row>
    <row r="54" customFormat="false" ht="32.8" hidden="false" customHeight="false" outlineLevel="0" collapsed="false">
      <c r="A54" s="5" t="s">
        <v>98</v>
      </c>
    </row>
    <row r="55" customFormat="false" ht="17.15" hidden="false" customHeight="false" outlineLevel="0" collapsed="false">
      <c r="A55" s="6" t="s">
        <v>99</v>
      </c>
      <c r="B55" s="16" t="n">
        <v>500000</v>
      </c>
    </row>
    <row r="56" customFormat="false" ht="17.15" hidden="false" customHeight="false" outlineLevel="0" collapsed="false">
      <c r="A56" s="6" t="s">
        <v>100</v>
      </c>
      <c r="B56" s="2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36"/>
  </cols>
  <sheetData>
    <row r="1" customFormat="false" ht="20.1" hidden="false" customHeight="false" outlineLevel="0" collapsed="false">
      <c r="A1" s="13" t="s">
        <v>101</v>
      </c>
    </row>
    <row r="2" customFormat="false" ht="15" hidden="false" customHeight="false" outlineLevel="0" collapsed="false">
      <c r="A2" s="4" t="s">
        <v>102</v>
      </c>
    </row>
    <row r="4" customFormat="false" ht="17.15" hidden="false" customHeight="false" outlineLevel="0" collapsed="false">
      <c r="A4" s="10" t="s">
        <v>103</v>
      </c>
      <c r="B4" s="10" t="s">
        <v>104</v>
      </c>
      <c r="C4" s="10" t="s">
        <v>40</v>
      </c>
    </row>
    <row r="5" customFormat="false" ht="17.15" hidden="false" customHeight="false" outlineLevel="0" collapsed="false">
      <c r="A5" s="6" t="s">
        <v>105</v>
      </c>
      <c r="B5" s="8" t="n">
        <f aca="false">Assumptions!$B$6*Assumptions!$B$16</f>
        <v>14400000</v>
      </c>
      <c r="C5" s="4" t="s">
        <v>106</v>
      </c>
    </row>
    <row r="6" customFormat="false" ht="17.15" hidden="false" customHeight="false" outlineLevel="0" collapsed="false">
      <c r="A6" s="6" t="s">
        <v>107</v>
      </c>
      <c r="B6" s="16" t="n">
        <v>1200000</v>
      </c>
      <c r="C6" s="4" t="s">
        <v>108</v>
      </c>
    </row>
    <row r="7" customFormat="false" ht="17.15" hidden="false" customHeight="false" outlineLevel="0" collapsed="false">
      <c r="A7" s="6" t="s">
        <v>109</v>
      </c>
      <c r="B7" s="16" t="n">
        <v>1500000</v>
      </c>
      <c r="C7" s="4" t="s">
        <v>110</v>
      </c>
    </row>
    <row r="8" customFormat="false" ht="17.15" hidden="false" customHeight="false" outlineLevel="0" collapsed="false">
      <c r="A8" s="6" t="s">
        <v>111</v>
      </c>
      <c r="B8" s="16" t="n">
        <v>1200000</v>
      </c>
      <c r="C8" s="4" t="s">
        <v>112</v>
      </c>
    </row>
    <row r="9" customFormat="false" ht="17.15" hidden="false" customHeight="false" outlineLevel="0" collapsed="false">
      <c r="A9" s="6" t="s">
        <v>113</v>
      </c>
      <c r="B9" s="8" t="n">
        <f aca="false">Assumptions!$B$5*Assumptions!$B$17</f>
        <v>5200000</v>
      </c>
      <c r="C9" s="4" t="s">
        <v>114</v>
      </c>
    </row>
    <row r="10" customFormat="false" ht="17.15" hidden="false" customHeight="false" outlineLevel="0" collapsed="false">
      <c r="A10" s="24" t="s">
        <v>115</v>
      </c>
      <c r="B10" s="16" t="n">
        <v>700000</v>
      </c>
      <c r="C10" s="4"/>
    </row>
    <row r="11" customFormat="false" ht="17.15" hidden="false" customHeight="false" outlineLevel="0" collapsed="false">
      <c r="A11" s="6" t="s">
        <v>116</v>
      </c>
      <c r="B11" s="16" t="n">
        <v>700000</v>
      </c>
      <c r="C11" s="4"/>
    </row>
    <row r="12" customFormat="false" ht="17.15" hidden="false" customHeight="false" outlineLevel="0" collapsed="false">
      <c r="A12" s="6" t="s">
        <v>117</v>
      </c>
      <c r="B12" s="16" t="n">
        <v>500000</v>
      </c>
      <c r="C12" s="4"/>
    </row>
    <row r="13" customFormat="false" ht="17.15" hidden="false" customHeight="false" outlineLevel="0" collapsed="false">
      <c r="A13" s="6" t="s">
        <v>118</v>
      </c>
      <c r="B13" s="16" t="n">
        <v>200000</v>
      </c>
      <c r="C13" s="4"/>
    </row>
    <row r="14" customFormat="false" ht="17.15" hidden="false" customHeight="false" outlineLevel="0" collapsed="false">
      <c r="A14" s="24" t="s">
        <v>119</v>
      </c>
      <c r="B14" s="16" t="n">
        <v>300000</v>
      </c>
      <c r="C14" s="15" t="s">
        <v>120</v>
      </c>
    </row>
    <row r="15" customFormat="false" ht="17.15" hidden="false" customHeight="false" outlineLevel="0" collapsed="false">
      <c r="A15" s="6" t="s">
        <v>121</v>
      </c>
      <c r="B15" s="16" t="n">
        <v>400000</v>
      </c>
      <c r="C15" s="4"/>
    </row>
    <row r="16" customFormat="false" ht="17.15" hidden="false" customHeight="false" outlineLevel="0" collapsed="false">
      <c r="A16" s="5" t="s">
        <v>122</v>
      </c>
      <c r="B16" s="17" t="n">
        <f aca="false">SUM(B5:B15)</f>
        <v>26300000</v>
      </c>
    </row>
    <row r="17" customFormat="false" ht="17.15" hidden="false" customHeight="false" outlineLevel="0" collapsed="false">
      <c r="A17" s="5" t="s">
        <v>123</v>
      </c>
      <c r="B17" s="17" t="n">
        <f aca="false">B16*0.1</f>
        <v>2630000</v>
      </c>
    </row>
    <row r="18" customFormat="false" ht="17.15" hidden="false" customHeight="false" outlineLevel="0" collapsed="false">
      <c r="A18" s="25" t="s">
        <v>124</v>
      </c>
      <c r="B18" s="17" t="n">
        <f aca="false">B16+B17</f>
        <v>28930000</v>
      </c>
    </row>
    <row r="19" customFormat="false" ht="17.15" hidden="false" customHeight="false" outlineLevel="0" collapsed="false">
      <c r="A19" s="5" t="s">
        <v>125</v>
      </c>
      <c r="B19" s="8" t="n">
        <f aca="false">Assumptions!$B$32*Assumptions!$B$27</f>
        <v>3456000</v>
      </c>
    </row>
    <row r="20" customFormat="false" ht="17.15" hidden="false" customHeight="false" outlineLevel="0" collapsed="false">
      <c r="A20" s="5" t="s">
        <v>126</v>
      </c>
      <c r="B20" s="8" t="n">
        <f aca="false">Assumptions!$B$45</f>
        <v>0</v>
      </c>
    </row>
    <row r="21" customFormat="false" ht="17.15" hidden="false" customHeight="false" outlineLevel="0" collapsed="false">
      <c r="A21" s="5" t="s">
        <v>8</v>
      </c>
      <c r="B21" s="26" t="n">
        <f aca="false">B18+B19+B20</f>
        <v>32386000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20.1" hidden="false" customHeight="false" outlineLevel="0" collapsed="false">
      <c r="A1" s="13" t="s">
        <v>127</v>
      </c>
    </row>
    <row r="3" customFormat="false" ht="17.15" hidden="false" customHeight="false" outlineLevel="0" collapsed="false">
      <c r="A3" s="10" t="s">
        <v>128</v>
      </c>
      <c r="B3" s="10" t="s">
        <v>103</v>
      </c>
      <c r="C3" s="10" t="s">
        <v>129</v>
      </c>
      <c r="D3" s="10" t="s">
        <v>130</v>
      </c>
      <c r="E3" s="10" t="s">
        <v>40</v>
      </c>
    </row>
    <row r="4" customFormat="false" ht="17.15" hidden="false" customHeight="false" outlineLevel="0" collapsed="false">
      <c r="A4" s="27" t="s">
        <v>131</v>
      </c>
      <c r="B4" s="27" t="s">
        <v>132</v>
      </c>
      <c r="C4" s="8" t="n">
        <f aca="false">Assumptions!$B$32</f>
        <v>576000</v>
      </c>
      <c r="D4" s="27" t="s">
        <v>133</v>
      </c>
      <c r="E4" s="28"/>
    </row>
    <row r="5" customFormat="false" ht="17.15" hidden="false" customHeight="false" outlineLevel="0" collapsed="false">
      <c r="A5" s="27" t="s">
        <v>131</v>
      </c>
      <c r="B5" s="27" t="s">
        <v>134</v>
      </c>
      <c r="C5" s="8" t="n">
        <f aca="false">Assumptions!$B$42</f>
        <v>850000</v>
      </c>
      <c r="D5" s="27" t="s">
        <v>135</v>
      </c>
      <c r="E5" s="28"/>
    </row>
    <row r="6" customFormat="false" ht="17.15" hidden="false" customHeight="false" outlineLevel="0" collapsed="false">
      <c r="A6" s="27" t="s">
        <v>131</v>
      </c>
      <c r="B6" s="27" t="s">
        <v>136</v>
      </c>
      <c r="C6" s="8" t="n">
        <f aca="false">Assumptions!$B$40</f>
        <v>180000</v>
      </c>
      <c r="D6" s="27" t="s">
        <v>137</v>
      </c>
      <c r="E6" s="29" t="s">
        <v>138</v>
      </c>
    </row>
    <row r="7" customFormat="false" ht="17.15" hidden="false" customHeight="false" outlineLevel="0" collapsed="false">
      <c r="A7" s="27" t="s">
        <v>131</v>
      </c>
      <c r="B7" s="27" t="s">
        <v>139</v>
      </c>
      <c r="C7" s="8" t="n">
        <f aca="false">Assumptions!$B$41</f>
        <v>100000</v>
      </c>
      <c r="D7" s="27" t="s">
        <v>137</v>
      </c>
      <c r="E7" s="28" t="s">
        <v>140</v>
      </c>
    </row>
    <row r="8" customFormat="false" ht="15" hidden="false" customHeight="false" outlineLevel="0" collapsed="false">
      <c r="A8" s="27" t="s">
        <v>131</v>
      </c>
      <c r="B8" s="27" t="s">
        <v>141</v>
      </c>
      <c r="C8" s="8" t="n">
        <f aca="false">Assumptions!$B$18</f>
        <v>120000</v>
      </c>
      <c r="D8" s="27" t="s">
        <v>133</v>
      </c>
      <c r="E8" s="29"/>
    </row>
    <row r="9" customFormat="false" ht="15" hidden="false" customHeight="false" outlineLevel="0" collapsed="false">
      <c r="A9" s="27" t="s">
        <v>131</v>
      </c>
      <c r="B9" s="27" t="s">
        <v>142</v>
      </c>
      <c r="C9" s="8" t="n">
        <f aca="false">Assumptions!$B$19</f>
        <v>15000</v>
      </c>
      <c r="D9" s="27" t="s">
        <v>133</v>
      </c>
      <c r="E9" s="29"/>
    </row>
    <row r="10" customFormat="false" ht="15" hidden="false" customHeight="false" outlineLevel="0" collapsed="false">
      <c r="A10" s="27" t="s">
        <v>131</v>
      </c>
      <c r="B10" s="27" t="s">
        <v>143</v>
      </c>
      <c r="C10" s="8" t="n">
        <f aca="false">Assumptions!$B$20</f>
        <v>15000</v>
      </c>
      <c r="D10" s="27" t="s">
        <v>133</v>
      </c>
      <c r="E10" s="29"/>
    </row>
    <row r="11" customFormat="false" ht="15" hidden="false" customHeight="false" outlineLevel="0" collapsed="false">
      <c r="A11" s="27" t="s">
        <v>131</v>
      </c>
      <c r="B11" s="27" t="s">
        <v>144</v>
      </c>
      <c r="C11" s="8" t="n">
        <f aca="false">Assumptions!$B$21</f>
        <v>10000</v>
      </c>
      <c r="D11" s="27" t="s">
        <v>133</v>
      </c>
      <c r="E11" s="29" t="s">
        <v>145</v>
      </c>
    </row>
    <row r="12" customFormat="false" ht="15" hidden="false" customHeight="false" outlineLevel="0" collapsed="false">
      <c r="A12" s="27" t="s">
        <v>131</v>
      </c>
      <c r="B12" s="27" t="s">
        <v>146</v>
      </c>
      <c r="C12" s="8" t="n">
        <f aca="false">Assumptions!$B$22</f>
        <v>30000</v>
      </c>
      <c r="D12" s="27" t="s">
        <v>133</v>
      </c>
      <c r="E12" s="29"/>
    </row>
    <row r="13" customFormat="false" ht="15" hidden="false" customHeight="false" outlineLevel="0" collapsed="false">
      <c r="A13" s="27" t="s">
        <v>131</v>
      </c>
      <c r="B13" s="27" t="s">
        <v>147</v>
      </c>
      <c r="C13" s="8" t="n">
        <f aca="false">Assumptions!$B$23</f>
        <v>40000</v>
      </c>
      <c r="D13" s="27" t="s">
        <v>133</v>
      </c>
      <c r="E13" s="29"/>
    </row>
    <row r="14" customFormat="false" ht="15" hidden="false" customHeight="false" outlineLevel="0" collapsed="false">
      <c r="A14" s="27" t="s">
        <v>131</v>
      </c>
      <c r="B14" s="27" t="s">
        <v>148</v>
      </c>
      <c r="C14" s="8" t="n">
        <f aca="false">Assumptions!$B$24</f>
        <v>20000</v>
      </c>
      <c r="D14" s="27" t="s">
        <v>133</v>
      </c>
      <c r="E14" s="29"/>
    </row>
    <row r="15" customFormat="false" ht="15" hidden="false" customHeight="false" outlineLevel="0" collapsed="false">
      <c r="A15" s="27" t="s">
        <v>131</v>
      </c>
      <c r="B15" s="27" t="s">
        <v>149</v>
      </c>
      <c r="C15" s="8" t="n">
        <f aca="false">Assumptions!$B$25</f>
        <v>0</v>
      </c>
      <c r="D15" s="27" t="s">
        <v>133</v>
      </c>
      <c r="E15" s="28" t="s">
        <v>150</v>
      </c>
    </row>
    <row r="16" customFormat="false" ht="15" hidden="false" customHeight="false" outlineLevel="0" collapsed="false">
      <c r="A16" s="27" t="s">
        <v>131</v>
      </c>
      <c r="B16" s="27" t="s">
        <v>93</v>
      </c>
      <c r="C16" s="8" t="n">
        <f aca="false">Assumptions!$B$48</f>
        <v>7500</v>
      </c>
      <c r="D16" s="27" t="s">
        <v>133</v>
      </c>
      <c r="E16" s="29"/>
    </row>
    <row r="17" customFormat="false" ht="15" hidden="false" customHeight="false" outlineLevel="0" collapsed="false">
      <c r="A17" s="27" t="s">
        <v>151</v>
      </c>
      <c r="B17" s="27" t="s">
        <v>152</v>
      </c>
      <c r="C17" s="4" t="s">
        <v>153</v>
      </c>
      <c r="D17" s="27" t="s">
        <v>154</v>
      </c>
      <c r="E17" s="28" t="s">
        <v>155</v>
      </c>
    </row>
    <row r="18" customFormat="false" ht="15" hidden="false" customHeight="false" outlineLevel="0" collapsed="false">
      <c r="A18" s="27" t="s">
        <v>151</v>
      </c>
      <c r="B18" s="27" t="s">
        <v>156</v>
      </c>
      <c r="C18" s="4" t="s">
        <v>157</v>
      </c>
      <c r="D18" s="27" t="s">
        <v>154</v>
      </c>
      <c r="E18" s="28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8"/>
    <col collapsed="false" customWidth="true" hidden="false" outlineLevel="0" max="25" min="8" style="0" width="11"/>
  </cols>
  <sheetData>
    <row r="1" customFormat="false" ht="20.1" hidden="false" customHeight="false" outlineLevel="0" collapsed="false">
      <c r="A1" s="13" t="s">
        <v>158</v>
      </c>
    </row>
    <row r="3" customFormat="false" ht="32.8" hidden="false" customHeight="false" outlineLevel="0" collapsed="false">
      <c r="A3" s="10" t="s">
        <v>159</v>
      </c>
      <c r="B3" s="10" t="s">
        <v>160</v>
      </c>
      <c r="C3" s="10" t="s">
        <v>161</v>
      </c>
      <c r="D3" s="10" t="s">
        <v>162</v>
      </c>
      <c r="E3" s="10" t="s">
        <v>163</v>
      </c>
      <c r="F3" s="10" t="s">
        <v>164</v>
      </c>
      <c r="G3" s="10" t="s">
        <v>165</v>
      </c>
      <c r="H3" s="10" t="s">
        <v>166</v>
      </c>
      <c r="I3" s="10" t="s">
        <v>167</v>
      </c>
      <c r="J3" s="10" t="s">
        <v>168</v>
      </c>
      <c r="K3" s="10" t="s">
        <v>169</v>
      </c>
      <c r="L3" s="10" t="s">
        <v>170</v>
      </c>
      <c r="M3" s="10" t="s">
        <v>156</v>
      </c>
      <c r="N3" s="10" t="s">
        <v>152</v>
      </c>
      <c r="O3" s="10" t="s">
        <v>171</v>
      </c>
      <c r="P3" s="10" t="s">
        <v>172</v>
      </c>
      <c r="Q3" s="10" t="s">
        <v>134</v>
      </c>
      <c r="R3" s="10" t="s">
        <v>173</v>
      </c>
      <c r="S3" s="10" t="s">
        <v>174</v>
      </c>
      <c r="T3" s="10" t="s">
        <v>175</v>
      </c>
      <c r="U3" s="10" t="s">
        <v>176</v>
      </c>
      <c r="V3" s="10" t="s">
        <v>24</v>
      </c>
      <c r="W3" s="10" t="s">
        <v>177</v>
      </c>
      <c r="X3" s="10" t="s">
        <v>178</v>
      </c>
      <c r="Y3" s="10" t="s">
        <v>25</v>
      </c>
    </row>
    <row r="4" customFormat="false" ht="15" hidden="false" customHeight="false" outlineLevel="0" collapsed="false">
      <c r="A4" s="21" t="n">
        <v>1</v>
      </c>
      <c r="B4" s="21" t="n">
        <f aca="false">ROUNDUP(A4/12,0)</f>
        <v>1</v>
      </c>
      <c r="C4" s="7" t="n">
        <f aca="false">Assumptions!$B$44</f>
        <v>30</v>
      </c>
      <c r="D4" s="7" t="n">
        <f aca="false">ROUND(IF(B4=1,Assumptions!$B$37,IF(B4=2,Assumptions!$B$38,Assumptions!$B$39))*MIN(1,A4/6),0)</f>
        <v>3</v>
      </c>
      <c r="E4" s="7" t="n">
        <f aca="false">MAX(0,MIN(ROUND(D4*Assumptions!$B$35,0),Assumptions!$B$31-(C4-F4)))</f>
        <v>2</v>
      </c>
      <c r="F4" s="7" t="n">
        <f aca="false">ROUND(C4*Assumptions!$B$36,0)</f>
        <v>1</v>
      </c>
      <c r="G4" s="7" t="n">
        <f aca="false">MAX(0,MIN(Assumptions!$B$31,C4+E4-F4))</f>
        <v>31</v>
      </c>
      <c r="H4" s="8" t="n">
        <f aca="false">C4*Assumptions!$B$34</f>
        <v>510000</v>
      </c>
      <c r="I4" s="8" t="n">
        <f aca="false">E4*Assumptions!$B$8</f>
        <v>60000</v>
      </c>
      <c r="J4" s="8" t="n">
        <f aca="false">D4*Assumptions!$B$9</f>
        <v>6600</v>
      </c>
      <c r="K4" s="8" t="n">
        <f aca="false">C4*Assumptions!$B$43</f>
        <v>75000</v>
      </c>
      <c r="L4" s="17" t="n">
        <f aca="false">SUM(H4:K4)</f>
        <v>651600</v>
      </c>
      <c r="M4" s="8" t="n">
        <f aca="false">K4*Assumptions!$B$10</f>
        <v>48750</v>
      </c>
      <c r="N4" s="8" t="n">
        <f aca="false">L4*Assumptions!$B$11*Assumptions!$B$12</f>
        <v>17593.2</v>
      </c>
      <c r="O4" s="17" t="n">
        <f aca="false">M4+N4</f>
        <v>66343.2</v>
      </c>
      <c r="P4" s="8" t="n">
        <f aca="false">Assumptions!$B$32</f>
        <v>576000</v>
      </c>
      <c r="Q4" s="8" t="n">
        <f aca="false">Assumptions!$B$42</f>
        <v>850000</v>
      </c>
      <c r="R4" s="8" t="n">
        <f aca="false">IF(A4&lt;=3,Assumptions!$B$40,Assumptions!$B$41)</f>
        <v>180000</v>
      </c>
      <c r="S4" s="8" t="n">
        <f aca="false">Assumptions!$B$49</f>
        <v>257500</v>
      </c>
      <c r="T4" s="17" t="n">
        <f aca="false">P4+Q4+R4+S4</f>
        <v>1863500</v>
      </c>
      <c r="U4" s="8" t="n">
        <f aca="false">(CAPEX!$B$18+CAPEX!$B$20)/(Assumptions!$B$13*12)+IF(A4&gt;=Assumptions!$B$56,Assumptions!$B$55/(Assumptions!$B$13*12),0)</f>
        <v>301354.166666667</v>
      </c>
      <c r="V4" s="17" t="n">
        <f aca="false">L4-O4-T4-U4</f>
        <v>-1579597.36666667</v>
      </c>
      <c r="W4" s="17" t="n">
        <f aca="false">V4</f>
        <v>-1579597.36666667</v>
      </c>
      <c r="X4" s="8" t="n">
        <f aca="false">MAX(0,W4)*Assumptions!$B$14</f>
        <v>0</v>
      </c>
      <c r="Y4" s="17" t="n">
        <f aca="false">W4-X4</f>
        <v>-1579597.36666667</v>
      </c>
    </row>
    <row r="5" customFormat="false" ht="15" hidden="false" customHeight="false" outlineLevel="0" collapsed="false">
      <c r="A5" s="21" t="n">
        <v>2</v>
      </c>
      <c r="B5" s="21" t="n">
        <f aca="false">ROUNDUP(A5/12,0)</f>
        <v>1</v>
      </c>
      <c r="C5" s="21" t="n">
        <f aca="false">G4</f>
        <v>31</v>
      </c>
      <c r="D5" s="7" t="n">
        <f aca="false">ROUND(IF(B5=1,Assumptions!$B$37,IF(B5=2,Assumptions!$B$38,Assumptions!$B$39))*MIN(1,A5/6),0)</f>
        <v>5</v>
      </c>
      <c r="E5" s="7" t="n">
        <f aca="false">MAX(0,MIN(ROUND(D5*Assumptions!$B$35,0),Assumptions!$B$31-(C5-F5)))</f>
        <v>3</v>
      </c>
      <c r="F5" s="7" t="n">
        <f aca="false">ROUND(C5*Assumptions!$B$36,0)</f>
        <v>1</v>
      </c>
      <c r="G5" s="7" t="n">
        <f aca="false">MAX(0,MIN(Assumptions!$B$31,C5+E5-F5))</f>
        <v>33</v>
      </c>
      <c r="H5" s="8" t="n">
        <f aca="false">C5*Assumptions!$B$34</f>
        <v>527000</v>
      </c>
      <c r="I5" s="8" t="n">
        <f aca="false">E5*Assumptions!$B$8</f>
        <v>90000</v>
      </c>
      <c r="J5" s="8" t="n">
        <f aca="false">D5*Assumptions!$B$9</f>
        <v>11000</v>
      </c>
      <c r="K5" s="8" t="n">
        <f aca="false">C5*Assumptions!$B$43</f>
        <v>77500</v>
      </c>
      <c r="L5" s="17" t="n">
        <f aca="false">SUM(H5:K5)</f>
        <v>705500</v>
      </c>
      <c r="M5" s="8" t="n">
        <f aca="false">K5*Assumptions!$B$10</f>
        <v>50375</v>
      </c>
      <c r="N5" s="8" t="n">
        <f aca="false">L5*Assumptions!$B$11*Assumptions!$B$12</f>
        <v>19048.5</v>
      </c>
      <c r="O5" s="17" t="n">
        <f aca="false">M5+N5</f>
        <v>69423.5</v>
      </c>
      <c r="P5" s="8" t="n">
        <f aca="false">Assumptions!$B$32</f>
        <v>576000</v>
      </c>
      <c r="Q5" s="8" t="n">
        <f aca="false">Assumptions!$B$42</f>
        <v>850000</v>
      </c>
      <c r="R5" s="8" t="n">
        <f aca="false">IF(A5&lt;=3,Assumptions!$B$40,Assumptions!$B$41)</f>
        <v>180000</v>
      </c>
      <c r="S5" s="8" t="n">
        <f aca="false">Assumptions!$B$49</f>
        <v>257500</v>
      </c>
      <c r="T5" s="17" t="n">
        <f aca="false">P5+Q5+R5+S5</f>
        <v>1863500</v>
      </c>
      <c r="U5" s="8" t="n">
        <f aca="false">(CAPEX!$B$18+CAPEX!$B$20)/(Assumptions!$B$13*12)+IF(A5&gt;=Assumptions!$B$56,Assumptions!$B$55/(Assumptions!$B$13*12),0)</f>
        <v>301354.166666667</v>
      </c>
      <c r="V5" s="17" t="n">
        <f aca="false">L5-O5-T5-U5</f>
        <v>-1528777.66666667</v>
      </c>
      <c r="W5" s="17" t="n">
        <f aca="false">V5</f>
        <v>-1528777.66666667</v>
      </c>
      <c r="X5" s="8" t="n">
        <f aca="false">MAX(0,W5)*Assumptions!$B$14</f>
        <v>0</v>
      </c>
      <c r="Y5" s="17" t="n">
        <f aca="false">W5-X5</f>
        <v>-1528777.66666667</v>
      </c>
    </row>
    <row r="6" customFormat="false" ht="15" hidden="false" customHeight="false" outlineLevel="0" collapsed="false">
      <c r="A6" s="21" t="n">
        <v>3</v>
      </c>
      <c r="B6" s="21" t="n">
        <f aca="false">ROUNDUP(A6/12,0)</f>
        <v>1</v>
      </c>
      <c r="C6" s="21" t="n">
        <f aca="false">G5</f>
        <v>33</v>
      </c>
      <c r="D6" s="7" t="n">
        <f aca="false">ROUND(IF(B6=1,Assumptions!$B$37,IF(B6=2,Assumptions!$B$38,Assumptions!$B$39))*MIN(1,A6/6),0)</f>
        <v>8</v>
      </c>
      <c r="E6" s="7" t="n">
        <f aca="false">MAX(0,MIN(ROUND(D6*Assumptions!$B$35,0),Assumptions!$B$31-(C6-F6)))</f>
        <v>4</v>
      </c>
      <c r="F6" s="7" t="n">
        <f aca="false">ROUND(C6*Assumptions!$B$36,0)</f>
        <v>1</v>
      </c>
      <c r="G6" s="7" t="n">
        <f aca="false">MAX(0,MIN(Assumptions!$B$31,C6+E6-F6))</f>
        <v>36</v>
      </c>
      <c r="H6" s="8" t="n">
        <f aca="false">C6*Assumptions!$B$34</f>
        <v>561000</v>
      </c>
      <c r="I6" s="8" t="n">
        <f aca="false">E6*Assumptions!$B$8</f>
        <v>120000</v>
      </c>
      <c r="J6" s="8" t="n">
        <f aca="false">D6*Assumptions!$B$9</f>
        <v>17600</v>
      </c>
      <c r="K6" s="8" t="n">
        <f aca="false">C6*Assumptions!$B$43</f>
        <v>82500</v>
      </c>
      <c r="L6" s="17" t="n">
        <f aca="false">SUM(H6:K6)</f>
        <v>781100</v>
      </c>
      <c r="M6" s="8" t="n">
        <f aca="false">K6*Assumptions!$B$10</f>
        <v>53625</v>
      </c>
      <c r="N6" s="8" t="n">
        <f aca="false">L6*Assumptions!$B$11*Assumptions!$B$12</f>
        <v>21089.7</v>
      </c>
      <c r="O6" s="17" t="n">
        <f aca="false">M6+N6</f>
        <v>74714.7</v>
      </c>
      <c r="P6" s="8" t="n">
        <f aca="false">Assumptions!$B$32</f>
        <v>576000</v>
      </c>
      <c r="Q6" s="8" t="n">
        <f aca="false">Assumptions!$B$42</f>
        <v>850000</v>
      </c>
      <c r="R6" s="8" t="n">
        <f aca="false">IF(A6&lt;=3,Assumptions!$B$40,Assumptions!$B$41)</f>
        <v>180000</v>
      </c>
      <c r="S6" s="8" t="n">
        <f aca="false">Assumptions!$B$49</f>
        <v>257500</v>
      </c>
      <c r="T6" s="17" t="n">
        <f aca="false">P6+Q6+R6+S6</f>
        <v>1863500</v>
      </c>
      <c r="U6" s="8" t="n">
        <f aca="false">(CAPEX!$B$18+CAPEX!$B$20)/(Assumptions!$B$13*12)+IF(A6&gt;=Assumptions!$B$56,Assumptions!$B$55/(Assumptions!$B$13*12),0)</f>
        <v>301354.166666667</v>
      </c>
      <c r="V6" s="17" t="n">
        <f aca="false">L6-O6-T6-U6</f>
        <v>-1458468.86666667</v>
      </c>
      <c r="W6" s="17" t="n">
        <f aca="false">V6</f>
        <v>-1458468.86666667</v>
      </c>
      <c r="X6" s="8" t="n">
        <f aca="false">MAX(0,W6)*Assumptions!$B$14</f>
        <v>0</v>
      </c>
      <c r="Y6" s="17" t="n">
        <f aca="false">W6-X6</f>
        <v>-1458468.86666667</v>
      </c>
    </row>
    <row r="7" customFormat="false" ht="15" hidden="false" customHeight="false" outlineLevel="0" collapsed="false">
      <c r="A7" s="21" t="n">
        <v>4</v>
      </c>
      <c r="B7" s="21" t="n">
        <f aca="false">ROUNDUP(A7/12,0)</f>
        <v>1</v>
      </c>
      <c r="C7" s="21" t="n">
        <f aca="false">G6</f>
        <v>36</v>
      </c>
      <c r="D7" s="7" t="n">
        <f aca="false">ROUND(IF(B7=1,Assumptions!$B$37,IF(B7=2,Assumptions!$B$38,Assumptions!$B$39))*MIN(1,A7/6),0)</f>
        <v>11</v>
      </c>
      <c r="E7" s="7" t="n">
        <f aca="false">MAX(0,MIN(ROUND(D7*Assumptions!$B$35,0),Assumptions!$B$31-(C7-F7)))</f>
        <v>6</v>
      </c>
      <c r="F7" s="7" t="n">
        <f aca="false">ROUND(C7*Assumptions!$B$36,0)</f>
        <v>1</v>
      </c>
      <c r="G7" s="7" t="n">
        <f aca="false">MAX(0,MIN(Assumptions!$B$31,C7+E7-F7))</f>
        <v>41</v>
      </c>
      <c r="H7" s="8" t="n">
        <f aca="false">C7*Assumptions!$B$34</f>
        <v>612000</v>
      </c>
      <c r="I7" s="8" t="n">
        <f aca="false">E7*Assumptions!$B$8</f>
        <v>180000</v>
      </c>
      <c r="J7" s="8" t="n">
        <f aca="false">D7*Assumptions!$B$9</f>
        <v>24200</v>
      </c>
      <c r="K7" s="8" t="n">
        <f aca="false">C7*Assumptions!$B$43</f>
        <v>90000</v>
      </c>
      <c r="L7" s="17" t="n">
        <f aca="false">SUM(H7:K7)</f>
        <v>906200</v>
      </c>
      <c r="M7" s="8" t="n">
        <f aca="false">K7*Assumptions!$B$10</f>
        <v>58500</v>
      </c>
      <c r="N7" s="8" t="n">
        <f aca="false">L7*Assumptions!$B$11*Assumptions!$B$12</f>
        <v>24467.4</v>
      </c>
      <c r="O7" s="17" t="n">
        <f aca="false">M7+N7</f>
        <v>82967.4</v>
      </c>
      <c r="P7" s="8" t="n">
        <f aca="false">Assumptions!$B$32</f>
        <v>576000</v>
      </c>
      <c r="Q7" s="8" t="n">
        <f aca="false">Assumptions!$B$42</f>
        <v>850000</v>
      </c>
      <c r="R7" s="8" t="n">
        <f aca="false">IF(A7&lt;=3,Assumptions!$B$40,Assumptions!$B$41)</f>
        <v>100000</v>
      </c>
      <c r="S7" s="8" t="n">
        <f aca="false">Assumptions!$B$49</f>
        <v>257500</v>
      </c>
      <c r="T7" s="17" t="n">
        <f aca="false">P7+Q7+R7+S7</f>
        <v>1783500</v>
      </c>
      <c r="U7" s="8" t="n">
        <f aca="false">(CAPEX!$B$18+CAPEX!$B$20)/(Assumptions!$B$13*12)+IF(A7&gt;=Assumptions!$B$56,Assumptions!$B$55/(Assumptions!$B$13*12),0)</f>
        <v>301354.166666667</v>
      </c>
      <c r="V7" s="17" t="n">
        <f aca="false">L7-O7-T7-U7</f>
        <v>-1261621.56666667</v>
      </c>
      <c r="W7" s="17" t="n">
        <f aca="false">V7</f>
        <v>-1261621.56666667</v>
      </c>
      <c r="X7" s="8" t="n">
        <f aca="false">MAX(0,W7)*Assumptions!$B$14</f>
        <v>0</v>
      </c>
      <c r="Y7" s="17" t="n">
        <f aca="false">W7-X7</f>
        <v>-1261621.56666667</v>
      </c>
    </row>
    <row r="8" customFormat="false" ht="15" hidden="false" customHeight="false" outlineLevel="0" collapsed="false">
      <c r="A8" s="21" t="n">
        <v>5</v>
      </c>
      <c r="B8" s="21" t="n">
        <f aca="false">ROUNDUP(A8/12,0)</f>
        <v>1</v>
      </c>
      <c r="C8" s="21" t="n">
        <f aca="false">G7</f>
        <v>41</v>
      </c>
      <c r="D8" s="7" t="n">
        <f aca="false">ROUND(IF(B8=1,Assumptions!$B$37,IF(B8=2,Assumptions!$B$38,Assumptions!$B$39))*MIN(1,A8/6),0)</f>
        <v>13</v>
      </c>
      <c r="E8" s="7" t="n">
        <f aca="false">MAX(0,MIN(ROUND(D8*Assumptions!$B$35,0),Assumptions!$B$31-(C8-F8)))</f>
        <v>7</v>
      </c>
      <c r="F8" s="7" t="n">
        <f aca="false">ROUND(C8*Assumptions!$B$36,0)</f>
        <v>2</v>
      </c>
      <c r="G8" s="7" t="n">
        <f aca="false">MAX(0,MIN(Assumptions!$B$31,C8+E8-F8))</f>
        <v>46</v>
      </c>
      <c r="H8" s="8" t="n">
        <f aca="false">C8*Assumptions!$B$34</f>
        <v>697000</v>
      </c>
      <c r="I8" s="8" t="n">
        <f aca="false">E8*Assumptions!$B$8</f>
        <v>210000</v>
      </c>
      <c r="J8" s="8" t="n">
        <f aca="false">D8*Assumptions!$B$9</f>
        <v>28600</v>
      </c>
      <c r="K8" s="8" t="n">
        <f aca="false">C8*Assumptions!$B$43</f>
        <v>102500</v>
      </c>
      <c r="L8" s="17" t="n">
        <f aca="false">SUM(H8:K8)</f>
        <v>1038100</v>
      </c>
      <c r="M8" s="8" t="n">
        <f aca="false">K8*Assumptions!$B$10</f>
        <v>66625</v>
      </c>
      <c r="N8" s="8" t="n">
        <f aca="false">L8*Assumptions!$B$11*Assumptions!$B$12</f>
        <v>28028.7</v>
      </c>
      <c r="O8" s="17" t="n">
        <f aca="false">M8+N8</f>
        <v>94653.7</v>
      </c>
      <c r="P8" s="8" t="n">
        <f aca="false">Assumptions!$B$32</f>
        <v>576000</v>
      </c>
      <c r="Q8" s="8" t="n">
        <f aca="false">Assumptions!$B$42</f>
        <v>850000</v>
      </c>
      <c r="R8" s="8" t="n">
        <f aca="false">IF(A8&lt;=3,Assumptions!$B$40,Assumptions!$B$41)</f>
        <v>100000</v>
      </c>
      <c r="S8" s="8" t="n">
        <f aca="false">Assumptions!$B$49</f>
        <v>257500</v>
      </c>
      <c r="T8" s="17" t="n">
        <f aca="false">P8+Q8+R8+S8</f>
        <v>1783500</v>
      </c>
      <c r="U8" s="8" t="n">
        <f aca="false">(CAPEX!$B$18+CAPEX!$B$20)/(Assumptions!$B$13*12)+IF(A8&gt;=Assumptions!$B$56,Assumptions!$B$55/(Assumptions!$B$13*12),0)</f>
        <v>301354.166666667</v>
      </c>
      <c r="V8" s="17" t="n">
        <f aca="false">L8-O8-T8-U8</f>
        <v>-1141407.86666667</v>
      </c>
      <c r="W8" s="17" t="n">
        <f aca="false">V8</f>
        <v>-1141407.86666667</v>
      </c>
      <c r="X8" s="8" t="n">
        <f aca="false">MAX(0,W8)*Assumptions!$B$14</f>
        <v>0</v>
      </c>
      <c r="Y8" s="17" t="n">
        <f aca="false">W8-X8</f>
        <v>-1141407.86666667</v>
      </c>
    </row>
    <row r="9" customFormat="false" ht="15" hidden="false" customHeight="false" outlineLevel="0" collapsed="false">
      <c r="A9" s="21" t="n">
        <v>6</v>
      </c>
      <c r="B9" s="21" t="n">
        <f aca="false">ROUNDUP(A9/12,0)</f>
        <v>1</v>
      </c>
      <c r="C9" s="21" t="n">
        <f aca="false">G8</f>
        <v>46</v>
      </c>
      <c r="D9" s="7" t="n">
        <f aca="false">ROUND(IF(B9=1,Assumptions!$B$37,IF(B9=2,Assumptions!$B$38,Assumptions!$B$39))*MIN(1,A9/6),0)</f>
        <v>16</v>
      </c>
      <c r="E9" s="7" t="n">
        <f aca="false">MAX(0,MIN(ROUND(D9*Assumptions!$B$35,0),Assumptions!$B$31-(C9-F9)))</f>
        <v>9</v>
      </c>
      <c r="F9" s="7" t="n">
        <f aca="false">ROUND(C9*Assumptions!$B$36,0)</f>
        <v>2</v>
      </c>
      <c r="G9" s="7" t="n">
        <f aca="false">MAX(0,MIN(Assumptions!$B$31,C9+E9-F9))</f>
        <v>53</v>
      </c>
      <c r="H9" s="8" t="n">
        <f aca="false">C9*Assumptions!$B$34</f>
        <v>782000</v>
      </c>
      <c r="I9" s="8" t="n">
        <f aca="false">E9*Assumptions!$B$8</f>
        <v>270000</v>
      </c>
      <c r="J9" s="8" t="n">
        <f aca="false">D9*Assumptions!$B$9</f>
        <v>35200</v>
      </c>
      <c r="K9" s="8" t="n">
        <f aca="false">C9*Assumptions!$B$43</f>
        <v>115000</v>
      </c>
      <c r="L9" s="17" t="n">
        <f aca="false">SUM(H9:K9)</f>
        <v>1202200</v>
      </c>
      <c r="M9" s="8" t="n">
        <f aca="false">K9*Assumptions!$B$10</f>
        <v>74750</v>
      </c>
      <c r="N9" s="8" t="n">
        <f aca="false">L9*Assumptions!$B$11*Assumptions!$B$12</f>
        <v>32459.4</v>
      </c>
      <c r="O9" s="17" t="n">
        <f aca="false">M9+N9</f>
        <v>107209.4</v>
      </c>
      <c r="P9" s="8" t="n">
        <f aca="false">Assumptions!$B$32</f>
        <v>576000</v>
      </c>
      <c r="Q9" s="8" t="n">
        <f aca="false">Assumptions!$B$42</f>
        <v>850000</v>
      </c>
      <c r="R9" s="8" t="n">
        <f aca="false">IF(A9&lt;=3,Assumptions!$B$40,Assumptions!$B$41)</f>
        <v>100000</v>
      </c>
      <c r="S9" s="8" t="n">
        <f aca="false">Assumptions!$B$49</f>
        <v>257500</v>
      </c>
      <c r="T9" s="17" t="n">
        <f aca="false">P9+Q9+R9+S9</f>
        <v>1783500</v>
      </c>
      <c r="U9" s="8" t="n">
        <f aca="false">(CAPEX!$B$18+CAPEX!$B$20)/(Assumptions!$B$13*12)+IF(A9&gt;=Assumptions!$B$56,Assumptions!$B$55/(Assumptions!$B$13*12),0)</f>
        <v>306562.5</v>
      </c>
      <c r="V9" s="17" t="n">
        <f aca="false">L9-O9-T9-U9</f>
        <v>-995071.9</v>
      </c>
      <c r="W9" s="17" t="n">
        <f aca="false">V9</f>
        <v>-995071.9</v>
      </c>
      <c r="X9" s="8" t="n">
        <f aca="false">MAX(0,W9)*Assumptions!$B$14</f>
        <v>0</v>
      </c>
      <c r="Y9" s="17" t="n">
        <f aca="false">W9-X9</f>
        <v>-995071.9</v>
      </c>
    </row>
    <row r="10" customFormat="false" ht="15" hidden="false" customHeight="false" outlineLevel="0" collapsed="false">
      <c r="A10" s="21" t="n">
        <v>7</v>
      </c>
      <c r="B10" s="21" t="n">
        <f aca="false">ROUNDUP(A10/12,0)</f>
        <v>1</v>
      </c>
      <c r="C10" s="21" t="n">
        <f aca="false">G9</f>
        <v>53</v>
      </c>
      <c r="D10" s="7" t="n">
        <f aca="false">ROUND(IF(B10=1,Assumptions!$B$37,IF(B10=2,Assumptions!$B$38,Assumptions!$B$39))*MIN(1,A10/6),0)</f>
        <v>16</v>
      </c>
      <c r="E10" s="7" t="n">
        <f aca="false">MAX(0,MIN(ROUND(D10*Assumptions!$B$35,0),Assumptions!$B$31-(C10-F10)))</f>
        <v>9</v>
      </c>
      <c r="F10" s="7" t="n">
        <f aca="false">ROUND(C10*Assumptions!$B$36,0)</f>
        <v>2</v>
      </c>
      <c r="G10" s="7" t="n">
        <f aca="false">MAX(0,MIN(Assumptions!$B$31,C10+E10-F10))</f>
        <v>60</v>
      </c>
      <c r="H10" s="8" t="n">
        <f aca="false">C10*Assumptions!$B$34</f>
        <v>901000</v>
      </c>
      <c r="I10" s="8" t="n">
        <f aca="false">E10*Assumptions!$B$8</f>
        <v>270000</v>
      </c>
      <c r="J10" s="8" t="n">
        <f aca="false">D10*Assumptions!$B$9</f>
        <v>35200</v>
      </c>
      <c r="K10" s="8" t="n">
        <f aca="false">C10*Assumptions!$B$43</f>
        <v>132500</v>
      </c>
      <c r="L10" s="17" t="n">
        <f aca="false">SUM(H10:K10)</f>
        <v>1338700</v>
      </c>
      <c r="M10" s="8" t="n">
        <f aca="false">K10*Assumptions!$B$10</f>
        <v>86125</v>
      </c>
      <c r="N10" s="8" t="n">
        <f aca="false">L10*Assumptions!$B$11*Assumptions!$B$12</f>
        <v>36144.9</v>
      </c>
      <c r="O10" s="17" t="n">
        <f aca="false">M10+N10</f>
        <v>122269.9</v>
      </c>
      <c r="P10" s="8" t="n">
        <f aca="false">Assumptions!$B$32</f>
        <v>576000</v>
      </c>
      <c r="Q10" s="8" t="n">
        <f aca="false">Assumptions!$B$42</f>
        <v>850000</v>
      </c>
      <c r="R10" s="8" t="n">
        <f aca="false">IF(A10&lt;=3,Assumptions!$B$40,Assumptions!$B$41)</f>
        <v>100000</v>
      </c>
      <c r="S10" s="8" t="n">
        <f aca="false">Assumptions!$B$49</f>
        <v>257500</v>
      </c>
      <c r="T10" s="17" t="n">
        <f aca="false">P10+Q10+R10+S10</f>
        <v>1783500</v>
      </c>
      <c r="U10" s="8" t="n">
        <f aca="false">(CAPEX!$B$18+CAPEX!$B$20)/(Assumptions!$B$13*12)+IF(A10&gt;=Assumptions!$B$56,Assumptions!$B$55/(Assumptions!$B$13*12),0)</f>
        <v>306562.5</v>
      </c>
      <c r="V10" s="17" t="n">
        <f aca="false">L10-O10-T10-U10</f>
        <v>-873632.4</v>
      </c>
      <c r="W10" s="17" t="n">
        <f aca="false">V10</f>
        <v>-873632.4</v>
      </c>
      <c r="X10" s="8" t="n">
        <f aca="false">MAX(0,W10)*Assumptions!$B$14</f>
        <v>0</v>
      </c>
      <c r="Y10" s="17" t="n">
        <f aca="false">W10-X10</f>
        <v>-873632.4</v>
      </c>
    </row>
    <row r="11" customFormat="false" ht="15" hidden="false" customHeight="false" outlineLevel="0" collapsed="false">
      <c r="A11" s="21" t="n">
        <v>8</v>
      </c>
      <c r="B11" s="21" t="n">
        <f aca="false">ROUNDUP(A11/12,0)</f>
        <v>1</v>
      </c>
      <c r="C11" s="21" t="n">
        <f aca="false">G10</f>
        <v>60</v>
      </c>
      <c r="D11" s="7" t="n">
        <f aca="false">ROUND(IF(B11=1,Assumptions!$B$37,IF(B11=2,Assumptions!$B$38,Assumptions!$B$39))*MIN(1,A11/6),0)</f>
        <v>16</v>
      </c>
      <c r="E11" s="7" t="n">
        <f aca="false">MAX(0,MIN(ROUND(D11*Assumptions!$B$35,0),Assumptions!$B$31-(C11-F11)))</f>
        <v>9</v>
      </c>
      <c r="F11" s="7" t="n">
        <f aca="false">ROUND(C11*Assumptions!$B$36,0)</f>
        <v>2</v>
      </c>
      <c r="G11" s="7" t="n">
        <f aca="false">MAX(0,MIN(Assumptions!$B$31,C11+E11-F11))</f>
        <v>67</v>
      </c>
      <c r="H11" s="8" t="n">
        <f aca="false">C11*Assumptions!$B$34</f>
        <v>1020000</v>
      </c>
      <c r="I11" s="8" t="n">
        <f aca="false">E11*Assumptions!$B$8</f>
        <v>270000</v>
      </c>
      <c r="J11" s="8" t="n">
        <f aca="false">D11*Assumptions!$B$9</f>
        <v>35200</v>
      </c>
      <c r="K11" s="8" t="n">
        <f aca="false">C11*Assumptions!$B$43</f>
        <v>150000</v>
      </c>
      <c r="L11" s="17" t="n">
        <f aca="false">SUM(H11:K11)</f>
        <v>1475200</v>
      </c>
      <c r="M11" s="8" t="n">
        <f aca="false">K11*Assumptions!$B$10</f>
        <v>97500</v>
      </c>
      <c r="N11" s="8" t="n">
        <f aca="false">L11*Assumptions!$B$11*Assumptions!$B$12</f>
        <v>39830.4</v>
      </c>
      <c r="O11" s="17" t="n">
        <f aca="false">M11+N11</f>
        <v>137330.4</v>
      </c>
      <c r="P11" s="8" t="n">
        <f aca="false">Assumptions!$B$32</f>
        <v>576000</v>
      </c>
      <c r="Q11" s="8" t="n">
        <f aca="false">Assumptions!$B$42</f>
        <v>850000</v>
      </c>
      <c r="R11" s="8" t="n">
        <f aca="false">IF(A11&lt;=3,Assumptions!$B$40,Assumptions!$B$41)</f>
        <v>100000</v>
      </c>
      <c r="S11" s="8" t="n">
        <f aca="false">Assumptions!$B$49</f>
        <v>257500</v>
      </c>
      <c r="T11" s="17" t="n">
        <f aca="false">P11+Q11+R11+S11</f>
        <v>1783500</v>
      </c>
      <c r="U11" s="8" t="n">
        <f aca="false">(CAPEX!$B$18+CAPEX!$B$20)/(Assumptions!$B$13*12)+IF(A11&gt;=Assumptions!$B$56,Assumptions!$B$55/(Assumptions!$B$13*12),0)</f>
        <v>306562.5</v>
      </c>
      <c r="V11" s="17" t="n">
        <f aca="false">L11-O11-T11-U11</f>
        <v>-752192.9</v>
      </c>
      <c r="W11" s="17" t="n">
        <f aca="false">V11</f>
        <v>-752192.9</v>
      </c>
      <c r="X11" s="8" t="n">
        <f aca="false">MAX(0,W11)*Assumptions!$B$14</f>
        <v>0</v>
      </c>
      <c r="Y11" s="17" t="n">
        <f aca="false">W11-X11</f>
        <v>-752192.9</v>
      </c>
    </row>
    <row r="12" customFormat="false" ht="15" hidden="false" customHeight="false" outlineLevel="0" collapsed="false">
      <c r="A12" s="21" t="n">
        <v>9</v>
      </c>
      <c r="B12" s="21" t="n">
        <f aca="false">ROUNDUP(A12/12,0)</f>
        <v>1</v>
      </c>
      <c r="C12" s="21" t="n">
        <f aca="false">G11</f>
        <v>67</v>
      </c>
      <c r="D12" s="7" t="n">
        <f aca="false">ROUND(IF(B12=1,Assumptions!$B$37,IF(B12=2,Assumptions!$B$38,Assumptions!$B$39))*MIN(1,A12/6),0)</f>
        <v>16</v>
      </c>
      <c r="E12" s="7" t="n">
        <f aca="false">MAX(0,MIN(ROUND(D12*Assumptions!$B$35,0),Assumptions!$B$31-(C12-F12)))</f>
        <v>9</v>
      </c>
      <c r="F12" s="7" t="n">
        <f aca="false">ROUND(C12*Assumptions!$B$36,0)</f>
        <v>3</v>
      </c>
      <c r="G12" s="7" t="n">
        <f aca="false">MAX(0,MIN(Assumptions!$B$31,C12+E12-F12))</f>
        <v>73</v>
      </c>
      <c r="H12" s="8" t="n">
        <f aca="false">C12*Assumptions!$B$34</f>
        <v>1139000</v>
      </c>
      <c r="I12" s="8" t="n">
        <f aca="false">E12*Assumptions!$B$8</f>
        <v>270000</v>
      </c>
      <c r="J12" s="8" t="n">
        <f aca="false">D12*Assumptions!$B$9</f>
        <v>35200</v>
      </c>
      <c r="K12" s="8" t="n">
        <f aca="false">C12*Assumptions!$B$43</f>
        <v>167500</v>
      </c>
      <c r="L12" s="17" t="n">
        <f aca="false">SUM(H12:K12)</f>
        <v>1611700</v>
      </c>
      <c r="M12" s="8" t="n">
        <f aca="false">K12*Assumptions!$B$10</f>
        <v>108875</v>
      </c>
      <c r="N12" s="8" t="n">
        <f aca="false">L12*Assumptions!$B$11*Assumptions!$B$12</f>
        <v>43515.9</v>
      </c>
      <c r="O12" s="17" t="n">
        <f aca="false">M12+N12</f>
        <v>152390.9</v>
      </c>
      <c r="P12" s="8" t="n">
        <f aca="false">Assumptions!$B$32</f>
        <v>576000</v>
      </c>
      <c r="Q12" s="8" t="n">
        <f aca="false">Assumptions!$B$42</f>
        <v>850000</v>
      </c>
      <c r="R12" s="8" t="n">
        <f aca="false">IF(A12&lt;=3,Assumptions!$B$40,Assumptions!$B$41)</f>
        <v>100000</v>
      </c>
      <c r="S12" s="8" t="n">
        <f aca="false">Assumptions!$B$49</f>
        <v>257500</v>
      </c>
      <c r="T12" s="17" t="n">
        <f aca="false">P12+Q12+R12+S12</f>
        <v>1783500</v>
      </c>
      <c r="U12" s="8" t="n">
        <f aca="false">(CAPEX!$B$18+CAPEX!$B$20)/(Assumptions!$B$13*12)+IF(A12&gt;=Assumptions!$B$56,Assumptions!$B$55/(Assumptions!$B$13*12),0)</f>
        <v>306562.5</v>
      </c>
      <c r="V12" s="17" t="n">
        <f aca="false">L12-O12-T12-U12</f>
        <v>-630753.4</v>
      </c>
      <c r="W12" s="17" t="n">
        <f aca="false">V12</f>
        <v>-630753.4</v>
      </c>
      <c r="X12" s="8" t="n">
        <f aca="false">MAX(0,W12)*Assumptions!$B$14</f>
        <v>0</v>
      </c>
      <c r="Y12" s="17" t="n">
        <f aca="false">W12-X12</f>
        <v>-630753.4</v>
      </c>
    </row>
    <row r="13" customFormat="false" ht="15" hidden="false" customHeight="false" outlineLevel="0" collapsed="false">
      <c r="A13" s="21" t="n">
        <v>10</v>
      </c>
      <c r="B13" s="21" t="n">
        <f aca="false">ROUNDUP(A13/12,0)</f>
        <v>1</v>
      </c>
      <c r="C13" s="21" t="n">
        <f aca="false">G12</f>
        <v>73</v>
      </c>
      <c r="D13" s="7" t="n">
        <f aca="false">ROUND(IF(B13=1,Assumptions!$B$37,IF(B13=2,Assumptions!$B$38,Assumptions!$B$39))*MIN(1,A13/6),0)</f>
        <v>16</v>
      </c>
      <c r="E13" s="7" t="n">
        <f aca="false">MAX(0,MIN(ROUND(D13*Assumptions!$B$35,0),Assumptions!$B$31-(C13-F13)))</f>
        <v>9</v>
      </c>
      <c r="F13" s="7" t="n">
        <f aca="false">ROUND(C13*Assumptions!$B$36,0)</f>
        <v>3</v>
      </c>
      <c r="G13" s="7" t="n">
        <f aca="false">MAX(0,MIN(Assumptions!$B$31,C13+E13-F13))</f>
        <v>79</v>
      </c>
      <c r="H13" s="8" t="n">
        <f aca="false">C13*Assumptions!$B$34</f>
        <v>1241000</v>
      </c>
      <c r="I13" s="8" t="n">
        <f aca="false">E13*Assumptions!$B$8</f>
        <v>270000</v>
      </c>
      <c r="J13" s="8" t="n">
        <f aca="false">D13*Assumptions!$B$9</f>
        <v>35200</v>
      </c>
      <c r="K13" s="8" t="n">
        <f aca="false">C13*Assumptions!$B$43</f>
        <v>182500</v>
      </c>
      <c r="L13" s="17" t="n">
        <f aca="false">SUM(H13:K13)</f>
        <v>1728700</v>
      </c>
      <c r="M13" s="8" t="n">
        <f aca="false">K13*Assumptions!$B$10</f>
        <v>118625</v>
      </c>
      <c r="N13" s="8" t="n">
        <f aca="false">L13*Assumptions!$B$11*Assumptions!$B$12</f>
        <v>46674.9</v>
      </c>
      <c r="O13" s="17" t="n">
        <f aca="false">M13+N13</f>
        <v>165299.9</v>
      </c>
      <c r="P13" s="8" t="n">
        <f aca="false">Assumptions!$B$32</f>
        <v>576000</v>
      </c>
      <c r="Q13" s="8" t="n">
        <f aca="false">Assumptions!$B$42</f>
        <v>850000</v>
      </c>
      <c r="R13" s="8" t="n">
        <f aca="false">IF(A13&lt;=3,Assumptions!$B$40,Assumptions!$B$41)</f>
        <v>100000</v>
      </c>
      <c r="S13" s="8" t="n">
        <f aca="false">Assumptions!$B$49</f>
        <v>257500</v>
      </c>
      <c r="T13" s="17" t="n">
        <f aca="false">P13+Q13+R13+S13</f>
        <v>1783500</v>
      </c>
      <c r="U13" s="8" t="n">
        <f aca="false">(CAPEX!$B$18+CAPEX!$B$20)/(Assumptions!$B$13*12)+IF(A13&gt;=Assumptions!$B$56,Assumptions!$B$55/(Assumptions!$B$13*12),0)</f>
        <v>306562.5</v>
      </c>
      <c r="V13" s="17" t="n">
        <f aca="false">L13-O13-T13-U13</f>
        <v>-526662.4</v>
      </c>
      <c r="W13" s="17" t="n">
        <f aca="false">V13</f>
        <v>-526662.4</v>
      </c>
      <c r="X13" s="8" t="n">
        <f aca="false">MAX(0,W13)*Assumptions!$B$14</f>
        <v>0</v>
      </c>
      <c r="Y13" s="17" t="n">
        <f aca="false">W13-X13</f>
        <v>-526662.4</v>
      </c>
    </row>
    <row r="14" customFormat="false" ht="15" hidden="false" customHeight="false" outlineLevel="0" collapsed="false">
      <c r="A14" s="21" t="n">
        <v>11</v>
      </c>
      <c r="B14" s="21" t="n">
        <f aca="false">ROUNDUP(A14/12,0)</f>
        <v>1</v>
      </c>
      <c r="C14" s="21" t="n">
        <f aca="false">G13</f>
        <v>79</v>
      </c>
      <c r="D14" s="7" t="n">
        <f aca="false">ROUND(IF(B14=1,Assumptions!$B$37,IF(B14=2,Assumptions!$B$38,Assumptions!$B$39))*MIN(1,A14/6),0)</f>
        <v>16</v>
      </c>
      <c r="E14" s="7" t="n">
        <f aca="false">MAX(0,MIN(ROUND(D14*Assumptions!$B$35,0),Assumptions!$B$31-(C14-F14)))</f>
        <v>9</v>
      </c>
      <c r="F14" s="7" t="n">
        <f aca="false">ROUND(C14*Assumptions!$B$36,0)</f>
        <v>3</v>
      </c>
      <c r="G14" s="7" t="n">
        <f aca="false">MAX(0,MIN(Assumptions!$B$31,C14+E14-F14))</f>
        <v>85</v>
      </c>
      <c r="H14" s="8" t="n">
        <f aca="false">C14*Assumptions!$B$34</f>
        <v>1343000</v>
      </c>
      <c r="I14" s="8" t="n">
        <f aca="false">E14*Assumptions!$B$8</f>
        <v>270000</v>
      </c>
      <c r="J14" s="8" t="n">
        <f aca="false">D14*Assumptions!$B$9</f>
        <v>35200</v>
      </c>
      <c r="K14" s="8" t="n">
        <f aca="false">C14*Assumptions!$B$43</f>
        <v>197500</v>
      </c>
      <c r="L14" s="17" t="n">
        <f aca="false">SUM(H14:K14)</f>
        <v>1845700</v>
      </c>
      <c r="M14" s="8" t="n">
        <f aca="false">K14*Assumptions!$B$10</f>
        <v>128375</v>
      </c>
      <c r="N14" s="8" t="n">
        <f aca="false">L14*Assumptions!$B$11*Assumptions!$B$12</f>
        <v>49833.9</v>
      </c>
      <c r="O14" s="17" t="n">
        <f aca="false">M14+N14</f>
        <v>178208.9</v>
      </c>
      <c r="P14" s="8" t="n">
        <f aca="false">Assumptions!$B$32</f>
        <v>576000</v>
      </c>
      <c r="Q14" s="8" t="n">
        <f aca="false">Assumptions!$B$42</f>
        <v>850000</v>
      </c>
      <c r="R14" s="8" t="n">
        <f aca="false">IF(A14&lt;=3,Assumptions!$B$40,Assumptions!$B$41)</f>
        <v>100000</v>
      </c>
      <c r="S14" s="8" t="n">
        <f aca="false">Assumptions!$B$49</f>
        <v>257500</v>
      </c>
      <c r="T14" s="17" t="n">
        <f aca="false">P14+Q14+R14+S14</f>
        <v>1783500</v>
      </c>
      <c r="U14" s="8" t="n">
        <f aca="false">(CAPEX!$B$18+CAPEX!$B$20)/(Assumptions!$B$13*12)+IF(A14&gt;=Assumptions!$B$56,Assumptions!$B$55/(Assumptions!$B$13*12),0)</f>
        <v>306562.5</v>
      </c>
      <c r="V14" s="17" t="n">
        <f aca="false">L14-O14-T14-U14</f>
        <v>-422571.4</v>
      </c>
      <c r="W14" s="17" t="n">
        <f aca="false">V14</f>
        <v>-422571.4</v>
      </c>
      <c r="X14" s="8" t="n">
        <f aca="false">MAX(0,W14)*Assumptions!$B$14</f>
        <v>0</v>
      </c>
      <c r="Y14" s="17" t="n">
        <f aca="false">W14-X14</f>
        <v>-422571.4</v>
      </c>
    </row>
    <row r="15" customFormat="false" ht="15" hidden="false" customHeight="false" outlineLevel="0" collapsed="false">
      <c r="A15" s="21" t="n">
        <v>12</v>
      </c>
      <c r="B15" s="21" t="n">
        <f aca="false">ROUNDUP(A15/12,0)</f>
        <v>1</v>
      </c>
      <c r="C15" s="21" t="n">
        <f aca="false">G14</f>
        <v>85</v>
      </c>
      <c r="D15" s="7" t="n">
        <f aca="false">ROUND(IF(B15=1,Assumptions!$B$37,IF(B15=2,Assumptions!$B$38,Assumptions!$B$39))*MIN(1,A15/6),0)</f>
        <v>16</v>
      </c>
      <c r="E15" s="7" t="n">
        <f aca="false">MAX(0,MIN(ROUND(D15*Assumptions!$B$35,0),Assumptions!$B$31-(C15-F15)))</f>
        <v>9</v>
      </c>
      <c r="F15" s="7" t="n">
        <f aca="false">ROUND(C15*Assumptions!$B$36,0)</f>
        <v>3</v>
      </c>
      <c r="G15" s="7" t="n">
        <f aca="false">MAX(0,MIN(Assumptions!$B$31,C15+E15-F15))</f>
        <v>91</v>
      </c>
      <c r="H15" s="8" t="n">
        <f aca="false">C15*Assumptions!$B$34</f>
        <v>1445000</v>
      </c>
      <c r="I15" s="8" t="n">
        <f aca="false">E15*Assumptions!$B$8</f>
        <v>270000</v>
      </c>
      <c r="J15" s="8" t="n">
        <f aca="false">D15*Assumptions!$B$9</f>
        <v>35200</v>
      </c>
      <c r="K15" s="8" t="n">
        <f aca="false">C15*Assumptions!$B$43</f>
        <v>212500</v>
      </c>
      <c r="L15" s="17" t="n">
        <f aca="false">SUM(H15:K15)</f>
        <v>1962700</v>
      </c>
      <c r="M15" s="8" t="n">
        <f aca="false">K15*Assumptions!$B$10</f>
        <v>138125</v>
      </c>
      <c r="N15" s="8" t="n">
        <f aca="false">L15*Assumptions!$B$11*Assumptions!$B$12</f>
        <v>52992.9</v>
      </c>
      <c r="O15" s="17" t="n">
        <f aca="false">M15+N15</f>
        <v>191117.9</v>
      </c>
      <c r="P15" s="8" t="n">
        <f aca="false">Assumptions!$B$32</f>
        <v>576000</v>
      </c>
      <c r="Q15" s="8" t="n">
        <f aca="false">Assumptions!$B$42</f>
        <v>850000</v>
      </c>
      <c r="R15" s="8" t="n">
        <f aca="false">IF(A15&lt;=3,Assumptions!$B$40,Assumptions!$B$41)</f>
        <v>100000</v>
      </c>
      <c r="S15" s="8" t="n">
        <f aca="false">Assumptions!$B$49</f>
        <v>257500</v>
      </c>
      <c r="T15" s="17" t="n">
        <f aca="false">P15+Q15+R15+S15</f>
        <v>1783500</v>
      </c>
      <c r="U15" s="8" t="n">
        <f aca="false">(CAPEX!$B$18+CAPEX!$B$20)/(Assumptions!$B$13*12)+IF(A15&gt;=Assumptions!$B$56,Assumptions!$B$55/(Assumptions!$B$13*12),0)</f>
        <v>306562.5</v>
      </c>
      <c r="V15" s="17" t="n">
        <f aca="false">L15-O15-T15-U15</f>
        <v>-318480.4</v>
      </c>
      <c r="W15" s="17" t="n">
        <f aca="false">V15</f>
        <v>-318480.4</v>
      </c>
      <c r="X15" s="8" t="n">
        <f aca="false">MAX(0,W15)*Assumptions!$B$14</f>
        <v>0</v>
      </c>
      <c r="Y15" s="17" t="n">
        <f aca="false">W15-X15</f>
        <v>-318480.4</v>
      </c>
    </row>
    <row r="16" customFormat="false" ht="15" hidden="false" customHeight="false" outlineLevel="0" collapsed="false">
      <c r="A16" s="21" t="n">
        <v>13</v>
      </c>
      <c r="B16" s="21" t="n">
        <f aca="false">ROUNDUP(A16/12,0)</f>
        <v>2</v>
      </c>
      <c r="C16" s="21" t="n">
        <f aca="false">G15</f>
        <v>91</v>
      </c>
      <c r="D16" s="7" t="n">
        <f aca="false">ROUND(IF(B16=1,Assumptions!$B$37,IF(B16=2,Assumptions!$B$38,Assumptions!$B$39))*MIN(1,A16/6),0)</f>
        <v>22</v>
      </c>
      <c r="E16" s="7" t="n">
        <f aca="false">MAX(0,MIN(ROUND(D16*Assumptions!$B$35,0),Assumptions!$B$31-(C16-F16)))</f>
        <v>12</v>
      </c>
      <c r="F16" s="7" t="n">
        <f aca="false">ROUND(C16*Assumptions!$B$36,0)</f>
        <v>4</v>
      </c>
      <c r="G16" s="7" t="n">
        <f aca="false">MAX(0,MIN(Assumptions!$B$31,C16+E16-F16))</f>
        <v>99</v>
      </c>
      <c r="H16" s="8" t="n">
        <f aca="false">C16*Assumptions!$B$34</f>
        <v>1547000</v>
      </c>
      <c r="I16" s="8" t="n">
        <f aca="false">E16*Assumptions!$B$8</f>
        <v>360000</v>
      </c>
      <c r="J16" s="8" t="n">
        <f aca="false">D16*Assumptions!$B$9</f>
        <v>48400</v>
      </c>
      <c r="K16" s="8" t="n">
        <f aca="false">C16*Assumptions!$B$43</f>
        <v>227500</v>
      </c>
      <c r="L16" s="17" t="n">
        <f aca="false">SUM(H16:K16)</f>
        <v>2182900</v>
      </c>
      <c r="M16" s="8" t="n">
        <f aca="false">K16*Assumptions!$B$10</f>
        <v>147875</v>
      </c>
      <c r="N16" s="8" t="n">
        <f aca="false">L16*Assumptions!$B$11*Assumptions!$B$12</f>
        <v>58938.3</v>
      </c>
      <c r="O16" s="17" t="n">
        <f aca="false">M16+N16</f>
        <v>206813.3</v>
      </c>
      <c r="P16" s="8" t="n">
        <f aca="false">Assumptions!$B$32</f>
        <v>576000</v>
      </c>
      <c r="Q16" s="8" t="n">
        <f aca="false">Assumptions!$B$42</f>
        <v>850000</v>
      </c>
      <c r="R16" s="8" t="n">
        <f aca="false">IF(A16&lt;=3,Assumptions!$B$40,Assumptions!$B$41)</f>
        <v>100000</v>
      </c>
      <c r="S16" s="8" t="n">
        <f aca="false">Assumptions!$B$49</f>
        <v>257500</v>
      </c>
      <c r="T16" s="17" t="n">
        <f aca="false">P16+Q16+R16+S16</f>
        <v>1783500</v>
      </c>
      <c r="U16" s="8" t="n">
        <f aca="false">(CAPEX!$B$18+CAPEX!$B$20)/(Assumptions!$B$13*12)+IF(A16&gt;=Assumptions!$B$56,Assumptions!$B$55/(Assumptions!$B$13*12),0)</f>
        <v>306562.5</v>
      </c>
      <c r="V16" s="17" t="n">
        <f aca="false">L16-O16-T16-U16</f>
        <v>-113975.8</v>
      </c>
      <c r="W16" s="17" t="n">
        <f aca="false">V16</f>
        <v>-113975.8</v>
      </c>
      <c r="X16" s="8" t="n">
        <f aca="false">MAX(0,W16)*Assumptions!$B$14</f>
        <v>0</v>
      </c>
      <c r="Y16" s="17" t="n">
        <f aca="false">W16-X16</f>
        <v>-113975.8</v>
      </c>
    </row>
    <row r="17" customFormat="false" ht="15" hidden="false" customHeight="false" outlineLevel="0" collapsed="false">
      <c r="A17" s="21" t="n">
        <v>14</v>
      </c>
      <c r="B17" s="21" t="n">
        <f aca="false">ROUNDUP(A17/12,0)</f>
        <v>2</v>
      </c>
      <c r="C17" s="21" t="n">
        <f aca="false">G16</f>
        <v>99</v>
      </c>
      <c r="D17" s="7" t="n">
        <f aca="false">ROUND(IF(B17=1,Assumptions!$B$37,IF(B17=2,Assumptions!$B$38,Assumptions!$B$39))*MIN(1,A17/6),0)</f>
        <v>22</v>
      </c>
      <c r="E17" s="7" t="n">
        <f aca="false">MAX(0,MIN(ROUND(D17*Assumptions!$B$35,0),Assumptions!$B$31-(C17-F17)))</f>
        <v>12</v>
      </c>
      <c r="F17" s="7" t="n">
        <f aca="false">ROUND(C17*Assumptions!$B$36,0)</f>
        <v>4</v>
      </c>
      <c r="G17" s="7" t="n">
        <f aca="false">MAX(0,MIN(Assumptions!$B$31,C17+E17-F17))</f>
        <v>107</v>
      </c>
      <c r="H17" s="8" t="n">
        <f aca="false">C17*Assumptions!$B$34</f>
        <v>1683000</v>
      </c>
      <c r="I17" s="8" t="n">
        <f aca="false">E17*Assumptions!$B$8</f>
        <v>360000</v>
      </c>
      <c r="J17" s="8" t="n">
        <f aca="false">D17*Assumptions!$B$9</f>
        <v>48400</v>
      </c>
      <c r="K17" s="8" t="n">
        <f aca="false">C17*Assumptions!$B$43</f>
        <v>247500</v>
      </c>
      <c r="L17" s="17" t="n">
        <f aca="false">SUM(H17:K17)</f>
        <v>2338900</v>
      </c>
      <c r="M17" s="8" t="n">
        <f aca="false">K17*Assumptions!$B$10</f>
        <v>160875</v>
      </c>
      <c r="N17" s="8" t="n">
        <f aca="false">L17*Assumptions!$B$11*Assumptions!$B$12</f>
        <v>63150.3</v>
      </c>
      <c r="O17" s="17" t="n">
        <f aca="false">M17+N17</f>
        <v>224025.3</v>
      </c>
      <c r="P17" s="8" t="n">
        <f aca="false">Assumptions!$B$32</f>
        <v>576000</v>
      </c>
      <c r="Q17" s="8" t="n">
        <f aca="false">Assumptions!$B$42</f>
        <v>850000</v>
      </c>
      <c r="R17" s="8" t="n">
        <f aca="false">IF(A17&lt;=3,Assumptions!$B$40,Assumptions!$B$41)</f>
        <v>100000</v>
      </c>
      <c r="S17" s="8" t="n">
        <f aca="false">Assumptions!$B$49</f>
        <v>257500</v>
      </c>
      <c r="T17" s="17" t="n">
        <f aca="false">P17+Q17+R17+S17</f>
        <v>1783500</v>
      </c>
      <c r="U17" s="8" t="n">
        <f aca="false">(CAPEX!$B$18+CAPEX!$B$20)/(Assumptions!$B$13*12)+IF(A17&gt;=Assumptions!$B$56,Assumptions!$B$55/(Assumptions!$B$13*12),0)</f>
        <v>306562.5</v>
      </c>
      <c r="V17" s="17" t="n">
        <f aca="false">L17-O17-T17-U17</f>
        <v>24812.2000000002</v>
      </c>
      <c r="W17" s="17" t="n">
        <f aca="false">V17</f>
        <v>24812.2000000002</v>
      </c>
      <c r="X17" s="8" t="n">
        <f aca="false">MAX(0,W17)*Assumptions!$B$14</f>
        <v>7443.66000000006</v>
      </c>
      <c r="Y17" s="17" t="n">
        <f aca="false">W17-X17</f>
        <v>17368.5400000001</v>
      </c>
    </row>
    <row r="18" customFormat="false" ht="15" hidden="false" customHeight="false" outlineLevel="0" collapsed="false">
      <c r="A18" s="21" t="n">
        <v>15</v>
      </c>
      <c r="B18" s="21" t="n">
        <f aca="false">ROUNDUP(A18/12,0)</f>
        <v>2</v>
      </c>
      <c r="C18" s="21" t="n">
        <f aca="false">G17</f>
        <v>107</v>
      </c>
      <c r="D18" s="7" t="n">
        <f aca="false">ROUND(IF(B18=1,Assumptions!$B$37,IF(B18=2,Assumptions!$B$38,Assumptions!$B$39))*MIN(1,A18/6),0)</f>
        <v>22</v>
      </c>
      <c r="E18" s="7" t="n">
        <f aca="false">MAX(0,MIN(ROUND(D18*Assumptions!$B$35,0),Assumptions!$B$31-(C18-F18)))</f>
        <v>12</v>
      </c>
      <c r="F18" s="7" t="n">
        <f aca="false">ROUND(C18*Assumptions!$B$36,0)</f>
        <v>4</v>
      </c>
      <c r="G18" s="7" t="n">
        <f aca="false">MAX(0,MIN(Assumptions!$B$31,C18+E18-F18))</f>
        <v>115</v>
      </c>
      <c r="H18" s="8" t="n">
        <f aca="false">C18*Assumptions!$B$34</f>
        <v>1819000</v>
      </c>
      <c r="I18" s="8" t="n">
        <f aca="false">E18*Assumptions!$B$8</f>
        <v>360000</v>
      </c>
      <c r="J18" s="8" t="n">
        <f aca="false">D18*Assumptions!$B$9</f>
        <v>48400</v>
      </c>
      <c r="K18" s="8" t="n">
        <f aca="false">C18*Assumptions!$B$43</f>
        <v>267500</v>
      </c>
      <c r="L18" s="17" t="n">
        <f aca="false">SUM(H18:K18)</f>
        <v>2494900</v>
      </c>
      <c r="M18" s="8" t="n">
        <f aca="false">K18*Assumptions!$B$10</f>
        <v>173875</v>
      </c>
      <c r="N18" s="8" t="n">
        <f aca="false">L18*Assumptions!$B$11*Assumptions!$B$12</f>
        <v>67362.3</v>
      </c>
      <c r="O18" s="17" t="n">
        <f aca="false">M18+N18</f>
        <v>241237.3</v>
      </c>
      <c r="P18" s="8" t="n">
        <f aca="false">Assumptions!$B$32</f>
        <v>576000</v>
      </c>
      <c r="Q18" s="8" t="n">
        <f aca="false">Assumptions!$B$42</f>
        <v>850000</v>
      </c>
      <c r="R18" s="8" t="n">
        <f aca="false">IF(A18&lt;=3,Assumptions!$B$40,Assumptions!$B$41)</f>
        <v>100000</v>
      </c>
      <c r="S18" s="8" t="n">
        <f aca="false">Assumptions!$B$49</f>
        <v>257500</v>
      </c>
      <c r="T18" s="17" t="n">
        <f aca="false">P18+Q18+R18+S18</f>
        <v>1783500</v>
      </c>
      <c r="U18" s="8" t="n">
        <f aca="false">(CAPEX!$B$18+CAPEX!$B$20)/(Assumptions!$B$13*12)+IF(A18&gt;=Assumptions!$B$56,Assumptions!$B$55/(Assumptions!$B$13*12),0)</f>
        <v>306562.5</v>
      </c>
      <c r="V18" s="17" t="n">
        <f aca="false">L18-O18-T18-U18</f>
        <v>163600.2</v>
      </c>
      <c r="W18" s="17" t="n">
        <f aca="false">V18</f>
        <v>163600.2</v>
      </c>
      <c r="X18" s="8" t="n">
        <f aca="false">MAX(0,W18)*Assumptions!$B$14</f>
        <v>49080.0600000001</v>
      </c>
      <c r="Y18" s="17" t="n">
        <f aca="false">W18-X18</f>
        <v>114520.14</v>
      </c>
    </row>
    <row r="19" customFormat="false" ht="15" hidden="false" customHeight="false" outlineLevel="0" collapsed="false">
      <c r="A19" s="21" t="n">
        <v>16</v>
      </c>
      <c r="B19" s="21" t="n">
        <f aca="false">ROUNDUP(A19/12,0)</f>
        <v>2</v>
      </c>
      <c r="C19" s="21" t="n">
        <f aca="false">G18</f>
        <v>115</v>
      </c>
      <c r="D19" s="7" t="n">
        <f aca="false">ROUND(IF(B19=1,Assumptions!$B$37,IF(B19=2,Assumptions!$B$38,Assumptions!$B$39))*MIN(1,A19/6),0)</f>
        <v>22</v>
      </c>
      <c r="E19" s="7" t="n">
        <f aca="false">MAX(0,MIN(ROUND(D19*Assumptions!$B$35,0),Assumptions!$B$31-(C19-F19)))</f>
        <v>12</v>
      </c>
      <c r="F19" s="7" t="n">
        <f aca="false">ROUND(C19*Assumptions!$B$36,0)</f>
        <v>5</v>
      </c>
      <c r="G19" s="7" t="n">
        <f aca="false">MAX(0,MIN(Assumptions!$B$31,C19+E19-F19))</f>
        <v>122</v>
      </c>
      <c r="H19" s="8" t="n">
        <f aca="false">C19*Assumptions!$B$34</f>
        <v>1955000</v>
      </c>
      <c r="I19" s="8" t="n">
        <f aca="false">E19*Assumptions!$B$8</f>
        <v>360000</v>
      </c>
      <c r="J19" s="8" t="n">
        <f aca="false">D19*Assumptions!$B$9</f>
        <v>48400</v>
      </c>
      <c r="K19" s="8" t="n">
        <f aca="false">C19*Assumptions!$B$43</f>
        <v>287500</v>
      </c>
      <c r="L19" s="17" t="n">
        <f aca="false">SUM(H19:K19)</f>
        <v>2650900</v>
      </c>
      <c r="M19" s="8" t="n">
        <f aca="false">K19*Assumptions!$B$10</f>
        <v>186875</v>
      </c>
      <c r="N19" s="8" t="n">
        <f aca="false">L19*Assumptions!$B$11*Assumptions!$B$12</f>
        <v>71574.3</v>
      </c>
      <c r="O19" s="17" t="n">
        <f aca="false">M19+N19</f>
        <v>258449.3</v>
      </c>
      <c r="P19" s="8" t="n">
        <f aca="false">Assumptions!$B$32</f>
        <v>576000</v>
      </c>
      <c r="Q19" s="8" t="n">
        <f aca="false">Assumptions!$B$42</f>
        <v>850000</v>
      </c>
      <c r="R19" s="8" t="n">
        <f aca="false">IF(A19&lt;=3,Assumptions!$B$40,Assumptions!$B$41)</f>
        <v>100000</v>
      </c>
      <c r="S19" s="8" t="n">
        <f aca="false">Assumptions!$B$49</f>
        <v>257500</v>
      </c>
      <c r="T19" s="17" t="n">
        <f aca="false">P19+Q19+R19+S19</f>
        <v>1783500</v>
      </c>
      <c r="U19" s="8" t="n">
        <f aca="false">(CAPEX!$B$18+CAPEX!$B$20)/(Assumptions!$B$13*12)+IF(A19&gt;=Assumptions!$B$56,Assumptions!$B$55/(Assumptions!$B$13*12),0)</f>
        <v>306562.5</v>
      </c>
      <c r="V19" s="17" t="n">
        <f aca="false">L19-O19-T19-U19</f>
        <v>302388.2</v>
      </c>
      <c r="W19" s="17" t="n">
        <f aca="false">V19</f>
        <v>302388.2</v>
      </c>
      <c r="X19" s="8" t="n">
        <f aca="false">MAX(0,W19)*Assumptions!$B$14</f>
        <v>90716.4600000001</v>
      </c>
      <c r="Y19" s="17" t="n">
        <f aca="false">W19-X19</f>
        <v>211671.74</v>
      </c>
    </row>
    <row r="20" customFormat="false" ht="15" hidden="false" customHeight="false" outlineLevel="0" collapsed="false">
      <c r="A20" s="21" t="n">
        <v>17</v>
      </c>
      <c r="B20" s="21" t="n">
        <f aca="false">ROUNDUP(A20/12,0)</f>
        <v>2</v>
      </c>
      <c r="C20" s="21" t="n">
        <f aca="false">G19</f>
        <v>122</v>
      </c>
      <c r="D20" s="7" t="n">
        <f aca="false">ROUND(IF(B20=1,Assumptions!$B$37,IF(B20=2,Assumptions!$B$38,Assumptions!$B$39))*MIN(1,A20/6),0)</f>
        <v>22</v>
      </c>
      <c r="E20" s="7" t="n">
        <f aca="false">MAX(0,MIN(ROUND(D20*Assumptions!$B$35,0),Assumptions!$B$31-(C20-F20)))</f>
        <v>12</v>
      </c>
      <c r="F20" s="7" t="n">
        <f aca="false">ROUND(C20*Assumptions!$B$36,0)</f>
        <v>5</v>
      </c>
      <c r="G20" s="7" t="n">
        <f aca="false">MAX(0,MIN(Assumptions!$B$31,C20+E20-F20))</f>
        <v>129</v>
      </c>
      <c r="H20" s="8" t="n">
        <f aca="false">C20*Assumptions!$B$34</f>
        <v>2074000</v>
      </c>
      <c r="I20" s="8" t="n">
        <f aca="false">E20*Assumptions!$B$8</f>
        <v>360000</v>
      </c>
      <c r="J20" s="8" t="n">
        <f aca="false">D20*Assumptions!$B$9</f>
        <v>48400</v>
      </c>
      <c r="K20" s="8" t="n">
        <f aca="false">C20*Assumptions!$B$43</f>
        <v>305000</v>
      </c>
      <c r="L20" s="17" t="n">
        <f aca="false">SUM(H20:K20)</f>
        <v>2787400</v>
      </c>
      <c r="M20" s="8" t="n">
        <f aca="false">K20*Assumptions!$B$10</f>
        <v>198250</v>
      </c>
      <c r="N20" s="8" t="n">
        <f aca="false">L20*Assumptions!$B$11*Assumptions!$B$12</f>
        <v>75259.8</v>
      </c>
      <c r="O20" s="17" t="n">
        <f aca="false">M20+N20</f>
        <v>273509.8</v>
      </c>
      <c r="P20" s="8" t="n">
        <f aca="false">Assumptions!$B$32</f>
        <v>576000</v>
      </c>
      <c r="Q20" s="8" t="n">
        <f aca="false">Assumptions!$B$42</f>
        <v>850000</v>
      </c>
      <c r="R20" s="8" t="n">
        <f aca="false">IF(A20&lt;=3,Assumptions!$B$40,Assumptions!$B$41)</f>
        <v>100000</v>
      </c>
      <c r="S20" s="8" t="n">
        <f aca="false">Assumptions!$B$49</f>
        <v>257500</v>
      </c>
      <c r="T20" s="17" t="n">
        <f aca="false">P20+Q20+R20+S20</f>
        <v>1783500</v>
      </c>
      <c r="U20" s="8" t="n">
        <f aca="false">(CAPEX!$B$18+CAPEX!$B$20)/(Assumptions!$B$13*12)+IF(A20&gt;=Assumptions!$B$56,Assumptions!$B$55/(Assumptions!$B$13*12),0)</f>
        <v>306562.5</v>
      </c>
      <c r="V20" s="17" t="n">
        <f aca="false">L20-O20-T20-U20</f>
        <v>423827.7</v>
      </c>
      <c r="W20" s="17" t="n">
        <f aca="false">V20</f>
        <v>423827.7</v>
      </c>
      <c r="X20" s="8" t="n">
        <f aca="false">MAX(0,W20)*Assumptions!$B$14</f>
        <v>127148.31</v>
      </c>
      <c r="Y20" s="17" t="n">
        <f aca="false">W20-X20</f>
        <v>296679.39</v>
      </c>
    </row>
    <row r="21" customFormat="false" ht="15" hidden="false" customHeight="false" outlineLevel="0" collapsed="false">
      <c r="A21" s="21" t="n">
        <v>18</v>
      </c>
      <c r="B21" s="21" t="n">
        <f aca="false">ROUNDUP(A21/12,0)</f>
        <v>2</v>
      </c>
      <c r="C21" s="21" t="n">
        <f aca="false">G20</f>
        <v>129</v>
      </c>
      <c r="D21" s="7" t="n">
        <f aca="false">ROUND(IF(B21=1,Assumptions!$B$37,IF(B21=2,Assumptions!$B$38,Assumptions!$B$39))*MIN(1,A21/6),0)</f>
        <v>22</v>
      </c>
      <c r="E21" s="7" t="n">
        <f aca="false">MAX(0,MIN(ROUND(D21*Assumptions!$B$35,0),Assumptions!$B$31-(C21-F21)))</f>
        <v>12</v>
      </c>
      <c r="F21" s="7" t="n">
        <f aca="false">ROUND(C21*Assumptions!$B$36,0)</f>
        <v>5</v>
      </c>
      <c r="G21" s="7" t="n">
        <f aca="false">MAX(0,MIN(Assumptions!$B$31,C21+E21-F21))</f>
        <v>136</v>
      </c>
      <c r="H21" s="8" t="n">
        <f aca="false">C21*Assumptions!$B$34</f>
        <v>2193000</v>
      </c>
      <c r="I21" s="8" t="n">
        <f aca="false">E21*Assumptions!$B$8</f>
        <v>360000</v>
      </c>
      <c r="J21" s="8" t="n">
        <f aca="false">D21*Assumptions!$B$9</f>
        <v>48400</v>
      </c>
      <c r="K21" s="8" t="n">
        <f aca="false">C21*Assumptions!$B$43</f>
        <v>322500</v>
      </c>
      <c r="L21" s="17" t="n">
        <f aca="false">SUM(H21:K21)</f>
        <v>2923900</v>
      </c>
      <c r="M21" s="8" t="n">
        <f aca="false">K21*Assumptions!$B$10</f>
        <v>209625</v>
      </c>
      <c r="N21" s="8" t="n">
        <f aca="false">L21*Assumptions!$B$11*Assumptions!$B$12</f>
        <v>78945.3</v>
      </c>
      <c r="O21" s="17" t="n">
        <f aca="false">M21+N21</f>
        <v>288570.3</v>
      </c>
      <c r="P21" s="8" t="n">
        <f aca="false">Assumptions!$B$32</f>
        <v>576000</v>
      </c>
      <c r="Q21" s="8" t="n">
        <f aca="false">Assumptions!$B$42</f>
        <v>850000</v>
      </c>
      <c r="R21" s="8" t="n">
        <f aca="false">IF(A21&lt;=3,Assumptions!$B$40,Assumptions!$B$41)</f>
        <v>100000</v>
      </c>
      <c r="S21" s="8" t="n">
        <f aca="false">Assumptions!$B$49</f>
        <v>257500</v>
      </c>
      <c r="T21" s="17" t="n">
        <f aca="false">P21+Q21+R21+S21</f>
        <v>1783500</v>
      </c>
      <c r="U21" s="8" t="n">
        <f aca="false">(CAPEX!$B$18+CAPEX!$B$20)/(Assumptions!$B$13*12)+IF(A21&gt;=Assumptions!$B$56,Assumptions!$B$55/(Assumptions!$B$13*12),0)</f>
        <v>306562.5</v>
      </c>
      <c r="V21" s="17" t="n">
        <f aca="false">L21-O21-T21-U21</f>
        <v>545267.2</v>
      </c>
      <c r="W21" s="17" t="n">
        <f aca="false">V21</f>
        <v>545267.2</v>
      </c>
      <c r="X21" s="8" t="n">
        <f aca="false">MAX(0,W21)*Assumptions!$B$14</f>
        <v>163580.16</v>
      </c>
      <c r="Y21" s="17" t="n">
        <f aca="false">W21-X21</f>
        <v>381687.04</v>
      </c>
    </row>
    <row r="22" customFormat="false" ht="15" hidden="false" customHeight="false" outlineLevel="0" collapsed="false">
      <c r="A22" s="21" t="n">
        <v>19</v>
      </c>
      <c r="B22" s="21" t="n">
        <f aca="false">ROUNDUP(A22/12,0)</f>
        <v>2</v>
      </c>
      <c r="C22" s="21" t="n">
        <f aca="false">G21</f>
        <v>136</v>
      </c>
      <c r="D22" s="7" t="n">
        <f aca="false">ROUND(IF(B22=1,Assumptions!$B$37,IF(B22=2,Assumptions!$B$38,Assumptions!$B$39))*MIN(1,A22/6),0)</f>
        <v>22</v>
      </c>
      <c r="E22" s="7" t="n">
        <f aca="false">MAX(0,MIN(ROUND(D22*Assumptions!$B$35,0),Assumptions!$B$31-(C22-F22)))</f>
        <v>12</v>
      </c>
      <c r="F22" s="7" t="n">
        <f aca="false">ROUND(C22*Assumptions!$B$36,0)</f>
        <v>5</v>
      </c>
      <c r="G22" s="7" t="n">
        <f aca="false">MAX(0,MIN(Assumptions!$B$31,C22+E22-F22))</f>
        <v>143</v>
      </c>
      <c r="H22" s="8" t="n">
        <f aca="false">C22*Assumptions!$B$34</f>
        <v>2312000</v>
      </c>
      <c r="I22" s="8" t="n">
        <f aca="false">E22*Assumptions!$B$8</f>
        <v>360000</v>
      </c>
      <c r="J22" s="8" t="n">
        <f aca="false">D22*Assumptions!$B$9</f>
        <v>48400</v>
      </c>
      <c r="K22" s="8" t="n">
        <f aca="false">C22*Assumptions!$B$43</f>
        <v>340000</v>
      </c>
      <c r="L22" s="17" t="n">
        <f aca="false">SUM(H22:K22)</f>
        <v>3060400</v>
      </c>
      <c r="M22" s="8" t="n">
        <f aca="false">K22*Assumptions!$B$10</f>
        <v>221000</v>
      </c>
      <c r="N22" s="8" t="n">
        <f aca="false">L22*Assumptions!$B$11*Assumptions!$B$12</f>
        <v>82630.8</v>
      </c>
      <c r="O22" s="17" t="n">
        <f aca="false">M22+N22</f>
        <v>303630.8</v>
      </c>
      <c r="P22" s="8" t="n">
        <f aca="false">Assumptions!$B$32</f>
        <v>576000</v>
      </c>
      <c r="Q22" s="8" t="n">
        <f aca="false">Assumptions!$B$42</f>
        <v>850000</v>
      </c>
      <c r="R22" s="8" t="n">
        <f aca="false">IF(A22&lt;=3,Assumptions!$B$40,Assumptions!$B$41)</f>
        <v>100000</v>
      </c>
      <c r="S22" s="8" t="n">
        <f aca="false">Assumptions!$B$49</f>
        <v>257500</v>
      </c>
      <c r="T22" s="17" t="n">
        <f aca="false">P22+Q22+R22+S22</f>
        <v>1783500</v>
      </c>
      <c r="U22" s="8" t="n">
        <f aca="false">(CAPEX!$B$18+CAPEX!$B$20)/(Assumptions!$B$13*12)+IF(A22&gt;=Assumptions!$B$56,Assumptions!$B$55/(Assumptions!$B$13*12),0)</f>
        <v>306562.5</v>
      </c>
      <c r="V22" s="17" t="n">
        <f aca="false">L22-O22-T22-U22</f>
        <v>666706.7</v>
      </c>
      <c r="W22" s="17" t="n">
        <f aca="false">V22</f>
        <v>666706.7</v>
      </c>
      <c r="X22" s="8" t="n">
        <f aca="false">MAX(0,W22)*Assumptions!$B$14</f>
        <v>200012.01</v>
      </c>
      <c r="Y22" s="17" t="n">
        <f aca="false">W22-X22</f>
        <v>466694.69</v>
      </c>
    </row>
    <row r="23" customFormat="false" ht="15" hidden="false" customHeight="false" outlineLevel="0" collapsed="false">
      <c r="A23" s="21" t="n">
        <v>20</v>
      </c>
      <c r="B23" s="21" t="n">
        <f aca="false">ROUNDUP(A23/12,0)</f>
        <v>2</v>
      </c>
      <c r="C23" s="21" t="n">
        <f aca="false">G22</f>
        <v>143</v>
      </c>
      <c r="D23" s="7" t="n">
        <f aca="false">ROUND(IF(B23=1,Assumptions!$B$37,IF(B23=2,Assumptions!$B$38,Assumptions!$B$39))*MIN(1,A23/6),0)</f>
        <v>22</v>
      </c>
      <c r="E23" s="7" t="n">
        <f aca="false">MAX(0,MIN(ROUND(D23*Assumptions!$B$35,0),Assumptions!$B$31-(C23-F23)))</f>
        <v>12</v>
      </c>
      <c r="F23" s="7" t="n">
        <f aca="false">ROUND(C23*Assumptions!$B$36,0)</f>
        <v>6</v>
      </c>
      <c r="G23" s="7" t="n">
        <f aca="false">MAX(0,MIN(Assumptions!$B$31,C23+E23-F23))</f>
        <v>149</v>
      </c>
      <c r="H23" s="8" t="n">
        <f aca="false">C23*Assumptions!$B$34</f>
        <v>2431000</v>
      </c>
      <c r="I23" s="8" t="n">
        <f aca="false">E23*Assumptions!$B$8</f>
        <v>360000</v>
      </c>
      <c r="J23" s="8" t="n">
        <f aca="false">D23*Assumptions!$B$9</f>
        <v>48400</v>
      </c>
      <c r="K23" s="8" t="n">
        <f aca="false">C23*Assumptions!$B$43</f>
        <v>357500</v>
      </c>
      <c r="L23" s="17" t="n">
        <f aca="false">SUM(H23:K23)</f>
        <v>3196900</v>
      </c>
      <c r="M23" s="8" t="n">
        <f aca="false">K23*Assumptions!$B$10</f>
        <v>232375</v>
      </c>
      <c r="N23" s="8" t="n">
        <f aca="false">L23*Assumptions!$B$11*Assumptions!$B$12</f>
        <v>86316.3</v>
      </c>
      <c r="O23" s="17" t="n">
        <f aca="false">M23+N23</f>
        <v>318691.3</v>
      </c>
      <c r="P23" s="8" t="n">
        <f aca="false">Assumptions!$B$32</f>
        <v>576000</v>
      </c>
      <c r="Q23" s="8" t="n">
        <f aca="false">Assumptions!$B$42</f>
        <v>850000</v>
      </c>
      <c r="R23" s="8" t="n">
        <f aca="false">IF(A23&lt;=3,Assumptions!$B$40,Assumptions!$B$41)</f>
        <v>100000</v>
      </c>
      <c r="S23" s="8" t="n">
        <f aca="false">Assumptions!$B$49</f>
        <v>257500</v>
      </c>
      <c r="T23" s="17" t="n">
        <f aca="false">P23+Q23+R23+S23</f>
        <v>1783500</v>
      </c>
      <c r="U23" s="8" t="n">
        <f aca="false">(CAPEX!$B$18+CAPEX!$B$20)/(Assumptions!$B$13*12)+IF(A23&gt;=Assumptions!$B$56,Assumptions!$B$55/(Assumptions!$B$13*12),0)</f>
        <v>306562.5</v>
      </c>
      <c r="V23" s="17" t="n">
        <f aca="false">L23-O23-T23-U23</f>
        <v>788146.2</v>
      </c>
      <c r="W23" s="17" t="n">
        <f aca="false">V23</f>
        <v>788146.2</v>
      </c>
      <c r="X23" s="8" t="n">
        <f aca="false">MAX(0,W23)*Assumptions!$B$14</f>
        <v>236443.86</v>
      </c>
      <c r="Y23" s="17" t="n">
        <f aca="false">W23-X23</f>
        <v>551702.34</v>
      </c>
    </row>
    <row r="24" customFormat="false" ht="15" hidden="false" customHeight="false" outlineLevel="0" collapsed="false">
      <c r="A24" s="21" t="n">
        <v>21</v>
      </c>
      <c r="B24" s="21" t="n">
        <f aca="false">ROUNDUP(A24/12,0)</f>
        <v>2</v>
      </c>
      <c r="C24" s="21" t="n">
        <f aca="false">G23</f>
        <v>149</v>
      </c>
      <c r="D24" s="7" t="n">
        <f aca="false">ROUND(IF(B24=1,Assumptions!$B$37,IF(B24=2,Assumptions!$B$38,Assumptions!$B$39))*MIN(1,A24/6),0)</f>
        <v>22</v>
      </c>
      <c r="E24" s="7" t="n">
        <f aca="false">MAX(0,MIN(ROUND(D24*Assumptions!$B$35,0),Assumptions!$B$31-(C24-F24)))</f>
        <v>12</v>
      </c>
      <c r="F24" s="7" t="n">
        <f aca="false">ROUND(C24*Assumptions!$B$36,0)</f>
        <v>6</v>
      </c>
      <c r="G24" s="7" t="n">
        <f aca="false">MAX(0,MIN(Assumptions!$B$31,C24+E24-F24))</f>
        <v>155</v>
      </c>
      <c r="H24" s="8" t="n">
        <f aca="false">C24*Assumptions!$B$34</f>
        <v>2533000</v>
      </c>
      <c r="I24" s="8" t="n">
        <f aca="false">E24*Assumptions!$B$8</f>
        <v>360000</v>
      </c>
      <c r="J24" s="8" t="n">
        <f aca="false">D24*Assumptions!$B$9</f>
        <v>48400</v>
      </c>
      <c r="K24" s="8" t="n">
        <f aca="false">C24*Assumptions!$B$43</f>
        <v>372500</v>
      </c>
      <c r="L24" s="17" t="n">
        <f aca="false">SUM(H24:K24)</f>
        <v>3313900</v>
      </c>
      <c r="M24" s="8" t="n">
        <f aca="false">K24*Assumptions!$B$10</f>
        <v>242125</v>
      </c>
      <c r="N24" s="8" t="n">
        <f aca="false">L24*Assumptions!$B$11*Assumptions!$B$12</f>
        <v>89475.3</v>
      </c>
      <c r="O24" s="17" t="n">
        <f aca="false">M24+N24</f>
        <v>331600.3</v>
      </c>
      <c r="P24" s="8" t="n">
        <f aca="false">Assumptions!$B$32</f>
        <v>576000</v>
      </c>
      <c r="Q24" s="8" t="n">
        <f aca="false">Assumptions!$B$42</f>
        <v>850000</v>
      </c>
      <c r="R24" s="8" t="n">
        <f aca="false">IF(A24&lt;=3,Assumptions!$B$40,Assumptions!$B$41)</f>
        <v>100000</v>
      </c>
      <c r="S24" s="8" t="n">
        <f aca="false">Assumptions!$B$49</f>
        <v>257500</v>
      </c>
      <c r="T24" s="17" t="n">
        <f aca="false">P24+Q24+R24+S24</f>
        <v>1783500</v>
      </c>
      <c r="U24" s="8" t="n">
        <f aca="false">(CAPEX!$B$18+CAPEX!$B$20)/(Assumptions!$B$13*12)+IF(A24&gt;=Assumptions!$B$56,Assumptions!$B$55/(Assumptions!$B$13*12),0)</f>
        <v>306562.5</v>
      </c>
      <c r="V24" s="17" t="n">
        <f aca="false">L24-O24-T24-U24</f>
        <v>892237.2</v>
      </c>
      <c r="W24" s="17" t="n">
        <f aca="false">V24</f>
        <v>892237.2</v>
      </c>
      <c r="X24" s="8" t="n">
        <f aca="false">MAX(0,W24)*Assumptions!$B$14</f>
        <v>267671.16</v>
      </c>
      <c r="Y24" s="17" t="n">
        <f aca="false">W24-X24</f>
        <v>624566.04</v>
      </c>
    </row>
    <row r="25" customFormat="false" ht="15" hidden="false" customHeight="false" outlineLevel="0" collapsed="false">
      <c r="A25" s="21" t="n">
        <v>22</v>
      </c>
      <c r="B25" s="21" t="n">
        <f aca="false">ROUNDUP(A25/12,0)</f>
        <v>2</v>
      </c>
      <c r="C25" s="21" t="n">
        <f aca="false">G24</f>
        <v>155</v>
      </c>
      <c r="D25" s="7" t="n">
        <f aca="false">ROUND(IF(B25=1,Assumptions!$B$37,IF(B25=2,Assumptions!$B$38,Assumptions!$B$39))*MIN(1,A25/6),0)</f>
        <v>22</v>
      </c>
      <c r="E25" s="7" t="n">
        <f aca="false">MAX(0,MIN(ROUND(D25*Assumptions!$B$35,0),Assumptions!$B$31-(C25-F25)))</f>
        <v>12</v>
      </c>
      <c r="F25" s="7" t="n">
        <f aca="false">ROUND(C25*Assumptions!$B$36,0)</f>
        <v>6</v>
      </c>
      <c r="G25" s="7" t="n">
        <f aca="false">MAX(0,MIN(Assumptions!$B$31,C25+E25-F25))</f>
        <v>161</v>
      </c>
      <c r="H25" s="8" t="n">
        <f aca="false">C25*Assumptions!$B$34</f>
        <v>2635000</v>
      </c>
      <c r="I25" s="8" t="n">
        <f aca="false">E25*Assumptions!$B$8</f>
        <v>360000</v>
      </c>
      <c r="J25" s="8" t="n">
        <f aca="false">D25*Assumptions!$B$9</f>
        <v>48400</v>
      </c>
      <c r="K25" s="8" t="n">
        <f aca="false">C25*Assumptions!$B$43</f>
        <v>387500</v>
      </c>
      <c r="L25" s="17" t="n">
        <f aca="false">SUM(H25:K25)</f>
        <v>3430900</v>
      </c>
      <c r="M25" s="8" t="n">
        <f aca="false">K25*Assumptions!$B$10</f>
        <v>251875</v>
      </c>
      <c r="N25" s="8" t="n">
        <f aca="false">L25*Assumptions!$B$11*Assumptions!$B$12</f>
        <v>92634.3</v>
      </c>
      <c r="O25" s="17" t="n">
        <f aca="false">M25+N25</f>
        <v>344509.3</v>
      </c>
      <c r="P25" s="8" t="n">
        <f aca="false">Assumptions!$B$32</f>
        <v>576000</v>
      </c>
      <c r="Q25" s="8" t="n">
        <f aca="false">Assumptions!$B$42</f>
        <v>850000</v>
      </c>
      <c r="R25" s="8" t="n">
        <f aca="false">IF(A25&lt;=3,Assumptions!$B$40,Assumptions!$B$41)</f>
        <v>100000</v>
      </c>
      <c r="S25" s="8" t="n">
        <f aca="false">Assumptions!$B$49</f>
        <v>257500</v>
      </c>
      <c r="T25" s="17" t="n">
        <f aca="false">P25+Q25+R25+S25</f>
        <v>1783500</v>
      </c>
      <c r="U25" s="8" t="n">
        <f aca="false">(CAPEX!$B$18+CAPEX!$B$20)/(Assumptions!$B$13*12)+IF(A25&gt;=Assumptions!$B$56,Assumptions!$B$55/(Assumptions!$B$13*12),0)</f>
        <v>306562.5</v>
      </c>
      <c r="V25" s="17" t="n">
        <f aca="false">L25-O25-T25-U25</f>
        <v>996328.2</v>
      </c>
      <c r="W25" s="17" t="n">
        <f aca="false">V25</f>
        <v>996328.2</v>
      </c>
      <c r="X25" s="8" t="n">
        <f aca="false">MAX(0,W25)*Assumptions!$B$14</f>
        <v>298898.46</v>
      </c>
      <c r="Y25" s="17" t="n">
        <f aca="false">W25-X25</f>
        <v>697429.74</v>
      </c>
    </row>
    <row r="26" customFormat="false" ht="15" hidden="false" customHeight="false" outlineLevel="0" collapsed="false">
      <c r="A26" s="21" t="n">
        <v>23</v>
      </c>
      <c r="B26" s="21" t="n">
        <f aca="false">ROUNDUP(A26/12,0)</f>
        <v>2</v>
      </c>
      <c r="C26" s="21" t="n">
        <f aca="false">G25</f>
        <v>161</v>
      </c>
      <c r="D26" s="7" t="n">
        <f aca="false">ROUND(IF(B26=1,Assumptions!$B$37,IF(B26=2,Assumptions!$B$38,Assumptions!$B$39))*MIN(1,A26/6),0)</f>
        <v>22</v>
      </c>
      <c r="E26" s="7" t="n">
        <f aca="false">MAX(0,MIN(ROUND(D26*Assumptions!$B$35,0),Assumptions!$B$31-(C26-F26)))</f>
        <v>12</v>
      </c>
      <c r="F26" s="7" t="n">
        <f aca="false">ROUND(C26*Assumptions!$B$36,0)</f>
        <v>6</v>
      </c>
      <c r="G26" s="7" t="n">
        <f aca="false">MAX(0,MIN(Assumptions!$B$31,C26+E26-F26))</f>
        <v>167</v>
      </c>
      <c r="H26" s="8" t="n">
        <f aca="false">C26*Assumptions!$B$34</f>
        <v>2737000</v>
      </c>
      <c r="I26" s="8" t="n">
        <f aca="false">E26*Assumptions!$B$8</f>
        <v>360000</v>
      </c>
      <c r="J26" s="8" t="n">
        <f aca="false">D26*Assumptions!$B$9</f>
        <v>48400</v>
      </c>
      <c r="K26" s="8" t="n">
        <f aca="false">C26*Assumptions!$B$43</f>
        <v>402500</v>
      </c>
      <c r="L26" s="17" t="n">
        <f aca="false">SUM(H26:K26)</f>
        <v>3547900</v>
      </c>
      <c r="M26" s="8" t="n">
        <f aca="false">K26*Assumptions!$B$10</f>
        <v>261625</v>
      </c>
      <c r="N26" s="8" t="n">
        <f aca="false">L26*Assumptions!$B$11*Assumptions!$B$12</f>
        <v>95793.3</v>
      </c>
      <c r="O26" s="17" t="n">
        <f aca="false">M26+N26</f>
        <v>357418.3</v>
      </c>
      <c r="P26" s="8" t="n">
        <f aca="false">Assumptions!$B$32</f>
        <v>576000</v>
      </c>
      <c r="Q26" s="8" t="n">
        <f aca="false">Assumptions!$B$42</f>
        <v>850000</v>
      </c>
      <c r="R26" s="8" t="n">
        <f aca="false">IF(A26&lt;=3,Assumptions!$B$40,Assumptions!$B$41)</f>
        <v>100000</v>
      </c>
      <c r="S26" s="8" t="n">
        <f aca="false">Assumptions!$B$49</f>
        <v>257500</v>
      </c>
      <c r="T26" s="17" t="n">
        <f aca="false">P26+Q26+R26+S26</f>
        <v>1783500</v>
      </c>
      <c r="U26" s="8" t="n">
        <f aca="false">(CAPEX!$B$18+CAPEX!$B$20)/(Assumptions!$B$13*12)+IF(A26&gt;=Assumptions!$B$56,Assumptions!$B$55/(Assumptions!$B$13*12),0)</f>
        <v>306562.5</v>
      </c>
      <c r="V26" s="17" t="n">
        <f aca="false">L26-O26-T26-U26</f>
        <v>1100419.2</v>
      </c>
      <c r="W26" s="17" t="n">
        <f aca="false">V26</f>
        <v>1100419.2</v>
      </c>
      <c r="X26" s="8" t="n">
        <f aca="false">MAX(0,W26)*Assumptions!$B$14</f>
        <v>330125.76</v>
      </c>
      <c r="Y26" s="17" t="n">
        <f aca="false">W26-X26</f>
        <v>770293.44</v>
      </c>
    </row>
    <row r="27" customFormat="false" ht="15" hidden="false" customHeight="false" outlineLevel="0" collapsed="false">
      <c r="A27" s="21" t="n">
        <v>24</v>
      </c>
      <c r="B27" s="21" t="n">
        <f aca="false">ROUNDUP(A27/12,0)</f>
        <v>2</v>
      </c>
      <c r="C27" s="21" t="n">
        <f aca="false">G26</f>
        <v>167</v>
      </c>
      <c r="D27" s="7" t="n">
        <f aca="false">ROUND(IF(B27=1,Assumptions!$B$37,IF(B27=2,Assumptions!$B$38,Assumptions!$B$39))*MIN(1,A27/6),0)</f>
        <v>22</v>
      </c>
      <c r="E27" s="7" t="n">
        <f aca="false">MAX(0,MIN(ROUND(D27*Assumptions!$B$35,0),Assumptions!$B$31-(C27-F27)))</f>
        <v>12</v>
      </c>
      <c r="F27" s="7" t="n">
        <f aca="false">ROUND(C27*Assumptions!$B$36,0)</f>
        <v>7</v>
      </c>
      <c r="G27" s="7" t="n">
        <f aca="false">MAX(0,MIN(Assumptions!$B$31,C27+E27-F27))</f>
        <v>172</v>
      </c>
      <c r="H27" s="8" t="n">
        <f aca="false">C27*Assumptions!$B$34</f>
        <v>2839000</v>
      </c>
      <c r="I27" s="8" t="n">
        <f aca="false">E27*Assumptions!$B$8</f>
        <v>360000</v>
      </c>
      <c r="J27" s="8" t="n">
        <f aca="false">D27*Assumptions!$B$9</f>
        <v>48400</v>
      </c>
      <c r="K27" s="8" t="n">
        <f aca="false">C27*Assumptions!$B$43</f>
        <v>417500</v>
      </c>
      <c r="L27" s="17" t="n">
        <f aca="false">SUM(H27:K27)</f>
        <v>3664900</v>
      </c>
      <c r="M27" s="8" t="n">
        <f aca="false">K27*Assumptions!$B$10</f>
        <v>271375</v>
      </c>
      <c r="N27" s="8" t="n">
        <f aca="false">L27*Assumptions!$B$11*Assumptions!$B$12</f>
        <v>98952.3</v>
      </c>
      <c r="O27" s="17" t="n">
        <f aca="false">M27+N27</f>
        <v>370327.3</v>
      </c>
      <c r="P27" s="8" t="n">
        <f aca="false">Assumptions!$B$32</f>
        <v>576000</v>
      </c>
      <c r="Q27" s="8" t="n">
        <f aca="false">Assumptions!$B$42</f>
        <v>850000</v>
      </c>
      <c r="R27" s="8" t="n">
        <f aca="false">IF(A27&lt;=3,Assumptions!$B$40,Assumptions!$B$41)</f>
        <v>100000</v>
      </c>
      <c r="S27" s="8" t="n">
        <f aca="false">Assumptions!$B$49</f>
        <v>257500</v>
      </c>
      <c r="T27" s="17" t="n">
        <f aca="false">P27+Q27+R27+S27</f>
        <v>1783500</v>
      </c>
      <c r="U27" s="8" t="n">
        <f aca="false">(CAPEX!$B$18+CAPEX!$B$20)/(Assumptions!$B$13*12)+IF(A27&gt;=Assumptions!$B$56,Assumptions!$B$55/(Assumptions!$B$13*12),0)</f>
        <v>306562.5</v>
      </c>
      <c r="V27" s="17" t="n">
        <f aca="false">L27-O27-T27-U27</f>
        <v>1204510.2</v>
      </c>
      <c r="W27" s="17" t="n">
        <f aca="false">V27</f>
        <v>1204510.2</v>
      </c>
      <c r="X27" s="8" t="n">
        <f aca="false">MAX(0,W27)*Assumptions!$B$14</f>
        <v>361353.06</v>
      </c>
      <c r="Y27" s="17" t="n">
        <f aca="false">W27-X27</f>
        <v>843157.14</v>
      </c>
    </row>
    <row r="28" customFormat="false" ht="15" hidden="false" customHeight="false" outlineLevel="0" collapsed="false">
      <c r="A28" s="21" t="n">
        <v>25</v>
      </c>
      <c r="B28" s="21" t="n">
        <f aca="false">ROUNDUP(A28/12,0)</f>
        <v>3</v>
      </c>
      <c r="C28" s="21" t="n">
        <f aca="false">G27</f>
        <v>172</v>
      </c>
      <c r="D28" s="7" t="n">
        <f aca="false">ROUND(IF(B28=1,Assumptions!$B$37,IF(B28=2,Assumptions!$B$38,Assumptions!$B$39))*MIN(1,A28/6),0)</f>
        <v>26</v>
      </c>
      <c r="E28" s="7" t="n">
        <f aca="false">MAX(0,MIN(ROUND(D28*Assumptions!$B$35,0),Assumptions!$B$31-(C28-F28)))</f>
        <v>14</v>
      </c>
      <c r="F28" s="7" t="n">
        <f aca="false">ROUND(C28*Assumptions!$B$36,0)</f>
        <v>7</v>
      </c>
      <c r="G28" s="7" t="n">
        <f aca="false">MAX(0,MIN(Assumptions!$B$31,C28+E28-F28))</f>
        <v>179</v>
      </c>
      <c r="H28" s="8" t="n">
        <f aca="false">C28*Assumptions!$B$34</f>
        <v>2924000</v>
      </c>
      <c r="I28" s="8" t="n">
        <f aca="false">E28*Assumptions!$B$8</f>
        <v>420000</v>
      </c>
      <c r="J28" s="8" t="n">
        <f aca="false">D28*Assumptions!$B$9</f>
        <v>57200</v>
      </c>
      <c r="K28" s="8" t="n">
        <f aca="false">C28*Assumptions!$B$43</f>
        <v>430000</v>
      </c>
      <c r="L28" s="17" t="n">
        <f aca="false">SUM(H28:K28)</f>
        <v>3831200</v>
      </c>
      <c r="M28" s="8" t="n">
        <f aca="false">K28*Assumptions!$B$10</f>
        <v>279500</v>
      </c>
      <c r="N28" s="8" t="n">
        <f aca="false">L28*Assumptions!$B$11*Assumptions!$B$12</f>
        <v>103442.4</v>
      </c>
      <c r="O28" s="17" t="n">
        <f aca="false">M28+N28</f>
        <v>382942.4</v>
      </c>
      <c r="P28" s="8" t="n">
        <f aca="false">Assumptions!$B$32</f>
        <v>576000</v>
      </c>
      <c r="Q28" s="8" t="n">
        <f aca="false">Assumptions!$B$42</f>
        <v>850000</v>
      </c>
      <c r="R28" s="8" t="n">
        <f aca="false">IF(A28&lt;=3,Assumptions!$B$40,Assumptions!$B$41)</f>
        <v>100000</v>
      </c>
      <c r="S28" s="8" t="n">
        <f aca="false">Assumptions!$B$49</f>
        <v>257500</v>
      </c>
      <c r="T28" s="17" t="n">
        <f aca="false">P28+Q28+R28+S28</f>
        <v>1783500</v>
      </c>
      <c r="U28" s="8" t="n">
        <f aca="false">(CAPEX!$B$18+CAPEX!$B$20)/(Assumptions!$B$13*12)+IF(A28&gt;=Assumptions!$B$56,Assumptions!$B$55/(Assumptions!$B$13*12),0)</f>
        <v>306562.5</v>
      </c>
      <c r="V28" s="17" t="n">
        <f aca="false">L28-O28-T28-U28</f>
        <v>1358195.1</v>
      </c>
      <c r="W28" s="17" t="n">
        <f aca="false">V28</f>
        <v>1358195.1</v>
      </c>
      <c r="X28" s="8" t="n">
        <f aca="false">MAX(0,W28)*Assumptions!$B$14</f>
        <v>407458.53</v>
      </c>
      <c r="Y28" s="17" t="n">
        <f aca="false">W28-X28</f>
        <v>950736.57</v>
      </c>
    </row>
    <row r="29" customFormat="false" ht="15" hidden="false" customHeight="false" outlineLevel="0" collapsed="false">
      <c r="A29" s="21" t="n">
        <v>26</v>
      </c>
      <c r="B29" s="21" t="n">
        <f aca="false">ROUNDUP(A29/12,0)</f>
        <v>3</v>
      </c>
      <c r="C29" s="21" t="n">
        <f aca="false">G28</f>
        <v>179</v>
      </c>
      <c r="D29" s="7" t="n">
        <f aca="false">ROUND(IF(B29=1,Assumptions!$B$37,IF(B29=2,Assumptions!$B$38,Assumptions!$B$39))*MIN(1,A29/6),0)</f>
        <v>26</v>
      </c>
      <c r="E29" s="7" t="n">
        <f aca="false">MAX(0,MIN(ROUND(D29*Assumptions!$B$35,0),Assumptions!$B$31-(C29-F29)))</f>
        <v>8</v>
      </c>
      <c r="F29" s="7" t="n">
        <f aca="false">ROUND(C29*Assumptions!$B$36,0)</f>
        <v>7</v>
      </c>
      <c r="G29" s="7" t="n">
        <f aca="false">MAX(0,MIN(Assumptions!$B$31,C29+E29-F29))</f>
        <v>180</v>
      </c>
      <c r="H29" s="8" t="n">
        <f aca="false">C29*Assumptions!$B$34</f>
        <v>3043000</v>
      </c>
      <c r="I29" s="8" t="n">
        <f aca="false">E29*Assumptions!$B$8</f>
        <v>240000</v>
      </c>
      <c r="J29" s="8" t="n">
        <f aca="false">D29*Assumptions!$B$9</f>
        <v>57200</v>
      </c>
      <c r="K29" s="8" t="n">
        <f aca="false">C29*Assumptions!$B$43</f>
        <v>447500</v>
      </c>
      <c r="L29" s="17" t="n">
        <f aca="false">SUM(H29:K29)</f>
        <v>3787700</v>
      </c>
      <c r="M29" s="8" t="n">
        <f aca="false">K29*Assumptions!$B$10</f>
        <v>290875</v>
      </c>
      <c r="N29" s="8" t="n">
        <f aca="false">L29*Assumptions!$B$11*Assumptions!$B$12</f>
        <v>102267.9</v>
      </c>
      <c r="O29" s="17" t="n">
        <f aca="false">M29+N29</f>
        <v>393142.9</v>
      </c>
      <c r="P29" s="8" t="n">
        <f aca="false">Assumptions!$B$32</f>
        <v>576000</v>
      </c>
      <c r="Q29" s="8" t="n">
        <f aca="false">Assumptions!$B$42</f>
        <v>850000</v>
      </c>
      <c r="R29" s="8" t="n">
        <f aca="false">IF(A29&lt;=3,Assumptions!$B$40,Assumptions!$B$41)</f>
        <v>100000</v>
      </c>
      <c r="S29" s="8" t="n">
        <f aca="false">Assumptions!$B$49</f>
        <v>257500</v>
      </c>
      <c r="T29" s="17" t="n">
        <f aca="false">P29+Q29+R29+S29</f>
        <v>1783500</v>
      </c>
      <c r="U29" s="8" t="n">
        <f aca="false">(CAPEX!$B$18+CAPEX!$B$20)/(Assumptions!$B$13*12)+IF(A29&gt;=Assumptions!$B$56,Assumptions!$B$55/(Assumptions!$B$13*12),0)</f>
        <v>306562.5</v>
      </c>
      <c r="V29" s="17" t="n">
        <f aca="false">L29-O29-T29-U29</f>
        <v>1304494.6</v>
      </c>
      <c r="W29" s="17" t="n">
        <f aca="false">V29</f>
        <v>1304494.6</v>
      </c>
      <c r="X29" s="8" t="n">
        <f aca="false">MAX(0,W29)*Assumptions!$B$14</f>
        <v>391348.38</v>
      </c>
      <c r="Y29" s="17" t="n">
        <f aca="false">W29-X29</f>
        <v>913146.22</v>
      </c>
    </row>
    <row r="30" customFormat="false" ht="15" hidden="false" customHeight="false" outlineLevel="0" collapsed="false">
      <c r="A30" s="21" t="n">
        <v>27</v>
      </c>
      <c r="B30" s="21" t="n">
        <f aca="false">ROUNDUP(A30/12,0)</f>
        <v>3</v>
      </c>
      <c r="C30" s="21" t="n">
        <f aca="false">G29</f>
        <v>180</v>
      </c>
      <c r="D30" s="7" t="n">
        <f aca="false">ROUND(IF(B30=1,Assumptions!$B$37,IF(B30=2,Assumptions!$B$38,Assumptions!$B$39))*MIN(1,A30/6),0)</f>
        <v>26</v>
      </c>
      <c r="E30" s="7" t="n">
        <f aca="false">MAX(0,MIN(ROUND(D30*Assumptions!$B$35,0),Assumptions!$B$31-(C30-F30)))</f>
        <v>7</v>
      </c>
      <c r="F30" s="7" t="n">
        <f aca="false">ROUND(C30*Assumptions!$B$36,0)</f>
        <v>7</v>
      </c>
      <c r="G30" s="7" t="n">
        <f aca="false">MAX(0,MIN(Assumptions!$B$31,C30+E30-F30))</f>
        <v>180</v>
      </c>
      <c r="H30" s="8" t="n">
        <f aca="false">C30*Assumptions!$B$34</f>
        <v>3060000</v>
      </c>
      <c r="I30" s="8" t="n">
        <f aca="false">E30*Assumptions!$B$8</f>
        <v>210000</v>
      </c>
      <c r="J30" s="8" t="n">
        <f aca="false">D30*Assumptions!$B$9</f>
        <v>57200</v>
      </c>
      <c r="K30" s="8" t="n">
        <f aca="false">C30*Assumptions!$B$43</f>
        <v>450000</v>
      </c>
      <c r="L30" s="17" t="n">
        <f aca="false">SUM(H30:K30)</f>
        <v>3777200</v>
      </c>
      <c r="M30" s="8" t="n">
        <f aca="false">K30*Assumptions!$B$10</f>
        <v>292500</v>
      </c>
      <c r="N30" s="8" t="n">
        <f aca="false">L30*Assumptions!$B$11*Assumptions!$B$12</f>
        <v>101984.4</v>
      </c>
      <c r="O30" s="17" t="n">
        <f aca="false">M30+N30</f>
        <v>394484.4</v>
      </c>
      <c r="P30" s="8" t="n">
        <f aca="false">Assumptions!$B$32</f>
        <v>576000</v>
      </c>
      <c r="Q30" s="8" t="n">
        <f aca="false">Assumptions!$B$42</f>
        <v>850000</v>
      </c>
      <c r="R30" s="8" t="n">
        <f aca="false">IF(A30&lt;=3,Assumptions!$B$40,Assumptions!$B$41)</f>
        <v>100000</v>
      </c>
      <c r="S30" s="8" t="n">
        <f aca="false">Assumptions!$B$49</f>
        <v>257500</v>
      </c>
      <c r="T30" s="17" t="n">
        <f aca="false">P30+Q30+R30+S30</f>
        <v>1783500</v>
      </c>
      <c r="U30" s="8" t="n">
        <f aca="false">(CAPEX!$B$18+CAPEX!$B$20)/(Assumptions!$B$13*12)+IF(A30&gt;=Assumptions!$B$56,Assumptions!$B$55/(Assumptions!$B$13*12),0)</f>
        <v>306562.5</v>
      </c>
      <c r="V30" s="17" t="n">
        <f aca="false">L30-O30-T30-U30</f>
        <v>1292653.1</v>
      </c>
      <c r="W30" s="17" t="n">
        <f aca="false">V30</f>
        <v>1292653.1</v>
      </c>
      <c r="X30" s="8" t="n">
        <f aca="false">MAX(0,W30)*Assumptions!$B$14</f>
        <v>387795.93</v>
      </c>
      <c r="Y30" s="17" t="n">
        <f aca="false">W30-X30</f>
        <v>904857.17</v>
      </c>
    </row>
    <row r="31" customFormat="false" ht="15" hidden="false" customHeight="false" outlineLevel="0" collapsed="false">
      <c r="A31" s="21" t="n">
        <v>28</v>
      </c>
      <c r="B31" s="21" t="n">
        <f aca="false">ROUNDUP(A31/12,0)</f>
        <v>3</v>
      </c>
      <c r="C31" s="21" t="n">
        <f aca="false">G30</f>
        <v>180</v>
      </c>
      <c r="D31" s="7" t="n">
        <f aca="false">ROUND(IF(B31=1,Assumptions!$B$37,IF(B31=2,Assumptions!$B$38,Assumptions!$B$39))*MIN(1,A31/6),0)</f>
        <v>26</v>
      </c>
      <c r="E31" s="7" t="n">
        <f aca="false">MAX(0,MIN(ROUND(D31*Assumptions!$B$35,0),Assumptions!$B$31-(C31-F31)))</f>
        <v>7</v>
      </c>
      <c r="F31" s="7" t="n">
        <f aca="false">ROUND(C31*Assumptions!$B$36,0)</f>
        <v>7</v>
      </c>
      <c r="G31" s="7" t="n">
        <f aca="false">MAX(0,MIN(Assumptions!$B$31,C31+E31-F31))</f>
        <v>180</v>
      </c>
      <c r="H31" s="8" t="n">
        <f aca="false">C31*Assumptions!$B$34</f>
        <v>3060000</v>
      </c>
      <c r="I31" s="8" t="n">
        <f aca="false">E31*Assumptions!$B$8</f>
        <v>210000</v>
      </c>
      <c r="J31" s="8" t="n">
        <f aca="false">D31*Assumptions!$B$9</f>
        <v>57200</v>
      </c>
      <c r="K31" s="8" t="n">
        <f aca="false">C31*Assumptions!$B$43</f>
        <v>450000</v>
      </c>
      <c r="L31" s="17" t="n">
        <f aca="false">SUM(H31:K31)</f>
        <v>3777200</v>
      </c>
      <c r="M31" s="8" t="n">
        <f aca="false">K31*Assumptions!$B$10</f>
        <v>292500</v>
      </c>
      <c r="N31" s="8" t="n">
        <f aca="false">L31*Assumptions!$B$11*Assumptions!$B$12</f>
        <v>101984.4</v>
      </c>
      <c r="O31" s="17" t="n">
        <f aca="false">M31+N31</f>
        <v>394484.4</v>
      </c>
      <c r="P31" s="8" t="n">
        <f aca="false">Assumptions!$B$32</f>
        <v>576000</v>
      </c>
      <c r="Q31" s="8" t="n">
        <f aca="false">Assumptions!$B$42</f>
        <v>850000</v>
      </c>
      <c r="R31" s="8" t="n">
        <f aca="false">IF(A31&lt;=3,Assumptions!$B$40,Assumptions!$B$41)</f>
        <v>100000</v>
      </c>
      <c r="S31" s="8" t="n">
        <f aca="false">Assumptions!$B$49</f>
        <v>257500</v>
      </c>
      <c r="T31" s="17" t="n">
        <f aca="false">P31+Q31+R31+S31</f>
        <v>1783500</v>
      </c>
      <c r="U31" s="8" t="n">
        <f aca="false">(CAPEX!$B$18+CAPEX!$B$20)/(Assumptions!$B$13*12)+IF(A31&gt;=Assumptions!$B$56,Assumptions!$B$55/(Assumptions!$B$13*12),0)</f>
        <v>306562.5</v>
      </c>
      <c r="V31" s="17" t="n">
        <f aca="false">L31-O31-T31-U31</f>
        <v>1292653.1</v>
      </c>
      <c r="W31" s="17" t="n">
        <f aca="false">V31</f>
        <v>1292653.1</v>
      </c>
      <c r="X31" s="8" t="n">
        <f aca="false">MAX(0,W31)*Assumptions!$B$14</f>
        <v>387795.93</v>
      </c>
      <c r="Y31" s="17" t="n">
        <f aca="false">W31-X31</f>
        <v>904857.17</v>
      </c>
    </row>
    <row r="32" customFormat="false" ht="15" hidden="false" customHeight="false" outlineLevel="0" collapsed="false">
      <c r="A32" s="21" t="n">
        <v>29</v>
      </c>
      <c r="B32" s="21" t="n">
        <f aca="false">ROUNDUP(A32/12,0)</f>
        <v>3</v>
      </c>
      <c r="C32" s="21" t="n">
        <f aca="false">G31</f>
        <v>180</v>
      </c>
      <c r="D32" s="7" t="n">
        <f aca="false">ROUND(IF(B32=1,Assumptions!$B$37,IF(B32=2,Assumptions!$B$38,Assumptions!$B$39))*MIN(1,A32/6),0)</f>
        <v>26</v>
      </c>
      <c r="E32" s="7" t="n">
        <f aca="false">MAX(0,MIN(ROUND(D32*Assumptions!$B$35,0),Assumptions!$B$31-(C32-F32)))</f>
        <v>7</v>
      </c>
      <c r="F32" s="7" t="n">
        <f aca="false">ROUND(C32*Assumptions!$B$36,0)</f>
        <v>7</v>
      </c>
      <c r="G32" s="7" t="n">
        <f aca="false">MAX(0,MIN(Assumptions!$B$31,C32+E32-F32))</f>
        <v>180</v>
      </c>
      <c r="H32" s="8" t="n">
        <f aca="false">C32*Assumptions!$B$34</f>
        <v>3060000</v>
      </c>
      <c r="I32" s="8" t="n">
        <f aca="false">E32*Assumptions!$B$8</f>
        <v>210000</v>
      </c>
      <c r="J32" s="8" t="n">
        <f aca="false">D32*Assumptions!$B$9</f>
        <v>57200</v>
      </c>
      <c r="K32" s="8" t="n">
        <f aca="false">C32*Assumptions!$B$43</f>
        <v>450000</v>
      </c>
      <c r="L32" s="17" t="n">
        <f aca="false">SUM(H32:K32)</f>
        <v>3777200</v>
      </c>
      <c r="M32" s="8" t="n">
        <f aca="false">K32*Assumptions!$B$10</f>
        <v>292500</v>
      </c>
      <c r="N32" s="8" t="n">
        <f aca="false">L32*Assumptions!$B$11*Assumptions!$B$12</f>
        <v>101984.4</v>
      </c>
      <c r="O32" s="17" t="n">
        <f aca="false">M32+N32</f>
        <v>394484.4</v>
      </c>
      <c r="P32" s="8" t="n">
        <f aca="false">Assumptions!$B$32</f>
        <v>576000</v>
      </c>
      <c r="Q32" s="8" t="n">
        <f aca="false">Assumptions!$B$42</f>
        <v>850000</v>
      </c>
      <c r="R32" s="8" t="n">
        <f aca="false">IF(A32&lt;=3,Assumptions!$B$40,Assumptions!$B$41)</f>
        <v>100000</v>
      </c>
      <c r="S32" s="8" t="n">
        <f aca="false">Assumptions!$B$49</f>
        <v>257500</v>
      </c>
      <c r="T32" s="17" t="n">
        <f aca="false">P32+Q32+R32+S32</f>
        <v>1783500</v>
      </c>
      <c r="U32" s="8" t="n">
        <f aca="false">(CAPEX!$B$18+CAPEX!$B$20)/(Assumptions!$B$13*12)+IF(A32&gt;=Assumptions!$B$56,Assumptions!$B$55/(Assumptions!$B$13*12),0)</f>
        <v>306562.5</v>
      </c>
      <c r="V32" s="17" t="n">
        <f aca="false">L32-O32-T32-U32</f>
        <v>1292653.1</v>
      </c>
      <c r="W32" s="17" t="n">
        <f aca="false">V32</f>
        <v>1292653.1</v>
      </c>
      <c r="X32" s="8" t="n">
        <f aca="false">MAX(0,W32)*Assumptions!$B$14</f>
        <v>387795.93</v>
      </c>
      <c r="Y32" s="17" t="n">
        <f aca="false">W32-X32</f>
        <v>904857.17</v>
      </c>
    </row>
    <row r="33" customFormat="false" ht="15" hidden="false" customHeight="false" outlineLevel="0" collapsed="false">
      <c r="A33" s="21" t="n">
        <v>30</v>
      </c>
      <c r="B33" s="21" t="n">
        <f aca="false">ROUNDUP(A33/12,0)</f>
        <v>3</v>
      </c>
      <c r="C33" s="21" t="n">
        <f aca="false">G32</f>
        <v>180</v>
      </c>
      <c r="D33" s="7" t="n">
        <f aca="false">ROUND(IF(B33=1,Assumptions!$B$37,IF(B33=2,Assumptions!$B$38,Assumptions!$B$39))*MIN(1,A33/6),0)</f>
        <v>26</v>
      </c>
      <c r="E33" s="7" t="n">
        <f aca="false">MAX(0,MIN(ROUND(D33*Assumptions!$B$35,0),Assumptions!$B$31-(C33-F33)))</f>
        <v>7</v>
      </c>
      <c r="F33" s="7" t="n">
        <f aca="false">ROUND(C33*Assumptions!$B$36,0)</f>
        <v>7</v>
      </c>
      <c r="G33" s="7" t="n">
        <f aca="false">MAX(0,MIN(Assumptions!$B$31,C33+E33-F33))</f>
        <v>180</v>
      </c>
      <c r="H33" s="8" t="n">
        <f aca="false">C33*Assumptions!$B$34</f>
        <v>3060000</v>
      </c>
      <c r="I33" s="8" t="n">
        <f aca="false">E33*Assumptions!$B$8</f>
        <v>210000</v>
      </c>
      <c r="J33" s="8" t="n">
        <f aca="false">D33*Assumptions!$B$9</f>
        <v>57200</v>
      </c>
      <c r="K33" s="8" t="n">
        <f aca="false">C33*Assumptions!$B$43</f>
        <v>450000</v>
      </c>
      <c r="L33" s="17" t="n">
        <f aca="false">SUM(H33:K33)</f>
        <v>3777200</v>
      </c>
      <c r="M33" s="8" t="n">
        <f aca="false">K33*Assumptions!$B$10</f>
        <v>292500</v>
      </c>
      <c r="N33" s="8" t="n">
        <f aca="false">L33*Assumptions!$B$11*Assumptions!$B$12</f>
        <v>101984.4</v>
      </c>
      <c r="O33" s="17" t="n">
        <f aca="false">M33+N33</f>
        <v>394484.4</v>
      </c>
      <c r="P33" s="8" t="n">
        <f aca="false">Assumptions!$B$32</f>
        <v>576000</v>
      </c>
      <c r="Q33" s="8" t="n">
        <f aca="false">Assumptions!$B$42</f>
        <v>850000</v>
      </c>
      <c r="R33" s="8" t="n">
        <f aca="false">IF(A33&lt;=3,Assumptions!$B$40,Assumptions!$B$41)</f>
        <v>100000</v>
      </c>
      <c r="S33" s="8" t="n">
        <f aca="false">Assumptions!$B$49</f>
        <v>257500</v>
      </c>
      <c r="T33" s="17" t="n">
        <f aca="false">P33+Q33+R33+S33</f>
        <v>1783500</v>
      </c>
      <c r="U33" s="8" t="n">
        <f aca="false">(CAPEX!$B$18+CAPEX!$B$20)/(Assumptions!$B$13*12)+IF(A33&gt;=Assumptions!$B$56,Assumptions!$B$55/(Assumptions!$B$13*12),0)</f>
        <v>306562.5</v>
      </c>
      <c r="V33" s="17" t="n">
        <f aca="false">L33-O33-T33-U33</f>
        <v>1292653.1</v>
      </c>
      <c r="W33" s="17" t="n">
        <f aca="false">V33</f>
        <v>1292653.1</v>
      </c>
      <c r="X33" s="8" t="n">
        <f aca="false">MAX(0,W33)*Assumptions!$B$14</f>
        <v>387795.93</v>
      </c>
      <c r="Y33" s="17" t="n">
        <f aca="false">W33-X33</f>
        <v>904857.17</v>
      </c>
    </row>
    <row r="34" customFormat="false" ht="15" hidden="false" customHeight="false" outlineLevel="0" collapsed="false">
      <c r="A34" s="21" t="n">
        <v>31</v>
      </c>
      <c r="B34" s="21" t="n">
        <f aca="false">ROUNDUP(A34/12,0)</f>
        <v>3</v>
      </c>
      <c r="C34" s="21" t="n">
        <f aca="false">G33</f>
        <v>180</v>
      </c>
      <c r="D34" s="7" t="n">
        <f aca="false">ROUND(IF(B34=1,Assumptions!$B$37,IF(B34=2,Assumptions!$B$38,Assumptions!$B$39))*MIN(1,A34/6),0)</f>
        <v>26</v>
      </c>
      <c r="E34" s="7" t="n">
        <f aca="false">MAX(0,MIN(ROUND(D34*Assumptions!$B$35,0),Assumptions!$B$31-(C34-F34)))</f>
        <v>7</v>
      </c>
      <c r="F34" s="7" t="n">
        <f aca="false">ROUND(C34*Assumptions!$B$36,0)</f>
        <v>7</v>
      </c>
      <c r="G34" s="7" t="n">
        <f aca="false">MAX(0,MIN(Assumptions!$B$31,C34+E34-F34))</f>
        <v>180</v>
      </c>
      <c r="H34" s="8" t="n">
        <f aca="false">C34*Assumptions!$B$34</f>
        <v>3060000</v>
      </c>
      <c r="I34" s="8" t="n">
        <f aca="false">E34*Assumptions!$B$8</f>
        <v>210000</v>
      </c>
      <c r="J34" s="8" t="n">
        <f aca="false">D34*Assumptions!$B$9</f>
        <v>57200</v>
      </c>
      <c r="K34" s="8" t="n">
        <f aca="false">C34*Assumptions!$B$43</f>
        <v>450000</v>
      </c>
      <c r="L34" s="17" t="n">
        <f aca="false">SUM(H34:K34)</f>
        <v>3777200</v>
      </c>
      <c r="M34" s="8" t="n">
        <f aca="false">K34*Assumptions!$B$10</f>
        <v>292500</v>
      </c>
      <c r="N34" s="8" t="n">
        <f aca="false">L34*Assumptions!$B$11*Assumptions!$B$12</f>
        <v>101984.4</v>
      </c>
      <c r="O34" s="17" t="n">
        <f aca="false">M34+N34</f>
        <v>394484.4</v>
      </c>
      <c r="P34" s="8" t="n">
        <f aca="false">Assumptions!$B$32</f>
        <v>576000</v>
      </c>
      <c r="Q34" s="8" t="n">
        <f aca="false">Assumptions!$B$42</f>
        <v>850000</v>
      </c>
      <c r="R34" s="8" t="n">
        <f aca="false">IF(A34&lt;=3,Assumptions!$B$40,Assumptions!$B$41)</f>
        <v>100000</v>
      </c>
      <c r="S34" s="8" t="n">
        <f aca="false">Assumptions!$B$49</f>
        <v>257500</v>
      </c>
      <c r="T34" s="17" t="n">
        <f aca="false">P34+Q34+R34+S34</f>
        <v>1783500</v>
      </c>
      <c r="U34" s="8" t="n">
        <f aca="false">(CAPEX!$B$18+CAPEX!$B$20)/(Assumptions!$B$13*12)+IF(A34&gt;=Assumptions!$B$56,Assumptions!$B$55/(Assumptions!$B$13*12),0)</f>
        <v>306562.5</v>
      </c>
      <c r="V34" s="17" t="n">
        <f aca="false">L34-O34-T34-U34</f>
        <v>1292653.1</v>
      </c>
      <c r="W34" s="17" t="n">
        <f aca="false">V34</f>
        <v>1292653.1</v>
      </c>
      <c r="X34" s="8" t="n">
        <f aca="false">MAX(0,W34)*Assumptions!$B$14</f>
        <v>387795.93</v>
      </c>
      <c r="Y34" s="17" t="n">
        <f aca="false">W34-X34</f>
        <v>904857.17</v>
      </c>
    </row>
    <row r="35" customFormat="false" ht="15" hidden="false" customHeight="false" outlineLevel="0" collapsed="false">
      <c r="A35" s="21" t="n">
        <v>32</v>
      </c>
      <c r="B35" s="21" t="n">
        <f aca="false">ROUNDUP(A35/12,0)</f>
        <v>3</v>
      </c>
      <c r="C35" s="21" t="n">
        <f aca="false">G34</f>
        <v>180</v>
      </c>
      <c r="D35" s="7" t="n">
        <f aca="false">ROUND(IF(B35=1,Assumptions!$B$37,IF(B35=2,Assumptions!$B$38,Assumptions!$B$39))*MIN(1,A35/6),0)</f>
        <v>26</v>
      </c>
      <c r="E35" s="7" t="n">
        <f aca="false">MAX(0,MIN(ROUND(D35*Assumptions!$B$35,0),Assumptions!$B$31-(C35-F35)))</f>
        <v>7</v>
      </c>
      <c r="F35" s="7" t="n">
        <f aca="false">ROUND(C35*Assumptions!$B$36,0)</f>
        <v>7</v>
      </c>
      <c r="G35" s="7" t="n">
        <f aca="false">MAX(0,MIN(Assumptions!$B$31,C35+E35-F35))</f>
        <v>180</v>
      </c>
      <c r="H35" s="8" t="n">
        <f aca="false">C35*Assumptions!$B$34</f>
        <v>3060000</v>
      </c>
      <c r="I35" s="8" t="n">
        <f aca="false">E35*Assumptions!$B$8</f>
        <v>210000</v>
      </c>
      <c r="J35" s="8" t="n">
        <f aca="false">D35*Assumptions!$B$9</f>
        <v>57200</v>
      </c>
      <c r="K35" s="8" t="n">
        <f aca="false">C35*Assumptions!$B$43</f>
        <v>450000</v>
      </c>
      <c r="L35" s="17" t="n">
        <f aca="false">SUM(H35:K35)</f>
        <v>3777200</v>
      </c>
      <c r="M35" s="8" t="n">
        <f aca="false">K35*Assumptions!$B$10</f>
        <v>292500</v>
      </c>
      <c r="N35" s="8" t="n">
        <f aca="false">L35*Assumptions!$B$11*Assumptions!$B$12</f>
        <v>101984.4</v>
      </c>
      <c r="O35" s="17" t="n">
        <f aca="false">M35+N35</f>
        <v>394484.4</v>
      </c>
      <c r="P35" s="8" t="n">
        <f aca="false">Assumptions!$B$32</f>
        <v>576000</v>
      </c>
      <c r="Q35" s="8" t="n">
        <f aca="false">Assumptions!$B$42</f>
        <v>850000</v>
      </c>
      <c r="R35" s="8" t="n">
        <f aca="false">IF(A35&lt;=3,Assumptions!$B$40,Assumptions!$B$41)</f>
        <v>100000</v>
      </c>
      <c r="S35" s="8" t="n">
        <f aca="false">Assumptions!$B$49</f>
        <v>257500</v>
      </c>
      <c r="T35" s="17" t="n">
        <f aca="false">P35+Q35+R35+S35</f>
        <v>1783500</v>
      </c>
      <c r="U35" s="8" t="n">
        <f aca="false">(CAPEX!$B$18+CAPEX!$B$20)/(Assumptions!$B$13*12)+IF(A35&gt;=Assumptions!$B$56,Assumptions!$B$55/(Assumptions!$B$13*12),0)</f>
        <v>306562.5</v>
      </c>
      <c r="V35" s="17" t="n">
        <f aca="false">L35-O35-T35-U35</f>
        <v>1292653.1</v>
      </c>
      <c r="W35" s="17" t="n">
        <f aca="false">V35</f>
        <v>1292653.1</v>
      </c>
      <c r="X35" s="8" t="n">
        <f aca="false">MAX(0,W35)*Assumptions!$B$14</f>
        <v>387795.93</v>
      </c>
      <c r="Y35" s="17" t="n">
        <f aca="false">W35-X35</f>
        <v>904857.17</v>
      </c>
    </row>
    <row r="36" customFormat="false" ht="15" hidden="false" customHeight="false" outlineLevel="0" collapsed="false">
      <c r="A36" s="21" t="n">
        <v>33</v>
      </c>
      <c r="B36" s="21" t="n">
        <f aca="false">ROUNDUP(A36/12,0)</f>
        <v>3</v>
      </c>
      <c r="C36" s="21" t="n">
        <f aca="false">G35</f>
        <v>180</v>
      </c>
      <c r="D36" s="7" t="n">
        <f aca="false">ROUND(IF(B36=1,Assumptions!$B$37,IF(B36=2,Assumptions!$B$38,Assumptions!$B$39))*MIN(1,A36/6),0)</f>
        <v>26</v>
      </c>
      <c r="E36" s="7" t="n">
        <f aca="false">MAX(0,MIN(ROUND(D36*Assumptions!$B$35,0),Assumptions!$B$31-(C36-F36)))</f>
        <v>7</v>
      </c>
      <c r="F36" s="7" t="n">
        <f aca="false">ROUND(C36*Assumptions!$B$36,0)</f>
        <v>7</v>
      </c>
      <c r="G36" s="7" t="n">
        <f aca="false">MAX(0,MIN(Assumptions!$B$31,C36+E36-F36))</f>
        <v>180</v>
      </c>
      <c r="H36" s="8" t="n">
        <f aca="false">C36*Assumptions!$B$34</f>
        <v>3060000</v>
      </c>
      <c r="I36" s="8" t="n">
        <f aca="false">E36*Assumptions!$B$8</f>
        <v>210000</v>
      </c>
      <c r="J36" s="8" t="n">
        <f aca="false">D36*Assumptions!$B$9</f>
        <v>57200</v>
      </c>
      <c r="K36" s="8" t="n">
        <f aca="false">C36*Assumptions!$B$43</f>
        <v>450000</v>
      </c>
      <c r="L36" s="17" t="n">
        <f aca="false">SUM(H36:K36)</f>
        <v>3777200</v>
      </c>
      <c r="M36" s="8" t="n">
        <f aca="false">K36*Assumptions!$B$10</f>
        <v>292500</v>
      </c>
      <c r="N36" s="8" t="n">
        <f aca="false">L36*Assumptions!$B$11*Assumptions!$B$12</f>
        <v>101984.4</v>
      </c>
      <c r="O36" s="17" t="n">
        <f aca="false">M36+N36</f>
        <v>394484.4</v>
      </c>
      <c r="P36" s="8" t="n">
        <f aca="false">Assumptions!$B$32</f>
        <v>576000</v>
      </c>
      <c r="Q36" s="8" t="n">
        <f aca="false">Assumptions!$B$42</f>
        <v>850000</v>
      </c>
      <c r="R36" s="8" t="n">
        <f aca="false">IF(A36&lt;=3,Assumptions!$B$40,Assumptions!$B$41)</f>
        <v>100000</v>
      </c>
      <c r="S36" s="8" t="n">
        <f aca="false">Assumptions!$B$49</f>
        <v>257500</v>
      </c>
      <c r="T36" s="17" t="n">
        <f aca="false">P36+Q36+R36+S36</f>
        <v>1783500</v>
      </c>
      <c r="U36" s="8" t="n">
        <f aca="false">(CAPEX!$B$18+CAPEX!$B$20)/(Assumptions!$B$13*12)+IF(A36&gt;=Assumptions!$B$56,Assumptions!$B$55/(Assumptions!$B$13*12),0)</f>
        <v>306562.5</v>
      </c>
      <c r="V36" s="17" t="n">
        <f aca="false">L36-O36-T36-U36</f>
        <v>1292653.1</v>
      </c>
      <c r="W36" s="17" t="n">
        <f aca="false">V36</f>
        <v>1292653.1</v>
      </c>
      <c r="X36" s="8" t="n">
        <f aca="false">MAX(0,W36)*Assumptions!$B$14</f>
        <v>387795.93</v>
      </c>
      <c r="Y36" s="17" t="n">
        <f aca="false">W36-X36</f>
        <v>904857.17</v>
      </c>
    </row>
    <row r="37" customFormat="false" ht="15" hidden="false" customHeight="false" outlineLevel="0" collapsed="false">
      <c r="A37" s="21" t="n">
        <v>34</v>
      </c>
      <c r="B37" s="21" t="n">
        <f aca="false">ROUNDUP(A37/12,0)</f>
        <v>3</v>
      </c>
      <c r="C37" s="21" t="n">
        <f aca="false">G36</f>
        <v>180</v>
      </c>
      <c r="D37" s="7" t="n">
        <f aca="false">ROUND(IF(B37=1,Assumptions!$B$37,IF(B37=2,Assumptions!$B$38,Assumptions!$B$39))*MIN(1,A37/6),0)</f>
        <v>26</v>
      </c>
      <c r="E37" s="7" t="n">
        <f aca="false">MAX(0,MIN(ROUND(D37*Assumptions!$B$35,0),Assumptions!$B$31-(C37-F37)))</f>
        <v>7</v>
      </c>
      <c r="F37" s="7" t="n">
        <f aca="false">ROUND(C37*Assumptions!$B$36,0)</f>
        <v>7</v>
      </c>
      <c r="G37" s="7" t="n">
        <f aca="false">MAX(0,MIN(Assumptions!$B$31,C37+E37-F37))</f>
        <v>180</v>
      </c>
      <c r="H37" s="8" t="n">
        <f aca="false">C37*Assumptions!$B$34</f>
        <v>3060000</v>
      </c>
      <c r="I37" s="8" t="n">
        <f aca="false">E37*Assumptions!$B$8</f>
        <v>210000</v>
      </c>
      <c r="J37" s="8" t="n">
        <f aca="false">D37*Assumptions!$B$9</f>
        <v>57200</v>
      </c>
      <c r="K37" s="8" t="n">
        <f aca="false">C37*Assumptions!$B$43</f>
        <v>450000</v>
      </c>
      <c r="L37" s="17" t="n">
        <f aca="false">SUM(H37:K37)</f>
        <v>3777200</v>
      </c>
      <c r="M37" s="8" t="n">
        <f aca="false">K37*Assumptions!$B$10</f>
        <v>292500</v>
      </c>
      <c r="N37" s="8" t="n">
        <f aca="false">L37*Assumptions!$B$11*Assumptions!$B$12</f>
        <v>101984.4</v>
      </c>
      <c r="O37" s="17" t="n">
        <f aca="false">M37+N37</f>
        <v>394484.4</v>
      </c>
      <c r="P37" s="8" t="n">
        <f aca="false">Assumptions!$B$32</f>
        <v>576000</v>
      </c>
      <c r="Q37" s="8" t="n">
        <f aca="false">Assumptions!$B$42</f>
        <v>850000</v>
      </c>
      <c r="R37" s="8" t="n">
        <f aca="false">IF(A37&lt;=3,Assumptions!$B$40,Assumptions!$B$41)</f>
        <v>100000</v>
      </c>
      <c r="S37" s="8" t="n">
        <f aca="false">Assumptions!$B$49</f>
        <v>257500</v>
      </c>
      <c r="T37" s="17" t="n">
        <f aca="false">P37+Q37+R37+S37</f>
        <v>1783500</v>
      </c>
      <c r="U37" s="8" t="n">
        <f aca="false">(CAPEX!$B$18+CAPEX!$B$20)/(Assumptions!$B$13*12)+IF(A37&gt;=Assumptions!$B$56,Assumptions!$B$55/(Assumptions!$B$13*12),0)</f>
        <v>306562.5</v>
      </c>
      <c r="V37" s="17" t="n">
        <f aca="false">L37-O37-T37-U37</f>
        <v>1292653.1</v>
      </c>
      <c r="W37" s="17" t="n">
        <f aca="false">V37</f>
        <v>1292653.1</v>
      </c>
      <c r="X37" s="8" t="n">
        <f aca="false">MAX(0,W37)*Assumptions!$B$14</f>
        <v>387795.93</v>
      </c>
      <c r="Y37" s="17" t="n">
        <f aca="false">W37-X37</f>
        <v>904857.17</v>
      </c>
    </row>
    <row r="38" customFormat="false" ht="15" hidden="false" customHeight="false" outlineLevel="0" collapsed="false">
      <c r="A38" s="21" t="n">
        <v>35</v>
      </c>
      <c r="B38" s="21" t="n">
        <f aca="false">ROUNDUP(A38/12,0)</f>
        <v>3</v>
      </c>
      <c r="C38" s="21" t="n">
        <f aca="false">G37</f>
        <v>180</v>
      </c>
      <c r="D38" s="7" t="n">
        <f aca="false">ROUND(IF(B38=1,Assumptions!$B$37,IF(B38=2,Assumptions!$B$38,Assumptions!$B$39))*MIN(1,A38/6),0)</f>
        <v>26</v>
      </c>
      <c r="E38" s="7" t="n">
        <f aca="false">MAX(0,MIN(ROUND(D38*Assumptions!$B$35,0),Assumptions!$B$31-(C38-F38)))</f>
        <v>7</v>
      </c>
      <c r="F38" s="7" t="n">
        <f aca="false">ROUND(C38*Assumptions!$B$36,0)</f>
        <v>7</v>
      </c>
      <c r="G38" s="7" t="n">
        <f aca="false">MAX(0,MIN(Assumptions!$B$31,C38+E38-F38))</f>
        <v>180</v>
      </c>
      <c r="H38" s="8" t="n">
        <f aca="false">C38*Assumptions!$B$34</f>
        <v>3060000</v>
      </c>
      <c r="I38" s="8" t="n">
        <f aca="false">E38*Assumptions!$B$8</f>
        <v>210000</v>
      </c>
      <c r="J38" s="8" t="n">
        <f aca="false">D38*Assumptions!$B$9</f>
        <v>57200</v>
      </c>
      <c r="K38" s="8" t="n">
        <f aca="false">C38*Assumptions!$B$43</f>
        <v>450000</v>
      </c>
      <c r="L38" s="17" t="n">
        <f aca="false">SUM(H38:K38)</f>
        <v>3777200</v>
      </c>
      <c r="M38" s="8" t="n">
        <f aca="false">K38*Assumptions!$B$10</f>
        <v>292500</v>
      </c>
      <c r="N38" s="8" t="n">
        <f aca="false">L38*Assumptions!$B$11*Assumptions!$B$12</f>
        <v>101984.4</v>
      </c>
      <c r="O38" s="17" t="n">
        <f aca="false">M38+N38</f>
        <v>394484.4</v>
      </c>
      <c r="P38" s="8" t="n">
        <f aca="false">Assumptions!$B$32</f>
        <v>576000</v>
      </c>
      <c r="Q38" s="8" t="n">
        <f aca="false">Assumptions!$B$42</f>
        <v>850000</v>
      </c>
      <c r="R38" s="8" t="n">
        <f aca="false">IF(A38&lt;=3,Assumptions!$B$40,Assumptions!$B$41)</f>
        <v>100000</v>
      </c>
      <c r="S38" s="8" t="n">
        <f aca="false">Assumptions!$B$49</f>
        <v>257500</v>
      </c>
      <c r="T38" s="17" t="n">
        <f aca="false">P38+Q38+R38+S38</f>
        <v>1783500</v>
      </c>
      <c r="U38" s="8" t="n">
        <f aca="false">(CAPEX!$B$18+CAPEX!$B$20)/(Assumptions!$B$13*12)+IF(A38&gt;=Assumptions!$B$56,Assumptions!$B$55/(Assumptions!$B$13*12),0)</f>
        <v>306562.5</v>
      </c>
      <c r="V38" s="17" t="n">
        <f aca="false">L38-O38-T38-U38</f>
        <v>1292653.1</v>
      </c>
      <c r="W38" s="17" t="n">
        <f aca="false">V38</f>
        <v>1292653.1</v>
      </c>
      <c r="X38" s="8" t="n">
        <f aca="false">MAX(0,W38)*Assumptions!$B$14</f>
        <v>387795.93</v>
      </c>
      <c r="Y38" s="17" t="n">
        <f aca="false">W38-X38</f>
        <v>904857.17</v>
      </c>
    </row>
    <row r="39" customFormat="false" ht="15" hidden="false" customHeight="false" outlineLevel="0" collapsed="false">
      <c r="A39" s="21" t="n">
        <v>36</v>
      </c>
      <c r="B39" s="21" t="n">
        <f aca="false">ROUNDUP(A39/12,0)</f>
        <v>3</v>
      </c>
      <c r="C39" s="21" t="n">
        <f aca="false">G38</f>
        <v>180</v>
      </c>
      <c r="D39" s="7" t="n">
        <f aca="false">ROUND(IF(B39=1,Assumptions!$B$37,IF(B39=2,Assumptions!$B$38,Assumptions!$B$39))*MIN(1,A39/6),0)</f>
        <v>26</v>
      </c>
      <c r="E39" s="7" t="n">
        <f aca="false">MAX(0,MIN(ROUND(D39*Assumptions!$B$35,0),Assumptions!$B$31-(C39-F39)))</f>
        <v>7</v>
      </c>
      <c r="F39" s="7" t="n">
        <f aca="false">ROUND(C39*Assumptions!$B$36,0)</f>
        <v>7</v>
      </c>
      <c r="G39" s="7" t="n">
        <f aca="false">MAX(0,MIN(Assumptions!$B$31,C39+E39-F39))</f>
        <v>180</v>
      </c>
      <c r="H39" s="8" t="n">
        <f aca="false">C39*Assumptions!$B$34</f>
        <v>3060000</v>
      </c>
      <c r="I39" s="8" t="n">
        <f aca="false">E39*Assumptions!$B$8</f>
        <v>210000</v>
      </c>
      <c r="J39" s="8" t="n">
        <f aca="false">D39*Assumptions!$B$9</f>
        <v>57200</v>
      </c>
      <c r="K39" s="8" t="n">
        <f aca="false">C39*Assumptions!$B$43</f>
        <v>450000</v>
      </c>
      <c r="L39" s="17" t="n">
        <f aca="false">SUM(H39:K39)</f>
        <v>3777200</v>
      </c>
      <c r="M39" s="8" t="n">
        <f aca="false">K39*Assumptions!$B$10</f>
        <v>292500</v>
      </c>
      <c r="N39" s="8" t="n">
        <f aca="false">L39*Assumptions!$B$11*Assumptions!$B$12</f>
        <v>101984.4</v>
      </c>
      <c r="O39" s="17" t="n">
        <f aca="false">M39+N39</f>
        <v>394484.4</v>
      </c>
      <c r="P39" s="8" t="n">
        <f aca="false">Assumptions!$B$32</f>
        <v>576000</v>
      </c>
      <c r="Q39" s="8" t="n">
        <f aca="false">Assumptions!$B$42</f>
        <v>850000</v>
      </c>
      <c r="R39" s="8" t="n">
        <f aca="false">IF(A39&lt;=3,Assumptions!$B$40,Assumptions!$B$41)</f>
        <v>100000</v>
      </c>
      <c r="S39" s="8" t="n">
        <f aca="false">Assumptions!$B$49</f>
        <v>257500</v>
      </c>
      <c r="T39" s="17" t="n">
        <f aca="false">P39+Q39+R39+S39</f>
        <v>1783500</v>
      </c>
      <c r="U39" s="8" t="n">
        <f aca="false">(CAPEX!$B$18+CAPEX!$B$20)/(Assumptions!$B$13*12)+IF(A39&gt;=Assumptions!$B$56,Assumptions!$B$55/(Assumptions!$B$13*12),0)</f>
        <v>306562.5</v>
      </c>
      <c r="V39" s="17" t="n">
        <f aca="false">L39-O39-T39-U39</f>
        <v>1292653.1</v>
      </c>
      <c r="W39" s="17" t="n">
        <f aca="false">V39</f>
        <v>1292653.1</v>
      </c>
      <c r="X39" s="8" t="n">
        <f aca="false">MAX(0,W39)*Assumptions!$B$14</f>
        <v>387795.93</v>
      </c>
      <c r="Y39" s="17" t="n">
        <f aca="false">W39-X39</f>
        <v>904857.17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4" min="3" style="0" width="11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2"/>
  </cols>
  <sheetData>
    <row r="1" customFormat="false" ht="16.15" hidden="false" customHeight="false" outlineLevel="0" collapsed="false">
      <c r="A1" s="13" t="s">
        <v>179</v>
      </c>
    </row>
    <row r="2" customFormat="false" ht="15" hidden="false" customHeight="false" outlineLevel="0" collapsed="false">
      <c r="A2" s="4" t="s">
        <v>180</v>
      </c>
    </row>
    <row r="3" customFormat="false" ht="32.8" hidden="false" customHeight="false" outlineLevel="0" collapsed="false">
      <c r="A3" s="10" t="s">
        <v>159</v>
      </c>
      <c r="B3" s="10" t="s">
        <v>181</v>
      </c>
      <c r="C3" s="10" t="s">
        <v>182</v>
      </c>
      <c r="D3" s="10" t="s">
        <v>183</v>
      </c>
      <c r="E3" s="10" t="s">
        <v>184</v>
      </c>
      <c r="F3" s="10" t="s">
        <v>185</v>
      </c>
      <c r="G3" s="10" t="s">
        <v>186</v>
      </c>
      <c r="H3" s="10" t="s">
        <v>187</v>
      </c>
      <c r="I3" s="10" t="s">
        <v>188</v>
      </c>
    </row>
    <row r="4" customFormat="false" ht="15" hidden="false" customHeight="false" outlineLevel="0" collapsed="false">
      <c r="A4" s="30" t="n">
        <v>0</v>
      </c>
      <c r="B4" s="30" t="n">
        <v>0</v>
      </c>
      <c r="C4" s="8" t="n">
        <f aca="false">-CAPEX!$B$21</f>
        <v>-32386000</v>
      </c>
      <c r="D4" s="8" t="n">
        <f aca="false">Assumptions!$B$28+Assumptions!$B$29</f>
        <v>20000000</v>
      </c>
      <c r="E4" s="30" t="n">
        <v>0</v>
      </c>
      <c r="F4" s="30" t="n">
        <f aca="false">B4+C4+D4+E4</f>
        <v>-12386000</v>
      </c>
      <c r="G4" s="30" t="n">
        <f aca="false">F4</f>
        <v>-12386000</v>
      </c>
      <c r="H4" s="30" t="n">
        <v>0</v>
      </c>
      <c r="I4" s="30" t="n">
        <v>9999</v>
      </c>
    </row>
    <row r="5" customFormat="false" ht="15" hidden="false" customHeight="false" outlineLevel="0" collapsed="false">
      <c r="A5" s="31" t="n">
        <v>1</v>
      </c>
      <c r="B5" s="8" t="n">
        <f aca="false">Monthly_PL!$Y4+Monthly_PL!$U4</f>
        <v>-1278243.2</v>
      </c>
      <c r="C5" s="8" t="n">
        <f aca="false">IF(A5=Assumptions!$B$56,-Assumptions!$B$55,0)</f>
        <v>0</v>
      </c>
      <c r="D5" s="30" t="n">
        <v>0</v>
      </c>
      <c r="E5" s="8" t="n">
        <f aca="false">Assumptions!$B$52*Assumptions!$B$53*Assumptions!$B$34*(Monthly_PL!$G$4-0)</f>
        <v>790500</v>
      </c>
      <c r="F5" s="30" t="n">
        <f aca="false">B5+C5+D5+E5</f>
        <v>-487743.2</v>
      </c>
      <c r="G5" s="30" t="n">
        <f aca="false">G4+F5</f>
        <v>-12873743.2</v>
      </c>
      <c r="H5" s="30" t="n">
        <f aca="false">SUM($B$5:B5)</f>
        <v>-1278243.2</v>
      </c>
      <c r="I5" s="30" t="n">
        <f aca="false">IF(H5&gt;=CAPEX!$B$21,A5,9999)</f>
        <v>9999</v>
      </c>
    </row>
    <row r="6" customFormat="false" ht="15" hidden="false" customHeight="false" outlineLevel="0" collapsed="false">
      <c r="A6" s="31" t="n">
        <v>2</v>
      </c>
      <c r="B6" s="8" t="n">
        <f aca="false">Monthly_PL!$Y5+Monthly_PL!$U5</f>
        <v>-1227423.5</v>
      </c>
      <c r="C6" s="8" t="n">
        <f aca="false">IF(A6=Assumptions!$B$56,-Assumptions!$B$55,0)</f>
        <v>0</v>
      </c>
      <c r="D6" s="30" t="n">
        <v>0</v>
      </c>
      <c r="E6" s="8" t="n">
        <f aca="false">Assumptions!$B$52*Assumptions!$B$53*Assumptions!$B$34*(Monthly_PL!$G$5-Monthly_PL!$G$4)</f>
        <v>51000</v>
      </c>
      <c r="F6" s="30" t="n">
        <f aca="false">B6+C6+D6+E6</f>
        <v>-1176423.5</v>
      </c>
      <c r="G6" s="30" t="n">
        <f aca="false">G5+F6</f>
        <v>-14050166.7</v>
      </c>
      <c r="H6" s="30" t="n">
        <f aca="false">SUM($B$5:B6)</f>
        <v>-2505666.7</v>
      </c>
      <c r="I6" s="30" t="n">
        <f aca="false">IF(H6&gt;=CAPEX!$B$21,A6,9999)</f>
        <v>9999</v>
      </c>
    </row>
    <row r="7" customFormat="false" ht="15" hidden="false" customHeight="false" outlineLevel="0" collapsed="false">
      <c r="A7" s="31" t="n">
        <v>3</v>
      </c>
      <c r="B7" s="8" t="n">
        <f aca="false">Monthly_PL!$Y6+Monthly_PL!$U6</f>
        <v>-1157114.7</v>
      </c>
      <c r="C7" s="8" t="n">
        <f aca="false">IF(A7=Assumptions!$B$56,-Assumptions!$B$55,0)</f>
        <v>0</v>
      </c>
      <c r="D7" s="30" t="n">
        <v>0</v>
      </c>
      <c r="E7" s="8" t="n">
        <f aca="false">Assumptions!$B$52*Assumptions!$B$53*Assumptions!$B$34*(Monthly_PL!$G$6-Monthly_PL!$G$5)</f>
        <v>76500</v>
      </c>
      <c r="F7" s="30" t="n">
        <f aca="false">B7+C7+D7+E7</f>
        <v>-1080614.7</v>
      </c>
      <c r="G7" s="30" t="n">
        <f aca="false">G6+F7</f>
        <v>-15130781.4</v>
      </c>
      <c r="H7" s="30" t="n">
        <f aca="false">SUM($B$5:B7)</f>
        <v>-3662781.4</v>
      </c>
      <c r="I7" s="30" t="n">
        <f aca="false">IF(H7&gt;=CAPEX!$B$21,A7,9999)</f>
        <v>9999</v>
      </c>
    </row>
    <row r="8" customFormat="false" ht="15" hidden="false" customHeight="false" outlineLevel="0" collapsed="false">
      <c r="A8" s="31" t="n">
        <v>4</v>
      </c>
      <c r="B8" s="8" t="n">
        <f aca="false">Monthly_PL!$Y7+Monthly_PL!$U7</f>
        <v>-960267.4</v>
      </c>
      <c r="C8" s="8" t="n">
        <f aca="false">IF(A8=Assumptions!$B$56,-Assumptions!$B$55,0)</f>
        <v>0</v>
      </c>
      <c r="D8" s="30" t="n">
        <v>0</v>
      </c>
      <c r="E8" s="8" t="n">
        <f aca="false">Assumptions!$B$52*Assumptions!$B$53*Assumptions!$B$34*(Monthly_PL!$G$7-Monthly_PL!$G$6)</f>
        <v>127500</v>
      </c>
      <c r="F8" s="30" t="n">
        <f aca="false">B8+C8+D8+E8</f>
        <v>-832767.4</v>
      </c>
      <c r="G8" s="30" t="n">
        <f aca="false">G7+F8</f>
        <v>-15963548.8</v>
      </c>
      <c r="H8" s="30" t="n">
        <f aca="false">SUM($B$5:B8)</f>
        <v>-4623048.8</v>
      </c>
      <c r="I8" s="30" t="n">
        <f aca="false">IF(H8&gt;=CAPEX!$B$21,A8,9999)</f>
        <v>9999</v>
      </c>
    </row>
    <row r="9" customFormat="false" ht="15" hidden="false" customHeight="false" outlineLevel="0" collapsed="false">
      <c r="A9" s="31" t="n">
        <v>5</v>
      </c>
      <c r="B9" s="8" t="n">
        <f aca="false">Monthly_PL!$Y8+Monthly_PL!$U8</f>
        <v>-840053.7</v>
      </c>
      <c r="C9" s="8" t="n">
        <f aca="false">IF(A9=Assumptions!$B$56,-Assumptions!$B$55,0)</f>
        <v>0</v>
      </c>
      <c r="D9" s="30" t="n">
        <v>0</v>
      </c>
      <c r="E9" s="8" t="n">
        <f aca="false">Assumptions!$B$52*Assumptions!$B$53*Assumptions!$B$34*(Monthly_PL!$G$8-Monthly_PL!$G$7)</f>
        <v>127500</v>
      </c>
      <c r="F9" s="30" t="n">
        <f aca="false">B9+C9+D9+E9</f>
        <v>-712553.7</v>
      </c>
      <c r="G9" s="30" t="n">
        <f aca="false">G8+F9</f>
        <v>-16676102.5</v>
      </c>
      <c r="H9" s="30" t="n">
        <f aca="false">SUM($B$5:B9)</f>
        <v>-5463102.5</v>
      </c>
      <c r="I9" s="30" t="n">
        <f aca="false">IF(H9&gt;=CAPEX!$B$21,A9,9999)</f>
        <v>9999</v>
      </c>
    </row>
    <row r="10" customFormat="false" ht="15" hidden="false" customHeight="false" outlineLevel="0" collapsed="false">
      <c r="A10" s="31" t="n">
        <v>6</v>
      </c>
      <c r="B10" s="8" t="n">
        <f aca="false">Monthly_PL!$Y9+Monthly_PL!$U9</f>
        <v>-688509.4</v>
      </c>
      <c r="C10" s="8" t="n">
        <f aca="false">IF(A10=Assumptions!$B$56,-Assumptions!$B$55,0)</f>
        <v>-500000</v>
      </c>
      <c r="D10" s="30" t="n">
        <v>0</v>
      </c>
      <c r="E10" s="8" t="n">
        <f aca="false">Assumptions!$B$52*Assumptions!$B$53*Assumptions!$B$34*(Monthly_PL!$G$9-Monthly_PL!$G$8)</f>
        <v>178500</v>
      </c>
      <c r="F10" s="30" t="n">
        <f aca="false">B10+C10+D10+E10</f>
        <v>-1010009.4</v>
      </c>
      <c r="G10" s="30" t="n">
        <f aca="false">G9+F10</f>
        <v>-17686111.9</v>
      </c>
      <c r="H10" s="30" t="n">
        <f aca="false">SUM($B$5:B10)</f>
        <v>-6151611.9</v>
      </c>
      <c r="I10" s="30" t="n">
        <f aca="false">IF(H10&gt;=CAPEX!$B$21,A10,9999)</f>
        <v>9999</v>
      </c>
    </row>
    <row r="11" customFormat="false" ht="15" hidden="false" customHeight="false" outlineLevel="0" collapsed="false">
      <c r="A11" s="31" t="n">
        <v>7</v>
      </c>
      <c r="B11" s="8" t="n">
        <f aca="false">Monthly_PL!$Y10+Monthly_PL!$U10</f>
        <v>-567069.9</v>
      </c>
      <c r="C11" s="8" t="n">
        <f aca="false">IF(A11=Assumptions!$B$56,-Assumptions!$B$55,0)</f>
        <v>0</v>
      </c>
      <c r="D11" s="30" t="n">
        <v>0</v>
      </c>
      <c r="E11" s="8" t="n">
        <f aca="false">Assumptions!$B$52*Assumptions!$B$53*Assumptions!$B$34*(Monthly_PL!$G$10-Monthly_PL!$G$9)</f>
        <v>178500</v>
      </c>
      <c r="F11" s="30" t="n">
        <f aca="false">B11+C11+D11+E11</f>
        <v>-388569.9</v>
      </c>
      <c r="G11" s="30" t="n">
        <f aca="false">G10+F11</f>
        <v>-18074681.8</v>
      </c>
      <c r="H11" s="30" t="n">
        <f aca="false">SUM($B$5:B11)</f>
        <v>-6718681.8</v>
      </c>
      <c r="I11" s="30" t="n">
        <f aca="false">IF(H11&gt;=CAPEX!$B$21,A11,9999)</f>
        <v>9999</v>
      </c>
    </row>
    <row r="12" customFormat="false" ht="15" hidden="false" customHeight="false" outlineLevel="0" collapsed="false">
      <c r="A12" s="31" t="n">
        <v>8</v>
      </c>
      <c r="B12" s="8" t="n">
        <f aca="false">Monthly_PL!$Y11+Monthly_PL!$U11</f>
        <v>-445630.4</v>
      </c>
      <c r="C12" s="8" t="n">
        <f aca="false">IF(A12=Assumptions!$B$56,-Assumptions!$B$55,0)</f>
        <v>0</v>
      </c>
      <c r="D12" s="30" t="n">
        <v>0</v>
      </c>
      <c r="E12" s="8" t="n">
        <f aca="false">Assumptions!$B$52*Assumptions!$B$53*Assumptions!$B$34*(Monthly_PL!$G$11-Monthly_PL!$G$10)</f>
        <v>178500</v>
      </c>
      <c r="F12" s="30" t="n">
        <f aca="false">B12+C12+D12+E12</f>
        <v>-267130.4</v>
      </c>
      <c r="G12" s="30" t="n">
        <f aca="false">G11+F12</f>
        <v>-18341812.2</v>
      </c>
      <c r="H12" s="30" t="n">
        <f aca="false">SUM($B$5:B12)</f>
        <v>-7164312.2</v>
      </c>
      <c r="I12" s="30" t="n">
        <f aca="false">IF(H12&gt;=CAPEX!$B$21,A12,9999)</f>
        <v>9999</v>
      </c>
    </row>
    <row r="13" customFormat="false" ht="15" hidden="false" customHeight="false" outlineLevel="0" collapsed="false">
      <c r="A13" s="31" t="n">
        <v>9</v>
      </c>
      <c r="B13" s="8" t="n">
        <f aca="false">Monthly_PL!$Y12+Monthly_PL!$U12</f>
        <v>-324190.9</v>
      </c>
      <c r="C13" s="8" t="n">
        <f aca="false">IF(A13=Assumptions!$B$56,-Assumptions!$B$55,0)</f>
        <v>0</v>
      </c>
      <c r="D13" s="30" t="n">
        <v>0</v>
      </c>
      <c r="E13" s="8" t="n">
        <f aca="false">Assumptions!$B$52*Assumptions!$B$53*Assumptions!$B$34*(Monthly_PL!$G$12-Monthly_PL!$G$11)</f>
        <v>153000</v>
      </c>
      <c r="F13" s="30" t="n">
        <f aca="false">B13+C13+D13+E13</f>
        <v>-171190.9</v>
      </c>
      <c r="G13" s="30" t="n">
        <f aca="false">G12+F13</f>
        <v>-18513003.1</v>
      </c>
      <c r="H13" s="30" t="n">
        <f aca="false">SUM($B$5:B13)</f>
        <v>-7488503.1</v>
      </c>
      <c r="I13" s="30" t="n">
        <f aca="false">IF(H13&gt;=CAPEX!$B$21,A13,9999)</f>
        <v>9999</v>
      </c>
    </row>
    <row r="14" customFormat="false" ht="15" hidden="false" customHeight="false" outlineLevel="0" collapsed="false">
      <c r="A14" s="31" t="n">
        <v>10</v>
      </c>
      <c r="B14" s="8" t="n">
        <f aca="false">Monthly_PL!$Y13+Monthly_PL!$U13</f>
        <v>-220099.9</v>
      </c>
      <c r="C14" s="8" t="n">
        <f aca="false">IF(A14=Assumptions!$B$56,-Assumptions!$B$55,0)</f>
        <v>0</v>
      </c>
      <c r="D14" s="30" t="n">
        <v>0</v>
      </c>
      <c r="E14" s="8" t="n">
        <f aca="false">Assumptions!$B$52*Assumptions!$B$53*Assumptions!$B$34*(Monthly_PL!$G$13-Monthly_PL!$G$12)</f>
        <v>153000</v>
      </c>
      <c r="F14" s="30" t="n">
        <f aca="false">B14+C14+D14+E14</f>
        <v>-67099.8999999999</v>
      </c>
      <c r="G14" s="30" t="n">
        <f aca="false">G13+F14</f>
        <v>-18580103</v>
      </c>
      <c r="H14" s="30" t="n">
        <f aca="false">SUM($B$5:B14)</f>
        <v>-7708603</v>
      </c>
      <c r="I14" s="30" t="n">
        <f aca="false">IF(H14&gt;=CAPEX!$B$21,A14,9999)</f>
        <v>9999</v>
      </c>
    </row>
    <row r="15" customFormat="false" ht="15" hidden="false" customHeight="false" outlineLevel="0" collapsed="false">
      <c r="A15" s="31" t="n">
        <v>11</v>
      </c>
      <c r="B15" s="8" t="n">
        <f aca="false">Monthly_PL!$Y14+Monthly_PL!$U14</f>
        <v>-116008.9</v>
      </c>
      <c r="C15" s="8" t="n">
        <f aca="false">IF(A15=Assumptions!$B$56,-Assumptions!$B$55,0)</f>
        <v>0</v>
      </c>
      <c r="D15" s="30" t="n">
        <v>0</v>
      </c>
      <c r="E15" s="8" t="n">
        <f aca="false">Assumptions!$B$52*Assumptions!$B$53*Assumptions!$B$34*(Monthly_PL!$G$14-Monthly_PL!$G$13)</f>
        <v>153000</v>
      </c>
      <c r="F15" s="30" t="n">
        <f aca="false">B15+C15+D15+E15</f>
        <v>36991.1000000001</v>
      </c>
      <c r="G15" s="30" t="n">
        <f aca="false">G14+F15</f>
        <v>-18543111.9</v>
      </c>
      <c r="H15" s="30" t="n">
        <f aca="false">SUM($B$5:B15)</f>
        <v>-7824611.9</v>
      </c>
      <c r="I15" s="30" t="n">
        <f aca="false">IF(H15&gt;=CAPEX!$B$21,A15,9999)</f>
        <v>9999</v>
      </c>
    </row>
    <row r="16" customFormat="false" ht="15" hidden="false" customHeight="false" outlineLevel="0" collapsed="false">
      <c r="A16" s="31" t="n">
        <v>12</v>
      </c>
      <c r="B16" s="8" t="n">
        <f aca="false">Monthly_PL!$Y15+Monthly_PL!$U15</f>
        <v>-11917.8999999999</v>
      </c>
      <c r="C16" s="8" t="n">
        <f aca="false">IF(A16=Assumptions!$B$56,-Assumptions!$B$55,0)</f>
        <v>0</v>
      </c>
      <c r="D16" s="30" t="n">
        <v>0</v>
      </c>
      <c r="E16" s="8" t="n">
        <f aca="false">Assumptions!$B$52*Assumptions!$B$53*Assumptions!$B$34*(Monthly_PL!$G$15-Monthly_PL!$G$14)</f>
        <v>153000</v>
      </c>
      <c r="F16" s="30" t="n">
        <f aca="false">B16+C16+D16+E16</f>
        <v>141082.1</v>
      </c>
      <c r="G16" s="30" t="n">
        <f aca="false">G15+F16</f>
        <v>-18402029.8</v>
      </c>
      <c r="H16" s="30" t="n">
        <f aca="false">SUM($B$5:B16)</f>
        <v>-7836529.8</v>
      </c>
      <c r="I16" s="30" t="n">
        <f aca="false">IF(H16&gt;=CAPEX!$B$21,A16,9999)</f>
        <v>9999</v>
      </c>
    </row>
    <row r="17" customFormat="false" ht="15" hidden="false" customHeight="false" outlineLevel="0" collapsed="false">
      <c r="A17" s="31" t="n">
        <v>13</v>
      </c>
      <c r="B17" s="8" t="n">
        <f aca="false">Monthly_PL!$Y16+Monthly_PL!$U16</f>
        <v>192586.7</v>
      </c>
      <c r="C17" s="8" t="n">
        <f aca="false">IF(A17=Assumptions!$B$56,-Assumptions!$B$55,0)</f>
        <v>0</v>
      </c>
      <c r="D17" s="30" t="n">
        <v>0</v>
      </c>
      <c r="E17" s="8" t="n">
        <f aca="false">Assumptions!$B$52*Assumptions!$B$53*Assumptions!$B$34*(Monthly_PL!$G$16-Monthly_PL!$G$15)</f>
        <v>204000</v>
      </c>
      <c r="F17" s="30" t="n">
        <f aca="false">B17+C17+D17+E17</f>
        <v>396586.7</v>
      </c>
      <c r="G17" s="30" t="n">
        <f aca="false">G16+F17</f>
        <v>-18005443.1</v>
      </c>
      <c r="H17" s="30" t="n">
        <f aca="false">SUM($B$5:B17)</f>
        <v>-7643943.1</v>
      </c>
      <c r="I17" s="30" t="n">
        <f aca="false">IF(H17&gt;=CAPEX!$B$21,A17,9999)</f>
        <v>9999</v>
      </c>
    </row>
    <row r="18" customFormat="false" ht="15" hidden="false" customHeight="false" outlineLevel="0" collapsed="false">
      <c r="A18" s="31" t="n">
        <v>14</v>
      </c>
      <c r="B18" s="8" t="n">
        <f aca="false">Monthly_PL!$Y17+Monthly_PL!$U17</f>
        <v>323931.04</v>
      </c>
      <c r="C18" s="8" t="n">
        <f aca="false">IF(A18=Assumptions!$B$56,-Assumptions!$B$55,0)</f>
        <v>0</v>
      </c>
      <c r="D18" s="30" t="n">
        <v>0</v>
      </c>
      <c r="E18" s="8" t="n">
        <f aca="false">Assumptions!$B$52*Assumptions!$B$53*Assumptions!$B$34*(Monthly_PL!$G$17-Monthly_PL!$G$16)</f>
        <v>204000</v>
      </c>
      <c r="F18" s="30" t="n">
        <f aca="false">B18+C18+D18+E18</f>
        <v>527931.04</v>
      </c>
      <c r="G18" s="30" t="n">
        <f aca="false">G17+F18</f>
        <v>-17477512.06</v>
      </c>
      <c r="H18" s="30" t="n">
        <f aca="false">SUM($B$5:B18)</f>
        <v>-7320012.06</v>
      </c>
      <c r="I18" s="30" t="n">
        <f aca="false">IF(H18&gt;=CAPEX!$B$21,A18,9999)</f>
        <v>9999</v>
      </c>
    </row>
    <row r="19" customFormat="false" ht="15" hidden="false" customHeight="false" outlineLevel="0" collapsed="false">
      <c r="A19" s="31" t="n">
        <v>15</v>
      </c>
      <c r="B19" s="8" t="n">
        <f aca="false">Monthly_PL!$Y18+Monthly_PL!$U18</f>
        <v>421082.64</v>
      </c>
      <c r="C19" s="8" t="n">
        <f aca="false">IF(A19=Assumptions!$B$56,-Assumptions!$B$55,0)</f>
        <v>0</v>
      </c>
      <c r="D19" s="30" t="n">
        <v>0</v>
      </c>
      <c r="E19" s="8" t="n">
        <f aca="false">Assumptions!$B$52*Assumptions!$B$53*Assumptions!$B$34*(Monthly_PL!$G$18-Monthly_PL!$G$17)</f>
        <v>204000</v>
      </c>
      <c r="F19" s="30" t="n">
        <f aca="false">B19+C19+D19+E19</f>
        <v>625082.64</v>
      </c>
      <c r="G19" s="30" t="n">
        <f aca="false">G18+F19</f>
        <v>-16852429.42</v>
      </c>
      <c r="H19" s="30" t="n">
        <f aca="false">SUM($B$5:B19)</f>
        <v>-6898929.42</v>
      </c>
      <c r="I19" s="30" t="n">
        <f aca="false">IF(H19&gt;=CAPEX!$B$21,A19,9999)</f>
        <v>9999</v>
      </c>
    </row>
    <row r="20" customFormat="false" ht="15" hidden="false" customHeight="false" outlineLevel="0" collapsed="false">
      <c r="A20" s="31" t="n">
        <v>16</v>
      </c>
      <c r="B20" s="8" t="n">
        <f aca="false">Monthly_PL!$Y19+Monthly_PL!$U19</f>
        <v>518234.24</v>
      </c>
      <c r="C20" s="8" t="n">
        <f aca="false">IF(A20=Assumptions!$B$56,-Assumptions!$B$55,0)</f>
        <v>0</v>
      </c>
      <c r="D20" s="30" t="n">
        <v>0</v>
      </c>
      <c r="E20" s="8" t="n">
        <f aca="false">Assumptions!$B$52*Assumptions!$B$53*Assumptions!$B$34*(Monthly_PL!$G$19-Monthly_PL!$G$18)</f>
        <v>178500</v>
      </c>
      <c r="F20" s="30" t="n">
        <f aca="false">B20+C20+D20+E20</f>
        <v>696734.24</v>
      </c>
      <c r="G20" s="30" t="n">
        <f aca="false">G19+F20</f>
        <v>-16155695.18</v>
      </c>
      <c r="H20" s="30" t="n">
        <f aca="false">SUM($B$5:B20)</f>
        <v>-6380695.18</v>
      </c>
      <c r="I20" s="30" t="n">
        <f aca="false">IF(H20&gt;=CAPEX!$B$21,A20,9999)</f>
        <v>9999</v>
      </c>
    </row>
    <row r="21" customFormat="false" ht="15" hidden="false" customHeight="false" outlineLevel="0" collapsed="false">
      <c r="A21" s="31" t="n">
        <v>17</v>
      </c>
      <c r="B21" s="8" t="n">
        <f aca="false">Monthly_PL!$Y20+Monthly_PL!$U20</f>
        <v>603241.89</v>
      </c>
      <c r="C21" s="8" t="n">
        <f aca="false">IF(A21=Assumptions!$B$56,-Assumptions!$B$55,0)</f>
        <v>0</v>
      </c>
      <c r="D21" s="30" t="n">
        <v>0</v>
      </c>
      <c r="E21" s="8" t="n">
        <f aca="false">Assumptions!$B$52*Assumptions!$B$53*Assumptions!$B$34*(Monthly_PL!$G$20-Monthly_PL!$G$19)</f>
        <v>178500</v>
      </c>
      <c r="F21" s="30" t="n">
        <f aca="false">B21+C21+D21+E21</f>
        <v>781741.89</v>
      </c>
      <c r="G21" s="30" t="n">
        <f aca="false">G20+F21</f>
        <v>-15373953.29</v>
      </c>
      <c r="H21" s="30" t="n">
        <f aca="false">SUM($B$5:B21)</f>
        <v>-5777453.29</v>
      </c>
      <c r="I21" s="30" t="n">
        <f aca="false">IF(H21&gt;=CAPEX!$B$21,A21,9999)</f>
        <v>9999</v>
      </c>
    </row>
    <row r="22" customFormat="false" ht="15" hidden="false" customHeight="false" outlineLevel="0" collapsed="false">
      <c r="A22" s="31" t="n">
        <v>18</v>
      </c>
      <c r="B22" s="8" t="n">
        <f aca="false">Monthly_PL!$Y21+Monthly_PL!$U21</f>
        <v>688249.54</v>
      </c>
      <c r="C22" s="8" t="n">
        <f aca="false">IF(A22=Assumptions!$B$56,-Assumptions!$B$55,0)</f>
        <v>0</v>
      </c>
      <c r="D22" s="30" t="n">
        <v>0</v>
      </c>
      <c r="E22" s="8" t="n">
        <f aca="false">Assumptions!$B$52*Assumptions!$B$53*Assumptions!$B$34*(Monthly_PL!$G$21-Monthly_PL!$G$20)</f>
        <v>178500</v>
      </c>
      <c r="F22" s="30" t="n">
        <f aca="false">B22+C22+D22+E22</f>
        <v>866749.54</v>
      </c>
      <c r="G22" s="30" t="n">
        <f aca="false">G21+F22</f>
        <v>-14507203.75</v>
      </c>
      <c r="H22" s="30" t="n">
        <f aca="false">SUM($B$5:B22)</f>
        <v>-5089203.75</v>
      </c>
      <c r="I22" s="30" t="n">
        <f aca="false">IF(H22&gt;=CAPEX!$B$21,A22,9999)</f>
        <v>9999</v>
      </c>
    </row>
    <row r="23" customFormat="false" ht="15" hidden="false" customHeight="false" outlineLevel="0" collapsed="false">
      <c r="A23" s="31" t="n">
        <v>19</v>
      </c>
      <c r="B23" s="8" t="n">
        <f aca="false">Monthly_PL!$Y22+Monthly_PL!$U22</f>
        <v>773257.19</v>
      </c>
      <c r="C23" s="8" t="n">
        <f aca="false">IF(A23=Assumptions!$B$56,-Assumptions!$B$55,0)</f>
        <v>0</v>
      </c>
      <c r="D23" s="30" t="n">
        <v>0</v>
      </c>
      <c r="E23" s="8" t="n">
        <f aca="false">Assumptions!$B$52*Assumptions!$B$53*Assumptions!$B$34*(Monthly_PL!$G$22-Monthly_PL!$G$21)</f>
        <v>178500</v>
      </c>
      <c r="F23" s="30" t="n">
        <f aca="false">B23+C23+D23+E23</f>
        <v>951757.19</v>
      </c>
      <c r="G23" s="30" t="n">
        <f aca="false">G22+F23</f>
        <v>-13555446.56</v>
      </c>
      <c r="H23" s="30" t="n">
        <f aca="false">SUM($B$5:B23)</f>
        <v>-4315946.56</v>
      </c>
      <c r="I23" s="30" t="n">
        <f aca="false">IF(H23&gt;=CAPEX!$B$21,A23,9999)</f>
        <v>9999</v>
      </c>
    </row>
    <row r="24" customFormat="false" ht="15" hidden="false" customHeight="false" outlineLevel="0" collapsed="false">
      <c r="A24" s="31" t="n">
        <v>20</v>
      </c>
      <c r="B24" s="8" t="n">
        <f aca="false">Monthly_PL!$Y23+Monthly_PL!$U23</f>
        <v>858264.84</v>
      </c>
      <c r="C24" s="8" t="n">
        <f aca="false">IF(A24=Assumptions!$B$56,-Assumptions!$B$55,0)</f>
        <v>0</v>
      </c>
      <c r="D24" s="30" t="n">
        <v>0</v>
      </c>
      <c r="E24" s="8" t="n">
        <f aca="false">Assumptions!$B$52*Assumptions!$B$53*Assumptions!$B$34*(Monthly_PL!$G$23-Monthly_PL!$G$22)</f>
        <v>153000</v>
      </c>
      <c r="F24" s="30" t="n">
        <f aca="false">B24+C24+D24+E24</f>
        <v>1011264.84</v>
      </c>
      <c r="G24" s="30" t="n">
        <f aca="false">G23+F24</f>
        <v>-12544181.72</v>
      </c>
      <c r="H24" s="30" t="n">
        <f aca="false">SUM($B$5:B24)</f>
        <v>-3457681.72</v>
      </c>
      <c r="I24" s="30" t="n">
        <f aca="false">IF(H24&gt;=CAPEX!$B$21,A24,9999)</f>
        <v>9999</v>
      </c>
    </row>
    <row r="25" customFormat="false" ht="15" hidden="false" customHeight="false" outlineLevel="0" collapsed="false">
      <c r="A25" s="31" t="n">
        <v>21</v>
      </c>
      <c r="B25" s="8" t="n">
        <f aca="false">Monthly_PL!$Y24+Monthly_PL!$U24</f>
        <v>931128.54</v>
      </c>
      <c r="C25" s="8" t="n">
        <f aca="false">IF(A25=Assumptions!$B$56,-Assumptions!$B$55,0)</f>
        <v>0</v>
      </c>
      <c r="D25" s="30" t="n">
        <v>0</v>
      </c>
      <c r="E25" s="8" t="n">
        <f aca="false">Assumptions!$B$52*Assumptions!$B$53*Assumptions!$B$34*(Monthly_PL!$G$24-Monthly_PL!$G$23)</f>
        <v>153000</v>
      </c>
      <c r="F25" s="30" t="n">
        <f aca="false">B25+C25+D25+E25</f>
        <v>1084128.54</v>
      </c>
      <c r="G25" s="30" t="n">
        <f aca="false">G24+F25</f>
        <v>-11460053.18</v>
      </c>
      <c r="H25" s="30" t="n">
        <f aca="false">SUM($B$5:B25)</f>
        <v>-2526553.18</v>
      </c>
      <c r="I25" s="30" t="n">
        <f aca="false">IF(H25&gt;=CAPEX!$B$21,A25,9999)</f>
        <v>9999</v>
      </c>
    </row>
    <row r="26" customFormat="false" ht="15" hidden="false" customHeight="false" outlineLevel="0" collapsed="false">
      <c r="A26" s="31" t="n">
        <v>22</v>
      </c>
      <c r="B26" s="8" t="n">
        <f aca="false">Monthly_PL!$Y25+Monthly_PL!$U25</f>
        <v>1003992.24</v>
      </c>
      <c r="C26" s="8" t="n">
        <f aca="false">IF(A26=Assumptions!$B$56,-Assumptions!$B$55,0)</f>
        <v>0</v>
      </c>
      <c r="D26" s="30" t="n">
        <v>0</v>
      </c>
      <c r="E26" s="8" t="n">
        <f aca="false">Assumptions!$B$52*Assumptions!$B$53*Assumptions!$B$34*(Monthly_PL!$G$25-Monthly_PL!$G$24)</f>
        <v>153000</v>
      </c>
      <c r="F26" s="30" t="n">
        <f aca="false">B26+C26+D26+E26</f>
        <v>1156992.24</v>
      </c>
      <c r="G26" s="30" t="n">
        <f aca="false">G25+F26</f>
        <v>-10303060.94</v>
      </c>
      <c r="H26" s="30" t="n">
        <f aca="false">SUM($B$5:B26)</f>
        <v>-1522560.94</v>
      </c>
      <c r="I26" s="30" t="n">
        <f aca="false">IF(H26&gt;=CAPEX!$B$21,A26,9999)</f>
        <v>9999</v>
      </c>
    </row>
    <row r="27" customFormat="false" ht="15" hidden="false" customHeight="false" outlineLevel="0" collapsed="false">
      <c r="A27" s="31" t="n">
        <v>23</v>
      </c>
      <c r="B27" s="8" t="n">
        <f aca="false">Monthly_PL!$Y26+Monthly_PL!$U26</f>
        <v>1076855.94</v>
      </c>
      <c r="C27" s="8" t="n">
        <f aca="false">IF(A27=Assumptions!$B$56,-Assumptions!$B$55,0)</f>
        <v>0</v>
      </c>
      <c r="D27" s="30" t="n">
        <v>0</v>
      </c>
      <c r="E27" s="8" t="n">
        <f aca="false">Assumptions!$B$52*Assumptions!$B$53*Assumptions!$B$34*(Monthly_PL!$G$26-Monthly_PL!$G$25)</f>
        <v>153000</v>
      </c>
      <c r="F27" s="30" t="n">
        <f aca="false">B27+C27+D27+E27</f>
        <v>1229855.94</v>
      </c>
      <c r="G27" s="30" t="n">
        <f aca="false">G26+F27</f>
        <v>-9073204.99999999</v>
      </c>
      <c r="H27" s="30" t="n">
        <f aca="false">SUM($B$5:B27)</f>
        <v>-445704.999999998</v>
      </c>
      <c r="I27" s="30" t="n">
        <f aca="false">IF(H27&gt;=CAPEX!$B$21,A27,9999)</f>
        <v>9999</v>
      </c>
    </row>
    <row r="28" customFormat="false" ht="15" hidden="false" customHeight="false" outlineLevel="0" collapsed="false">
      <c r="A28" s="31" t="n">
        <v>24</v>
      </c>
      <c r="B28" s="8" t="n">
        <f aca="false">Monthly_PL!$Y27+Monthly_PL!$U27</f>
        <v>1149719.64</v>
      </c>
      <c r="C28" s="8" t="n">
        <f aca="false">IF(A28=Assumptions!$B$56,-Assumptions!$B$55,0)</f>
        <v>0</v>
      </c>
      <c r="D28" s="30" t="n">
        <v>0</v>
      </c>
      <c r="E28" s="8" t="n">
        <f aca="false">Assumptions!$B$52*Assumptions!$B$53*Assumptions!$B$34*(Monthly_PL!$G$27-Monthly_PL!$G$26)</f>
        <v>127500</v>
      </c>
      <c r="F28" s="30" t="n">
        <f aca="false">B28+C28+D28+E28</f>
        <v>1277219.64</v>
      </c>
      <c r="G28" s="30" t="n">
        <f aca="false">G27+F28</f>
        <v>-7795985.35999999</v>
      </c>
      <c r="H28" s="30" t="n">
        <f aca="false">SUM($B$5:B28)</f>
        <v>704014.640000003</v>
      </c>
      <c r="I28" s="30" t="n">
        <f aca="false">IF(H28&gt;=CAPEX!$B$21,A28,9999)</f>
        <v>9999</v>
      </c>
    </row>
    <row r="29" customFormat="false" ht="15" hidden="false" customHeight="false" outlineLevel="0" collapsed="false">
      <c r="A29" s="31" t="n">
        <v>25</v>
      </c>
      <c r="B29" s="8" t="n">
        <f aca="false">Monthly_PL!$Y28+Monthly_PL!$U28</f>
        <v>1257299.07</v>
      </c>
      <c r="C29" s="8" t="n">
        <f aca="false">IF(A29=Assumptions!$B$56,-Assumptions!$B$55,0)</f>
        <v>0</v>
      </c>
      <c r="D29" s="30" t="n">
        <v>0</v>
      </c>
      <c r="E29" s="8" t="n">
        <f aca="false">Assumptions!$B$52*Assumptions!$B$53*Assumptions!$B$34*(Monthly_PL!$G$28-Monthly_PL!$G$27)</f>
        <v>178500</v>
      </c>
      <c r="F29" s="30" t="n">
        <f aca="false">B29+C29+D29+E29</f>
        <v>1435799.07</v>
      </c>
      <c r="G29" s="30" t="n">
        <f aca="false">G28+F29</f>
        <v>-6360186.28999999</v>
      </c>
      <c r="H29" s="30" t="n">
        <f aca="false">SUM($B$5:B29)</f>
        <v>1961313.71</v>
      </c>
      <c r="I29" s="30" t="n">
        <f aca="false">IF(H29&gt;=CAPEX!$B$21,A29,9999)</f>
        <v>9999</v>
      </c>
    </row>
    <row r="30" customFormat="false" ht="15" hidden="false" customHeight="false" outlineLevel="0" collapsed="false">
      <c r="A30" s="31" t="n">
        <v>26</v>
      </c>
      <c r="B30" s="8" t="n">
        <f aca="false">Monthly_PL!$Y29+Monthly_PL!$U29</f>
        <v>1219708.72</v>
      </c>
      <c r="C30" s="8" t="n">
        <f aca="false">IF(A30=Assumptions!$B$56,-Assumptions!$B$55,0)</f>
        <v>0</v>
      </c>
      <c r="D30" s="30" t="n">
        <v>0</v>
      </c>
      <c r="E30" s="8" t="n">
        <f aca="false">Assumptions!$B$52*Assumptions!$B$53*Assumptions!$B$34*(Monthly_PL!$G$29-Monthly_PL!$G$28)</f>
        <v>25500</v>
      </c>
      <c r="F30" s="30" t="n">
        <f aca="false">B30+C30+D30+E30</f>
        <v>1245208.72</v>
      </c>
      <c r="G30" s="30" t="n">
        <f aca="false">G29+F30</f>
        <v>-5114977.56999999</v>
      </c>
      <c r="H30" s="30" t="n">
        <f aca="false">SUM($B$5:B30)</f>
        <v>3181022.43</v>
      </c>
      <c r="I30" s="30" t="n">
        <f aca="false">IF(H30&gt;=CAPEX!$B$21,A30,9999)</f>
        <v>9999</v>
      </c>
    </row>
    <row r="31" customFormat="false" ht="15" hidden="false" customHeight="false" outlineLevel="0" collapsed="false">
      <c r="A31" s="31" t="n">
        <v>27</v>
      </c>
      <c r="B31" s="8" t="n">
        <f aca="false">Monthly_PL!$Y30+Monthly_PL!$U30</f>
        <v>1211419.67</v>
      </c>
      <c r="C31" s="8" t="n">
        <f aca="false">IF(A31=Assumptions!$B$56,-Assumptions!$B$55,0)</f>
        <v>0</v>
      </c>
      <c r="D31" s="30" t="n">
        <v>0</v>
      </c>
      <c r="E31" s="8" t="n">
        <f aca="false">Assumptions!$B$52*Assumptions!$B$53*Assumptions!$B$34*(Monthly_PL!$G$30-Monthly_PL!$G$29)</f>
        <v>0</v>
      </c>
      <c r="F31" s="30" t="n">
        <f aca="false">B31+C31+D31+E31</f>
        <v>1211419.67</v>
      </c>
      <c r="G31" s="30" t="n">
        <f aca="false">G30+F31</f>
        <v>-3903557.89999999</v>
      </c>
      <c r="H31" s="30" t="n">
        <f aca="false">SUM($B$5:B31)</f>
        <v>4392442.1</v>
      </c>
      <c r="I31" s="30" t="n">
        <f aca="false">IF(H31&gt;=CAPEX!$B$21,A31,9999)</f>
        <v>9999</v>
      </c>
    </row>
    <row r="32" customFormat="false" ht="15" hidden="false" customHeight="false" outlineLevel="0" collapsed="false">
      <c r="A32" s="31" t="n">
        <v>28</v>
      </c>
      <c r="B32" s="8" t="n">
        <f aca="false">Monthly_PL!$Y31+Monthly_PL!$U31</f>
        <v>1211419.67</v>
      </c>
      <c r="C32" s="8" t="n">
        <f aca="false">IF(A32=Assumptions!$B$56,-Assumptions!$B$55,0)</f>
        <v>0</v>
      </c>
      <c r="D32" s="30" t="n">
        <v>0</v>
      </c>
      <c r="E32" s="8" t="n">
        <f aca="false">Assumptions!$B$52*Assumptions!$B$53*Assumptions!$B$34*(Monthly_PL!$G$31-Monthly_PL!$G$30)</f>
        <v>0</v>
      </c>
      <c r="F32" s="30" t="n">
        <f aca="false">B32+C32+D32+E32</f>
        <v>1211419.67</v>
      </c>
      <c r="G32" s="30" t="n">
        <f aca="false">G31+F32</f>
        <v>-2692138.22999999</v>
      </c>
      <c r="H32" s="30" t="n">
        <f aca="false">SUM($B$5:B32)</f>
        <v>5603861.77</v>
      </c>
      <c r="I32" s="30" t="n">
        <f aca="false">IF(H32&gt;=CAPEX!$B$21,A32,9999)</f>
        <v>9999</v>
      </c>
    </row>
    <row r="33" customFormat="false" ht="15" hidden="false" customHeight="false" outlineLevel="0" collapsed="false">
      <c r="A33" s="31" t="n">
        <v>29</v>
      </c>
      <c r="B33" s="8" t="n">
        <f aca="false">Monthly_PL!$Y32+Monthly_PL!$U32</f>
        <v>1211419.67</v>
      </c>
      <c r="C33" s="8" t="n">
        <f aca="false">IF(A33=Assumptions!$B$56,-Assumptions!$B$55,0)</f>
        <v>0</v>
      </c>
      <c r="D33" s="30" t="n">
        <v>0</v>
      </c>
      <c r="E33" s="8" t="n">
        <f aca="false">Assumptions!$B$52*Assumptions!$B$53*Assumptions!$B$34*(Monthly_PL!$G$32-Monthly_PL!$G$31)</f>
        <v>0</v>
      </c>
      <c r="F33" s="30" t="n">
        <f aca="false">B33+C33+D33+E33</f>
        <v>1211419.67</v>
      </c>
      <c r="G33" s="30" t="n">
        <f aca="false">G32+F33</f>
        <v>-1480718.55999999</v>
      </c>
      <c r="H33" s="30" t="n">
        <f aca="false">SUM($B$5:B33)</f>
        <v>6815281.44</v>
      </c>
      <c r="I33" s="30" t="n">
        <f aca="false">IF(H33&gt;=CAPEX!$B$21,A33,9999)</f>
        <v>9999</v>
      </c>
    </row>
    <row r="34" customFormat="false" ht="15" hidden="false" customHeight="false" outlineLevel="0" collapsed="false">
      <c r="A34" s="31" t="n">
        <v>30</v>
      </c>
      <c r="B34" s="8" t="n">
        <f aca="false">Monthly_PL!$Y33+Monthly_PL!$U33</f>
        <v>1211419.67</v>
      </c>
      <c r="C34" s="8" t="n">
        <f aca="false">IF(A34=Assumptions!$B$56,-Assumptions!$B$55,0)</f>
        <v>0</v>
      </c>
      <c r="D34" s="30" t="n">
        <v>0</v>
      </c>
      <c r="E34" s="8" t="n">
        <f aca="false">Assumptions!$B$52*Assumptions!$B$53*Assumptions!$B$34*(Monthly_PL!$G$33-Monthly_PL!$G$32)</f>
        <v>0</v>
      </c>
      <c r="F34" s="30" t="n">
        <f aca="false">B34+C34+D34+E34</f>
        <v>1211419.67</v>
      </c>
      <c r="G34" s="30" t="n">
        <f aca="false">G33+F34</f>
        <v>-269298.889999987</v>
      </c>
      <c r="H34" s="30" t="n">
        <f aca="false">SUM($B$5:B34)</f>
        <v>8026701.11</v>
      </c>
      <c r="I34" s="30" t="n">
        <f aca="false">IF(H34&gt;=CAPEX!$B$21,A34,9999)</f>
        <v>9999</v>
      </c>
    </row>
    <row r="35" customFormat="false" ht="15" hidden="false" customHeight="false" outlineLevel="0" collapsed="false">
      <c r="A35" s="31" t="n">
        <v>31</v>
      </c>
      <c r="B35" s="8" t="n">
        <f aca="false">Monthly_PL!$Y34+Monthly_PL!$U34</f>
        <v>1211419.67</v>
      </c>
      <c r="C35" s="8" t="n">
        <f aca="false">IF(A35=Assumptions!$B$56,-Assumptions!$B$55,0)</f>
        <v>0</v>
      </c>
      <c r="D35" s="30" t="n">
        <v>0</v>
      </c>
      <c r="E35" s="8" t="n">
        <f aca="false">Assumptions!$B$52*Assumptions!$B$53*Assumptions!$B$34*(Monthly_PL!$G$34-Monthly_PL!$G$33)</f>
        <v>0</v>
      </c>
      <c r="F35" s="30" t="n">
        <f aca="false">B35+C35+D35+E35</f>
        <v>1211419.67</v>
      </c>
      <c r="G35" s="30" t="n">
        <f aca="false">G34+F35</f>
        <v>942120.780000013</v>
      </c>
      <c r="H35" s="30" t="n">
        <f aca="false">SUM($B$5:B35)</f>
        <v>9238120.78</v>
      </c>
      <c r="I35" s="30" t="n">
        <f aca="false">IF(H35&gt;=CAPEX!$B$21,A35,9999)</f>
        <v>9999</v>
      </c>
    </row>
    <row r="36" customFormat="false" ht="15" hidden="false" customHeight="false" outlineLevel="0" collapsed="false">
      <c r="A36" s="31" t="n">
        <v>32</v>
      </c>
      <c r="B36" s="8" t="n">
        <f aca="false">Monthly_PL!$Y35+Monthly_PL!$U35</f>
        <v>1211419.67</v>
      </c>
      <c r="C36" s="8" t="n">
        <f aca="false">IF(A36=Assumptions!$B$56,-Assumptions!$B$55,0)</f>
        <v>0</v>
      </c>
      <c r="D36" s="30" t="n">
        <v>0</v>
      </c>
      <c r="E36" s="8" t="n">
        <f aca="false">Assumptions!$B$52*Assumptions!$B$53*Assumptions!$B$34*(Monthly_PL!$G$35-Monthly_PL!$G$34)</f>
        <v>0</v>
      </c>
      <c r="F36" s="30" t="n">
        <f aca="false">B36+C36+D36+E36</f>
        <v>1211419.67</v>
      </c>
      <c r="G36" s="30" t="n">
        <f aca="false">G35+F36</f>
        <v>2153540.45000001</v>
      </c>
      <c r="H36" s="30" t="n">
        <f aca="false">SUM($B$5:B36)</f>
        <v>10449540.45</v>
      </c>
      <c r="I36" s="30" t="n">
        <f aca="false">IF(H36&gt;=CAPEX!$B$21,A36,9999)</f>
        <v>9999</v>
      </c>
    </row>
    <row r="37" customFormat="false" ht="15" hidden="false" customHeight="false" outlineLevel="0" collapsed="false">
      <c r="A37" s="31" t="n">
        <v>33</v>
      </c>
      <c r="B37" s="8" t="n">
        <f aca="false">Monthly_PL!$Y36+Monthly_PL!$U36</f>
        <v>1211419.67</v>
      </c>
      <c r="C37" s="8" t="n">
        <f aca="false">IF(A37=Assumptions!$B$56,-Assumptions!$B$55,0)</f>
        <v>0</v>
      </c>
      <c r="D37" s="30" t="n">
        <v>0</v>
      </c>
      <c r="E37" s="8" t="n">
        <f aca="false">Assumptions!$B$52*Assumptions!$B$53*Assumptions!$B$34*(Monthly_PL!$G$36-Monthly_PL!$G$35)</f>
        <v>0</v>
      </c>
      <c r="F37" s="30" t="n">
        <f aca="false">B37+C37+D37+E37</f>
        <v>1211419.67</v>
      </c>
      <c r="G37" s="30" t="n">
        <f aca="false">G36+F37</f>
        <v>3364960.12000001</v>
      </c>
      <c r="H37" s="30" t="n">
        <f aca="false">SUM($B$5:B37)</f>
        <v>11660960.12</v>
      </c>
      <c r="I37" s="30" t="n">
        <f aca="false">IF(H37&gt;=CAPEX!$B$21,A37,9999)</f>
        <v>9999</v>
      </c>
    </row>
    <row r="38" customFormat="false" ht="15" hidden="false" customHeight="false" outlineLevel="0" collapsed="false">
      <c r="A38" s="31" t="n">
        <v>34</v>
      </c>
      <c r="B38" s="8" t="n">
        <f aca="false">Monthly_PL!$Y37+Monthly_PL!$U37</f>
        <v>1211419.67</v>
      </c>
      <c r="C38" s="8" t="n">
        <f aca="false">IF(A38=Assumptions!$B$56,-Assumptions!$B$55,0)</f>
        <v>0</v>
      </c>
      <c r="D38" s="30" t="n">
        <v>0</v>
      </c>
      <c r="E38" s="8" t="n">
        <f aca="false">Assumptions!$B$52*Assumptions!$B$53*Assumptions!$B$34*(Monthly_PL!$G$37-Monthly_PL!$G$36)</f>
        <v>0</v>
      </c>
      <c r="F38" s="30" t="n">
        <f aca="false">B38+C38+D38+E38</f>
        <v>1211419.67</v>
      </c>
      <c r="G38" s="30" t="n">
        <f aca="false">G37+F38</f>
        <v>4576379.79000001</v>
      </c>
      <c r="H38" s="30" t="n">
        <f aca="false">SUM($B$5:B38)</f>
        <v>12872379.79</v>
      </c>
      <c r="I38" s="30" t="n">
        <f aca="false">IF(H38&gt;=CAPEX!$B$21,A38,9999)</f>
        <v>9999</v>
      </c>
    </row>
    <row r="39" customFormat="false" ht="15" hidden="false" customHeight="false" outlineLevel="0" collapsed="false">
      <c r="A39" s="31" t="n">
        <v>35</v>
      </c>
      <c r="B39" s="8" t="n">
        <f aca="false">Monthly_PL!$Y38+Monthly_PL!$U38</f>
        <v>1211419.67</v>
      </c>
      <c r="C39" s="8" t="n">
        <f aca="false">IF(A39=Assumptions!$B$56,-Assumptions!$B$55,0)</f>
        <v>0</v>
      </c>
      <c r="D39" s="30" t="n">
        <v>0</v>
      </c>
      <c r="E39" s="8" t="n">
        <f aca="false">Assumptions!$B$52*Assumptions!$B$53*Assumptions!$B$34*(Monthly_PL!$G$38-Monthly_PL!$G$37)</f>
        <v>0</v>
      </c>
      <c r="F39" s="30" t="n">
        <f aca="false">B39+C39+D39+E39</f>
        <v>1211419.67</v>
      </c>
      <c r="G39" s="30" t="n">
        <f aca="false">G38+F39</f>
        <v>5787799.46000001</v>
      </c>
      <c r="H39" s="30" t="n">
        <f aca="false">SUM($B$5:B39)</f>
        <v>14083799.46</v>
      </c>
      <c r="I39" s="30" t="n">
        <f aca="false">IF(H39&gt;=CAPEX!$B$21,A39,9999)</f>
        <v>9999</v>
      </c>
    </row>
    <row r="40" customFormat="false" ht="15" hidden="false" customHeight="false" outlineLevel="0" collapsed="false">
      <c r="A40" s="31" t="n">
        <v>36</v>
      </c>
      <c r="B40" s="8" t="n">
        <f aca="false">Monthly_PL!$Y39+Monthly_PL!$U39</f>
        <v>1211419.67</v>
      </c>
      <c r="C40" s="8" t="n">
        <f aca="false">IF(A40=Assumptions!$B$56,-Assumptions!$B$55,0)</f>
        <v>0</v>
      </c>
      <c r="D40" s="30" t="n">
        <v>0</v>
      </c>
      <c r="E40" s="8" t="n">
        <f aca="false">Assumptions!$B$52*Assumptions!$B$53*Assumptions!$B$34*(Monthly_PL!$G$39-Monthly_PL!$G$38)</f>
        <v>0</v>
      </c>
      <c r="F40" s="30" t="n">
        <f aca="false">B40+C40+D40+E40</f>
        <v>1211419.67</v>
      </c>
      <c r="G40" s="30" t="n">
        <f aca="false">G39+F40</f>
        <v>6999219.13000001</v>
      </c>
      <c r="H40" s="30" t="n">
        <f aca="false">SUM($B$5:B40)</f>
        <v>15295219.13</v>
      </c>
      <c r="I40" s="30" t="n">
        <f aca="false">IF(H40&gt;=CAPEX!$B$21,A40,9999)</f>
        <v>9999</v>
      </c>
    </row>
  </sheetData>
  <conditionalFormatting sqref="G5:G4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3" t="s">
        <v>189</v>
      </c>
    </row>
    <row r="2" customFormat="false" ht="17.15" hidden="false" customHeight="false" outlineLevel="0" collapsed="false">
      <c r="A2" s="6" t="s">
        <v>190</v>
      </c>
      <c r="B2" s="8" t="n">
        <f aca="false">Assumptions!$B$32+Assumptions!$B$42+Assumptions!$B$41+Assumptions!$B$49</f>
        <v>1783500</v>
      </c>
    </row>
    <row r="3" customFormat="false" ht="17.15" hidden="false" customHeight="false" outlineLevel="0" collapsed="false">
      <c r="A3" s="6" t="s">
        <v>41</v>
      </c>
      <c r="B3" s="8" t="n">
        <f aca="false">Assumptions!$B$34</f>
        <v>17000</v>
      </c>
    </row>
    <row r="4" customFormat="false" ht="17.15" hidden="false" customHeight="false" outlineLevel="0" collapsed="false">
      <c r="A4" s="6" t="s">
        <v>191</v>
      </c>
      <c r="B4" s="8" t="n">
        <f aca="false">Assumptions!$B$43</f>
        <v>2500</v>
      </c>
    </row>
    <row r="5" customFormat="false" ht="17.15" hidden="false" customHeight="false" outlineLevel="0" collapsed="false">
      <c r="A5" s="6" t="s">
        <v>67</v>
      </c>
      <c r="B5" s="22" t="n">
        <f aca="false">Assumptions!$B$10</f>
        <v>0.65</v>
      </c>
    </row>
    <row r="6" customFormat="false" ht="17.15" hidden="false" customHeight="false" outlineLevel="0" collapsed="false">
      <c r="A6" s="6" t="s">
        <v>192</v>
      </c>
      <c r="B6" s="22" t="n">
        <f aca="false">Assumptions!$B$11*Assumptions!$B$12</f>
        <v>0.027</v>
      </c>
    </row>
    <row r="7" customFormat="false" ht="17.15" hidden="false" customHeight="false" outlineLevel="0" collapsed="false">
      <c r="A7" s="6" t="s">
        <v>193</v>
      </c>
      <c r="B7" s="17" t="n">
        <f aca="false">B3*(1-B6)+B4*(1-B5)-B4*B6</f>
        <v>17348.5</v>
      </c>
    </row>
    <row r="8" customFormat="false" ht="17.15" hidden="false" customHeight="false" outlineLevel="0" collapsed="false">
      <c r="A8" s="6" t="s">
        <v>194</v>
      </c>
      <c r="B8" s="21" t="n">
        <f aca="false">ROUNDUP(B2/B7,0)</f>
        <v>103</v>
      </c>
    </row>
    <row r="9" customFormat="false" ht="17.15" hidden="false" customHeight="false" outlineLevel="0" collapsed="false">
      <c r="A9" s="6" t="s">
        <v>195</v>
      </c>
      <c r="B9" s="7" t="n">
        <f aca="false">Assumptions!$B$31</f>
        <v>180</v>
      </c>
    </row>
    <row r="10" customFormat="false" ht="17.15" hidden="false" customHeight="false" outlineLevel="0" collapsed="false">
      <c r="A10" s="6" t="s">
        <v>196</v>
      </c>
      <c r="B10" s="17" t="n">
        <f aca="false">B8*(B3+B4)</f>
        <v>2008500</v>
      </c>
    </row>
    <row r="11" customFormat="false" ht="17.15" hidden="false" customHeight="false" outlineLevel="0" collapsed="false">
      <c r="A11" s="6" t="s">
        <v>197</v>
      </c>
      <c r="B11" s="7" t="n">
        <f aca="false">Monthly_PL!$G$39</f>
        <v>180</v>
      </c>
    </row>
    <row r="12" customFormat="false" ht="17.15" hidden="false" customHeight="false" outlineLevel="0" collapsed="false">
      <c r="A12" s="24" t="s">
        <v>198</v>
      </c>
      <c r="B12" s="21" t="n">
        <f aca="false">ROUNDUP(B8*Assumptions!$B$36,0)</f>
        <v>5</v>
      </c>
    </row>
    <row r="13" customFormat="false" ht="17.15" hidden="false" customHeight="false" outlineLevel="0" collapsed="false">
      <c r="A13" s="6" t="s">
        <v>199</v>
      </c>
      <c r="B13" s="21" t="n">
        <f aca="false">ROUNDUP(B12/Assumptions!$B$35,0)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8"/>
  </cols>
  <sheetData>
    <row r="1" customFormat="false" ht="16.15" hidden="false" customHeight="false" outlineLevel="0" collapsed="false">
      <c r="A1" s="13" t="s">
        <v>200</v>
      </c>
    </row>
    <row r="2" customFormat="false" ht="15" hidden="false" customHeight="false" outlineLevel="0" collapsed="false">
      <c r="A2" s="4" t="s">
        <v>201</v>
      </c>
    </row>
    <row r="4" customFormat="false" ht="32.8" hidden="false" customHeight="false" outlineLevel="0" collapsed="false">
      <c r="A4" s="5" t="s">
        <v>202</v>
      </c>
      <c r="B4" s="8" t="n">
        <f aca="false">SUM(Monthly_PL!$V$28:$V$39)</f>
        <v>15589220.7</v>
      </c>
    </row>
    <row r="6" customFormat="false" ht="17.15" hidden="false" customHeight="false" outlineLevel="0" collapsed="false">
      <c r="A6" s="10" t="s">
        <v>203</v>
      </c>
      <c r="B6" s="10" t="s">
        <v>204</v>
      </c>
      <c r="C6" s="10" t="s">
        <v>205</v>
      </c>
    </row>
    <row r="7" customFormat="false" ht="17.15" hidden="false" customHeight="false" outlineLevel="0" collapsed="false">
      <c r="A7" s="27" t="s">
        <v>4</v>
      </c>
      <c r="B7" s="32" t="s">
        <v>206</v>
      </c>
      <c r="C7" s="8" t="n">
        <f aca="false">Assumptions!$B$7*BreakEven!$B$7*12</f>
        <v>9368190</v>
      </c>
    </row>
    <row r="8" customFormat="false" ht="15" hidden="false" customHeight="false" outlineLevel="0" collapsed="false">
      <c r="A8" s="27" t="s">
        <v>207</v>
      </c>
      <c r="B8" s="32" t="s">
        <v>208</v>
      </c>
      <c r="C8" s="8" t="n">
        <f aca="false">0.1*Monthly_PL!$G$39*BreakEven!$B$7*12</f>
        <v>3747276</v>
      </c>
    </row>
    <row r="9" customFormat="false" ht="17.15" hidden="false" customHeight="false" outlineLevel="0" collapsed="false">
      <c r="A9" s="27" t="s">
        <v>209</v>
      </c>
      <c r="B9" s="32" t="s">
        <v>210</v>
      </c>
      <c r="C9" s="8" t="n">
        <f aca="false">Monthly_PL!$G$39*1000*(1-Assumptions!$B$11*Assumptions!$B$12)*12</f>
        <v>2101680</v>
      </c>
    </row>
    <row r="10" customFormat="false" ht="15" hidden="false" customHeight="false" outlineLevel="0" collapsed="false">
      <c r="A10" s="27" t="s">
        <v>211</v>
      </c>
      <c r="B10" s="32" t="s">
        <v>212</v>
      </c>
      <c r="C10" s="8" t="n">
        <f aca="false">-Monthly_PL!$G$39*0.02*BreakEven!$B$7*12</f>
        <v>-749455.2</v>
      </c>
    </row>
    <row r="11" customFormat="false" ht="15" hidden="false" customHeight="false" outlineLevel="0" collapsed="false">
      <c r="A11" s="27" t="s">
        <v>134</v>
      </c>
      <c r="B11" s="32" t="s">
        <v>208</v>
      </c>
      <c r="C11" s="8" t="n">
        <f aca="false">-Assumptions!$B$42*0.1*12</f>
        <v>-1020000</v>
      </c>
    </row>
    <row r="12" customFormat="false" ht="15" hidden="false" customHeight="false" outlineLevel="0" collapsed="false">
      <c r="A12" s="27" t="s">
        <v>172</v>
      </c>
      <c r="B12" s="32" t="s">
        <v>208</v>
      </c>
      <c r="C12" s="8" t="n">
        <f aca="false">-Assumptions!$B$32*0.1*12</f>
        <v>-691200</v>
      </c>
    </row>
    <row r="13" customFormat="false" ht="17.15" hidden="false" customHeight="false" outlineLevel="0" collapsed="false">
      <c r="A13" s="27" t="s">
        <v>213</v>
      </c>
      <c r="B13" s="32" t="s">
        <v>214</v>
      </c>
      <c r="C13" s="8" t="n">
        <f aca="false">-Assumptions!$B$6*50000/(Assumptions!$B$13*12)*12</f>
        <v>-300000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3" t="s">
        <v>215</v>
      </c>
    </row>
    <row r="3" customFormat="false" ht="32.8" hidden="false" customHeight="false" outlineLevel="0" collapsed="false">
      <c r="A3" s="10" t="s">
        <v>216</v>
      </c>
      <c r="B3" s="10" t="s">
        <v>217</v>
      </c>
      <c r="C3" s="10" t="s">
        <v>218</v>
      </c>
      <c r="D3" s="10" t="s">
        <v>219</v>
      </c>
      <c r="E3" s="10" t="s">
        <v>220</v>
      </c>
    </row>
    <row r="4" customFormat="false" ht="32.8" hidden="false" customHeight="false" outlineLevel="0" collapsed="false">
      <c r="A4" s="33" t="s">
        <v>221</v>
      </c>
      <c r="B4" s="33" t="s">
        <v>222</v>
      </c>
      <c r="C4" s="33" t="s">
        <v>223</v>
      </c>
      <c r="D4" s="33" t="s">
        <v>223</v>
      </c>
      <c r="E4" s="33" t="s">
        <v>224</v>
      </c>
    </row>
    <row r="5" customFormat="false" ht="32.8" hidden="false" customHeight="false" outlineLevel="0" collapsed="false">
      <c r="A5" s="33" t="s">
        <v>225</v>
      </c>
      <c r="B5" s="33" t="s">
        <v>226</v>
      </c>
      <c r="C5" s="33" t="s">
        <v>223</v>
      </c>
      <c r="D5" s="33" t="s">
        <v>223</v>
      </c>
      <c r="E5" s="33" t="s">
        <v>227</v>
      </c>
    </row>
    <row r="6" customFormat="false" ht="28.35" hidden="false" customHeight="false" outlineLevel="0" collapsed="false">
      <c r="A6" s="33" t="s">
        <v>225</v>
      </c>
      <c r="B6" s="33" t="s">
        <v>228</v>
      </c>
      <c r="C6" s="33" t="s">
        <v>223</v>
      </c>
      <c r="D6" s="33" t="s">
        <v>229</v>
      </c>
      <c r="E6" s="33" t="s">
        <v>230</v>
      </c>
    </row>
    <row r="7" customFormat="false" ht="32.8" hidden="false" customHeight="false" outlineLevel="0" collapsed="false">
      <c r="A7" s="33" t="s">
        <v>231</v>
      </c>
      <c r="B7" s="33" t="s">
        <v>232</v>
      </c>
      <c r="C7" s="33" t="s">
        <v>223</v>
      </c>
      <c r="D7" s="33" t="s">
        <v>229</v>
      </c>
      <c r="E7" s="33" t="s">
        <v>233</v>
      </c>
    </row>
    <row r="8" customFormat="false" ht="32.8" hidden="false" customHeight="false" outlineLevel="0" collapsed="false">
      <c r="A8" s="33" t="s">
        <v>234</v>
      </c>
      <c r="B8" s="33" t="s">
        <v>235</v>
      </c>
      <c r="C8" s="33" t="s">
        <v>223</v>
      </c>
      <c r="D8" s="33" t="s">
        <v>229</v>
      </c>
      <c r="E8" s="33" t="s">
        <v>236</v>
      </c>
    </row>
    <row r="9" customFormat="false" ht="17.15" hidden="false" customHeight="false" outlineLevel="0" collapsed="false">
      <c r="A9" s="33" t="s">
        <v>237</v>
      </c>
      <c r="B9" s="33" t="s">
        <v>238</v>
      </c>
      <c r="C9" s="33" t="s">
        <v>229</v>
      </c>
      <c r="D9" s="33" t="s">
        <v>229</v>
      </c>
      <c r="E9" s="33" t="s">
        <v>239</v>
      </c>
    </row>
    <row r="10" customFormat="false" ht="17.15" hidden="false" customHeight="false" outlineLevel="0" collapsed="false">
      <c r="A10" s="33" t="s">
        <v>240</v>
      </c>
      <c r="B10" s="33" t="s">
        <v>241</v>
      </c>
      <c r="C10" s="33" t="s">
        <v>223</v>
      </c>
      <c r="D10" s="33" t="s">
        <v>229</v>
      </c>
      <c r="E10" s="33" t="s">
        <v>242</v>
      </c>
    </row>
    <row r="11" customFormat="false" ht="17.15" hidden="false" customHeight="false" outlineLevel="0" collapsed="false">
      <c r="A11" s="33" t="s">
        <v>243</v>
      </c>
      <c r="B11" s="33" t="s">
        <v>244</v>
      </c>
      <c r="C11" s="33" t="s">
        <v>229</v>
      </c>
      <c r="D11" s="33" t="s">
        <v>245</v>
      </c>
      <c r="E11" s="33" t="s">
        <v>246</v>
      </c>
    </row>
    <row r="12" customFormat="false" ht="17.15" hidden="false" customHeight="false" outlineLevel="0" collapsed="false">
      <c r="A12" s="33" t="s">
        <v>247</v>
      </c>
      <c r="B12" s="33" t="s">
        <v>248</v>
      </c>
      <c r="C12" s="33" t="s">
        <v>223</v>
      </c>
      <c r="D12" s="33" t="s">
        <v>229</v>
      </c>
      <c r="E12" s="34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2"/>
  </cols>
  <sheetData>
    <row r="1" customFormat="false" ht="16.15" hidden="false" customHeight="false" outlineLevel="0" collapsed="false">
      <c r="A1" s="13" t="s">
        <v>250</v>
      </c>
    </row>
    <row r="3" customFormat="false" ht="17.15" hidden="false" customHeight="false" outlineLevel="0" collapsed="false">
      <c r="A3" s="10" t="s">
        <v>251</v>
      </c>
      <c r="B3" s="10" t="s">
        <v>252</v>
      </c>
    </row>
    <row r="4" customFormat="false" ht="32.8" hidden="false" customHeight="false" outlineLevel="0" collapsed="false">
      <c r="A4" s="33" t="s">
        <v>253</v>
      </c>
      <c r="B4" s="33" t="s">
        <v>254</v>
      </c>
    </row>
    <row r="5" customFormat="false" ht="32.8" hidden="false" customHeight="false" outlineLevel="0" collapsed="false">
      <c r="A5" s="33" t="s">
        <v>255</v>
      </c>
      <c r="B5" s="33" t="s">
        <v>256</v>
      </c>
    </row>
    <row r="6" customFormat="false" ht="32.8" hidden="false" customHeight="false" outlineLevel="0" collapsed="false">
      <c r="A6" s="33" t="s">
        <v>257</v>
      </c>
      <c r="B6" s="34" t="s">
        <v>258</v>
      </c>
    </row>
    <row r="7" customFormat="false" ht="32.8" hidden="false" customHeight="false" outlineLevel="0" collapsed="false">
      <c r="A7" s="33" t="s">
        <v>259</v>
      </c>
      <c r="B7" s="33" t="s">
        <v>260</v>
      </c>
    </row>
    <row r="8" customFormat="false" ht="32.8" hidden="false" customHeight="false" outlineLevel="0" collapsed="false">
      <c r="A8" s="33" t="s">
        <v>261</v>
      </c>
      <c r="B8" s="33" t="s">
        <v>262</v>
      </c>
    </row>
    <row r="9" customFormat="false" ht="17.15" hidden="false" customHeight="false" outlineLevel="0" collapsed="false">
      <c r="A9" s="33" t="s">
        <v>263</v>
      </c>
      <c r="B9" s="34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2026-07-09T10:06:43Z</dcterms:created>
  <dc:creator>openpyxl</dc:creator>
  <dc:description/>
  <dc:language>en-US</dc:language>
  <cp:lastModifiedBy/>
  <dcterms:modified xsi:type="dcterms:W3CDTF">2026-07-09T10:06:43Z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