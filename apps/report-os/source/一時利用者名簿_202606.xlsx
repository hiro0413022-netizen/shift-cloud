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ro0\Downloads\"/>
    </mc:Choice>
  </mc:AlternateContent>
  <xr:revisionPtr revIDLastSave="0" documentId="13_ncr:8001_{8D113A61-F230-4CBC-9870-5A8FA12A8F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一時利用顧客名簿 " sheetId="15" r:id="rId1"/>
    <sheet name="Sheet1" sheetId="16" r:id="rId2"/>
    <sheet name="入会者" sheetId="12" r:id="rId3"/>
    <sheet name="退会者" sheetId="11" r:id="rId4"/>
    <sheet name="体験利用者数" sheetId="9" r:id="rId5"/>
    <sheet name="フィッティング者数" sheetId="10" r:id="rId6"/>
    <sheet name="月初報告" sheetId="13" r:id="rId7"/>
    <sheet name="月別会員数" sheetId="14" r:id="rId8"/>
    <sheet name="プロ紹介管理表" sheetId="2" state="hidden" r:id="rId9"/>
  </sheets>
  <definedNames>
    <definedName name="_xlnm._FilterDatabase" localSheetId="0" hidden="1">'一時利用顧客名簿 '!$A$1:$BE$2279</definedName>
    <definedName name="_xlnm.Print_Area" localSheetId="0">'一時利用顧客名簿 '!$A$2031:$T$2044</definedName>
    <definedName name="_xlnm.Print_Area" localSheetId="7">月別会員数!$A$1:$BP$49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0" l="1"/>
  <c r="L25" i="10"/>
  <c r="K25" i="10"/>
  <c r="J25" i="10"/>
  <c r="I25" i="10"/>
  <c r="H25" i="10"/>
  <c r="G25" i="10"/>
  <c r="F25" i="10"/>
  <c r="E25" i="10"/>
  <c r="D25" i="10"/>
  <c r="C25" i="10"/>
  <c r="B25" i="10"/>
  <c r="CM14" i="14"/>
  <c r="CN14" i="14"/>
  <c r="CO14" i="14"/>
  <c r="CP14" i="14"/>
  <c r="CQ14" i="14"/>
  <c r="CR14" i="14"/>
  <c r="CM15" i="14"/>
  <c r="CN15" i="14"/>
  <c r="CO15" i="14"/>
  <c r="CP15" i="14"/>
  <c r="CQ15" i="14"/>
  <c r="CR15" i="14"/>
  <c r="CM16" i="14"/>
  <c r="CN16" i="14"/>
  <c r="CO16" i="14"/>
  <c r="CP16" i="14"/>
  <c r="CQ16" i="14"/>
  <c r="CR16" i="14"/>
  <c r="CM17" i="14"/>
  <c r="CN17" i="14"/>
  <c r="CO17" i="14"/>
  <c r="CP17" i="14"/>
  <c r="CQ17" i="14"/>
  <c r="CR17" i="14"/>
  <c r="CM18" i="14"/>
  <c r="CN18" i="14"/>
  <c r="CO18" i="14"/>
  <c r="CP18" i="14"/>
  <c r="CQ18" i="14"/>
  <c r="CR18" i="14"/>
  <c r="CR19" i="14"/>
  <c r="CL33" i="14"/>
  <c r="CL34" i="14"/>
  <c r="CL35" i="14"/>
  <c r="CL36" i="14"/>
  <c r="CL37" i="14"/>
  <c r="O19" i="10"/>
  <c r="O18" i="10"/>
  <c r="M33" i="11"/>
  <c r="L33" i="11"/>
  <c r="K33" i="11"/>
  <c r="J33" i="11"/>
  <c r="I33" i="11"/>
  <c r="H33" i="11"/>
  <c r="G33" i="11"/>
  <c r="F33" i="11"/>
  <c r="E33" i="11"/>
  <c r="D33" i="11"/>
  <c r="C33" i="11"/>
  <c r="B33" i="11"/>
  <c r="M36" i="12"/>
  <c r="L36" i="12"/>
  <c r="K36" i="12"/>
  <c r="J36" i="12"/>
  <c r="I36" i="12"/>
  <c r="H36" i="12"/>
  <c r="G36" i="12"/>
  <c r="F36" i="12"/>
  <c r="E36" i="12"/>
  <c r="D36" i="12"/>
  <c r="C36" i="12"/>
  <c r="B36" i="12"/>
  <c r="CK34" i="14"/>
  <c r="CK35" i="14"/>
  <c r="CK36" i="14"/>
  <c r="CK37" i="14"/>
  <c r="CK33" i="14"/>
  <c r="CL15" i="14"/>
  <c r="CL16" i="14"/>
  <c r="CL17" i="14"/>
  <c r="CL18" i="14"/>
  <c r="CL14" i="14"/>
  <c r="CK15" i="14"/>
  <c r="CK16" i="14"/>
  <c r="CK17" i="14"/>
  <c r="CK18" i="14"/>
  <c r="CK14" i="14"/>
  <c r="CK5" i="14"/>
  <c r="CK6" i="14"/>
  <c r="CK7" i="14"/>
  <c r="CK8" i="14"/>
  <c r="CK4" i="14"/>
  <c r="CQ19" i="14" l="1"/>
  <c r="CP19" i="14"/>
  <c r="CO19" i="14"/>
  <c r="CN19" i="14"/>
  <c r="CM19" i="14"/>
  <c r="B13" i="16"/>
  <c r="B12" i="16"/>
  <c r="B14" i="16" s="1"/>
  <c r="B8" i="16"/>
  <c r="B6" i="16"/>
  <c r="B5" i="16"/>
  <c r="B4" i="16"/>
  <c r="CJ15" i="14"/>
  <c r="CJ16" i="14"/>
  <c r="CJ17" i="14"/>
  <c r="CJ18" i="14"/>
  <c r="CJ14" i="14"/>
  <c r="CJ5" i="14"/>
  <c r="CJ6" i="14"/>
  <c r="CJ7" i="14"/>
  <c r="CJ8" i="14"/>
  <c r="CJ4" i="14"/>
  <c r="CE35" i="14"/>
  <c r="CF35" i="14" s="1"/>
  <c r="CG35" i="14" s="1"/>
  <c r="CH35" i="14" s="1"/>
  <c r="CI35" i="14" s="1"/>
  <c r="CJ35" i="14" s="1"/>
  <c r="CE36" i="14"/>
  <c r="CF36" i="14" s="1"/>
  <c r="CG36" i="14" s="1"/>
  <c r="CH36" i="14" s="1"/>
  <c r="CI36" i="14" s="1"/>
  <c r="CE37" i="14"/>
  <c r="CF37" i="14" s="1"/>
  <c r="CG37" i="14" s="1"/>
  <c r="CH37" i="14" s="1"/>
  <c r="CI37" i="14" s="1"/>
  <c r="CE34" i="14"/>
  <c r="CF34" i="14" s="1"/>
  <c r="CG34" i="14" s="1"/>
  <c r="CH34" i="14" s="1"/>
  <c r="CI34" i="14" s="1"/>
  <c r="CJ34" i="14" s="1"/>
  <c r="CE33" i="14"/>
  <c r="CF33" i="14" s="1"/>
  <c r="CG33" i="14" s="1"/>
  <c r="CH33" i="14" s="1"/>
  <c r="CJ36" i="14" l="1"/>
  <c r="CJ37" i="14"/>
  <c r="CI33" i="14"/>
  <c r="CH38" i="14"/>
  <c r="CA58" i="14"/>
  <c r="CB58" i="14"/>
  <c r="CC58" i="14"/>
  <c r="CD58" i="14"/>
  <c r="CB54" i="14"/>
  <c r="CC54" i="14"/>
  <c r="CD54" i="14"/>
  <c r="CA54" i="14"/>
  <c r="CG38" i="14"/>
  <c r="O18" i="9"/>
  <c r="Q18" i="9" s="1"/>
  <c r="CJ33" i="14" l="1"/>
  <c r="CI38" i="14"/>
  <c r="K26" i="9"/>
  <c r="K27" i="9"/>
  <c r="K28" i="9"/>
  <c r="K29" i="9"/>
  <c r="K30" i="9"/>
  <c r="K25" i="9"/>
  <c r="K24" i="9"/>
  <c r="J31" i="9"/>
  <c r="M25" i="9"/>
  <c r="M26" i="9"/>
  <c r="M27" i="9"/>
  <c r="M28" i="9"/>
  <c r="M29" i="9"/>
  <c r="M30" i="9"/>
  <c r="M24" i="9"/>
  <c r="M15" i="10"/>
  <c r="L15" i="10"/>
  <c r="K15" i="10"/>
  <c r="J15" i="10"/>
  <c r="I15" i="10"/>
  <c r="H15" i="10"/>
  <c r="G15" i="10"/>
  <c r="F15" i="10"/>
  <c r="E15" i="10"/>
  <c r="D15" i="10"/>
  <c r="C15" i="10"/>
  <c r="B15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C5" i="10"/>
  <c r="D5" i="10"/>
  <c r="E5" i="10"/>
  <c r="F5" i="10"/>
  <c r="G5" i="10"/>
  <c r="H5" i="10"/>
  <c r="I5" i="10"/>
  <c r="J5" i="10"/>
  <c r="K5" i="10"/>
  <c r="L5" i="10"/>
  <c r="M5" i="10"/>
  <c r="B5" i="10"/>
  <c r="B18" i="13" a="1"/>
  <c r="C5" i="13"/>
  <c r="D5" i="13"/>
  <c r="E5" i="13"/>
  <c r="F5" i="13"/>
  <c r="G5" i="13"/>
  <c r="H5" i="13"/>
  <c r="I5" i="13"/>
  <c r="J5" i="13"/>
  <c r="K5" i="13"/>
  <c r="L5" i="13"/>
  <c r="M5" i="13"/>
  <c r="B5" i="13"/>
  <c r="C17" i="13"/>
  <c r="D17" i="13"/>
  <c r="E17" i="13"/>
  <c r="F17" i="13"/>
  <c r="G17" i="13"/>
  <c r="H17" i="13"/>
  <c r="I17" i="13"/>
  <c r="J17" i="13"/>
  <c r="K17" i="13"/>
  <c r="L17" i="13"/>
  <c r="M17" i="13"/>
  <c r="B17" i="13"/>
  <c r="C4" i="13"/>
  <c r="D4" i="13"/>
  <c r="E4" i="13"/>
  <c r="F4" i="13"/>
  <c r="G4" i="13"/>
  <c r="H4" i="13"/>
  <c r="I4" i="13"/>
  <c r="J4" i="13"/>
  <c r="K4" i="13"/>
  <c r="L4" i="13"/>
  <c r="M4" i="13"/>
  <c r="B4" i="13"/>
  <c r="C3" i="13"/>
  <c r="D3" i="13"/>
  <c r="E3" i="13"/>
  <c r="F3" i="13"/>
  <c r="G3" i="13"/>
  <c r="H3" i="13"/>
  <c r="I3" i="13"/>
  <c r="J3" i="13"/>
  <c r="K3" i="13"/>
  <c r="L3" i="13"/>
  <c r="M3" i="13"/>
  <c r="B3" i="13"/>
  <c r="C2" i="13"/>
  <c r="D2" i="13"/>
  <c r="E2" i="13"/>
  <c r="F2" i="13"/>
  <c r="G2" i="13"/>
  <c r="H2" i="13"/>
  <c r="I2" i="13"/>
  <c r="J2" i="13"/>
  <c r="K2" i="13"/>
  <c r="L2" i="13"/>
  <c r="M2" i="13"/>
  <c r="B2" i="13"/>
  <c r="BX58" i="14"/>
  <c r="O14" i="10"/>
  <c r="O13" i="10"/>
  <c r="O8" i="10"/>
  <c r="O4" i="10"/>
  <c r="Q4" i="10" s="1"/>
  <c r="O3" i="10"/>
  <c r="Q3" i="10" s="1"/>
  <c r="J1209" i="15"/>
  <c r="BZ58" i="14"/>
  <c r="BY58" i="14"/>
  <c r="BW58" i="14"/>
  <c r="BV58" i="14"/>
  <c r="BU58" i="14"/>
  <c r="BT58" i="14"/>
  <c r="BS58" i="14"/>
  <c r="BR58" i="14"/>
  <c r="BQ58" i="14"/>
  <c r="BP58" i="14"/>
  <c r="BO58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CL47" i="14"/>
  <c r="CK47" i="14"/>
  <c r="CJ47" i="14"/>
  <c r="CI47" i="14"/>
  <c r="CH47" i="14"/>
  <c r="CG47" i="14"/>
  <c r="CF47" i="14"/>
  <c r="CE47" i="14"/>
  <c r="CD47" i="14"/>
  <c r="CC47" i="14"/>
  <c r="CB47" i="14"/>
  <c r="CA47" i="14"/>
  <c r="BZ47" i="14"/>
  <c r="BY47" i="14"/>
  <c r="BX47" i="14"/>
  <c r="BW47" i="14"/>
  <c r="BV47" i="14"/>
  <c r="BU47" i="14"/>
  <c r="BT47" i="14"/>
  <c r="BS47" i="14"/>
  <c r="BR47" i="14"/>
  <c r="BQ47" i="14"/>
  <c r="BP47" i="14"/>
  <c r="BO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AR37" i="14"/>
  <c r="AS37" i="14" s="1"/>
  <c r="AT37" i="14" s="1"/>
  <c r="AU37" i="14" s="1"/>
  <c r="AV37" i="14" s="1"/>
  <c r="AW37" i="14" s="1"/>
  <c r="AX37" i="14" s="1"/>
  <c r="AY37" i="14" s="1"/>
  <c r="AZ37" i="14" s="1"/>
  <c r="BA37" i="14" s="1"/>
  <c r="BB37" i="14" s="1"/>
  <c r="BC37" i="14" s="1"/>
  <c r="BD37" i="14" s="1"/>
  <c r="BE37" i="14" s="1"/>
  <c r="BF37" i="14" s="1"/>
  <c r="BG37" i="14" s="1"/>
  <c r="BH37" i="14" s="1"/>
  <c r="BI37" i="14" s="1"/>
  <c r="BJ37" i="14" s="1"/>
  <c r="BK37" i="14" s="1"/>
  <c r="BL37" i="14" s="1"/>
  <c r="BM37" i="14" s="1"/>
  <c r="BN37" i="14" s="1"/>
  <c r="BO37" i="14" s="1"/>
  <c r="BP37" i="14" s="1"/>
  <c r="BQ37" i="14" s="1"/>
  <c r="BR37" i="14" s="1"/>
  <c r="BS37" i="14" s="1"/>
  <c r="BT37" i="14" s="1"/>
  <c r="BU37" i="14" s="1"/>
  <c r="BV37" i="14" s="1"/>
  <c r="BW37" i="14" s="1"/>
  <c r="BX37" i="14" s="1"/>
  <c r="BY37" i="14" s="1"/>
  <c r="BZ37" i="14" s="1"/>
  <c r="AE37" i="14"/>
  <c r="AF37" i="14" s="1"/>
  <c r="AG37" i="14" s="1"/>
  <c r="AH37" i="14" s="1"/>
  <c r="AI37" i="14" s="1"/>
  <c r="AJ37" i="14" s="1"/>
  <c r="AK37" i="14" s="1"/>
  <c r="AL37" i="14" s="1"/>
  <c r="AM37" i="14" s="1"/>
  <c r="AN37" i="14" s="1"/>
  <c r="AO37" i="14" s="1"/>
  <c r="AP37" i="14" s="1"/>
  <c r="S37" i="14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C36" i="14"/>
  <c r="D36" i="14" s="1"/>
  <c r="E36" i="14" s="1"/>
  <c r="F36" i="14" s="1"/>
  <c r="G36" i="14" s="1"/>
  <c r="H36" i="14" s="1"/>
  <c r="I36" i="14" s="1"/>
  <c r="J36" i="14" s="1"/>
  <c r="K36" i="14" s="1"/>
  <c r="L36" i="14" s="1"/>
  <c r="M36" i="14" s="1"/>
  <c r="N36" i="14" s="1"/>
  <c r="O36" i="14" s="1"/>
  <c r="P36" i="14" s="1"/>
  <c r="S36" i="14" s="1"/>
  <c r="T36" i="14" s="1"/>
  <c r="U36" i="14" s="1"/>
  <c r="V36" i="14" s="1"/>
  <c r="W36" i="14" s="1"/>
  <c r="X36" i="14" s="1"/>
  <c r="Y36" i="14" s="1"/>
  <c r="Z36" i="14" s="1"/>
  <c r="AA36" i="14" s="1"/>
  <c r="AB36" i="14" s="1"/>
  <c r="AC36" i="14" s="1"/>
  <c r="AD36" i="14" s="1"/>
  <c r="AE36" i="14" s="1"/>
  <c r="AF36" i="14" s="1"/>
  <c r="AG36" i="14" s="1"/>
  <c r="AH36" i="14" s="1"/>
  <c r="AI36" i="14" s="1"/>
  <c r="AJ36" i="14" s="1"/>
  <c r="AK36" i="14" s="1"/>
  <c r="AL36" i="14" s="1"/>
  <c r="AM36" i="14" s="1"/>
  <c r="AN36" i="14" s="1"/>
  <c r="AO36" i="14" s="1"/>
  <c r="AP36" i="14" s="1"/>
  <c r="AQ36" i="14" s="1"/>
  <c r="AR36" i="14" s="1"/>
  <c r="AS36" i="14" s="1"/>
  <c r="AT36" i="14" s="1"/>
  <c r="AU36" i="14" s="1"/>
  <c r="AV36" i="14" s="1"/>
  <c r="AW36" i="14" s="1"/>
  <c r="AX36" i="14" s="1"/>
  <c r="AY36" i="14" s="1"/>
  <c r="AZ36" i="14" s="1"/>
  <c r="BA36" i="14" s="1"/>
  <c r="BB36" i="14" s="1"/>
  <c r="BC36" i="14" s="1"/>
  <c r="BD36" i="14" s="1"/>
  <c r="BE36" i="14" s="1"/>
  <c r="BF36" i="14" s="1"/>
  <c r="BG36" i="14" s="1"/>
  <c r="BH36" i="14" s="1"/>
  <c r="BI36" i="14" s="1"/>
  <c r="BJ36" i="14" s="1"/>
  <c r="BK36" i="14" s="1"/>
  <c r="BL36" i="14" s="1"/>
  <c r="BM36" i="14" s="1"/>
  <c r="BN36" i="14" s="1"/>
  <c r="BO36" i="14" s="1"/>
  <c r="BP36" i="14" s="1"/>
  <c r="BQ36" i="14" s="1"/>
  <c r="BR36" i="14" s="1"/>
  <c r="BS36" i="14" s="1"/>
  <c r="BT36" i="14" s="1"/>
  <c r="BU36" i="14" s="1"/>
  <c r="BV36" i="14" s="1"/>
  <c r="BW36" i="14" s="1"/>
  <c r="BX36" i="14" s="1"/>
  <c r="BY36" i="14" s="1"/>
  <c r="BZ36" i="14" s="1"/>
  <c r="O35" i="14"/>
  <c r="P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AH35" i="14" s="1"/>
  <c r="AI35" i="14" s="1"/>
  <c r="AJ35" i="14" s="1"/>
  <c r="AK35" i="14" s="1"/>
  <c r="AL35" i="14" s="1"/>
  <c r="AM35" i="14" s="1"/>
  <c r="AN35" i="14" s="1"/>
  <c r="AO35" i="14" s="1"/>
  <c r="AP35" i="14" s="1"/>
  <c r="AQ35" i="14" s="1"/>
  <c r="AR34" i="14"/>
  <c r="AE34" i="14"/>
  <c r="AF34" i="14" s="1"/>
  <c r="AG34" i="14" s="1"/>
  <c r="AH34" i="14" s="1"/>
  <c r="AI34" i="14" s="1"/>
  <c r="AJ34" i="14" s="1"/>
  <c r="AK34" i="14" s="1"/>
  <c r="AL34" i="14" s="1"/>
  <c r="AM34" i="14" s="1"/>
  <c r="AN34" i="14" s="1"/>
  <c r="AO34" i="14" s="1"/>
  <c r="AP34" i="14" s="1"/>
  <c r="C34" i="14"/>
  <c r="D34" i="14" s="1"/>
  <c r="E34" i="14" s="1"/>
  <c r="F34" i="14" s="1"/>
  <c r="G34" i="14" s="1"/>
  <c r="H34" i="14" s="1"/>
  <c r="I34" i="14" s="1"/>
  <c r="J34" i="14" s="1"/>
  <c r="K34" i="14" s="1"/>
  <c r="L34" i="14" s="1"/>
  <c r="M34" i="14" s="1"/>
  <c r="N34" i="14" s="1"/>
  <c r="O34" i="14" s="1"/>
  <c r="P34" i="14" s="1"/>
  <c r="S34" i="14" s="1"/>
  <c r="T34" i="14" s="1"/>
  <c r="U34" i="14" s="1"/>
  <c r="V34" i="14" s="1"/>
  <c r="W34" i="14" s="1"/>
  <c r="X34" i="14" s="1"/>
  <c r="Y34" i="14" s="1"/>
  <c r="Z34" i="14" s="1"/>
  <c r="AA34" i="14" s="1"/>
  <c r="AB34" i="14" s="1"/>
  <c r="AC34" i="14" s="1"/>
  <c r="AD34" i="14" s="1"/>
  <c r="AR33" i="14"/>
  <c r="AS33" i="14" s="1"/>
  <c r="AT33" i="14" s="1"/>
  <c r="AE33" i="14"/>
  <c r="AF33" i="14" s="1"/>
  <c r="C33" i="14"/>
  <c r="D33" i="14" s="1"/>
  <c r="E33" i="14" s="1"/>
  <c r="F33" i="14" s="1"/>
  <c r="G33" i="14" s="1"/>
  <c r="H33" i="14" s="1"/>
  <c r="I33" i="14" s="1"/>
  <c r="J33" i="14" s="1"/>
  <c r="K33" i="14" s="1"/>
  <c r="L33" i="14" s="1"/>
  <c r="M33" i="14" s="1"/>
  <c r="N33" i="14" s="1"/>
  <c r="O33" i="14" s="1"/>
  <c r="C32" i="14"/>
  <c r="D32" i="14" s="1"/>
  <c r="BZ20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Z10" i="14"/>
  <c r="CL9" i="14"/>
  <c r="M15" i="13" s="1"/>
  <c r="CK9" i="14"/>
  <c r="L15" i="13" s="1"/>
  <c r="CJ9" i="14"/>
  <c r="K15" i="13" s="1"/>
  <c r="CI9" i="14"/>
  <c r="J15" i="13" s="1"/>
  <c r="CH9" i="14"/>
  <c r="I15" i="13" s="1"/>
  <c r="CG9" i="14"/>
  <c r="H15" i="13" s="1"/>
  <c r="CF9" i="14"/>
  <c r="G15" i="13" s="1"/>
  <c r="CE9" i="14"/>
  <c r="F15" i="13" s="1"/>
  <c r="CD9" i="14"/>
  <c r="E15" i="13" s="1"/>
  <c r="CC9" i="14"/>
  <c r="D15" i="13" s="1"/>
  <c r="CB9" i="14"/>
  <c r="CA9" i="14"/>
  <c r="B15" i="13" s="1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P20" i="14" l="1"/>
  <c r="AP10" i="14"/>
  <c r="BB20" i="14"/>
  <c r="BZ40" i="14"/>
  <c r="BB10" i="14"/>
  <c r="CL20" i="14"/>
  <c r="BN10" i="14"/>
  <c r="BN20" i="14"/>
  <c r="CL10" i="14"/>
  <c r="AU33" i="14"/>
  <c r="O38" i="14"/>
  <c r="P33" i="14"/>
  <c r="AR35" i="14"/>
  <c r="AS35" i="14" s="1"/>
  <c r="AT35" i="14" s="1"/>
  <c r="AU35" i="14" s="1"/>
  <c r="AV35" i="14" s="1"/>
  <c r="AW35" i="14" s="1"/>
  <c r="AX35" i="14" s="1"/>
  <c r="AY35" i="14" s="1"/>
  <c r="AZ35" i="14" s="1"/>
  <c r="BA35" i="14" s="1"/>
  <c r="BB35" i="14" s="1"/>
  <c r="BC35" i="14" s="1"/>
  <c r="BD35" i="14" s="1"/>
  <c r="BE35" i="14" s="1"/>
  <c r="BF35" i="14" s="1"/>
  <c r="BG35" i="14" s="1"/>
  <c r="BH35" i="14" s="1"/>
  <c r="BI35" i="14" s="1"/>
  <c r="BJ35" i="14" s="1"/>
  <c r="BK35" i="14" s="1"/>
  <c r="BL35" i="14" s="1"/>
  <c r="BM35" i="14" s="1"/>
  <c r="BN35" i="14" s="1"/>
  <c r="BO35" i="14" s="1"/>
  <c r="BP35" i="14" s="1"/>
  <c r="BQ35" i="14" s="1"/>
  <c r="BR35" i="14" s="1"/>
  <c r="BS35" i="14" s="1"/>
  <c r="BT35" i="14" s="1"/>
  <c r="BU35" i="14" s="1"/>
  <c r="BV35" i="14" s="1"/>
  <c r="BW35" i="14" s="1"/>
  <c r="BX35" i="14" s="1"/>
  <c r="BY35" i="14" s="1"/>
  <c r="BZ35" i="14" s="1"/>
  <c r="AQ38" i="14"/>
  <c r="AS34" i="14"/>
  <c r="AT34" i="14" s="1"/>
  <c r="AU34" i="14" s="1"/>
  <c r="AV34" i="14" s="1"/>
  <c r="AW34" i="14" s="1"/>
  <c r="AX34" i="14" s="1"/>
  <c r="AY34" i="14" s="1"/>
  <c r="AZ34" i="14" s="1"/>
  <c r="BA34" i="14" s="1"/>
  <c r="BB34" i="14" s="1"/>
  <c r="BC34" i="14" s="1"/>
  <c r="BD34" i="14" s="1"/>
  <c r="BE34" i="14" s="1"/>
  <c r="BF34" i="14" s="1"/>
  <c r="BG34" i="14" s="1"/>
  <c r="BH34" i="14" s="1"/>
  <c r="BI34" i="14" s="1"/>
  <c r="BJ34" i="14" s="1"/>
  <c r="BK34" i="14" s="1"/>
  <c r="BL34" i="14" s="1"/>
  <c r="BM34" i="14" s="1"/>
  <c r="BN34" i="14" s="1"/>
  <c r="BO34" i="14" s="1"/>
  <c r="BP34" i="14" s="1"/>
  <c r="BQ34" i="14" s="1"/>
  <c r="BR34" i="14" s="1"/>
  <c r="BS34" i="14" s="1"/>
  <c r="BT34" i="14" s="1"/>
  <c r="BU34" i="14" s="1"/>
  <c r="BV34" i="14" s="1"/>
  <c r="BW34" i="14" s="1"/>
  <c r="BX34" i="14" s="1"/>
  <c r="BY34" i="14" s="1"/>
  <c r="BZ34" i="14" s="1"/>
  <c r="AD20" i="14"/>
  <c r="E32" i="14"/>
  <c r="D38" i="14"/>
  <c r="AF38" i="14"/>
  <c r="AG33" i="14"/>
  <c r="CL48" i="14"/>
  <c r="AE38" i="14"/>
  <c r="C38" i="14"/>
  <c r="AR38" i="14" l="1"/>
  <c r="AU38" i="14"/>
  <c r="AV33" i="14"/>
  <c r="AT38" i="14"/>
  <c r="AS38" i="14"/>
  <c r="P38" i="14"/>
  <c r="S33" i="14"/>
  <c r="E38" i="14"/>
  <c r="F32" i="14"/>
  <c r="AG38" i="14"/>
  <c r="AH33" i="14"/>
  <c r="AH38" i="14" l="1"/>
  <c r="AI33" i="14"/>
  <c r="F38" i="14"/>
  <c r="G32" i="14"/>
  <c r="T33" i="14"/>
  <c r="S38" i="14"/>
  <c r="AV38" i="14"/>
  <c r="AW33" i="14"/>
  <c r="T38" i="14" l="1"/>
  <c r="U33" i="14"/>
  <c r="AW38" i="14"/>
  <c r="AX33" i="14"/>
  <c r="G38" i="14"/>
  <c r="H32" i="14"/>
  <c r="AJ33" i="14"/>
  <c r="AI38" i="14"/>
  <c r="H38" i="14" l="1"/>
  <c r="I32" i="14"/>
  <c r="AJ38" i="14"/>
  <c r="AK33" i="14"/>
  <c r="U38" i="14"/>
  <c r="V33" i="14"/>
  <c r="AX38" i="14"/>
  <c r="AY33" i="14"/>
  <c r="V38" i="14" l="1"/>
  <c r="W33" i="14"/>
  <c r="AZ33" i="14"/>
  <c r="AY38" i="14"/>
  <c r="J32" i="14"/>
  <c r="I38" i="14"/>
  <c r="AK38" i="14"/>
  <c r="AL33" i="14"/>
  <c r="AL38" i="14" l="1"/>
  <c r="AM33" i="14"/>
  <c r="AZ38" i="14"/>
  <c r="BA33" i="14"/>
  <c r="W38" i="14"/>
  <c r="X33" i="14"/>
  <c r="K32" i="14"/>
  <c r="J38" i="14"/>
  <c r="L32" i="14" l="1"/>
  <c r="K38" i="14"/>
  <c r="BA38" i="14"/>
  <c r="BB33" i="14"/>
  <c r="AM38" i="14"/>
  <c r="AN33" i="14"/>
  <c r="X38" i="14"/>
  <c r="Y33" i="14"/>
  <c r="AN38" i="14" l="1"/>
  <c r="AO33" i="14"/>
  <c r="BB38" i="14"/>
  <c r="BC33" i="14"/>
  <c r="Y38" i="14"/>
  <c r="Z33" i="14"/>
  <c r="M32" i="14"/>
  <c r="L38" i="14"/>
  <c r="M38" i="14" l="1"/>
  <c r="N32" i="14"/>
  <c r="N38" i="14" s="1"/>
  <c r="Z38" i="14"/>
  <c r="AA33" i="14"/>
  <c r="AO38" i="14"/>
  <c r="AP33" i="14"/>
  <c r="AP38" i="14" s="1"/>
  <c r="BC38" i="14"/>
  <c r="BD33" i="14"/>
  <c r="BD38" i="14" l="1"/>
  <c r="BE33" i="14"/>
  <c r="AA38" i="14"/>
  <c r="AB33" i="14"/>
  <c r="BE38" i="14" l="1"/>
  <c r="BF33" i="14"/>
  <c r="AB38" i="14"/>
  <c r="AC33" i="14"/>
  <c r="BF38" i="14" l="1"/>
  <c r="BG33" i="14"/>
  <c r="AC38" i="14"/>
  <c r="AD33" i="14"/>
  <c r="AD38" i="14" s="1"/>
  <c r="BH33" i="14" l="1"/>
  <c r="BG38" i="14"/>
  <c r="BH38" i="14" l="1"/>
  <c r="BI33" i="14"/>
  <c r="BI38" i="14" l="1"/>
  <c r="BJ33" i="14"/>
  <c r="BJ38" i="14" l="1"/>
  <c r="BK33" i="14"/>
  <c r="BK38" i="14" l="1"/>
  <c r="BL33" i="14"/>
  <c r="BL38" i="14" l="1"/>
  <c r="BM33" i="14"/>
  <c r="BM38" i="14" l="1"/>
  <c r="BN33" i="14"/>
  <c r="BN38" i="14" l="1"/>
  <c r="BO33" i="14"/>
  <c r="BP33" i="14" l="1"/>
  <c r="BO38" i="14"/>
  <c r="BO48" i="14" s="1"/>
  <c r="BP38" i="14" l="1"/>
  <c r="BP48" i="14" s="1"/>
  <c r="BQ33" i="14"/>
  <c r="BQ38" i="14" l="1"/>
  <c r="BQ48" i="14" s="1"/>
  <c r="BR33" i="14"/>
  <c r="BR38" i="14" l="1"/>
  <c r="BR48" i="14" s="1"/>
  <c r="BS33" i="14"/>
  <c r="BS38" i="14" l="1"/>
  <c r="BS48" i="14" s="1"/>
  <c r="BT33" i="14"/>
  <c r="BT38" i="14" l="1"/>
  <c r="BT48" i="14" s="1"/>
  <c r="BU33" i="14"/>
  <c r="BU38" i="14" l="1"/>
  <c r="BU48" i="14" s="1"/>
  <c r="BV33" i="14"/>
  <c r="BV38" i="14" l="1"/>
  <c r="BV48" i="14" s="1"/>
  <c r="BW33" i="14"/>
  <c r="BW38" i="14" l="1"/>
  <c r="BW48" i="14" s="1"/>
  <c r="BX38" i="14" l="1"/>
  <c r="BX48" i="14" s="1"/>
  <c r="BY38" i="14" l="1"/>
  <c r="BY48" i="14" s="1"/>
  <c r="BZ38" i="14" l="1"/>
  <c r="BZ48" i="14" s="1"/>
  <c r="CD38" i="14" l="1"/>
  <c r="CE38" i="14" l="1"/>
  <c r="CF38" i="14" l="1"/>
  <c r="CJ38" i="14" l="1"/>
  <c r="CK38" i="14" l="1"/>
  <c r="CL38" i="14"/>
  <c r="M26" i="12" l="1"/>
  <c r="L26" i="12"/>
  <c r="K26" i="12"/>
  <c r="J26" i="12"/>
  <c r="I26" i="12"/>
  <c r="H26" i="12"/>
  <c r="G26" i="12"/>
  <c r="F26" i="12"/>
  <c r="E26" i="12"/>
  <c r="D26" i="12"/>
  <c r="C26" i="12"/>
  <c r="B26" i="12"/>
  <c r="B19" i="9" s="1"/>
  <c r="M17" i="12"/>
  <c r="L17" i="12"/>
  <c r="K17" i="12"/>
  <c r="J17" i="12"/>
  <c r="I17" i="12"/>
  <c r="H17" i="12"/>
  <c r="G17" i="12"/>
  <c r="F17" i="12"/>
  <c r="E17" i="12"/>
  <c r="D17" i="12"/>
  <c r="C17" i="12"/>
  <c r="B17" i="12"/>
  <c r="M8" i="12"/>
  <c r="L8" i="12"/>
  <c r="K8" i="12"/>
  <c r="J8" i="12"/>
  <c r="I8" i="12"/>
  <c r="H8" i="12"/>
  <c r="G8" i="12"/>
  <c r="F8" i="12"/>
  <c r="E8" i="12"/>
  <c r="D8" i="12"/>
  <c r="C8" i="12"/>
  <c r="B8" i="12"/>
  <c r="M25" i="11"/>
  <c r="M16" i="13" s="1"/>
  <c r="L25" i="11"/>
  <c r="L16" i="13" s="1"/>
  <c r="K25" i="11"/>
  <c r="K16" i="13" s="1"/>
  <c r="J25" i="11"/>
  <c r="J16" i="13" s="1"/>
  <c r="I25" i="11"/>
  <c r="I16" i="13" s="1"/>
  <c r="H25" i="11"/>
  <c r="H16" i="13" s="1"/>
  <c r="G25" i="11"/>
  <c r="G16" i="13" s="1"/>
  <c r="F25" i="11"/>
  <c r="F16" i="13" s="1"/>
  <c r="E25" i="11"/>
  <c r="E16" i="13" s="1"/>
  <c r="D25" i="11"/>
  <c r="D16" i="13" s="1"/>
  <c r="C25" i="11"/>
  <c r="C16" i="13" s="1"/>
  <c r="B25" i="11"/>
  <c r="B16" i="13" s="1"/>
  <c r="M16" i="11"/>
  <c r="M17" i="11" s="1"/>
  <c r="L16" i="11"/>
  <c r="L17" i="11" s="1"/>
  <c r="K16" i="11"/>
  <c r="K17" i="11" s="1"/>
  <c r="J16" i="11"/>
  <c r="J17" i="11" s="1"/>
  <c r="I16" i="11"/>
  <c r="I17" i="11" s="1"/>
  <c r="H16" i="11"/>
  <c r="H17" i="11" s="1"/>
  <c r="G16" i="11"/>
  <c r="G17" i="11" s="1"/>
  <c r="F16" i="11"/>
  <c r="F17" i="11" s="1"/>
  <c r="E16" i="11"/>
  <c r="E17" i="11" s="1"/>
  <c r="D16" i="11"/>
  <c r="D17" i="11" s="1"/>
  <c r="C16" i="11"/>
  <c r="C17" i="11" s="1"/>
  <c r="B16" i="11"/>
  <c r="B17" i="11" s="1"/>
  <c r="M8" i="11"/>
  <c r="L8" i="11"/>
  <c r="K8" i="11"/>
  <c r="J8" i="11"/>
  <c r="I8" i="11"/>
  <c r="H8" i="11"/>
  <c r="G8" i="11"/>
  <c r="F8" i="11"/>
  <c r="E8" i="11"/>
  <c r="D8" i="11"/>
  <c r="C8" i="11"/>
  <c r="B8" i="11"/>
  <c r="O19" i="9" l="1"/>
  <c r="Q19" i="9" s="1"/>
  <c r="Q8" i="10"/>
  <c r="O9" i="10"/>
  <c r="Q9" i="10" s="1"/>
  <c r="Q13" i="10"/>
  <c r="Q14" i="10"/>
  <c r="Q18" i="10"/>
  <c r="Q19" i="10"/>
  <c r="O2" i="9"/>
  <c r="Q2" i="9" s="1"/>
  <c r="O3" i="9"/>
  <c r="Q3" i="9" s="1"/>
  <c r="O6" i="9"/>
  <c r="Q6" i="9" s="1"/>
  <c r="O7" i="9"/>
  <c r="Q7" i="9" s="1"/>
  <c r="O10" i="9"/>
  <c r="Q10" i="9" s="1"/>
  <c r="O11" i="9"/>
  <c r="Q11" i="9"/>
  <c r="O14" i="9"/>
  <c r="Q14" i="9" s="1"/>
  <c r="O15" i="9"/>
  <c r="Q15" i="9" s="1"/>
  <c r="M18" i="13"/>
  <c r="L18" i="13"/>
  <c r="K18" i="13"/>
  <c r="J18" i="13"/>
  <c r="I18" i="13"/>
  <c r="H18" i="13"/>
  <c r="G18" i="13"/>
  <c r="F18" i="13"/>
  <c r="E18" i="13"/>
  <c r="D18" i="13"/>
  <c r="C18" i="13"/>
  <c r="B1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golfwing</author>
  </authors>
  <commentList>
    <comment ref="J1528" authorId="0" shapeId="0" xr:uid="{BBEC4F78-683D-4D5A-BDA0-ED2E746A6BD2}">
      <text>
        <r>
          <rPr>
            <sz val="9"/>
            <color indexed="81"/>
            <rFont val="MS P ゴシック"/>
            <family val="3"/>
            <charset val="128"/>
          </rPr>
          <t>お母様の携帯番号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fine</author>
  </authors>
  <commentList>
    <comment ref="BN15" authorId="0" shapeId="0" xr:uid="{00000000-0006-0000-0600-000001000000}">
      <text>
        <r>
          <rPr>
            <b/>
            <sz val="9"/>
            <color indexed="81"/>
            <rFont val="MS P ゴシック"/>
            <family val="3"/>
            <charset val="128"/>
          </rPr>
          <t>fine:</t>
        </r>
        <r>
          <rPr>
            <sz val="9"/>
            <color indexed="81"/>
            <rFont val="MS P ゴシック"/>
            <family val="3"/>
            <charset val="128"/>
          </rPr>
          <t xml:space="preserve">
2名</t>
        </r>
      </text>
    </comment>
    <comment ref="CL15" authorId="0" shapeId="0" xr:uid="{00000000-0006-0000-0600-000002000000}">
      <text>
        <r>
          <rPr>
            <b/>
            <sz val="9"/>
            <color indexed="81"/>
            <rFont val="MS P ゴシック"/>
            <family val="3"/>
            <charset val="128"/>
          </rPr>
          <t>fine:</t>
        </r>
        <r>
          <rPr>
            <sz val="9"/>
            <color indexed="81"/>
            <rFont val="MS P ゴシック"/>
            <family val="3"/>
            <charset val="128"/>
          </rPr>
          <t xml:space="preserve">
2名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<sst xmlns="http://schemas.openxmlformats.org/spreadsheetml/2006/main" count="25261" uniqueCount="10653">
  <si>
    <t>日付</t>
    <rPh sb="0" eb="2">
      <t>ヒヅケ</t>
    </rPh>
    <phoneticPr fontId="1"/>
  </si>
  <si>
    <t>名前</t>
    <rPh sb="0" eb="2">
      <t>ナマエ</t>
    </rPh>
    <phoneticPr fontId="1"/>
  </si>
  <si>
    <t>生年月日</t>
    <rPh sb="0" eb="2">
      <t>セイネン</t>
    </rPh>
    <rPh sb="2" eb="4">
      <t>ガッピ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</si>
  <si>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</si>
  <si>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</si>
  <si>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職業</t>
    <rPh sb="0" eb="2">
      <t>ショクギョウ</t>
    </rPh>
    <phoneticPr fontId="1"/>
  </si>
  <si>
    <t>何で知ったか</t>
    <rPh sb="0" eb="1">
      <t>ナニ</t>
    </rPh>
    <rPh sb="2" eb="3">
      <t>シ</t>
    </rPh>
    <phoneticPr fontId="1"/>
  </si>
  <si>
    <t>利用区分</t>
    <rPh sb="0" eb="2">
      <t>リヨウ</t>
    </rPh>
    <rPh sb="2" eb="4">
      <t>クブン</t>
    </rPh>
    <phoneticPr fontId="1"/>
  </si>
  <si>
    <t>知人の紹介</t>
    <rPh sb="0" eb="2">
      <t>チジン</t>
    </rPh>
    <rPh sb="3" eb="5">
      <t>ショウカイ</t>
    </rPh>
    <phoneticPr fontId="1"/>
  </si>
  <si>
    <t>新聞・雑誌の広告</t>
    <rPh sb="0" eb="2">
      <t>シンブン</t>
    </rPh>
    <rPh sb="3" eb="5">
      <t>ザッシ</t>
    </rPh>
    <rPh sb="6" eb="8">
      <t>コウコク</t>
    </rPh>
    <phoneticPr fontId="1"/>
  </si>
  <si>
    <t>その他</t>
    <rPh sb="2" eb="3">
      <t>ホカ</t>
    </rPh>
    <phoneticPr fontId="1"/>
  </si>
  <si>
    <t>天候に左右されない練習環境</t>
    <rPh sb="0" eb="2">
      <t>テンコウ</t>
    </rPh>
    <rPh sb="3" eb="5">
      <t>サユウ</t>
    </rPh>
    <rPh sb="9" eb="11">
      <t>レンシュウ</t>
    </rPh>
    <rPh sb="11" eb="13">
      <t>カンキョウ</t>
    </rPh>
    <phoneticPr fontId="1"/>
  </si>
  <si>
    <t>トラックマン等計測設備の利用</t>
    <rPh sb="6" eb="7">
      <t>トウ</t>
    </rPh>
    <rPh sb="7" eb="9">
      <t>ケイソク</t>
    </rPh>
    <rPh sb="9" eb="11">
      <t>セツビ</t>
    </rPh>
    <rPh sb="12" eb="14">
      <t>リヨウ</t>
    </rPh>
    <phoneticPr fontId="1"/>
  </si>
  <si>
    <t>シャフトの種類の多さ</t>
    <rPh sb="5" eb="7">
      <t>シュルイ</t>
    </rPh>
    <rPh sb="8" eb="9">
      <t>オオ</t>
    </rPh>
    <phoneticPr fontId="1"/>
  </si>
  <si>
    <t>飛距離を伸ばすため</t>
    <rPh sb="0" eb="3">
      <t>ヒキョリ</t>
    </rPh>
    <rPh sb="4" eb="5">
      <t>ノ</t>
    </rPh>
    <phoneticPr fontId="1"/>
  </si>
  <si>
    <t>シミュレーションシステムの活用</t>
    <rPh sb="13" eb="15">
      <t>カツヨウ</t>
    </rPh>
    <phoneticPr fontId="1"/>
  </si>
  <si>
    <t>会員同士のコミュニケーション</t>
    <rPh sb="0" eb="2">
      <t>カイイン</t>
    </rPh>
    <rPh sb="2" eb="4">
      <t>ドウシ</t>
    </rPh>
    <phoneticPr fontId="1"/>
  </si>
  <si>
    <t>友人が入会しているから</t>
    <rPh sb="0" eb="2">
      <t>ユウジン</t>
    </rPh>
    <rPh sb="3" eb="5">
      <t>ニュウカイ</t>
    </rPh>
    <phoneticPr fontId="1"/>
  </si>
  <si>
    <t>自宅が近いから</t>
    <rPh sb="0" eb="2">
      <t>ジタク</t>
    </rPh>
    <rPh sb="3" eb="4">
      <t>チカ</t>
    </rPh>
    <phoneticPr fontId="1"/>
  </si>
  <si>
    <t>会社が近いから</t>
    <rPh sb="0" eb="2">
      <t>カイシャ</t>
    </rPh>
    <rPh sb="3" eb="4">
      <t>チカ</t>
    </rPh>
    <phoneticPr fontId="1"/>
  </si>
  <si>
    <t>PGAプロの在籍</t>
    <rPh sb="6" eb="8">
      <t>ザイセキ</t>
    </rPh>
    <phoneticPr fontId="1"/>
  </si>
  <si>
    <t>JPDA認定トレーナー在籍</t>
    <rPh sb="4" eb="6">
      <t>ニンテイ</t>
    </rPh>
    <rPh sb="11" eb="13">
      <t>ザイセキ</t>
    </rPh>
    <phoneticPr fontId="1"/>
  </si>
  <si>
    <t>体験利用</t>
    <rPh sb="0" eb="2">
      <t>タイケン</t>
    </rPh>
    <rPh sb="2" eb="4">
      <t>リヨウ</t>
    </rPh>
    <phoneticPr fontId="1"/>
  </si>
  <si>
    <t>フィッティング</t>
    <phoneticPr fontId="1"/>
  </si>
  <si>
    <t>シャフト試打</t>
    <rPh sb="4" eb="6">
      <t>シダ</t>
    </rPh>
    <phoneticPr fontId="1"/>
  </si>
  <si>
    <t>郵便番号</t>
    <rPh sb="0" eb="2">
      <t>ユウビン</t>
    </rPh>
    <rPh sb="2" eb="4">
      <t>バンゴウ</t>
    </rPh>
    <phoneticPr fontId="1"/>
  </si>
  <si>
    <t>email</t>
    <phoneticPr fontId="1"/>
  </si>
  <si>
    <t>備考</t>
    <rPh sb="0" eb="2">
      <t>ビコウ</t>
    </rPh>
    <phoneticPr fontId="1"/>
  </si>
  <si>
    <t>別所　健三</t>
    <rPh sb="0" eb="2">
      <t>ベッショ</t>
    </rPh>
    <rPh sb="3" eb="5">
      <t>ケンゾウ</t>
    </rPh>
    <phoneticPr fontId="1"/>
  </si>
  <si>
    <t>666-0257</t>
    <phoneticPr fontId="1"/>
  </si>
  <si>
    <t>兵庫県川辺郡猪名川町白金2-30-30</t>
    <rPh sb="0" eb="3">
      <t>ヒョウゴケン</t>
    </rPh>
    <rPh sb="3" eb="6">
      <t>カワナベグン</t>
    </rPh>
    <rPh sb="6" eb="9">
      <t>イナガワ</t>
    </rPh>
    <rPh sb="9" eb="10">
      <t>マチ</t>
    </rPh>
    <rPh sb="10" eb="12">
      <t>シロカネ</t>
    </rPh>
    <phoneticPr fontId="1"/>
  </si>
  <si>
    <t>kenchan0819@ymobile.ne.jp</t>
    <phoneticPr fontId="1"/>
  </si>
  <si>
    <t>080-3816-2307</t>
    <phoneticPr fontId="1"/>
  </si>
  <si>
    <t>会社経営者・役員</t>
    <rPh sb="0" eb="2">
      <t>カイシャ</t>
    </rPh>
    <rPh sb="2" eb="4">
      <t>ケイエイ</t>
    </rPh>
    <rPh sb="4" eb="5">
      <t>シャ</t>
    </rPh>
    <rPh sb="6" eb="8">
      <t>ヤクイン</t>
    </rPh>
    <phoneticPr fontId="1"/>
  </si>
  <si>
    <t>自営業</t>
    <rPh sb="0" eb="3">
      <t>ジエイギョウ</t>
    </rPh>
    <phoneticPr fontId="1"/>
  </si>
  <si>
    <t>公務員</t>
    <rPh sb="0" eb="3">
      <t>コウムイン</t>
    </rPh>
    <phoneticPr fontId="1"/>
  </si>
  <si>
    <t>会社員</t>
    <rPh sb="0" eb="3">
      <t>カイシャイン</t>
    </rPh>
    <phoneticPr fontId="1"/>
  </si>
  <si>
    <t>専業主婦</t>
    <rPh sb="0" eb="2">
      <t>センギョウ</t>
    </rPh>
    <rPh sb="2" eb="4">
      <t>シュフ</t>
    </rPh>
    <phoneticPr fontId="1"/>
  </si>
  <si>
    <t>学生</t>
    <rPh sb="0" eb="2">
      <t>ガクセイ</t>
    </rPh>
    <phoneticPr fontId="1"/>
  </si>
  <si>
    <t>その他</t>
    <rPh sb="2" eb="3">
      <t>タ</t>
    </rPh>
    <phoneticPr fontId="1"/>
  </si>
  <si>
    <t>向田　忠男</t>
    <rPh sb="0" eb="2">
      <t>ムコウダ</t>
    </rPh>
    <rPh sb="3" eb="5">
      <t>タダオ</t>
    </rPh>
    <phoneticPr fontId="1"/>
  </si>
  <si>
    <t>兵庫県宝塚市山手台西2-32-4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ニシ</t>
    </rPh>
    <phoneticPr fontId="1"/>
  </si>
  <si>
    <t>0797-80-0321</t>
    <phoneticPr fontId="1"/>
  </si>
  <si>
    <t>向田　香代子</t>
    <rPh sb="0" eb="2">
      <t>ムコウダ</t>
    </rPh>
    <rPh sb="3" eb="6">
      <t>カヨコ</t>
    </rPh>
    <phoneticPr fontId="1"/>
  </si>
  <si>
    <t>665-0886</t>
    <phoneticPr fontId="1"/>
  </si>
  <si>
    <t>宇都宮　受仁也</t>
    <rPh sb="0" eb="3">
      <t>ウツノミヤ</t>
    </rPh>
    <rPh sb="4" eb="5">
      <t>ウ</t>
    </rPh>
    <rPh sb="5" eb="6">
      <t>ジン</t>
    </rPh>
    <rPh sb="6" eb="7">
      <t>ヤ</t>
    </rPh>
    <phoneticPr fontId="1"/>
  </si>
  <si>
    <t>juniya0713@gmail.com</t>
    <phoneticPr fontId="1"/>
  </si>
  <si>
    <t>080-3865-6048</t>
    <phoneticPr fontId="1"/>
  </si>
  <si>
    <t>インターネット</t>
  </si>
  <si>
    <t>フィッティング</t>
  </si>
  <si>
    <t>宮坂月子　知り合い</t>
    <rPh sb="0" eb="2">
      <t>ミヤサカ</t>
    </rPh>
    <rPh sb="2" eb="4">
      <t>ツキコ</t>
    </rPh>
    <rPh sb="5" eb="6">
      <t>シ</t>
    </rPh>
    <rPh sb="7" eb="8">
      <t>ア</t>
    </rPh>
    <phoneticPr fontId="1"/>
  </si>
  <si>
    <t>藤原　伸充</t>
    <rPh sb="0" eb="2">
      <t>フジハラ</t>
    </rPh>
    <rPh sb="3" eb="4">
      <t>ノブ</t>
    </rPh>
    <rPh sb="4" eb="5">
      <t>ミツ</t>
    </rPh>
    <phoneticPr fontId="1"/>
  </si>
  <si>
    <t>560-0082</t>
    <phoneticPr fontId="1"/>
  </si>
  <si>
    <t>大阪府豊中市新千里東町1-1-2-5103</t>
    <rPh sb="0" eb="3">
      <t>オオサカフ</t>
    </rPh>
    <rPh sb="3" eb="6">
      <t>トヨナカシ</t>
    </rPh>
    <rPh sb="6" eb="9">
      <t>シンセンリ</t>
    </rPh>
    <rPh sb="9" eb="10">
      <t>ヒガシ</t>
    </rPh>
    <rPh sb="10" eb="11">
      <t>マチ</t>
    </rPh>
    <phoneticPr fontId="1"/>
  </si>
  <si>
    <t>090-5258-7299</t>
    <phoneticPr fontId="1"/>
  </si>
  <si>
    <t>hole.in.one.26@gmail.com</t>
    <phoneticPr fontId="1"/>
  </si>
  <si>
    <t>若松　明子</t>
    <rPh sb="0" eb="2">
      <t>ワカマツ</t>
    </rPh>
    <rPh sb="3" eb="5">
      <t>アキコ</t>
    </rPh>
    <phoneticPr fontId="1"/>
  </si>
  <si>
    <t>665-0807</t>
    <phoneticPr fontId="1"/>
  </si>
  <si>
    <t>兵庫県宝塚市長尾台2-12-14</t>
    <rPh sb="0" eb="3">
      <t>ヒョウゴケン</t>
    </rPh>
    <rPh sb="3" eb="6">
      <t>タカラヅカシ</t>
    </rPh>
    <rPh sb="6" eb="9">
      <t>ナガオダイ</t>
    </rPh>
    <phoneticPr fontId="1"/>
  </si>
  <si>
    <t>072-755-6746</t>
    <phoneticPr fontId="1"/>
  </si>
  <si>
    <t>藤原美也子さん　知り合い</t>
    <rPh sb="0" eb="2">
      <t>フジハラ</t>
    </rPh>
    <rPh sb="2" eb="3">
      <t>ミ</t>
    </rPh>
    <rPh sb="3" eb="4">
      <t>ヤ</t>
    </rPh>
    <rPh sb="4" eb="5">
      <t>コ</t>
    </rPh>
    <rPh sb="8" eb="9">
      <t>シ</t>
    </rPh>
    <rPh sb="10" eb="11">
      <t>ア</t>
    </rPh>
    <phoneticPr fontId="1"/>
  </si>
  <si>
    <t>若松　吉己</t>
    <rPh sb="0" eb="2">
      <t>ワカマツ</t>
    </rPh>
    <rPh sb="3" eb="4">
      <t>ヨシ</t>
    </rPh>
    <rPh sb="4" eb="5">
      <t>ミ</t>
    </rPh>
    <phoneticPr fontId="1"/>
  </si>
  <si>
    <t>090-5676-7162</t>
    <phoneticPr fontId="1"/>
  </si>
  <si>
    <t>山形　進</t>
    <rPh sb="0" eb="2">
      <t>ヤマガタ</t>
    </rPh>
    <rPh sb="3" eb="4">
      <t>ススム</t>
    </rPh>
    <phoneticPr fontId="1"/>
  </si>
  <si>
    <t>561-0862</t>
    <phoneticPr fontId="1"/>
  </si>
  <si>
    <t>大阪府豊中市西泉丘1-3-7-303</t>
    <rPh sb="0" eb="3">
      <t>オオサカフ</t>
    </rPh>
    <rPh sb="3" eb="6">
      <t>トヨナカシ</t>
    </rPh>
    <rPh sb="6" eb="9">
      <t>ニシイズミガオカ</t>
    </rPh>
    <phoneticPr fontId="1"/>
  </si>
  <si>
    <t>090-5090-7754</t>
    <phoneticPr fontId="1"/>
  </si>
  <si>
    <t>社長　知り合い</t>
    <rPh sb="0" eb="2">
      <t>シャチョウ</t>
    </rPh>
    <rPh sb="3" eb="4">
      <t>シ</t>
    </rPh>
    <rPh sb="5" eb="6">
      <t>ア</t>
    </rPh>
    <phoneticPr fontId="1"/>
  </si>
  <si>
    <t>奥田　恭三</t>
    <rPh sb="0" eb="2">
      <t>オクダ</t>
    </rPh>
    <rPh sb="3" eb="5">
      <t>キョウゾウ</t>
    </rPh>
    <phoneticPr fontId="1"/>
  </si>
  <si>
    <t>665-0022</t>
    <phoneticPr fontId="1"/>
  </si>
  <si>
    <t>兵庫県宝塚市野上1-9-21</t>
    <rPh sb="0" eb="3">
      <t>ヒョウゴケン</t>
    </rPh>
    <rPh sb="3" eb="6">
      <t>タカラヅカシ</t>
    </rPh>
    <rPh sb="6" eb="8">
      <t>ノガミ</t>
    </rPh>
    <phoneticPr fontId="1"/>
  </si>
  <si>
    <t>090-8821-8537</t>
    <phoneticPr fontId="1"/>
  </si>
  <si>
    <t>亀谷　龍也</t>
    <rPh sb="0" eb="2">
      <t>カメタニ</t>
    </rPh>
    <rPh sb="3" eb="5">
      <t>タツヤ</t>
    </rPh>
    <phoneticPr fontId="1"/>
  </si>
  <si>
    <t>553-0003</t>
    <phoneticPr fontId="1"/>
  </si>
  <si>
    <t>大阪市福島区福島8-2-8</t>
    <rPh sb="0" eb="3">
      <t>オオサカシ</t>
    </rPh>
    <rPh sb="3" eb="6">
      <t>フクシマク</t>
    </rPh>
    <rPh sb="6" eb="8">
      <t>フクシマ</t>
    </rPh>
    <phoneticPr fontId="1"/>
  </si>
  <si>
    <t>090-3263-7750</t>
    <phoneticPr fontId="1"/>
  </si>
  <si>
    <t>則藤さん　知り合い</t>
    <rPh sb="0" eb="1">
      <t>ノリ</t>
    </rPh>
    <rPh sb="1" eb="2">
      <t>フジ</t>
    </rPh>
    <rPh sb="5" eb="6">
      <t>シ</t>
    </rPh>
    <rPh sb="7" eb="8">
      <t>ア</t>
    </rPh>
    <phoneticPr fontId="1"/>
  </si>
  <si>
    <t>上野　佑</t>
    <rPh sb="0" eb="2">
      <t>ウエノ</t>
    </rPh>
    <rPh sb="3" eb="4">
      <t>ユウ</t>
    </rPh>
    <phoneticPr fontId="1"/>
  </si>
  <si>
    <t>665-0882</t>
    <phoneticPr fontId="1"/>
  </si>
  <si>
    <t>兵庫県宝塚市山本南1-37-12-102</t>
    <rPh sb="0" eb="6">
      <t>ヒョウゴケンタカラヅカシ</t>
    </rPh>
    <rPh sb="6" eb="8">
      <t>ヤマモト</t>
    </rPh>
    <rPh sb="8" eb="9">
      <t>ミナミ</t>
    </rPh>
    <phoneticPr fontId="1"/>
  </si>
  <si>
    <t>090-5380-6202</t>
    <phoneticPr fontId="1"/>
  </si>
  <si>
    <t>入会</t>
    <rPh sb="0" eb="2">
      <t>ニュウカイ</t>
    </rPh>
    <phoneticPr fontId="1"/>
  </si>
  <si>
    <t>星山　美枝子</t>
    <rPh sb="0" eb="2">
      <t>ホシヤマ</t>
    </rPh>
    <rPh sb="3" eb="6">
      <t>ミエコ</t>
    </rPh>
    <phoneticPr fontId="1"/>
  </si>
  <si>
    <t>671-1107</t>
    <phoneticPr fontId="1"/>
  </si>
  <si>
    <t>兵庫県姫路市広畑区西蒲田1584</t>
    <rPh sb="0" eb="3">
      <t>ヒョウゴケン</t>
    </rPh>
    <rPh sb="3" eb="6">
      <t>ヒメジシ</t>
    </rPh>
    <rPh sb="6" eb="8">
      <t>ヒロハタ</t>
    </rPh>
    <rPh sb="8" eb="9">
      <t>ク</t>
    </rPh>
    <rPh sb="9" eb="10">
      <t>ニシ</t>
    </rPh>
    <rPh sb="10" eb="12">
      <t>カマタ</t>
    </rPh>
    <phoneticPr fontId="1"/>
  </si>
  <si>
    <t>kmtys293711@icloud.com</t>
    <phoneticPr fontId="1"/>
  </si>
  <si>
    <t>079-227-5106/090-5159-0260</t>
    <phoneticPr fontId="1"/>
  </si>
  <si>
    <t>永井さん知り合い　シャフトご購入</t>
    <rPh sb="0" eb="2">
      <t>ナガイ</t>
    </rPh>
    <rPh sb="4" eb="5">
      <t>シ</t>
    </rPh>
    <rPh sb="6" eb="7">
      <t>ア</t>
    </rPh>
    <rPh sb="14" eb="16">
      <t>コウニュウ</t>
    </rPh>
    <phoneticPr fontId="1"/>
  </si>
  <si>
    <t>椎田　淑惠</t>
    <rPh sb="0" eb="2">
      <t>シイダ</t>
    </rPh>
    <rPh sb="3" eb="5">
      <t>トシエ</t>
    </rPh>
    <phoneticPr fontId="1"/>
  </si>
  <si>
    <t>672-8048</t>
    <phoneticPr fontId="1"/>
  </si>
  <si>
    <t>兵庫県姫路市飾磨区三宅3-24-2</t>
    <rPh sb="0" eb="3">
      <t>ヒョウゴケン</t>
    </rPh>
    <rPh sb="3" eb="6">
      <t>ヒメジシ</t>
    </rPh>
    <rPh sb="6" eb="8">
      <t>シカマ</t>
    </rPh>
    <rPh sb="8" eb="9">
      <t>ク</t>
    </rPh>
    <rPh sb="9" eb="11">
      <t>ミヤケ</t>
    </rPh>
    <phoneticPr fontId="1"/>
  </si>
  <si>
    <t>ms.toshie-1011@au.com</t>
    <phoneticPr fontId="1"/>
  </si>
  <si>
    <t>090-2352-2381</t>
    <phoneticPr fontId="1"/>
  </si>
  <si>
    <t>寺村　貞利</t>
    <rPh sb="0" eb="2">
      <t>テラムラ</t>
    </rPh>
    <rPh sb="3" eb="5">
      <t>サダトシ</t>
    </rPh>
    <phoneticPr fontId="1"/>
  </si>
  <si>
    <t>兵庫県宝塚市山手台西3-8-1-603</t>
    <rPh sb="0" eb="3">
      <t>ヒョウゴケン</t>
    </rPh>
    <rPh sb="3" eb="6">
      <t>タカラヅカシ</t>
    </rPh>
    <rPh sb="6" eb="9">
      <t>ヤマテダイ</t>
    </rPh>
    <rPh sb="9" eb="10">
      <t>ニシ</t>
    </rPh>
    <phoneticPr fontId="1"/>
  </si>
  <si>
    <t>090-171-5014</t>
    <phoneticPr fontId="1"/>
  </si>
  <si>
    <t>寺村　みどり</t>
    <rPh sb="0" eb="2">
      <t>テラムラ</t>
    </rPh>
    <phoneticPr fontId="1"/>
  </si>
  <si>
    <t>090-4756-8936</t>
    <phoneticPr fontId="1"/>
  </si>
  <si>
    <t>日高　弘道</t>
    <rPh sb="0" eb="2">
      <t>ヒダカ</t>
    </rPh>
    <rPh sb="3" eb="5">
      <t>ヒロミチ</t>
    </rPh>
    <phoneticPr fontId="1"/>
  </si>
  <si>
    <t>兵庫県宝塚市山手台西1-3-3</t>
    <rPh sb="0" eb="6">
      <t>ヒョウゴケンタカラヅカシ</t>
    </rPh>
    <rPh sb="6" eb="10">
      <t>ヤマテダイニシ</t>
    </rPh>
    <phoneticPr fontId="1"/>
  </si>
  <si>
    <t>090-7102-0880</t>
    <phoneticPr fontId="1"/>
  </si>
  <si>
    <t>田中　維知子</t>
    <rPh sb="0" eb="2">
      <t>タナカ</t>
    </rPh>
    <rPh sb="3" eb="4">
      <t>イ</t>
    </rPh>
    <rPh sb="4" eb="6">
      <t>トモコ</t>
    </rPh>
    <phoneticPr fontId="1"/>
  </si>
  <si>
    <t>550-0014</t>
    <phoneticPr fontId="1"/>
  </si>
  <si>
    <t>大阪府大阪市西区北堀江2-5-5</t>
    <rPh sb="0" eb="3">
      <t>オオサカフ</t>
    </rPh>
    <rPh sb="3" eb="6">
      <t>オオサカシ</t>
    </rPh>
    <rPh sb="6" eb="8">
      <t>ニシク</t>
    </rPh>
    <rPh sb="8" eb="11">
      <t>キタホリエ</t>
    </rPh>
    <phoneticPr fontId="1"/>
  </si>
  <si>
    <t>06-6533-2050</t>
    <phoneticPr fontId="1"/>
  </si>
  <si>
    <t>シャフトご購入</t>
    <rPh sb="5" eb="7">
      <t>コウニュウ</t>
    </rPh>
    <phoneticPr fontId="1"/>
  </si>
  <si>
    <t>川根　暁</t>
    <rPh sb="0" eb="2">
      <t>カワネ</t>
    </rPh>
    <rPh sb="3" eb="4">
      <t>アカツキ</t>
    </rPh>
    <phoneticPr fontId="1"/>
  </si>
  <si>
    <t>561-0859</t>
    <phoneticPr fontId="1"/>
  </si>
  <si>
    <t>豊中市服部豊町1-2-2　アネックス服部202</t>
    <rPh sb="0" eb="3">
      <t>トヨナカシ</t>
    </rPh>
    <rPh sb="3" eb="5">
      <t>ハットリ</t>
    </rPh>
    <rPh sb="18" eb="20">
      <t>ハットリ</t>
    </rPh>
    <phoneticPr fontId="1"/>
  </si>
  <si>
    <t>090-8751-8973</t>
    <phoneticPr fontId="1"/>
  </si>
  <si>
    <t>石川　貴洋</t>
    <rPh sb="0" eb="2">
      <t>イシカワ</t>
    </rPh>
    <rPh sb="3" eb="5">
      <t>タカヒロ</t>
    </rPh>
    <phoneticPr fontId="1"/>
  </si>
  <si>
    <t>661-0021</t>
    <phoneticPr fontId="1"/>
  </si>
  <si>
    <t>兵庫県尼崎市名神町2-9-37</t>
    <rPh sb="0" eb="3">
      <t>ヒョウゴケン</t>
    </rPh>
    <rPh sb="3" eb="6">
      <t>アマガサキシ</t>
    </rPh>
    <rPh sb="6" eb="8">
      <t>メイシン</t>
    </rPh>
    <rPh sb="8" eb="9">
      <t>チョウ</t>
    </rPh>
    <phoneticPr fontId="1"/>
  </si>
  <si>
    <t>06-6426-7496</t>
    <phoneticPr fontId="1"/>
  </si>
  <si>
    <t>加藤　弦</t>
    <rPh sb="0" eb="2">
      <t>カトウ</t>
    </rPh>
    <rPh sb="3" eb="4">
      <t>ユズル</t>
    </rPh>
    <phoneticPr fontId="1"/>
  </si>
  <si>
    <t>545-0022</t>
    <phoneticPr fontId="1"/>
  </si>
  <si>
    <t>大阪府大阪市阿倍野区播磨町1-8-22　リーベル北畠ガーデンシティ402</t>
    <rPh sb="0" eb="3">
      <t>オオサカフ</t>
    </rPh>
    <rPh sb="3" eb="6">
      <t>オオサカシ</t>
    </rPh>
    <rPh sb="6" eb="10">
      <t>アベノク</t>
    </rPh>
    <rPh sb="10" eb="13">
      <t>ハリマチョウ</t>
    </rPh>
    <rPh sb="24" eb="26">
      <t>キタハタ</t>
    </rPh>
    <phoneticPr fontId="1"/>
  </si>
  <si>
    <t>080-1478-5606</t>
    <phoneticPr fontId="1"/>
  </si>
  <si>
    <t>永澤　祥行</t>
    <rPh sb="0" eb="2">
      <t>ナガサワ</t>
    </rPh>
    <rPh sb="3" eb="4">
      <t>ヨシ</t>
    </rPh>
    <rPh sb="4" eb="5">
      <t>イ</t>
    </rPh>
    <phoneticPr fontId="1"/>
  </si>
  <si>
    <t>563-0050</t>
    <phoneticPr fontId="1"/>
  </si>
  <si>
    <t>大阪府池田市新町10-7-202</t>
    <rPh sb="0" eb="3">
      <t>オオサカフ</t>
    </rPh>
    <rPh sb="3" eb="6">
      <t>イケダシ</t>
    </rPh>
    <rPh sb="6" eb="8">
      <t>シンマチ</t>
    </rPh>
    <phoneticPr fontId="1"/>
  </si>
  <si>
    <t>090-2069-2223</t>
    <phoneticPr fontId="1"/>
  </si>
  <si>
    <t>竹田　正人</t>
    <rPh sb="0" eb="2">
      <t>タケダ</t>
    </rPh>
    <rPh sb="3" eb="5">
      <t>マサト</t>
    </rPh>
    <phoneticPr fontId="1"/>
  </si>
  <si>
    <t>090-1592-5048</t>
    <phoneticPr fontId="1"/>
  </si>
  <si>
    <t>金山　熹章</t>
    <rPh sb="0" eb="2">
      <t>カナヤマ</t>
    </rPh>
    <rPh sb="4" eb="5">
      <t>ショウ</t>
    </rPh>
    <phoneticPr fontId="1"/>
  </si>
  <si>
    <t>567-0009</t>
    <phoneticPr fontId="1"/>
  </si>
  <si>
    <t>大阪府茨木市山手台5-25-17</t>
    <rPh sb="0" eb="3">
      <t>オオサカフ</t>
    </rPh>
    <rPh sb="3" eb="6">
      <t>イバラキシ</t>
    </rPh>
    <rPh sb="6" eb="9">
      <t>ヤマテダイ</t>
    </rPh>
    <phoneticPr fontId="1"/>
  </si>
  <si>
    <t>090-2117-4423</t>
    <phoneticPr fontId="1"/>
  </si>
  <si>
    <t>入会（法人）</t>
    <rPh sb="0" eb="2">
      <t>ニュウカイ</t>
    </rPh>
    <rPh sb="3" eb="5">
      <t>ホウジン</t>
    </rPh>
    <phoneticPr fontId="1"/>
  </si>
  <si>
    <t>弓場　基司</t>
    <rPh sb="0" eb="2">
      <t>ユバ</t>
    </rPh>
    <rPh sb="3" eb="5">
      <t>モトシ</t>
    </rPh>
    <phoneticPr fontId="1"/>
  </si>
  <si>
    <t>665-0873</t>
    <phoneticPr fontId="1"/>
  </si>
  <si>
    <t>兵庫県宝塚市長尾町8-13-1003</t>
    <rPh sb="0" eb="6">
      <t>ヒョウゴケンタカラヅカシ</t>
    </rPh>
    <rPh sb="6" eb="8">
      <t>ナガオ</t>
    </rPh>
    <rPh sb="8" eb="9">
      <t>マチ</t>
    </rPh>
    <phoneticPr fontId="1"/>
  </si>
  <si>
    <t>080-9862-1119</t>
    <phoneticPr fontId="1"/>
  </si>
  <si>
    <t>小谷　光晴</t>
    <rPh sb="0" eb="2">
      <t>コタニ</t>
    </rPh>
    <rPh sb="3" eb="5">
      <t>ミツハル</t>
    </rPh>
    <phoneticPr fontId="1"/>
  </si>
  <si>
    <t>兵庫県宝塚市中筋2-9-12-308</t>
    <rPh sb="0" eb="3">
      <t>ヒョウゴケン</t>
    </rPh>
    <rPh sb="3" eb="6">
      <t>タカラヅカシ</t>
    </rPh>
    <rPh sb="6" eb="8">
      <t>ナカスジ</t>
    </rPh>
    <phoneticPr fontId="1"/>
  </si>
  <si>
    <t>0797-80-2329</t>
    <phoneticPr fontId="1"/>
  </si>
  <si>
    <t>楢崎　茂士</t>
    <rPh sb="0" eb="2">
      <t>ナラサキ</t>
    </rPh>
    <rPh sb="3" eb="4">
      <t>シゲル</t>
    </rPh>
    <rPh sb="4" eb="5">
      <t>シ</t>
    </rPh>
    <phoneticPr fontId="1"/>
  </si>
  <si>
    <t>兵庫県宝塚市すみれが丘3-2-1-1322</t>
    <rPh sb="0" eb="3">
      <t>ヒョウゴケン</t>
    </rPh>
    <rPh sb="3" eb="6">
      <t>タカラヅカシ</t>
    </rPh>
    <rPh sb="10" eb="11">
      <t>オカ</t>
    </rPh>
    <phoneticPr fontId="1"/>
  </si>
  <si>
    <t>090-2517-5535</t>
    <phoneticPr fontId="1"/>
  </si>
  <si>
    <t>川津　颯太</t>
    <rPh sb="0" eb="2">
      <t>カワツ</t>
    </rPh>
    <rPh sb="3" eb="5">
      <t>ソウタ</t>
    </rPh>
    <phoneticPr fontId="1"/>
  </si>
  <si>
    <t>兵庫県神戸市中央区熊内町2-9-8</t>
    <rPh sb="0" eb="3">
      <t>ヒョウゴケン</t>
    </rPh>
    <rPh sb="3" eb="6">
      <t>コウベシ</t>
    </rPh>
    <rPh sb="6" eb="9">
      <t>チュウオウク</t>
    </rPh>
    <rPh sb="9" eb="11">
      <t>クマナイ</t>
    </rPh>
    <rPh sb="11" eb="12">
      <t>チョウ</t>
    </rPh>
    <phoneticPr fontId="1"/>
  </si>
  <si>
    <t>080-4316-6450</t>
    <phoneticPr fontId="1"/>
  </si>
  <si>
    <t>井殿プロお知り合いの浜プロお友達、シャフトご購入</t>
    <rPh sb="0" eb="2">
      <t>イドノ</t>
    </rPh>
    <rPh sb="5" eb="6">
      <t>シ</t>
    </rPh>
    <rPh sb="7" eb="8">
      <t>ア</t>
    </rPh>
    <rPh sb="10" eb="11">
      <t>ハマ</t>
    </rPh>
    <rPh sb="14" eb="16">
      <t>トモダチ</t>
    </rPh>
    <rPh sb="22" eb="24">
      <t>コウニュウ</t>
    </rPh>
    <phoneticPr fontId="1"/>
  </si>
  <si>
    <t>林　路人</t>
    <rPh sb="0" eb="1">
      <t>ハヤシ</t>
    </rPh>
    <rPh sb="2" eb="3">
      <t>ロ</t>
    </rPh>
    <rPh sb="3" eb="4">
      <t>ヒト</t>
    </rPh>
    <phoneticPr fontId="1"/>
  </si>
  <si>
    <t>537-0002</t>
    <phoneticPr fontId="1"/>
  </si>
  <si>
    <t>大阪府大阪市東成区深江南3-4-21</t>
    <rPh sb="0" eb="3">
      <t>オオサカフ</t>
    </rPh>
    <rPh sb="3" eb="6">
      <t>オオサカシ</t>
    </rPh>
    <rPh sb="6" eb="9">
      <t>ヒガシナリク</t>
    </rPh>
    <rPh sb="9" eb="12">
      <t>フカエミナミ</t>
    </rPh>
    <phoneticPr fontId="1"/>
  </si>
  <si>
    <t>090-5048-7858</t>
    <phoneticPr fontId="1"/>
  </si>
  <si>
    <t>堀古　一男</t>
    <rPh sb="0" eb="1">
      <t>ホリ</t>
    </rPh>
    <rPh sb="1" eb="2">
      <t>コ</t>
    </rPh>
    <rPh sb="3" eb="5">
      <t>カズオ</t>
    </rPh>
    <phoneticPr fontId="1"/>
  </si>
  <si>
    <t>664-0001</t>
    <phoneticPr fontId="1"/>
  </si>
  <si>
    <t>兵庫県伊丹市荒牧1-8-5</t>
    <rPh sb="0" eb="3">
      <t>ヒョウゴケン</t>
    </rPh>
    <rPh sb="3" eb="6">
      <t>イタミシ</t>
    </rPh>
    <rPh sb="6" eb="8">
      <t>アラマキ</t>
    </rPh>
    <phoneticPr fontId="1"/>
  </si>
  <si>
    <t>090-3284-2385</t>
    <phoneticPr fontId="1"/>
  </si>
  <si>
    <t>柴田　敏行</t>
    <rPh sb="0" eb="2">
      <t>シバタ</t>
    </rPh>
    <rPh sb="3" eb="5">
      <t>トシユキ</t>
    </rPh>
    <phoneticPr fontId="1"/>
  </si>
  <si>
    <t>大阪府門真市末広町18-22-307</t>
    <rPh sb="0" eb="3">
      <t>オオサカフ</t>
    </rPh>
    <rPh sb="3" eb="6">
      <t>カドマシ</t>
    </rPh>
    <rPh sb="6" eb="9">
      <t>スエヒロチョウ</t>
    </rPh>
    <phoneticPr fontId="1"/>
  </si>
  <si>
    <t>080-3856-6063</t>
    <phoneticPr fontId="1"/>
  </si>
  <si>
    <t>高松　繁</t>
    <rPh sb="0" eb="2">
      <t>タカマツ</t>
    </rPh>
    <rPh sb="3" eb="4">
      <t>シゲル</t>
    </rPh>
    <phoneticPr fontId="1"/>
  </si>
  <si>
    <t>664-0857</t>
    <phoneticPr fontId="1"/>
  </si>
  <si>
    <t>兵庫県伊丹市行基町4-50</t>
    <rPh sb="0" eb="3">
      <t>ヒョウゴケン</t>
    </rPh>
    <rPh sb="3" eb="6">
      <t>イタミシ</t>
    </rPh>
    <rPh sb="6" eb="7">
      <t>ギョウ</t>
    </rPh>
    <rPh sb="7" eb="8">
      <t>キ</t>
    </rPh>
    <rPh sb="8" eb="9">
      <t>マチ</t>
    </rPh>
    <phoneticPr fontId="1"/>
  </si>
  <si>
    <t>090-7355-9319</t>
    <phoneticPr fontId="1"/>
  </si>
  <si>
    <t>s19551029@i.softbank.jp</t>
    <phoneticPr fontId="1"/>
  </si>
  <si>
    <t>藤島　一廣</t>
    <rPh sb="0" eb="2">
      <t>フジシマ</t>
    </rPh>
    <rPh sb="3" eb="5">
      <t>カズヒロ</t>
    </rPh>
    <phoneticPr fontId="1"/>
  </si>
  <si>
    <t>兵庫県宝塚市中筋7-6-17</t>
    <rPh sb="0" eb="6">
      <t>ヒョウゴケンタカラヅカシ</t>
    </rPh>
    <rPh sb="6" eb="8">
      <t>ナカスジ</t>
    </rPh>
    <phoneticPr fontId="1"/>
  </si>
  <si>
    <t>0797-52-7617</t>
    <phoneticPr fontId="1"/>
  </si>
  <si>
    <t>西川　武尊</t>
    <rPh sb="0" eb="2">
      <t>ニシカワ</t>
    </rPh>
    <rPh sb="3" eb="5">
      <t>タケル</t>
    </rPh>
    <phoneticPr fontId="1"/>
  </si>
  <si>
    <t>573-0083</t>
    <phoneticPr fontId="1"/>
  </si>
  <si>
    <t>大阪府枚方市茄子作北町56-10</t>
    <rPh sb="0" eb="3">
      <t>オオサカフ</t>
    </rPh>
    <rPh sb="3" eb="6">
      <t>ヒラカタシ</t>
    </rPh>
    <rPh sb="6" eb="8">
      <t>ナス</t>
    </rPh>
    <rPh sb="8" eb="9">
      <t>サク</t>
    </rPh>
    <rPh sb="9" eb="10">
      <t>キタ</t>
    </rPh>
    <rPh sb="10" eb="11">
      <t>マチ</t>
    </rPh>
    <phoneticPr fontId="1"/>
  </si>
  <si>
    <t>090-3979-8733</t>
    <phoneticPr fontId="1"/>
  </si>
  <si>
    <t>自宅遠方のため今後ビジター利用希望</t>
    <rPh sb="0" eb="2">
      <t>ジタク</t>
    </rPh>
    <rPh sb="2" eb="4">
      <t>エンポウ</t>
    </rPh>
    <rPh sb="7" eb="9">
      <t>コンゴ</t>
    </rPh>
    <rPh sb="13" eb="15">
      <t>リヨウ</t>
    </rPh>
    <rPh sb="15" eb="17">
      <t>キボウ</t>
    </rPh>
    <phoneticPr fontId="1"/>
  </si>
  <si>
    <t>吉本　雅人</t>
    <rPh sb="0" eb="2">
      <t>ヨシモト</t>
    </rPh>
    <rPh sb="3" eb="5">
      <t>マサト</t>
    </rPh>
    <phoneticPr fontId="1"/>
  </si>
  <si>
    <t>563-0103</t>
    <phoneticPr fontId="1"/>
  </si>
  <si>
    <t>大阪府豊能郡豊能町東ときわ台5-8-12</t>
    <rPh sb="0" eb="3">
      <t>オオサカフ</t>
    </rPh>
    <rPh sb="3" eb="6">
      <t>トヨノグン</t>
    </rPh>
    <rPh sb="6" eb="9">
      <t>トヨノチョウ</t>
    </rPh>
    <rPh sb="9" eb="10">
      <t>ヒガシ</t>
    </rPh>
    <rPh sb="13" eb="14">
      <t>ダイ</t>
    </rPh>
    <phoneticPr fontId="1"/>
  </si>
  <si>
    <t>080-5700-5288</t>
    <phoneticPr fontId="1"/>
  </si>
  <si>
    <t>吉本　奈緒美</t>
    <rPh sb="0" eb="2">
      <t>ヨシモト</t>
    </rPh>
    <rPh sb="3" eb="6">
      <t>ナオミ</t>
    </rPh>
    <phoneticPr fontId="1"/>
  </si>
  <si>
    <t>080-5343-3430</t>
    <phoneticPr fontId="1"/>
  </si>
  <si>
    <t>シャフトプレゼントのお客様</t>
    <rPh sb="11" eb="13">
      <t>キャクサマ</t>
    </rPh>
    <phoneticPr fontId="1"/>
  </si>
  <si>
    <t>三上　栄治</t>
    <rPh sb="0" eb="2">
      <t>ミカミ</t>
    </rPh>
    <rPh sb="3" eb="5">
      <t>エイジ</t>
    </rPh>
    <phoneticPr fontId="1"/>
  </si>
  <si>
    <t>669-1112</t>
    <phoneticPr fontId="1"/>
  </si>
  <si>
    <t>兵庫県西宮市宝生ヶ丘2-13-8</t>
    <rPh sb="0" eb="3">
      <t>ヒョウゴケン</t>
    </rPh>
    <rPh sb="3" eb="6">
      <t>ニシノミヤシ</t>
    </rPh>
    <rPh sb="6" eb="8">
      <t>ホウショウ</t>
    </rPh>
    <rPh sb="9" eb="10">
      <t>オカ</t>
    </rPh>
    <phoneticPr fontId="1"/>
  </si>
  <si>
    <t>090-4561-6080</t>
    <phoneticPr fontId="1"/>
  </si>
  <si>
    <t>平山　菊代</t>
    <rPh sb="0" eb="2">
      <t>ヒラヤマ</t>
    </rPh>
    <rPh sb="3" eb="5">
      <t>キクヨ</t>
    </rPh>
    <phoneticPr fontId="1"/>
  </si>
  <si>
    <t>5本</t>
    <rPh sb="1" eb="2">
      <t>ホン</t>
    </rPh>
    <phoneticPr fontId="1"/>
  </si>
  <si>
    <t>561-0802</t>
    <phoneticPr fontId="1"/>
  </si>
  <si>
    <t>大阪府豊中市曽根東町1-11-46-203</t>
    <rPh sb="0" eb="3">
      <t>オオサカフ</t>
    </rPh>
    <rPh sb="3" eb="5">
      <t>トヨナカ</t>
    </rPh>
    <rPh sb="5" eb="6">
      <t>シ</t>
    </rPh>
    <rPh sb="6" eb="8">
      <t>ソネ</t>
    </rPh>
    <rPh sb="8" eb="9">
      <t>ヒガシ</t>
    </rPh>
    <rPh sb="9" eb="10">
      <t>マチ</t>
    </rPh>
    <phoneticPr fontId="1"/>
  </si>
  <si>
    <t>090-8829-5752</t>
    <phoneticPr fontId="1"/>
  </si>
  <si>
    <t>小瀬　正也</t>
    <rPh sb="0" eb="2">
      <t>オセ</t>
    </rPh>
    <rPh sb="3" eb="5">
      <t>マサヤ</t>
    </rPh>
    <phoneticPr fontId="1"/>
  </si>
  <si>
    <t>5本　会員小瀬様のお連れ様</t>
    <rPh sb="1" eb="2">
      <t>ホン</t>
    </rPh>
    <rPh sb="3" eb="5">
      <t>カイイン</t>
    </rPh>
    <rPh sb="5" eb="7">
      <t>コセ</t>
    </rPh>
    <rPh sb="7" eb="8">
      <t>サマ</t>
    </rPh>
    <rPh sb="10" eb="11">
      <t>ツ</t>
    </rPh>
    <rPh sb="12" eb="13">
      <t>サマ</t>
    </rPh>
    <phoneticPr fontId="1"/>
  </si>
  <si>
    <t>兵庫県宝塚市安倉2-8-13</t>
    <rPh sb="0" eb="6">
      <t>ヒョウゴケンタカラヅカシ</t>
    </rPh>
    <rPh sb="6" eb="8">
      <t>アクラ</t>
    </rPh>
    <phoneticPr fontId="1"/>
  </si>
  <si>
    <t>西上　卓哉</t>
    <rPh sb="0" eb="1">
      <t>ニシ</t>
    </rPh>
    <rPh sb="1" eb="2">
      <t>カミ</t>
    </rPh>
    <rPh sb="3" eb="5">
      <t>タクヤ</t>
    </rPh>
    <phoneticPr fontId="1"/>
  </si>
  <si>
    <t>660-0111</t>
    <phoneticPr fontId="1"/>
  </si>
  <si>
    <t>兵庫県川西市大和東3-13-5</t>
    <rPh sb="0" eb="3">
      <t>ヒョウゴケン</t>
    </rPh>
    <rPh sb="3" eb="6">
      <t>カワニシシ</t>
    </rPh>
    <rPh sb="6" eb="8">
      <t>ダイワ</t>
    </rPh>
    <rPh sb="8" eb="9">
      <t>ヒガシ</t>
    </rPh>
    <phoneticPr fontId="1"/>
  </si>
  <si>
    <t>angelo.chef.0407@gmail.com</t>
    <phoneticPr fontId="1"/>
  </si>
  <si>
    <t>080-2518-7818</t>
    <phoneticPr fontId="1"/>
  </si>
  <si>
    <t>フィッティング興味あり</t>
    <rPh sb="7" eb="9">
      <t>キョウミ</t>
    </rPh>
    <phoneticPr fontId="1"/>
  </si>
  <si>
    <t>松本　隆司</t>
    <rPh sb="0" eb="2">
      <t>マツモト</t>
    </rPh>
    <rPh sb="3" eb="4">
      <t>タカシ</t>
    </rPh>
    <rPh sb="4" eb="5">
      <t>ツカサ</t>
    </rPh>
    <phoneticPr fontId="1"/>
  </si>
  <si>
    <t>兵庫県宝塚市山本南3-16-1-819</t>
    <rPh sb="0" eb="6">
      <t>ヒョウゴケンタカラヅカシ</t>
    </rPh>
    <rPh sb="6" eb="8">
      <t>ヤマモト</t>
    </rPh>
    <rPh sb="8" eb="9">
      <t>ミナミ</t>
    </rPh>
    <phoneticPr fontId="1"/>
  </si>
  <si>
    <t>090-3274-4100</t>
    <phoneticPr fontId="1"/>
  </si>
  <si>
    <t>久下　等</t>
    <rPh sb="0" eb="2">
      <t>クゲ</t>
    </rPh>
    <rPh sb="3" eb="4">
      <t>ヒト</t>
    </rPh>
    <phoneticPr fontId="1"/>
  </si>
  <si>
    <t>665-0823</t>
    <phoneticPr fontId="1"/>
  </si>
  <si>
    <t>080-5634-7148</t>
    <phoneticPr fontId="1"/>
  </si>
  <si>
    <t>木本　秀巳</t>
    <rPh sb="0" eb="2">
      <t>キモト</t>
    </rPh>
    <rPh sb="3" eb="4">
      <t>ヒデ</t>
    </rPh>
    <rPh sb="4" eb="5">
      <t>ミ</t>
    </rPh>
    <phoneticPr fontId="1"/>
  </si>
  <si>
    <t>兵庫県宝塚市高司2-17-6</t>
    <rPh sb="0" eb="3">
      <t>ヒョウゴケン</t>
    </rPh>
    <rPh sb="3" eb="6">
      <t>タカラヅカシ</t>
    </rPh>
    <rPh sb="6" eb="7">
      <t>コウ</t>
    </rPh>
    <rPh sb="7" eb="8">
      <t>ツカサ</t>
    </rPh>
    <phoneticPr fontId="1"/>
  </si>
  <si>
    <t>久下様友人</t>
    <rPh sb="0" eb="2">
      <t>クゲ</t>
    </rPh>
    <rPh sb="2" eb="3">
      <t>サマ</t>
    </rPh>
    <rPh sb="3" eb="5">
      <t>ユウジン</t>
    </rPh>
    <phoneticPr fontId="1"/>
  </si>
  <si>
    <t>渡辺　辰也</t>
    <rPh sb="0" eb="2">
      <t>ワタナベ</t>
    </rPh>
    <rPh sb="3" eb="5">
      <t>タツヤ</t>
    </rPh>
    <phoneticPr fontId="1"/>
  </si>
  <si>
    <t>兵庫県伊丹市荒牧1-4-3</t>
    <rPh sb="0" eb="3">
      <t>ヒョウゴケン</t>
    </rPh>
    <rPh sb="3" eb="6">
      <t>イタミシ</t>
    </rPh>
    <rPh sb="6" eb="8">
      <t>アラマキ</t>
    </rPh>
    <phoneticPr fontId="1"/>
  </si>
  <si>
    <t>090-2199-5040</t>
    <phoneticPr fontId="1"/>
  </si>
  <si>
    <t>072-771-0770</t>
    <phoneticPr fontId="1"/>
  </si>
  <si>
    <t>090-3039-8593</t>
    <phoneticPr fontId="1"/>
  </si>
  <si>
    <t>上田　幸司</t>
    <rPh sb="0" eb="2">
      <t>ウエダ</t>
    </rPh>
    <rPh sb="3" eb="5">
      <t>コウジ</t>
    </rPh>
    <phoneticPr fontId="1"/>
  </si>
  <si>
    <t>665-0874</t>
    <phoneticPr fontId="1"/>
  </si>
  <si>
    <t>兵庫県宝塚市中筋2-11-1-712</t>
    <rPh sb="0" eb="6">
      <t>ヒョウゴケンタカラヅカシ</t>
    </rPh>
    <rPh sb="6" eb="8">
      <t>ナカスジ</t>
    </rPh>
    <phoneticPr fontId="1"/>
  </si>
  <si>
    <t>足立　久美子</t>
    <rPh sb="0" eb="2">
      <t>アダチ</t>
    </rPh>
    <rPh sb="3" eb="6">
      <t>クミコ</t>
    </rPh>
    <phoneticPr fontId="1"/>
  </si>
  <si>
    <t>070-5502-0935</t>
    <phoneticPr fontId="1"/>
  </si>
  <si>
    <t>0797-91-2953</t>
    <phoneticPr fontId="1"/>
  </si>
  <si>
    <t>上野　義彦</t>
    <rPh sb="0" eb="2">
      <t>ウエノ</t>
    </rPh>
    <rPh sb="3" eb="5">
      <t>ヨシヒコ</t>
    </rPh>
    <phoneticPr fontId="1"/>
  </si>
  <si>
    <t>兵庫県宝塚市中筋6-11-14</t>
    <rPh sb="0" eb="6">
      <t>ヒョウゴケンタカラヅカシ</t>
    </rPh>
    <rPh sb="6" eb="8">
      <t>ナカスジ</t>
    </rPh>
    <phoneticPr fontId="1"/>
  </si>
  <si>
    <t>090-9056-2247</t>
    <phoneticPr fontId="1"/>
  </si>
  <si>
    <t>東原　政仁</t>
    <rPh sb="0" eb="2">
      <t>ヒガシハラ</t>
    </rPh>
    <rPh sb="3" eb="5">
      <t>マサヒト</t>
    </rPh>
    <phoneticPr fontId="1"/>
  </si>
  <si>
    <t>兵庫県伊丹市荒牧5-20-25-205</t>
    <rPh sb="0" eb="3">
      <t>ヒョウゴケン</t>
    </rPh>
    <rPh sb="3" eb="6">
      <t>イタミシ</t>
    </rPh>
    <rPh sb="6" eb="8">
      <t>アラマキ</t>
    </rPh>
    <phoneticPr fontId="1"/>
  </si>
  <si>
    <t>080-4245-3494</t>
    <phoneticPr fontId="1"/>
  </si>
  <si>
    <t>横田　健一</t>
    <rPh sb="0" eb="2">
      <t>ヨコタ</t>
    </rPh>
    <rPh sb="3" eb="5">
      <t>ケンイチ</t>
    </rPh>
    <phoneticPr fontId="1"/>
  </si>
  <si>
    <t>556-0021</t>
    <phoneticPr fontId="1"/>
  </si>
  <si>
    <t>大阪府大阪市堺市浪速区幸町2-3-3-5F</t>
    <rPh sb="0" eb="3">
      <t>オオサカフ</t>
    </rPh>
    <rPh sb="3" eb="6">
      <t>オオサカシ</t>
    </rPh>
    <rPh sb="6" eb="8">
      <t>サカイシ</t>
    </rPh>
    <rPh sb="8" eb="11">
      <t>ナニワク</t>
    </rPh>
    <rPh sb="11" eb="12">
      <t>サチ</t>
    </rPh>
    <rPh sb="12" eb="13">
      <t>マチ</t>
    </rPh>
    <phoneticPr fontId="1"/>
  </si>
  <si>
    <t>080-4237-5619</t>
    <phoneticPr fontId="1"/>
  </si>
  <si>
    <t>インスタを見てのご来店</t>
    <rPh sb="5" eb="6">
      <t>ミ</t>
    </rPh>
    <rPh sb="9" eb="11">
      <t>ライテン</t>
    </rPh>
    <phoneticPr fontId="1"/>
  </si>
  <si>
    <t>090-8205-2313</t>
    <phoneticPr fontId="1"/>
  </si>
  <si>
    <t>清水　信幸</t>
    <rPh sb="0" eb="2">
      <t>シミズ</t>
    </rPh>
    <rPh sb="3" eb="5">
      <t>ノブユキ</t>
    </rPh>
    <phoneticPr fontId="1"/>
  </si>
  <si>
    <t>590-0111</t>
    <phoneticPr fontId="1"/>
  </si>
  <si>
    <t>大阪府堺市南区三原台3-35-11</t>
    <rPh sb="0" eb="3">
      <t>オオサカフ</t>
    </rPh>
    <rPh sb="3" eb="5">
      <t>サカイシ</t>
    </rPh>
    <rPh sb="5" eb="7">
      <t>ミナミク</t>
    </rPh>
    <rPh sb="7" eb="10">
      <t>ミハラダイ</t>
    </rPh>
    <phoneticPr fontId="1"/>
  </si>
  <si>
    <t>三田　貴樹</t>
    <rPh sb="0" eb="2">
      <t>ミタ</t>
    </rPh>
    <rPh sb="3" eb="4">
      <t>タカ</t>
    </rPh>
    <rPh sb="4" eb="5">
      <t>キ</t>
    </rPh>
    <phoneticPr fontId="1"/>
  </si>
  <si>
    <t>566-0055</t>
    <phoneticPr fontId="1"/>
  </si>
  <si>
    <t>大阪府摂津市新在家1-19-18</t>
    <rPh sb="0" eb="3">
      <t>オオサカフ</t>
    </rPh>
    <rPh sb="3" eb="6">
      <t>セッツシ</t>
    </rPh>
    <rPh sb="6" eb="9">
      <t>シンザイケ</t>
    </rPh>
    <phoneticPr fontId="1"/>
  </si>
  <si>
    <t>080-9604-6738</t>
    <phoneticPr fontId="1"/>
  </si>
  <si>
    <t>宮﨑　和親</t>
    <rPh sb="0" eb="2">
      <t>ミヤザキ</t>
    </rPh>
    <rPh sb="3" eb="5">
      <t>カズチカ</t>
    </rPh>
    <phoneticPr fontId="1"/>
  </si>
  <si>
    <t>581-0081</t>
    <phoneticPr fontId="1"/>
  </si>
  <si>
    <t>大阪府八尾市南本町7-5-32</t>
    <rPh sb="0" eb="3">
      <t>オオサカフ</t>
    </rPh>
    <rPh sb="3" eb="6">
      <t>ヤオシ</t>
    </rPh>
    <rPh sb="6" eb="9">
      <t>ミナミホンマチ</t>
    </rPh>
    <phoneticPr fontId="1"/>
  </si>
  <si>
    <t>072-924-2438</t>
    <phoneticPr fontId="1"/>
  </si>
  <si>
    <t>元岡　千春</t>
    <rPh sb="0" eb="2">
      <t>モトオカ</t>
    </rPh>
    <rPh sb="3" eb="5">
      <t>チハル</t>
    </rPh>
    <phoneticPr fontId="1"/>
  </si>
  <si>
    <t>665-0821</t>
    <phoneticPr fontId="1"/>
  </si>
  <si>
    <t>兵庫県宝塚市安倉北3-5-30</t>
    <rPh sb="0" eb="3">
      <t>ヒョウゴケン</t>
    </rPh>
    <rPh sb="3" eb="6">
      <t>タカラヅカシ</t>
    </rPh>
    <rPh sb="6" eb="8">
      <t>アクラ</t>
    </rPh>
    <rPh sb="8" eb="9">
      <t>キタ</t>
    </rPh>
    <phoneticPr fontId="1"/>
  </si>
  <si>
    <t>080-3777-5865</t>
    <phoneticPr fontId="1"/>
  </si>
  <si>
    <t>澤井　有利子</t>
    <rPh sb="0" eb="2">
      <t>サワイ</t>
    </rPh>
    <rPh sb="3" eb="4">
      <t>ユウ</t>
    </rPh>
    <rPh sb="4" eb="5">
      <t>リ</t>
    </rPh>
    <rPh sb="5" eb="6">
      <t>コ</t>
    </rPh>
    <phoneticPr fontId="1"/>
  </si>
  <si>
    <t>540-0021</t>
    <phoneticPr fontId="1"/>
  </si>
  <si>
    <t>大阪府大阪市中央区大手通1-3-11-2501</t>
    <rPh sb="0" eb="3">
      <t>オオサカフ</t>
    </rPh>
    <rPh sb="3" eb="6">
      <t>オオサカシ</t>
    </rPh>
    <rPh sb="6" eb="9">
      <t>チュウオウク</t>
    </rPh>
    <rPh sb="9" eb="12">
      <t>オオテドオリ</t>
    </rPh>
    <phoneticPr fontId="1"/>
  </si>
  <si>
    <t>080-4480-7420</t>
    <phoneticPr fontId="1"/>
  </si>
  <si>
    <t>澤井様お知り合い</t>
    <rPh sb="0" eb="2">
      <t>サワイ</t>
    </rPh>
    <rPh sb="2" eb="3">
      <t>サマ</t>
    </rPh>
    <rPh sb="4" eb="5">
      <t>シ</t>
    </rPh>
    <rPh sb="6" eb="7">
      <t>ア</t>
    </rPh>
    <phoneticPr fontId="1"/>
  </si>
  <si>
    <t>半田　美津紀</t>
    <rPh sb="0" eb="2">
      <t>ハンダ</t>
    </rPh>
    <rPh sb="3" eb="6">
      <t>ミヅキ</t>
    </rPh>
    <phoneticPr fontId="1"/>
  </si>
  <si>
    <t>583-0884</t>
    <phoneticPr fontId="1"/>
  </si>
  <si>
    <t>大阪府羽曳野市野256-3</t>
    <rPh sb="0" eb="3">
      <t>オオサカフ</t>
    </rPh>
    <rPh sb="3" eb="7">
      <t>ハビキノシ</t>
    </rPh>
    <rPh sb="7" eb="8">
      <t>ノ</t>
    </rPh>
    <phoneticPr fontId="1"/>
  </si>
  <si>
    <t>072-955-0117</t>
    <phoneticPr fontId="1"/>
  </si>
  <si>
    <t>石倉　恵次</t>
    <rPh sb="0" eb="2">
      <t>イシクラ</t>
    </rPh>
    <rPh sb="3" eb="4">
      <t>メグミ</t>
    </rPh>
    <rPh sb="4" eb="5">
      <t>ツギ</t>
    </rPh>
    <phoneticPr fontId="1"/>
  </si>
  <si>
    <t>兵庫県宝塚市長尾町72-1-703</t>
    <rPh sb="0" eb="3">
      <t>ヒョウゴケン</t>
    </rPh>
    <rPh sb="3" eb="6">
      <t>タカラヅカシ</t>
    </rPh>
    <rPh sb="6" eb="8">
      <t>ナガオ</t>
    </rPh>
    <rPh sb="8" eb="9">
      <t>マチ</t>
    </rPh>
    <phoneticPr fontId="1"/>
  </si>
  <si>
    <t>090-1418-5263</t>
    <phoneticPr fontId="1"/>
  </si>
  <si>
    <t>藤本　渉</t>
    <rPh sb="0" eb="2">
      <t>フジモト</t>
    </rPh>
    <rPh sb="3" eb="4">
      <t>ワタル</t>
    </rPh>
    <phoneticPr fontId="1"/>
  </si>
  <si>
    <t>665-0822</t>
    <phoneticPr fontId="1"/>
  </si>
  <si>
    <t>兵庫県宝塚市安倉中6-2-7</t>
    <rPh sb="0" eb="8">
      <t>ヒョウゴケンタカラヅカシアクラ</t>
    </rPh>
    <rPh sb="8" eb="9">
      <t>ナカ</t>
    </rPh>
    <phoneticPr fontId="1"/>
  </si>
  <si>
    <t>0797-86-8396</t>
    <phoneticPr fontId="1"/>
  </si>
  <si>
    <t>川　浩司</t>
    <rPh sb="0" eb="1">
      <t>カワ</t>
    </rPh>
    <rPh sb="2" eb="4">
      <t>コウジ</t>
    </rPh>
    <phoneticPr fontId="1"/>
  </si>
  <si>
    <t>兵庫県川西市加茂4-8-1-601</t>
    <rPh sb="0" eb="3">
      <t>ヒョウゴケン</t>
    </rPh>
    <rPh sb="3" eb="6">
      <t>カワニシシ</t>
    </rPh>
    <rPh sb="6" eb="8">
      <t>カモ</t>
    </rPh>
    <phoneticPr fontId="1"/>
  </si>
  <si>
    <t>090-7350-2393</t>
    <phoneticPr fontId="1"/>
  </si>
  <si>
    <t>5月末ビジターで再来店ののち、6月より入会希望</t>
    <rPh sb="1" eb="3">
      <t>ガツマツ</t>
    </rPh>
    <rPh sb="8" eb="11">
      <t>サイライテン</t>
    </rPh>
    <rPh sb="16" eb="17">
      <t>ガツ</t>
    </rPh>
    <rPh sb="19" eb="21">
      <t>ニュウカイ</t>
    </rPh>
    <rPh sb="21" eb="23">
      <t>キボウ</t>
    </rPh>
    <phoneticPr fontId="1"/>
  </si>
  <si>
    <t>牧　司</t>
    <rPh sb="0" eb="1">
      <t>マキ</t>
    </rPh>
    <rPh sb="2" eb="3">
      <t>ツカサ</t>
    </rPh>
    <phoneticPr fontId="1"/>
  </si>
  <si>
    <t>愛知県岡崎市戸崎町藤狭8-27</t>
    <rPh sb="0" eb="3">
      <t>アイチケン</t>
    </rPh>
    <rPh sb="3" eb="5">
      <t>オカザキ</t>
    </rPh>
    <rPh sb="5" eb="6">
      <t>シ</t>
    </rPh>
    <rPh sb="6" eb="7">
      <t>ト</t>
    </rPh>
    <rPh sb="7" eb="8">
      <t>サキ</t>
    </rPh>
    <rPh sb="8" eb="9">
      <t>マチ</t>
    </rPh>
    <rPh sb="9" eb="10">
      <t>フジ</t>
    </rPh>
    <rPh sb="10" eb="11">
      <t>セマ</t>
    </rPh>
    <phoneticPr fontId="1"/>
  </si>
  <si>
    <t>0564-71-2398</t>
    <phoneticPr fontId="1"/>
  </si>
  <si>
    <t>古川ご子息様お知り合い</t>
    <rPh sb="0" eb="2">
      <t>フルカワ</t>
    </rPh>
    <rPh sb="3" eb="5">
      <t>シソク</t>
    </rPh>
    <rPh sb="5" eb="6">
      <t>サマ</t>
    </rPh>
    <rPh sb="7" eb="8">
      <t>シ</t>
    </rPh>
    <rPh sb="9" eb="10">
      <t>ア</t>
    </rPh>
    <phoneticPr fontId="1"/>
  </si>
  <si>
    <t>河原　本弥</t>
    <rPh sb="0" eb="2">
      <t>カワハラ</t>
    </rPh>
    <rPh sb="3" eb="4">
      <t>ホン</t>
    </rPh>
    <rPh sb="4" eb="5">
      <t>ヤ</t>
    </rPh>
    <phoneticPr fontId="1"/>
  </si>
  <si>
    <t>090-1907-2524</t>
    <phoneticPr fontId="1"/>
  </si>
  <si>
    <t>福井　世志紀</t>
    <rPh sb="0" eb="2">
      <t>フクイ</t>
    </rPh>
    <rPh sb="3" eb="4">
      <t>ヨ</t>
    </rPh>
    <rPh sb="4" eb="5">
      <t>シ</t>
    </rPh>
    <rPh sb="5" eb="6">
      <t>キ</t>
    </rPh>
    <phoneticPr fontId="1"/>
  </si>
  <si>
    <t>665-0057</t>
    <phoneticPr fontId="1"/>
  </si>
  <si>
    <t>兵庫県宝塚市大吹町10-25</t>
    <rPh sb="0" eb="3">
      <t>ヒョウゴケン</t>
    </rPh>
    <rPh sb="3" eb="5">
      <t>タカラヅカ</t>
    </rPh>
    <rPh sb="5" eb="6">
      <t>シ</t>
    </rPh>
    <rPh sb="6" eb="7">
      <t>ダイ</t>
    </rPh>
    <rPh sb="7" eb="8">
      <t>フ</t>
    </rPh>
    <rPh sb="8" eb="9">
      <t>マチ</t>
    </rPh>
    <phoneticPr fontId="1"/>
  </si>
  <si>
    <t>shipona1007@gmail.com</t>
    <phoneticPr fontId="1"/>
  </si>
  <si>
    <t>090-2599-3551</t>
    <phoneticPr fontId="1"/>
  </si>
  <si>
    <t>中里　伸也</t>
    <rPh sb="0" eb="2">
      <t>ナカサト</t>
    </rPh>
    <rPh sb="3" eb="4">
      <t>シン</t>
    </rPh>
    <rPh sb="4" eb="5">
      <t>ヤ</t>
    </rPh>
    <phoneticPr fontId="1"/>
  </si>
  <si>
    <t>664-0856</t>
    <phoneticPr fontId="1"/>
  </si>
  <si>
    <t>兵庫県伊丹市梅ノ木4-3-45-101</t>
    <rPh sb="0" eb="3">
      <t>ヒョウゴケン</t>
    </rPh>
    <rPh sb="3" eb="6">
      <t>イタミシ</t>
    </rPh>
    <rPh sb="6" eb="7">
      <t>ウメ</t>
    </rPh>
    <rPh sb="8" eb="9">
      <t>キ</t>
    </rPh>
    <phoneticPr fontId="1"/>
  </si>
  <si>
    <t>s.nakasato@ezweb.ne.jp</t>
    <phoneticPr fontId="1"/>
  </si>
  <si>
    <t>090-3269-0407</t>
    <phoneticPr fontId="1"/>
  </si>
  <si>
    <t>寺村　安司</t>
    <rPh sb="0" eb="2">
      <t>テラムラ</t>
    </rPh>
    <rPh sb="3" eb="4">
      <t>ヤス</t>
    </rPh>
    <rPh sb="4" eb="5">
      <t>ツカサ</t>
    </rPh>
    <phoneticPr fontId="1"/>
  </si>
  <si>
    <t>706-0151</t>
    <phoneticPr fontId="1"/>
  </si>
  <si>
    <t>岡山県玉野市長尾1609-217</t>
    <rPh sb="0" eb="2">
      <t>オカヤマ</t>
    </rPh>
    <rPh sb="2" eb="3">
      <t>ケン</t>
    </rPh>
    <rPh sb="3" eb="6">
      <t>タマノシ</t>
    </rPh>
    <rPh sb="6" eb="8">
      <t>ナガオ</t>
    </rPh>
    <phoneticPr fontId="1"/>
  </si>
  <si>
    <t>0863-31-3265</t>
    <phoneticPr fontId="1"/>
  </si>
  <si>
    <t>ご入会</t>
    <rPh sb="1" eb="3">
      <t>ニュウカイ</t>
    </rPh>
    <phoneticPr fontId="1"/>
  </si>
  <si>
    <t>665-0815</t>
    <phoneticPr fontId="1"/>
  </si>
  <si>
    <t>兵庫県宝塚市山本丸橋1-7-27</t>
    <rPh sb="0" eb="5">
      <t>ヒョウゴケンタカラヅカ</t>
    </rPh>
    <rPh sb="5" eb="6">
      <t>シ</t>
    </rPh>
    <rPh sb="6" eb="8">
      <t>ヤマモト</t>
    </rPh>
    <rPh sb="8" eb="10">
      <t>マルハシ</t>
    </rPh>
    <phoneticPr fontId="1"/>
  </si>
  <si>
    <t>090-8750-3641</t>
    <phoneticPr fontId="1"/>
  </si>
  <si>
    <t>田中　雅登</t>
    <rPh sb="0" eb="2">
      <t>タナカ</t>
    </rPh>
    <rPh sb="3" eb="4">
      <t>マサ</t>
    </rPh>
    <rPh sb="4" eb="5">
      <t>ノボル</t>
    </rPh>
    <phoneticPr fontId="1"/>
  </si>
  <si>
    <t>565-0874</t>
    <phoneticPr fontId="1"/>
  </si>
  <si>
    <t>大阪府吹田市古江台210-17</t>
    <rPh sb="0" eb="3">
      <t>オオサカフ</t>
    </rPh>
    <rPh sb="3" eb="6">
      <t>スイタシ</t>
    </rPh>
    <rPh sb="6" eb="9">
      <t>フルエダイ</t>
    </rPh>
    <phoneticPr fontId="1"/>
  </si>
  <si>
    <t>090-7368-2428</t>
    <phoneticPr fontId="1"/>
  </si>
  <si>
    <t>社長お知り合い　ご入会</t>
    <rPh sb="0" eb="2">
      <t>シャチョウ</t>
    </rPh>
    <rPh sb="3" eb="4">
      <t>シ</t>
    </rPh>
    <rPh sb="5" eb="6">
      <t>ア</t>
    </rPh>
    <rPh sb="9" eb="11">
      <t>ニュウカイ</t>
    </rPh>
    <phoneticPr fontId="1"/>
  </si>
  <si>
    <t>金谷　一興</t>
    <rPh sb="0" eb="2">
      <t>カナタニ</t>
    </rPh>
    <rPh sb="3" eb="4">
      <t>イチ</t>
    </rPh>
    <rPh sb="4" eb="5">
      <t>オキ</t>
    </rPh>
    <phoneticPr fontId="1"/>
  </si>
  <si>
    <t>559-0016</t>
    <phoneticPr fontId="1"/>
  </si>
  <si>
    <t>大阪府大阪市住之江区西加賀屋2-1-3</t>
    <rPh sb="0" eb="3">
      <t>オオサカフ</t>
    </rPh>
    <rPh sb="3" eb="6">
      <t>オオサカシ</t>
    </rPh>
    <rPh sb="6" eb="10">
      <t>スミノエク</t>
    </rPh>
    <rPh sb="10" eb="11">
      <t>ニシ</t>
    </rPh>
    <rPh sb="11" eb="13">
      <t>カガ</t>
    </rPh>
    <rPh sb="13" eb="14">
      <t>ヤ</t>
    </rPh>
    <phoneticPr fontId="1"/>
  </si>
  <si>
    <t>090-3356-4121</t>
    <phoneticPr fontId="1"/>
  </si>
  <si>
    <t>加藤　辰信</t>
    <rPh sb="0" eb="2">
      <t>カトウ</t>
    </rPh>
    <rPh sb="3" eb="5">
      <t>タツノブ</t>
    </rPh>
    <phoneticPr fontId="1"/>
  </si>
  <si>
    <t>563-0043</t>
    <phoneticPr fontId="1"/>
  </si>
  <si>
    <t>大阪府池田市神田4-4-20</t>
    <rPh sb="0" eb="3">
      <t>オオサカフ</t>
    </rPh>
    <rPh sb="3" eb="6">
      <t>イケダシ</t>
    </rPh>
    <rPh sb="6" eb="8">
      <t>カンダ</t>
    </rPh>
    <phoneticPr fontId="1"/>
  </si>
  <si>
    <t>090-9093-4038</t>
    <phoneticPr fontId="1"/>
  </si>
  <si>
    <t>西原　康夫</t>
    <rPh sb="0" eb="2">
      <t>ニシハラ</t>
    </rPh>
    <rPh sb="3" eb="5">
      <t>ヤスオ</t>
    </rPh>
    <phoneticPr fontId="1"/>
  </si>
  <si>
    <t>560-0016</t>
    <phoneticPr fontId="1"/>
  </si>
  <si>
    <t>大阪府豊中市栗ケ丘町2-34</t>
    <rPh sb="0" eb="3">
      <t>オオサカフ</t>
    </rPh>
    <rPh sb="3" eb="6">
      <t>トヨナカシ</t>
    </rPh>
    <rPh sb="6" eb="9">
      <t>クリガオカ</t>
    </rPh>
    <rPh sb="9" eb="10">
      <t>マチ</t>
    </rPh>
    <phoneticPr fontId="1"/>
  </si>
  <si>
    <t>090-3721-1116</t>
    <phoneticPr fontId="1"/>
  </si>
  <si>
    <t>松本　雅一</t>
    <rPh sb="0" eb="2">
      <t>マツモト</t>
    </rPh>
    <rPh sb="3" eb="5">
      <t>マサカズ</t>
    </rPh>
    <phoneticPr fontId="1"/>
  </si>
  <si>
    <t>547-0016</t>
    <phoneticPr fontId="1"/>
  </si>
  <si>
    <t>大阪府大阪市平野区長吉長原1-12-2</t>
    <rPh sb="0" eb="3">
      <t>オオサカフ</t>
    </rPh>
    <rPh sb="3" eb="6">
      <t>オオサカシ</t>
    </rPh>
    <rPh sb="6" eb="9">
      <t>ヒラノク</t>
    </rPh>
    <rPh sb="9" eb="11">
      <t>ナガヨシ</t>
    </rPh>
    <rPh sb="11" eb="13">
      <t>ナガハラ</t>
    </rPh>
    <phoneticPr fontId="1"/>
  </si>
  <si>
    <t>080-1455-7710</t>
    <phoneticPr fontId="1"/>
  </si>
  <si>
    <t>会員田中秀徳様　お知り合い</t>
    <rPh sb="0" eb="2">
      <t>カイイン</t>
    </rPh>
    <rPh sb="2" eb="4">
      <t>タナカ</t>
    </rPh>
    <rPh sb="4" eb="5">
      <t>ヒデ</t>
    </rPh>
    <rPh sb="5" eb="6">
      <t>トク</t>
    </rPh>
    <rPh sb="6" eb="7">
      <t>サマ</t>
    </rPh>
    <rPh sb="9" eb="10">
      <t>シ</t>
    </rPh>
    <rPh sb="11" eb="12">
      <t>ア</t>
    </rPh>
    <phoneticPr fontId="1"/>
  </si>
  <si>
    <t>2019/5/20 入会されました</t>
    <rPh sb="10" eb="12">
      <t>ニュウカイ</t>
    </rPh>
    <phoneticPr fontId="1"/>
  </si>
  <si>
    <t>酒井　克郎</t>
    <rPh sb="0" eb="2">
      <t>サカイ</t>
    </rPh>
    <rPh sb="3" eb="4">
      <t>カツ</t>
    </rPh>
    <rPh sb="4" eb="5">
      <t>ロウ</t>
    </rPh>
    <phoneticPr fontId="1"/>
  </si>
  <si>
    <t>665-0871</t>
    <phoneticPr fontId="1"/>
  </si>
  <si>
    <t>兵庫県宝塚市中山五月台1-11-1</t>
    <rPh sb="0" eb="6">
      <t>ヒョウゴケンタカラヅカシ</t>
    </rPh>
    <rPh sb="6" eb="8">
      <t>ナカヤマ</t>
    </rPh>
    <rPh sb="8" eb="11">
      <t>サツキダイ</t>
    </rPh>
    <phoneticPr fontId="1"/>
  </si>
  <si>
    <t>090-3223-8922</t>
    <phoneticPr fontId="1"/>
  </si>
  <si>
    <t>佐藤　信次</t>
    <rPh sb="0" eb="2">
      <t>サトウ</t>
    </rPh>
    <rPh sb="3" eb="4">
      <t>ノブ</t>
    </rPh>
    <rPh sb="4" eb="5">
      <t>ツギ</t>
    </rPh>
    <phoneticPr fontId="1"/>
  </si>
  <si>
    <t>651-1223</t>
    <phoneticPr fontId="1"/>
  </si>
  <si>
    <t>神戸市北区桂木3-26-7</t>
    <rPh sb="0" eb="3">
      <t>コウベシ</t>
    </rPh>
    <rPh sb="3" eb="5">
      <t>キタク</t>
    </rPh>
    <rPh sb="5" eb="7">
      <t>カツラギ</t>
    </rPh>
    <phoneticPr fontId="1"/>
  </si>
  <si>
    <t>080-5302-1956</t>
    <phoneticPr fontId="1"/>
  </si>
  <si>
    <t>ssent@icloud.com</t>
    <phoneticPr fontId="1"/>
  </si>
  <si>
    <t>森井　裕二郎</t>
    <rPh sb="0" eb="2">
      <t>モリイ</t>
    </rPh>
    <rPh sb="3" eb="6">
      <t>ユウジロウ</t>
    </rPh>
    <phoneticPr fontId="1"/>
  </si>
  <si>
    <t>591-8031</t>
    <phoneticPr fontId="1"/>
  </si>
  <si>
    <t>大阪府堺市北区中百舌鳥梅北町5-28コラッジオなかもず1-201</t>
    <rPh sb="0" eb="3">
      <t>オオサカフ</t>
    </rPh>
    <rPh sb="3" eb="5">
      <t>サカイシ</t>
    </rPh>
    <rPh sb="5" eb="7">
      <t>キタク</t>
    </rPh>
    <rPh sb="7" eb="11">
      <t>ナカモズ</t>
    </rPh>
    <rPh sb="11" eb="12">
      <t>ウメ</t>
    </rPh>
    <rPh sb="12" eb="14">
      <t>キタマチ</t>
    </rPh>
    <phoneticPr fontId="1"/>
  </si>
  <si>
    <t>080-2465-8871</t>
    <phoneticPr fontId="1"/>
  </si>
  <si>
    <t>moricou169@gmail.com</t>
    <phoneticPr fontId="1"/>
  </si>
  <si>
    <t>シャフトお買い上げ</t>
    <rPh sb="5" eb="6">
      <t>カ</t>
    </rPh>
    <rPh sb="7" eb="8">
      <t>ア</t>
    </rPh>
    <phoneticPr fontId="1"/>
  </si>
  <si>
    <t>溝部　修平</t>
    <rPh sb="0" eb="2">
      <t>ミゾベ</t>
    </rPh>
    <rPh sb="3" eb="4">
      <t>シュウ</t>
    </rPh>
    <rPh sb="4" eb="5">
      <t>ヘイ</t>
    </rPh>
    <phoneticPr fontId="1"/>
  </si>
  <si>
    <t>664-0028</t>
    <phoneticPr fontId="1"/>
  </si>
  <si>
    <t>兵庫県伊丹市西野5-324</t>
    <rPh sb="0" eb="3">
      <t>ヒョウゴケン</t>
    </rPh>
    <rPh sb="3" eb="6">
      <t>イタミシ</t>
    </rPh>
    <rPh sb="6" eb="7">
      <t>ニシ</t>
    </rPh>
    <rPh sb="7" eb="8">
      <t>ノ</t>
    </rPh>
    <phoneticPr fontId="1"/>
  </si>
  <si>
    <t>shuwa.mizobe@clock.ocn.ne.jp</t>
    <phoneticPr fontId="1"/>
  </si>
  <si>
    <t>090-6052-4333</t>
    <phoneticPr fontId="1"/>
  </si>
  <si>
    <t>会員竹田正人様　お知り合い</t>
    <rPh sb="0" eb="2">
      <t>カイイン</t>
    </rPh>
    <rPh sb="2" eb="4">
      <t>タケダ</t>
    </rPh>
    <rPh sb="4" eb="6">
      <t>マサト</t>
    </rPh>
    <rPh sb="6" eb="7">
      <t>サマ</t>
    </rPh>
    <rPh sb="9" eb="10">
      <t>シ</t>
    </rPh>
    <rPh sb="11" eb="12">
      <t>ア</t>
    </rPh>
    <phoneticPr fontId="1"/>
  </si>
  <si>
    <t>前川　明</t>
    <rPh sb="0" eb="2">
      <t>マエカワ</t>
    </rPh>
    <rPh sb="3" eb="4">
      <t>アキラ</t>
    </rPh>
    <phoneticPr fontId="1"/>
  </si>
  <si>
    <t>665-0816</t>
    <phoneticPr fontId="1"/>
  </si>
  <si>
    <t>兵庫県宝塚市平井2-1-13</t>
    <rPh sb="0" eb="3">
      <t>ヒョウゴケン</t>
    </rPh>
    <rPh sb="3" eb="6">
      <t>タカラヅカシ</t>
    </rPh>
    <rPh sb="6" eb="8">
      <t>ヒライ</t>
    </rPh>
    <phoneticPr fontId="1"/>
  </si>
  <si>
    <t>maekawa736@wombat.tag.ne.jp</t>
    <phoneticPr fontId="1"/>
  </si>
  <si>
    <t>090-1481-5744</t>
    <phoneticPr fontId="1"/>
  </si>
  <si>
    <t>石岡　映子</t>
    <rPh sb="0" eb="2">
      <t>イシオカ</t>
    </rPh>
    <rPh sb="3" eb="4">
      <t>エイ</t>
    </rPh>
    <rPh sb="4" eb="5">
      <t>コ</t>
    </rPh>
    <phoneticPr fontId="1"/>
  </si>
  <si>
    <t>大阪府豊中市新千里北町2-12-6</t>
    <rPh sb="0" eb="3">
      <t>オオサカフ</t>
    </rPh>
    <rPh sb="3" eb="6">
      <t>トヨナカシ</t>
    </rPh>
    <rPh sb="6" eb="7">
      <t>シン</t>
    </rPh>
    <rPh sb="7" eb="8">
      <t>セン</t>
    </rPh>
    <rPh sb="8" eb="9">
      <t>リ</t>
    </rPh>
    <rPh sb="9" eb="11">
      <t>キタマチ</t>
    </rPh>
    <phoneticPr fontId="1"/>
  </si>
  <si>
    <t>ishioka@asca-co.com</t>
    <phoneticPr fontId="1"/>
  </si>
  <si>
    <t>090-3946-1766</t>
    <phoneticPr fontId="1"/>
  </si>
  <si>
    <t>古川店長お知り合い</t>
    <rPh sb="0" eb="2">
      <t>フルカワ</t>
    </rPh>
    <rPh sb="2" eb="4">
      <t>テンチョウ</t>
    </rPh>
    <rPh sb="5" eb="6">
      <t>シ</t>
    </rPh>
    <rPh sb="7" eb="8">
      <t>ア</t>
    </rPh>
    <phoneticPr fontId="1"/>
  </si>
  <si>
    <t>田村　光司</t>
    <rPh sb="0" eb="2">
      <t>タムラ</t>
    </rPh>
    <rPh sb="3" eb="5">
      <t>ミツジ</t>
    </rPh>
    <phoneticPr fontId="1"/>
  </si>
  <si>
    <t>田村　恵子</t>
    <rPh sb="0" eb="2">
      <t>タムラ</t>
    </rPh>
    <rPh sb="3" eb="5">
      <t>ケイコ</t>
    </rPh>
    <phoneticPr fontId="1"/>
  </si>
  <si>
    <t>563-0029</t>
    <phoneticPr fontId="1"/>
  </si>
  <si>
    <t>大阪府池田市五月丘1-3-26</t>
    <rPh sb="0" eb="3">
      <t>オオサカフ</t>
    </rPh>
    <rPh sb="3" eb="6">
      <t>イケダシ</t>
    </rPh>
    <rPh sb="6" eb="8">
      <t>サツキ</t>
    </rPh>
    <rPh sb="8" eb="9">
      <t>オカ</t>
    </rPh>
    <phoneticPr fontId="1"/>
  </si>
  <si>
    <t>090-8820-1520</t>
    <phoneticPr fontId="1"/>
  </si>
  <si>
    <t>072-754-9088</t>
    <phoneticPr fontId="1"/>
  </si>
  <si>
    <t>井上　裕太</t>
    <rPh sb="0" eb="2">
      <t>イノウエ</t>
    </rPh>
    <rPh sb="3" eb="5">
      <t>ユウタ</t>
    </rPh>
    <phoneticPr fontId="1"/>
  </si>
  <si>
    <t>665-0883</t>
    <phoneticPr fontId="1"/>
  </si>
  <si>
    <t>兵庫県宝塚市山本中1-20-1-101</t>
    <rPh sb="0" eb="3">
      <t>ヒョウゴケン</t>
    </rPh>
    <rPh sb="3" eb="6">
      <t>タカラヅカシ</t>
    </rPh>
    <rPh sb="6" eb="8">
      <t>ヤマモト</t>
    </rPh>
    <rPh sb="8" eb="9">
      <t>ナカ</t>
    </rPh>
    <phoneticPr fontId="1"/>
  </si>
  <si>
    <t>inoyu0101@gmail.com</t>
    <phoneticPr fontId="1"/>
  </si>
  <si>
    <t>090-7359-0116</t>
    <phoneticPr fontId="1"/>
  </si>
  <si>
    <t>飯尾　玫子</t>
    <rPh sb="0" eb="2">
      <t>イイオ</t>
    </rPh>
    <rPh sb="4" eb="5">
      <t>コ</t>
    </rPh>
    <phoneticPr fontId="1"/>
  </si>
  <si>
    <t>兵庫県宝塚市中山五月台2-8-8</t>
    <rPh sb="0" eb="3">
      <t>ヒョウゴケン</t>
    </rPh>
    <rPh sb="3" eb="6">
      <t>タカラヅカシ</t>
    </rPh>
    <rPh sb="6" eb="8">
      <t>ナカヤマ</t>
    </rPh>
    <rPh sb="8" eb="11">
      <t>サツキダイ</t>
    </rPh>
    <phoneticPr fontId="1"/>
  </si>
  <si>
    <t>0797-88-6394</t>
    <phoneticPr fontId="1"/>
  </si>
  <si>
    <t>谷　敏子</t>
    <rPh sb="0" eb="1">
      <t>タニ</t>
    </rPh>
    <rPh sb="2" eb="4">
      <t>トシコ</t>
    </rPh>
    <phoneticPr fontId="1"/>
  </si>
  <si>
    <t>0797-89-1479</t>
    <phoneticPr fontId="1"/>
  </si>
  <si>
    <t>屋比久　隆貴</t>
    <rPh sb="0" eb="2">
      <t>ヤヒ</t>
    </rPh>
    <rPh sb="2" eb="3">
      <t>ク</t>
    </rPh>
    <rPh sb="4" eb="5">
      <t>リュウ</t>
    </rPh>
    <rPh sb="5" eb="6">
      <t>タカシ</t>
    </rPh>
    <phoneticPr fontId="1"/>
  </si>
  <si>
    <t>675-1334</t>
    <phoneticPr fontId="1"/>
  </si>
  <si>
    <t>兵庫県小野市大島町1658-2　サンフィオーレ大島2　101</t>
    <rPh sb="0" eb="3">
      <t>ヒョウゴケン</t>
    </rPh>
    <rPh sb="3" eb="6">
      <t>オノシ</t>
    </rPh>
    <rPh sb="6" eb="9">
      <t>オオシマチョウ</t>
    </rPh>
    <rPh sb="23" eb="25">
      <t>オオシマ</t>
    </rPh>
    <phoneticPr fontId="1"/>
  </si>
  <si>
    <t>090-9781-7236</t>
    <phoneticPr fontId="1"/>
  </si>
  <si>
    <t>武智　基教</t>
    <rPh sb="0" eb="2">
      <t>タケトモ</t>
    </rPh>
    <rPh sb="3" eb="4">
      <t>モト</t>
    </rPh>
    <rPh sb="4" eb="5">
      <t>キョウ</t>
    </rPh>
    <phoneticPr fontId="1"/>
  </si>
  <si>
    <t>665-0805</t>
    <phoneticPr fontId="1"/>
  </si>
  <si>
    <t>兵庫県宝塚市雲雀丘1-3-38</t>
    <rPh sb="0" eb="3">
      <t>ヒョウゴケン</t>
    </rPh>
    <rPh sb="3" eb="6">
      <t>タカラヅカシ</t>
    </rPh>
    <rPh sb="6" eb="8">
      <t>ヒバリ</t>
    </rPh>
    <rPh sb="8" eb="9">
      <t>オカ</t>
    </rPh>
    <phoneticPr fontId="1"/>
  </si>
  <si>
    <t>090-9874-8277</t>
    <phoneticPr fontId="1"/>
  </si>
  <si>
    <t>シャフトご購入　5/30再来店シャフト購入</t>
    <rPh sb="5" eb="7">
      <t>コウニュウ</t>
    </rPh>
    <rPh sb="12" eb="15">
      <t>サイライテン</t>
    </rPh>
    <rPh sb="19" eb="21">
      <t>コウニュウ</t>
    </rPh>
    <phoneticPr fontId="1"/>
  </si>
  <si>
    <t>金本　浩宇</t>
    <rPh sb="0" eb="2">
      <t>カネモト</t>
    </rPh>
    <rPh sb="3" eb="4">
      <t>ヒロ</t>
    </rPh>
    <rPh sb="4" eb="5">
      <t>ウ</t>
    </rPh>
    <phoneticPr fontId="1"/>
  </si>
  <si>
    <t>666-0017</t>
    <phoneticPr fontId="1"/>
  </si>
  <si>
    <t>兵庫県川西市火打1-21-13</t>
    <rPh sb="0" eb="3">
      <t>ヒョウゴケン</t>
    </rPh>
    <rPh sb="3" eb="6">
      <t>カワニシシ</t>
    </rPh>
    <rPh sb="6" eb="8">
      <t>ヒウチ</t>
    </rPh>
    <phoneticPr fontId="1"/>
  </si>
  <si>
    <t>080-3130-4395</t>
    <phoneticPr fontId="1"/>
  </si>
  <si>
    <t>kanemotohirotaka@live.jp</t>
    <phoneticPr fontId="1"/>
  </si>
  <si>
    <t>グリップ交換でご来店</t>
    <rPh sb="4" eb="6">
      <t>コウカン</t>
    </rPh>
    <rPh sb="8" eb="10">
      <t>ライテン</t>
    </rPh>
    <phoneticPr fontId="1"/>
  </si>
  <si>
    <t>村上　和久</t>
    <rPh sb="0" eb="2">
      <t>ムラカミ</t>
    </rPh>
    <rPh sb="3" eb="5">
      <t>カズヒサ</t>
    </rPh>
    <phoneticPr fontId="1"/>
  </si>
  <si>
    <t>兵庫県宝塚市山手台東1-2-1-914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ヒガシ</t>
    </rPh>
    <phoneticPr fontId="1"/>
  </si>
  <si>
    <t>090-9333-7861</t>
    <phoneticPr fontId="1"/>
  </si>
  <si>
    <t>ポスティングにて</t>
    <phoneticPr fontId="1"/>
  </si>
  <si>
    <t>松本隆司様　奥様</t>
    <rPh sb="0" eb="2">
      <t>マツモト</t>
    </rPh>
    <rPh sb="2" eb="5">
      <t>タカシサマ</t>
    </rPh>
    <rPh sb="6" eb="8">
      <t>オクサマ</t>
    </rPh>
    <phoneticPr fontId="1"/>
  </si>
  <si>
    <t>松本　道子</t>
    <rPh sb="0" eb="2">
      <t>マツモト</t>
    </rPh>
    <rPh sb="3" eb="5">
      <t>ミチコ</t>
    </rPh>
    <phoneticPr fontId="1"/>
  </si>
  <si>
    <t>岩本　泰輝</t>
    <rPh sb="0" eb="2">
      <t>イワモト</t>
    </rPh>
    <rPh sb="3" eb="5">
      <t>ヤステル</t>
    </rPh>
    <phoneticPr fontId="1"/>
  </si>
  <si>
    <t>兵庫県宝塚市小浜5丁目9-11-3</t>
    <rPh sb="0" eb="3">
      <t>ヒョウゴケン</t>
    </rPh>
    <rPh sb="3" eb="6">
      <t>タカラヅカシ</t>
    </rPh>
    <rPh sb="6" eb="8">
      <t>コハマ</t>
    </rPh>
    <rPh sb="9" eb="11">
      <t>チョウメ</t>
    </rPh>
    <phoneticPr fontId="1"/>
  </si>
  <si>
    <t>080-5760-4229</t>
    <phoneticPr fontId="1"/>
  </si>
  <si>
    <t>673-0551</t>
    <phoneticPr fontId="1"/>
  </si>
  <si>
    <t>兵庫県三木市志染町西自由が丘2-27-4-101</t>
    <rPh sb="0" eb="3">
      <t>ヒョウゴケン</t>
    </rPh>
    <rPh sb="3" eb="6">
      <t>ミキシ</t>
    </rPh>
    <phoneticPr fontId="1"/>
  </si>
  <si>
    <t>090-5256-3622</t>
    <phoneticPr fontId="1"/>
  </si>
  <si>
    <t>大窪　康徳</t>
    <rPh sb="0" eb="1">
      <t>ダイ</t>
    </rPh>
    <rPh sb="1" eb="2">
      <t>クボ</t>
    </rPh>
    <rPh sb="3" eb="5">
      <t>ヤスノリ</t>
    </rPh>
    <phoneticPr fontId="1"/>
  </si>
  <si>
    <t>松田　高明</t>
    <rPh sb="0" eb="2">
      <t>マツダ</t>
    </rPh>
    <rPh sb="3" eb="5">
      <t>タカアキ</t>
    </rPh>
    <phoneticPr fontId="1"/>
  </si>
  <si>
    <t>639-1019</t>
    <phoneticPr fontId="1"/>
  </si>
  <si>
    <t>奈良県大和郡山市永慶寺町3-16-303</t>
    <rPh sb="0" eb="3">
      <t>ナラケン</t>
    </rPh>
    <rPh sb="3" eb="8">
      <t>ヤマトコオリヤマシ</t>
    </rPh>
    <rPh sb="8" eb="11">
      <t>エイケイジ</t>
    </rPh>
    <rPh sb="11" eb="12">
      <t>マチ</t>
    </rPh>
    <phoneticPr fontId="1"/>
  </si>
  <si>
    <t>090-4272-0738</t>
    <phoneticPr fontId="1"/>
  </si>
  <si>
    <t>社長お知り合い　プロ</t>
    <rPh sb="0" eb="2">
      <t>シャチョウ</t>
    </rPh>
    <rPh sb="3" eb="4">
      <t>シ</t>
    </rPh>
    <rPh sb="5" eb="6">
      <t>ア</t>
    </rPh>
    <phoneticPr fontId="1"/>
  </si>
  <si>
    <t>ご入会（6か月まとめて現金払い）</t>
    <rPh sb="1" eb="3">
      <t>ニュウカイ</t>
    </rPh>
    <rPh sb="6" eb="7">
      <t>ゲツ</t>
    </rPh>
    <rPh sb="11" eb="13">
      <t>ゲンキン</t>
    </rPh>
    <rPh sb="13" eb="14">
      <t>バラ</t>
    </rPh>
    <phoneticPr fontId="1"/>
  </si>
  <si>
    <t>5/18入会</t>
    <rPh sb="4" eb="6">
      <t>ニュウカイ</t>
    </rPh>
    <phoneticPr fontId="1"/>
  </si>
  <si>
    <t>渡久地　宏三</t>
    <rPh sb="0" eb="1">
      <t>ワタ</t>
    </rPh>
    <rPh sb="1" eb="2">
      <t>ク</t>
    </rPh>
    <rPh sb="2" eb="3">
      <t>チ</t>
    </rPh>
    <rPh sb="4" eb="5">
      <t>ヒロ</t>
    </rPh>
    <rPh sb="5" eb="6">
      <t>サン</t>
    </rPh>
    <phoneticPr fontId="1"/>
  </si>
  <si>
    <t>666-0137</t>
    <phoneticPr fontId="1"/>
  </si>
  <si>
    <t>兵庫県川西市湯山台2-1-72-201</t>
    <rPh sb="0" eb="3">
      <t>ヒョウゴケン</t>
    </rPh>
    <rPh sb="3" eb="6">
      <t>カワニシシ</t>
    </rPh>
    <rPh sb="6" eb="8">
      <t>ユヤマ</t>
    </rPh>
    <rPh sb="8" eb="9">
      <t>ダイ</t>
    </rPh>
    <phoneticPr fontId="1"/>
  </si>
  <si>
    <t>090-6988-7032</t>
    <phoneticPr fontId="1"/>
  </si>
  <si>
    <t>田中　一子</t>
    <rPh sb="0" eb="2">
      <t>タナカ</t>
    </rPh>
    <rPh sb="3" eb="4">
      <t>イチ</t>
    </rPh>
    <rPh sb="4" eb="5">
      <t>コ</t>
    </rPh>
    <phoneticPr fontId="1"/>
  </si>
  <si>
    <t>兵庫県伊丹市荒牧6-25-3-401</t>
    <rPh sb="0" eb="3">
      <t>ヒョウゴケン</t>
    </rPh>
    <rPh sb="3" eb="6">
      <t>イタミシ</t>
    </rPh>
    <rPh sb="6" eb="8">
      <t>アラマキ</t>
    </rPh>
    <phoneticPr fontId="1"/>
  </si>
  <si>
    <t>090-1892-4451</t>
    <phoneticPr fontId="1"/>
  </si>
  <si>
    <t>安庭　理恵子</t>
    <rPh sb="0" eb="1">
      <t>ヤス</t>
    </rPh>
    <rPh sb="1" eb="2">
      <t>ニワ</t>
    </rPh>
    <rPh sb="3" eb="6">
      <t>リエコ</t>
    </rPh>
    <phoneticPr fontId="1"/>
  </si>
  <si>
    <t>665-0842</t>
    <phoneticPr fontId="1"/>
  </si>
  <si>
    <t>兵庫県宝塚市川面1-4-10</t>
    <rPh sb="0" eb="3">
      <t>ヒョウゴケン</t>
    </rPh>
    <rPh sb="3" eb="6">
      <t>タカラヅカシ</t>
    </rPh>
    <rPh sb="6" eb="7">
      <t>カワ</t>
    </rPh>
    <rPh sb="7" eb="8">
      <t>メン</t>
    </rPh>
    <phoneticPr fontId="1"/>
  </si>
  <si>
    <t>090-1599-7130</t>
    <phoneticPr fontId="1"/>
  </si>
  <si>
    <t>金田　博士</t>
    <rPh sb="0" eb="2">
      <t>カネダ</t>
    </rPh>
    <rPh sb="3" eb="5">
      <t>ハカセ</t>
    </rPh>
    <phoneticPr fontId="1"/>
  </si>
  <si>
    <t>544-0022</t>
    <phoneticPr fontId="1"/>
  </si>
  <si>
    <t>大阪市生野区中川西1-10-5</t>
    <rPh sb="0" eb="3">
      <t>オオサカシ</t>
    </rPh>
    <rPh sb="3" eb="6">
      <t>イクノク</t>
    </rPh>
    <rPh sb="6" eb="8">
      <t>ナカガワ</t>
    </rPh>
    <rPh sb="8" eb="9">
      <t>ニシ</t>
    </rPh>
    <phoneticPr fontId="1"/>
  </si>
  <si>
    <t>080-4499-8383</t>
    <phoneticPr fontId="1"/>
  </si>
  <si>
    <t>社長お知り合い</t>
    <rPh sb="0" eb="2">
      <t>シャチョウ</t>
    </rPh>
    <rPh sb="3" eb="4">
      <t>シ</t>
    </rPh>
    <rPh sb="5" eb="6">
      <t>ア</t>
    </rPh>
    <phoneticPr fontId="1"/>
  </si>
  <si>
    <t>利用料</t>
    <rPh sb="0" eb="3">
      <t>リヨウリョウ</t>
    </rPh>
    <phoneticPr fontId="1"/>
  </si>
  <si>
    <t>篠崎　豊一</t>
    <rPh sb="0" eb="2">
      <t>シノザキ</t>
    </rPh>
    <rPh sb="3" eb="5">
      <t>トヨイチ</t>
    </rPh>
    <phoneticPr fontId="1"/>
  </si>
  <si>
    <t>666-0035</t>
    <phoneticPr fontId="1"/>
  </si>
  <si>
    <t>兵庫県川西市花屋敷2-7-1</t>
    <rPh sb="0" eb="3">
      <t>ヒョウゴケン</t>
    </rPh>
    <rPh sb="3" eb="6">
      <t>カワニシシ</t>
    </rPh>
    <rPh sb="6" eb="9">
      <t>ハナヤシキ</t>
    </rPh>
    <phoneticPr fontId="1"/>
  </si>
  <si>
    <t>090-3621-9378</t>
    <phoneticPr fontId="1"/>
  </si>
  <si>
    <t>白石　博文</t>
    <rPh sb="0" eb="2">
      <t>シライシ</t>
    </rPh>
    <rPh sb="3" eb="5">
      <t>ヒロフミ</t>
    </rPh>
    <phoneticPr fontId="1"/>
  </si>
  <si>
    <t>大阪府都島区都島北通2-7-19</t>
    <rPh sb="0" eb="3">
      <t>オオサカフ</t>
    </rPh>
    <rPh sb="3" eb="5">
      <t>ミヤコジマ</t>
    </rPh>
    <rPh sb="5" eb="6">
      <t>ク</t>
    </rPh>
    <rPh sb="6" eb="8">
      <t>ミヤコジマ</t>
    </rPh>
    <rPh sb="8" eb="9">
      <t>キタ</t>
    </rPh>
    <rPh sb="9" eb="10">
      <t>トオ</t>
    </rPh>
    <phoneticPr fontId="1"/>
  </si>
  <si>
    <t>090-50456-9130</t>
    <phoneticPr fontId="1"/>
  </si>
  <si>
    <t>有元さんお知り合い　シャフトご購入</t>
    <rPh sb="0" eb="2">
      <t>アリモト</t>
    </rPh>
    <rPh sb="5" eb="6">
      <t>シ</t>
    </rPh>
    <rPh sb="7" eb="8">
      <t>ア</t>
    </rPh>
    <rPh sb="15" eb="17">
      <t>コウニュウ</t>
    </rPh>
    <phoneticPr fontId="1"/>
  </si>
  <si>
    <t>梁取　義彦</t>
    <rPh sb="0" eb="2">
      <t>ヤナドリ</t>
    </rPh>
    <rPh sb="3" eb="5">
      <t>ヨシヒコ</t>
    </rPh>
    <phoneticPr fontId="1"/>
  </si>
  <si>
    <t>大阪府吹田市佐竹台2-4-20-805</t>
    <rPh sb="0" eb="3">
      <t>オオサカフ</t>
    </rPh>
    <rPh sb="3" eb="5">
      <t>スイタ</t>
    </rPh>
    <rPh sb="5" eb="6">
      <t>シ</t>
    </rPh>
    <rPh sb="6" eb="9">
      <t>サタケダイ</t>
    </rPh>
    <phoneticPr fontId="1"/>
  </si>
  <si>
    <t>090-7171-3963</t>
    <phoneticPr fontId="1"/>
  </si>
  <si>
    <t>池上　尚之</t>
    <rPh sb="0" eb="2">
      <t>イケガミ</t>
    </rPh>
    <rPh sb="3" eb="5">
      <t>ナオユキ</t>
    </rPh>
    <phoneticPr fontId="1"/>
  </si>
  <si>
    <t>兵庫県伊丹市荒牧7-4-18</t>
    <rPh sb="0" eb="3">
      <t>ヒョウゴケン</t>
    </rPh>
    <rPh sb="3" eb="6">
      <t>イタミシ</t>
    </rPh>
    <rPh sb="6" eb="8">
      <t>アラマキ</t>
    </rPh>
    <phoneticPr fontId="1"/>
  </si>
  <si>
    <t>072-782-7728</t>
    <phoneticPr fontId="1"/>
  </si>
  <si>
    <t>姜　致世</t>
    <rPh sb="0" eb="1">
      <t>カン</t>
    </rPh>
    <rPh sb="2" eb="3">
      <t>チ</t>
    </rPh>
    <rPh sb="3" eb="4">
      <t>セイ</t>
    </rPh>
    <phoneticPr fontId="1"/>
  </si>
  <si>
    <t>612-0802</t>
    <phoneticPr fontId="1"/>
  </si>
  <si>
    <t>京都市伏見区深草南明町13-39</t>
    <rPh sb="0" eb="3">
      <t>キョウトシ</t>
    </rPh>
    <rPh sb="3" eb="6">
      <t>フシミク</t>
    </rPh>
    <rPh sb="6" eb="8">
      <t>フカクサ</t>
    </rPh>
    <rPh sb="8" eb="9">
      <t>ミナミ</t>
    </rPh>
    <rPh sb="9" eb="10">
      <t>アキラ</t>
    </rPh>
    <rPh sb="10" eb="11">
      <t>マチ</t>
    </rPh>
    <phoneticPr fontId="1"/>
  </si>
  <si>
    <t>090-3466-7234</t>
    <phoneticPr fontId="1"/>
  </si>
  <si>
    <t>池上　恵子</t>
    <rPh sb="0" eb="2">
      <t>イケガミ</t>
    </rPh>
    <rPh sb="3" eb="5">
      <t>ケイコ</t>
    </rPh>
    <phoneticPr fontId="1"/>
  </si>
  <si>
    <t>090-5974-4375</t>
    <phoneticPr fontId="1"/>
  </si>
  <si>
    <t>坪井　幸子</t>
    <rPh sb="0" eb="2">
      <t>ツボイ</t>
    </rPh>
    <rPh sb="3" eb="5">
      <t>サチコ</t>
    </rPh>
    <phoneticPr fontId="1"/>
  </si>
  <si>
    <t>665-0864</t>
    <phoneticPr fontId="1"/>
  </si>
  <si>
    <t>兵庫県宝塚市泉町24-5</t>
    <rPh sb="0" eb="3">
      <t>ヒョウゴケン</t>
    </rPh>
    <rPh sb="3" eb="5">
      <t>タカラヅカ</t>
    </rPh>
    <rPh sb="5" eb="6">
      <t>シ</t>
    </rPh>
    <rPh sb="6" eb="7">
      <t>イズミ</t>
    </rPh>
    <rPh sb="7" eb="8">
      <t>チョウ</t>
    </rPh>
    <phoneticPr fontId="1"/>
  </si>
  <si>
    <t>090-1899-2852</t>
    <phoneticPr fontId="1"/>
  </si>
  <si>
    <t>山本　宏光</t>
    <rPh sb="0" eb="2">
      <t>ヤマモト</t>
    </rPh>
    <rPh sb="3" eb="4">
      <t>ヒロ</t>
    </rPh>
    <rPh sb="4" eb="5">
      <t>ミツ</t>
    </rPh>
    <phoneticPr fontId="1"/>
  </si>
  <si>
    <t>658-0065</t>
    <phoneticPr fontId="1"/>
  </si>
  <si>
    <t>神戸市東灘区東灘区御影山手4-2-12</t>
    <rPh sb="0" eb="3">
      <t>コウベシ</t>
    </rPh>
    <rPh sb="3" eb="6">
      <t>ヒガシナダク</t>
    </rPh>
    <rPh sb="6" eb="9">
      <t>ヒガシナダク</t>
    </rPh>
    <rPh sb="9" eb="13">
      <t>ミカゲヤマテ</t>
    </rPh>
    <phoneticPr fontId="1"/>
  </si>
  <si>
    <t>090-2114-0484</t>
    <phoneticPr fontId="1"/>
  </si>
  <si>
    <t>吉平　敏次</t>
    <rPh sb="0" eb="1">
      <t>ヨシ</t>
    </rPh>
    <rPh sb="1" eb="2">
      <t>ヒラ</t>
    </rPh>
    <rPh sb="3" eb="5">
      <t>トシツグ</t>
    </rPh>
    <phoneticPr fontId="1"/>
  </si>
  <si>
    <t>兵庫県宝塚市山本南1-18-20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</si>
  <si>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090-4769-0935</t>
    <phoneticPr fontId="1"/>
  </si>
  <si>
    <t>安多　秀司</t>
    <rPh sb="0" eb="1">
      <t>ヤス</t>
    </rPh>
    <rPh sb="1" eb="2">
      <t>タ</t>
    </rPh>
    <rPh sb="3" eb="5">
      <t>ヒデジ</t>
    </rPh>
    <phoneticPr fontId="1"/>
  </si>
  <si>
    <t>兵庫県宝塚市野上2-3-34-102</t>
    <rPh sb="0" eb="3">
      <t>ヒョウゴケン</t>
    </rPh>
    <rPh sb="3" eb="6">
      <t>タカラヅカシ</t>
    </rPh>
    <rPh sb="6" eb="8">
      <t>ノガミ</t>
    </rPh>
    <phoneticPr fontId="1"/>
  </si>
  <si>
    <t>090-4646-5633</t>
    <phoneticPr fontId="1"/>
  </si>
  <si>
    <t>入会検討中　8月のみ1か月来れないので…</t>
    <rPh sb="0" eb="2">
      <t>ニュウカイ</t>
    </rPh>
    <rPh sb="2" eb="5">
      <t>ケントウチュウ</t>
    </rPh>
    <rPh sb="7" eb="8">
      <t>ガツ</t>
    </rPh>
    <rPh sb="12" eb="13">
      <t>ゲツ</t>
    </rPh>
    <rPh sb="13" eb="14">
      <t>コ</t>
    </rPh>
    <phoneticPr fontId="1"/>
  </si>
  <si>
    <t>瀬戸　浩</t>
    <rPh sb="0" eb="2">
      <t>セト</t>
    </rPh>
    <rPh sb="3" eb="4">
      <t>ヒロ</t>
    </rPh>
    <phoneticPr fontId="1"/>
  </si>
  <si>
    <t>652-0872</t>
    <phoneticPr fontId="1"/>
  </si>
  <si>
    <t>兵庫県神戸市兵庫区吉田町2-40-15-605</t>
    <rPh sb="0" eb="3">
      <t>ヒョウゴケン</t>
    </rPh>
    <rPh sb="3" eb="6">
      <t>コウベシ</t>
    </rPh>
    <rPh sb="6" eb="9">
      <t>ヒョウゴク</t>
    </rPh>
    <rPh sb="9" eb="12">
      <t>ヨシダチョウ</t>
    </rPh>
    <phoneticPr fontId="1"/>
  </si>
  <si>
    <t>090-2114-2440</t>
    <phoneticPr fontId="1"/>
  </si>
  <si>
    <t>樫本　勇雄</t>
    <rPh sb="0" eb="2">
      <t>カシモト</t>
    </rPh>
    <rPh sb="3" eb="5">
      <t>イサオ</t>
    </rPh>
    <phoneticPr fontId="1"/>
  </si>
  <si>
    <t>兵庫県伊丹市荒牧3-17-7</t>
    <rPh sb="0" eb="3">
      <t>ヒョウゴケン</t>
    </rPh>
    <rPh sb="3" eb="6">
      <t>イタミシ</t>
    </rPh>
    <rPh sb="6" eb="8">
      <t>アラマキ</t>
    </rPh>
    <phoneticPr fontId="1"/>
  </si>
  <si>
    <t>072-783-5582</t>
    <phoneticPr fontId="1"/>
  </si>
  <si>
    <t>木村　はるみ</t>
    <rPh sb="0" eb="2">
      <t>キムラ</t>
    </rPh>
    <phoneticPr fontId="1"/>
  </si>
  <si>
    <t>664-0006</t>
    <phoneticPr fontId="1"/>
  </si>
  <si>
    <t>兵庫県伊丹市鴻池6丁目16-27-2</t>
    <rPh sb="0" eb="3">
      <t>ヒョウゴケン</t>
    </rPh>
    <rPh sb="3" eb="6">
      <t>イタミシ</t>
    </rPh>
    <rPh sb="6" eb="8">
      <t>コウノイケ</t>
    </rPh>
    <rPh sb="9" eb="10">
      <t>チョウ</t>
    </rPh>
    <rPh sb="10" eb="11">
      <t>メ</t>
    </rPh>
    <phoneticPr fontId="1"/>
  </si>
  <si>
    <t>090-9285-0330</t>
    <phoneticPr fontId="1"/>
  </si>
  <si>
    <t>kimuraha@adv-tex.co.jp</t>
    <phoneticPr fontId="1"/>
  </si>
  <si>
    <t>河田　真知子</t>
    <rPh sb="0" eb="2">
      <t>カワタ</t>
    </rPh>
    <rPh sb="3" eb="6">
      <t>マチコ</t>
    </rPh>
    <phoneticPr fontId="1"/>
  </si>
  <si>
    <t>562-0022</t>
    <phoneticPr fontId="1"/>
  </si>
  <si>
    <t>箕面市栗生間谷東6-7-3</t>
    <rPh sb="0" eb="1">
      <t>ミ</t>
    </rPh>
    <rPh sb="1" eb="2">
      <t>メン</t>
    </rPh>
    <rPh sb="2" eb="3">
      <t>シ</t>
    </rPh>
    <rPh sb="3" eb="4">
      <t>クリ</t>
    </rPh>
    <rPh sb="4" eb="5">
      <t>イ</t>
    </rPh>
    <rPh sb="5" eb="6">
      <t>マ</t>
    </rPh>
    <rPh sb="6" eb="7">
      <t>タニ</t>
    </rPh>
    <rPh sb="7" eb="8">
      <t>ヒガシ</t>
    </rPh>
    <phoneticPr fontId="1"/>
  </si>
  <si>
    <t>090-3036-3730</t>
    <phoneticPr fontId="1"/>
  </si>
  <si>
    <t>小田　香代子</t>
    <rPh sb="0" eb="2">
      <t>オダ</t>
    </rPh>
    <rPh sb="3" eb="6">
      <t>カヨコ</t>
    </rPh>
    <phoneticPr fontId="1"/>
  </si>
  <si>
    <t>佐藤　文和</t>
    <rPh sb="0" eb="2">
      <t>サトウ</t>
    </rPh>
    <rPh sb="3" eb="5">
      <t>フミカズ</t>
    </rPh>
    <phoneticPr fontId="1"/>
  </si>
  <si>
    <t>兵庫県伊丹市荒牧3-5-4</t>
    <rPh sb="0" eb="3">
      <t>ヒョウゴケン</t>
    </rPh>
    <rPh sb="3" eb="6">
      <t>イタミシ</t>
    </rPh>
    <rPh sb="6" eb="8">
      <t>アラマキ</t>
    </rPh>
    <phoneticPr fontId="1"/>
  </si>
  <si>
    <t>072-741-1771</t>
    <phoneticPr fontId="1"/>
  </si>
  <si>
    <t>665-0811</t>
    <phoneticPr fontId="1"/>
  </si>
  <si>
    <t>兵庫県宝塚市南ひばりが丘2-11-15-419</t>
    <rPh sb="0" eb="3">
      <t>ヒョウゴケン</t>
    </rPh>
    <rPh sb="3" eb="6">
      <t>タカラヅカシ</t>
    </rPh>
    <rPh sb="6" eb="7">
      <t>ミナミ</t>
    </rPh>
    <rPh sb="11" eb="12">
      <t>オカ</t>
    </rPh>
    <phoneticPr fontId="1"/>
  </si>
  <si>
    <t>090-3860-6304</t>
    <phoneticPr fontId="1"/>
  </si>
  <si>
    <t>辻　貴晶</t>
    <rPh sb="0" eb="1">
      <t>ツジ</t>
    </rPh>
    <rPh sb="2" eb="3">
      <t>タカシ</t>
    </rPh>
    <rPh sb="3" eb="4">
      <t>アキラ</t>
    </rPh>
    <phoneticPr fontId="1"/>
  </si>
  <si>
    <t>563-0027</t>
    <phoneticPr fontId="1"/>
  </si>
  <si>
    <t>大阪府池田市上池田1-6-2</t>
    <rPh sb="0" eb="3">
      <t>オオサカフ</t>
    </rPh>
    <rPh sb="3" eb="6">
      <t>イケダシ</t>
    </rPh>
    <rPh sb="6" eb="7">
      <t>カミ</t>
    </rPh>
    <rPh sb="7" eb="9">
      <t>イケダ</t>
    </rPh>
    <phoneticPr fontId="1"/>
  </si>
  <si>
    <t>072-953-1454</t>
    <phoneticPr fontId="1"/>
  </si>
  <si>
    <t>宇都宮受仁也様ご紹介　グリップ購入</t>
    <rPh sb="0" eb="3">
      <t>ウツノミヤ</t>
    </rPh>
    <rPh sb="3" eb="4">
      <t>ウケ</t>
    </rPh>
    <rPh sb="4" eb="5">
      <t>ジン</t>
    </rPh>
    <rPh sb="5" eb="6">
      <t>ヤ</t>
    </rPh>
    <rPh sb="6" eb="7">
      <t>サマ</t>
    </rPh>
    <rPh sb="8" eb="10">
      <t>ショウカイ</t>
    </rPh>
    <rPh sb="15" eb="17">
      <t>コウニュウ</t>
    </rPh>
    <phoneticPr fontId="1"/>
  </si>
  <si>
    <t>寒川　徹</t>
    <rPh sb="0" eb="2">
      <t>サムカワ</t>
    </rPh>
    <rPh sb="3" eb="4">
      <t>トオル</t>
    </rPh>
    <phoneticPr fontId="1"/>
  </si>
  <si>
    <t>兵庫県宝塚市山本東3-22-11</t>
    <rPh sb="0" eb="3">
      <t>ヒョウゴケン</t>
    </rPh>
    <rPh sb="3" eb="6">
      <t>タカラヅカシ</t>
    </rPh>
    <rPh sb="6" eb="8">
      <t>ヤマモト</t>
    </rPh>
    <rPh sb="8" eb="9">
      <t>ヒガシ</t>
    </rPh>
    <phoneticPr fontId="1"/>
  </si>
  <si>
    <t>090-8825-1424</t>
    <phoneticPr fontId="1"/>
  </si>
  <si>
    <t>社長お知り合い　シャフトご購入</t>
    <rPh sb="0" eb="2">
      <t>シャチョウ</t>
    </rPh>
    <rPh sb="3" eb="4">
      <t>シ</t>
    </rPh>
    <rPh sb="5" eb="6">
      <t>ア</t>
    </rPh>
    <rPh sb="13" eb="15">
      <t>コウニュウ</t>
    </rPh>
    <phoneticPr fontId="1"/>
  </si>
  <si>
    <t>小林　忠生</t>
    <rPh sb="0" eb="2">
      <t>コバヤシ</t>
    </rPh>
    <rPh sb="3" eb="5">
      <t>タダオ</t>
    </rPh>
    <phoneticPr fontId="1"/>
  </si>
  <si>
    <t>660-0054</t>
    <phoneticPr fontId="1"/>
  </si>
  <si>
    <t>兵庫県尼崎市西立花町3-18-1</t>
    <rPh sb="0" eb="3">
      <t>ヒョウゴケン</t>
    </rPh>
    <rPh sb="3" eb="6">
      <t>アマガサキシ</t>
    </rPh>
    <rPh sb="6" eb="7">
      <t>ニシ</t>
    </rPh>
    <rPh sb="7" eb="9">
      <t>タチバナ</t>
    </rPh>
    <rPh sb="9" eb="10">
      <t>マチ</t>
    </rPh>
    <phoneticPr fontId="1"/>
  </si>
  <si>
    <t>090-8238-2911</t>
    <phoneticPr fontId="1"/>
  </si>
  <si>
    <t>蜂須賀　勤</t>
    <rPh sb="0" eb="1">
      <t>ハチ</t>
    </rPh>
    <rPh sb="1" eb="3">
      <t>スカ</t>
    </rPh>
    <rPh sb="4" eb="5">
      <t>ツトム</t>
    </rPh>
    <phoneticPr fontId="1"/>
  </si>
  <si>
    <t>550-0002</t>
    <phoneticPr fontId="1"/>
  </si>
  <si>
    <t>大阪府大阪市西区江戸堀1-18-14-1201</t>
    <rPh sb="0" eb="3">
      <t>オオサカフ</t>
    </rPh>
    <rPh sb="3" eb="6">
      <t>オオサカシ</t>
    </rPh>
    <rPh sb="6" eb="8">
      <t>ニシク</t>
    </rPh>
    <rPh sb="8" eb="11">
      <t>エドボリ</t>
    </rPh>
    <phoneticPr fontId="1"/>
  </si>
  <si>
    <t>090-3034-8271</t>
    <phoneticPr fontId="1"/>
  </si>
  <si>
    <t>蜂須賀　由起</t>
    <rPh sb="0" eb="1">
      <t>ハチ</t>
    </rPh>
    <rPh sb="1" eb="3">
      <t>スカ</t>
    </rPh>
    <rPh sb="4" eb="6">
      <t>ユキ</t>
    </rPh>
    <phoneticPr fontId="1"/>
  </si>
  <si>
    <t>080-5319-5431</t>
    <phoneticPr fontId="1"/>
  </si>
  <si>
    <t>木村　孝</t>
    <rPh sb="0" eb="2">
      <t>キムラ</t>
    </rPh>
    <rPh sb="3" eb="4">
      <t>タカシ</t>
    </rPh>
    <phoneticPr fontId="1"/>
  </si>
  <si>
    <t>090-1247-1823</t>
    <phoneticPr fontId="1"/>
  </si>
  <si>
    <t>村岡　秀郎</t>
    <rPh sb="0" eb="2">
      <t>ムラオカ</t>
    </rPh>
    <rPh sb="3" eb="4">
      <t>ヒデ</t>
    </rPh>
    <rPh sb="4" eb="5">
      <t>ロウ</t>
    </rPh>
    <phoneticPr fontId="1"/>
  </si>
  <si>
    <t>665-0875</t>
    <phoneticPr fontId="1"/>
  </si>
  <si>
    <t>兵庫県宝塚市中筋山手4-1-23-1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</si>
  <si>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090-6733-3711</t>
    <phoneticPr fontId="1"/>
  </si>
  <si>
    <t>黒川　均</t>
    <rPh sb="0" eb="2">
      <t>クロカワ</t>
    </rPh>
    <rPh sb="3" eb="4">
      <t>キン</t>
    </rPh>
    <phoneticPr fontId="1"/>
  </si>
  <si>
    <t>兵庫県宝塚市山手台西2-11-8</t>
    <rPh sb="0" eb="6">
      <t>ヒョウゴケンタカラヅカシ</t>
    </rPh>
    <rPh sb="6" eb="10">
      <t>ヤマテダイニシ</t>
    </rPh>
    <phoneticPr fontId="1"/>
  </si>
  <si>
    <t>090-3246-0345</t>
    <phoneticPr fontId="1"/>
  </si>
  <si>
    <t>大西　真由美</t>
    <rPh sb="0" eb="2">
      <t>オオニシ</t>
    </rPh>
    <rPh sb="3" eb="6">
      <t>マユミ</t>
    </rPh>
    <phoneticPr fontId="1"/>
  </si>
  <si>
    <t>兵庫県宝塚市雲雀丘3-13-13</t>
    <rPh sb="0" eb="3">
      <t>ヒョウゴケン</t>
    </rPh>
    <rPh sb="3" eb="6">
      <t>タカラヅカシ</t>
    </rPh>
    <rPh sb="6" eb="8">
      <t>ヒバリ</t>
    </rPh>
    <rPh sb="8" eb="9">
      <t>オカ</t>
    </rPh>
    <phoneticPr fontId="1"/>
  </si>
  <si>
    <t>072-757-4743</t>
    <phoneticPr fontId="1"/>
  </si>
  <si>
    <t>中西　逸人</t>
    <rPh sb="0" eb="2">
      <t>ナカニシ</t>
    </rPh>
    <rPh sb="3" eb="4">
      <t>イツ</t>
    </rPh>
    <rPh sb="4" eb="5">
      <t>ヒト</t>
    </rPh>
    <phoneticPr fontId="1"/>
  </si>
  <si>
    <t>兵庫県伊丹市西野3-194-203</t>
    <rPh sb="0" eb="3">
      <t>ヒョウゴケン</t>
    </rPh>
    <rPh sb="3" eb="6">
      <t>イタミシ</t>
    </rPh>
    <rPh sb="6" eb="8">
      <t>ニシノ</t>
    </rPh>
    <phoneticPr fontId="1"/>
  </si>
  <si>
    <t>080-9607-7737</t>
    <phoneticPr fontId="1"/>
  </si>
  <si>
    <t>受川　裕之</t>
    <rPh sb="0" eb="2">
      <t>ウケカワ</t>
    </rPh>
    <rPh sb="3" eb="5">
      <t>ヒロユキ</t>
    </rPh>
    <phoneticPr fontId="1"/>
  </si>
  <si>
    <t>兵庫県宝塚市山本中2-15-22-202</t>
    <rPh sb="0" eb="3">
      <t>ヒョウゴケン</t>
    </rPh>
    <rPh sb="3" eb="6">
      <t>タカラヅカシ</t>
    </rPh>
    <rPh sb="6" eb="8">
      <t>ヤマモト</t>
    </rPh>
    <rPh sb="8" eb="9">
      <t>ナカ</t>
    </rPh>
    <phoneticPr fontId="1"/>
  </si>
  <si>
    <t>090-9980-4965</t>
    <phoneticPr fontId="1"/>
  </si>
  <si>
    <t>横野　智明</t>
    <rPh sb="0" eb="1">
      <t>ヨコ</t>
    </rPh>
    <rPh sb="1" eb="2">
      <t>ノ</t>
    </rPh>
    <rPh sb="3" eb="5">
      <t>トモアキ</t>
    </rPh>
    <phoneticPr fontId="1"/>
  </si>
  <si>
    <t>674-0055</t>
    <phoneticPr fontId="1"/>
  </si>
  <si>
    <t>兵庫県明石市大久保町緑が丘15-16</t>
    <rPh sb="0" eb="3">
      <t>ヒョウゴケン</t>
    </rPh>
    <rPh sb="3" eb="6">
      <t>アカシシ</t>
    </rPh>
    <rPh sb="6" eb="10">
      <t>オオクボチョウ</t>
    </rPh>
    <rPh sb="10" eb="11">
      <t>ミドリ</t>
    </rPh>
    <rPh sb="12" eb="13">
      <t>オカ</t>
    </rPh>
    <phoneticPr fontId="1"/>
  </si>
  <si>
    <t>078-935-4408</t>
    <phoneticPr fontId="1"/>
  </si>
  <si>
    <t>入会検討中</t>
    <rPh sb="0" eb="2">
      <t>ニュウカイ</t>
    </rPh>
    <rPh sb="2" eb="5">
      <t>ケントウチュウ</t>
    </rPh>
    <phoneticPr fontId="1"/>
  </si>
  <si>
    <t>兵庫県宝塚市雲雀ヶ丘3-10-7</t>
    <rPh sb="0" eb="3">
      <t>ヒョウゴケン</t>
    </rPh>
    <rPh sb="3" eb="6">
      <t>タカラヅカシ</t>
    </rPh>
    <rPh sb="6" eb="10">
      <t>ヒバリガオカ</t>
    </rPh>
    <phoneticPr fontId="1"/>
  </si>
  <si>
    <t>090-5978-1994</t>
    <phoneticPr fontId="1"/>
  </si>
  <si>
    <t>宝塚市中山五月台5-2-17-404</t>
    <rPh sb="0" eb="3">
      <t>タカラヅカシ</t>
    </rPh>
    <rPh sb="3" eb="8">
      <t>ナカヤマサツキダイ</t>
    </rPh>
    <phoneticPr fontId="1"/>
  </si>
  <si>
    <t>090-7348-4918</t>
    <phoneticPr fontId="1"/>
  </si>
  <si>
    <t>ポスティング</t>
    <phoneticPr fontId="1"/>
  </si>
  <si>
    <t>細見　佐代子</t>
    <rPh sb="0" eb="2">
      <t>ホソミ</t>
    </rPh>
    <rPh sb="3" eb="6">
      <t>サヨコ</t>
    </rPh>
    <phoneticPr fontId="1"/>
  </si>
  <si>
    <t>小野　一義</t>
    <rPh sb="0" eb="2">
      <t>オノ</t>
    </rPh>
    <rPh sb="3" eb="4">
      <t>イチ</t>
    </rPh>
    <rPh sb="4" eb="5">
      <t>タダシ</t>
    </rPh>
    <phoneticPr fontId="1"/>
  </si>
  <si>
    <t>菊池　将輝</t>
    <rPh sb="0" eb="2">
      <t>キクチ</t>
    </rPh>
    <rPh sb="3" eb="4">
      <t>ショウ</t>
    </rPh>
    <rPh sb="4" eb="5">
      <t>カガヤ</t>
    </rPh>
    <phoneticPr fontId="1"/>
  </si>
  <si>
    <t>宝塚市泉町15-6</t>
    <rPh sb="0" eb="3">
      <t>タカラヅカシ</t>
    </rPh>
    <rPh sb="3" eb="5">
      <t>イズミチョウ</t>
    </rPh>
    <phoneticPr fontId="1"/>
  </si>
  <si>
    <t>岡島　信二</t>
    <rPh sb="0" eb="2">
      <t>オカジマ</t>
    </rPh>
    <rPh sb="3" eb="5">
      <t>シンジ</t>
    </rPh>
    <phoneticPr fontId="1"/>
  </si>
  <si>
    <t>661-0033</t>
    <phoneticPr fontId="1"/>
  </si>
  <si>
    <t>兵庫県尼崎市南武庫之荘9-11-2-2</t>
    <rPh sb="0" eb="3">
      <t>ヒョウゴケン</t>
    </rPh>
    <rPh sb="3" eb="5">
      <t>アマガサキ</t>
    </rPh>
    <rPh sb="5" eb="6">
      <t>シ</t>
    </rPh>
    <rPh sb="6" eb="7">
      <t>ミナミ</t>
    </rPh>
    <rPh sb="7" eb="11">
      <t>ムコノソウ</t>
    </rPh>
    <phoneticPr fontId="1"/>
  </si>
  <si>
    <t>岡島　美代子</t>
    <rPh sb="0" eb="2">
      <t>オカジマ</t>
    </rPh>
    <rPh sb="3" eb="6">
      <t>ミヨコ</t>
    </rPh>
    <phoneticPr fontId="1"/>
  </si>
  <si>
    <t>島本　智則</t>
    <rPh sb="0" eb="2">
      <t>シマモト</t>
    </rPh>
    <rPh sb="3" eb="5">
      <t>トモノリ</t>
    </rPh>
    <phoneticPr fontId="1"/>
  </si>
  <si>
    <t>666-0251</t>
    <phoneticPr fontId="1"/>
  </si>
  <si>
    <t>兵庫県川辺郡猪名川町若葉1-50-67</t>
    <rPh sb="0" eb="3">
      <t>ヒョウゴケン</t>
    </rPh>
    <rPh sb="3" eb="6">
      <t>カワナベグン</t>
    </rPh>
    <rPh sb="6" eb="10">
      <t>イナガワチョウ</t>
    </rPh>
    <rPh sb="10" eb="12">
      <t>ワカバ</t>
    </rPh>
    <phoneticPr fontId="1"/>
  </si>
  <si>
    <t>090-8755-9404</t>
    <phoneticPr fontId="1"/>
  </si>
  <si>
    <t>wxfwx691@yahoo.co.jp</t>
    <phoneticPr fontId="1"/>
  </si>
  <si>
    <t>6/12　2回来店</t>
    <rPh sb="6" eb="7">
      <t>カイ</t>
    </rPh>
    <rPh sb="7" eb="9">
      <t>ライテン</t>
    </rPh>
    <phoneticPr fontId="1"/>
  </si>
  <si>
    <t>岡﨑　敏克</t>
    <rPh sb="0" eb="2">
      <t>オカザキ</t>
    </rPh>
    <rPh sb="3" eb="4">
      <t>トシ</t>
    </rPh>
    <rPh sb="4" eb="5">
      <t>カツ</t>
    </rPh>
    <phoneticPr fontId="1"/>
  </si>
  <si>
    <t>664-0027</t>
    <phoneticPr fontId="1"/>
  </si>
  <si>
    <t>伊丹市池尻4丁目1-5　ソテラシティ917号</t>
    <rPh sb="0" eb="3">
      <t>イタミシ</t>
    </rPh>
    <rPh sb="3" eb="5">
      <t>イケジリ</t>
    </rPh>
    <rPh sb="6" eb="8">
      <t>チョウメ</t>
    </rPh>
    <rPh sb="21" eb="22">
      <t>ゴウ</t>
    </rPh>
    <phoneticPr fontId="1"/>
  </si>
  <si>
    <t>090-1699-9091</t>
    <phoneticPr fontId="1"/>
  </si>
  <si>
    <t>打席利用</t>
    <rPh sb="0" eb="2">
      <t>ダセキ</t>
    </rPh>
    <rPh sb="2" eb="4">
      <t>リヨウ</t>
    </rPh>
    <phoneticPr fontId="1"/>
  </si>
  <si>
    <t>竹内　隆</t>
    <rPh sb="0" eb="2">
      <t>タケウチ</t>
    </rPh>
    <rPh sb="3" eb="4">
      <t>リュウ</t>
    </rPh>
    <phoneticPr fontId="1"/>
  </si>
  <si>
    <t>090-6837-2902</t>
    <phoneticPr fontId="1"/>
  </si>
  <si>
    <t>会社員</t>
    <rPh sb="0" eb="2">
      <t>カイシャ</t>
    </rPh>
    <rPh sb="2" eb="3">
      <t>イン</t>
    </rPh>
    <phoneticPr fontId="1"/>
  </si>
  <si>
    <t>徳島県鳴門市撫養町斉田字大堤256　パールメゾン鳴門305号</t>
    <rPh sb="0" eb="2">
      <t>トクシマ</t>
    </rPh>
    <rPh sb="2" eb="3">
      <t>ケン</t>
    </rPh>
    <rPh sb="3" eb="6">
      <t>ナルトシ</t>
    </rPh>
    <rPh sb="6" eb="9">
      <t>ムヤチョウ</t>
    </rPh>
    <rPh sb="9" eb="11">
      <t>サイタ</t>
    </rPh>
    <rPh sb="11" eb="12">
      <t>アザ</t>
    </rPh>
    <rPh sb="12" eb="14">
      <t>オオツツミ</t>
    </rPh>
    <rPh sb="24" eb="26">
      <t>ナルト</t>
    </rPh>
    <rPh sb="29" eb="30">
      <t>ゴウ</t>
    </rPh>
    <phoneticPr fontId="1"/>
  </si>
  <si>
    <t>谷　昌晃</t>
    <rPh sb="0" eb="1">
      <t>タニ</t>
    </rPh>
    <rPh sb="2" eb="4">
      <t>マサアキ</t>
    </rPh>
    <phoneticPr fontId="1"/>
  </si>
  <si>
    <t>宝塚市山本丸橋1-13-7-105</t>
    <rPh sb="0" eb="2">
      <t>タカラヅカ</t>
    </rPh>
    <rPh sb="2" eb="3">
      <t>シ</t>
    </rPh>
    <rPh sb="3" eb="5">
      <t>ヤマモト</t>
    </rPh>
    <rPh sb="5" eb="7">
      <t>マルハシ</t>
    </rPh>
    <phoneticPr fontId="1"/>
  </si>
  <si>
    <t>090-9871-1481</t>
    <phoneticPr fontId="1"/>
  </si>
  <si>
    <t>西宮市里中町1-9-8-212</t>
    <rPh sb="0" eb="3">
      <t>ニシノミヤシ</t>
    </rPh>
    <rPh sb="3" eb="6">
      <t>サトナカチョウ</t>
    </rPh>
    <phoneticPr fontId="1"/>
  </si>
  <si>
    <t>村野　典男</t>
    <rPh sb="0" eb="2">
      <t>ムラノ</t>
    </rPh>
    <rPh sb="3" eb="5">
      <t>ノリオ</t>
    </rPh>
    <phoneticPr fontId="1"/>
  </si>
  <si>
    <t>090-1226-6242</t>
    <phoneticPr fontId="1"/>
  </si>
  <si>
    <t>中西逸人様、ご友人</t>
    <rPh sb="0" eb="4">
      <t>ナカニシハヤト</t>
    </rPh>
    <rPh sb="4" eb="5">
      <t>サマ</t>
    </rPh>
    <rPh sb="7" eb="9">
      <t>ユウジン</t>
    </rPh>
    <phoneticPr fontId="1"/>
  </si>
  <si>
    <t>仲　八千代</t>
    <rPh sb="0" eb="1">
      <t>ナカ</t>
    </rPh>
    <rPh sb="2" eb="5">
      <t>ヤチヨ</t>
    </rPh>
    <phoneticPr fontId="1"/>
  </si>
  <si>
    <t>090-7877-3279</t>
    <phoneticPr fontId="1"/>
  </si>
  <si>
    <t>宇城　希世</t>
    <rPh sb="0" eb="2">
      <t>ウシロ</t>
    </rPh>
    <rPh sb="3" eb="5">
      <t>キヨ</t>
    </rPh>
    <phoneticPr fontId="1"/>
  </si>
  <si>
    <t>芦屋市大東町18-6-101</t>
    <rPh sb="0" eb="3">
      <t>アシヤシ</t>
    </rPh>
    <rPh sb="3" eb="6">
      <t>オオヒガシチョウ</t>
    </rPh>
    <phoneticPr fontId="1"/>
  </si>
  <si>
    <t>090-4644-6999</t>
    <phoneticPr fontId="1"/>
  </si>
  <si>
    <t>宮部様のお知り合い</t>
    <rPh sb="0" eb="3">
      <t>ミヤベサマ</t>
    </rPh>
    <rPh sb="5" eb="6">
      <t>シ</t>
    </rPh>
    <rPh sb="7" eb="8">
      <t>ア</t>
    </rPh>
    <phoneticPr fontId="1"/>
  </si>
  <si>
    <t>水品　幸三</t>
    <rPh sb="0" eb="2">
      <t>ミズシナ</t>
    </rPh>
    <rPh sb="3" eb="4">
      <t>シアワ</t>
    </rPh>
    <phoneticPr fontId="1"/>
  </si>
  <si>
    <t>651-2215</t>
    <phoneticPr fontId="1"/>
  </si>
  <si>
    <t>井殿さんのお知り合い</t>
    <rPh sb="0" eb="2">
      <t>イドノ</t>
    </rPh>
    <rPh sb="6" eb="7">
      <t>シ</t>
    </rPh>
    <rPh sb="8" eb="9">
      <t>ア</t>
    </rPh>
    <phoneticPr fontId="1"/>
  </si>
  <si>
    <t>090-3489-3658</t>
    <phoneticPr fontId="1"/>
  </si>
  <si>
    <t>菅　文隆</t>
    <rPh sb="0" eb="1">
      <t>カン</t>
    </rPh>
    <rPh sb="2" eb="4">
      <t>フミタカ</t>
    </rPh>
    <phoneticPr fontId="1"/>
  </si>
  <si>
    <t>666-0026</t>
    <phoneticPr fontId="1"/>
  </si>
  <si>
    <t>兵庫県川西市南花屋敷4-6-15-206</t>
    <rPh sb="0" eb="3">
      <t>ヒョウゴケン</t>
    </rPh>
    <rPh sb="3" eb="6">
      <t>カワニシシ</t>
    </rPh>
    <rPh sb="6" eb="7">
      <t>ミナミ</t>
    </rPh>
    <rPh sb="7" eb="10">
      <t>ハナヤシキ</t>
    </rPh>
    <phoneticPr fontId="1"/>
  </si>
  <si>
    <t>090-3188-8667</t>
    <phoneticPr fontId="1"/>
  </si>
  <si>
    <t>583-0873</t>
    <phoneticPr fontId="1"/>
  </si>
  <si>
    <t>大阪府羽曳野市桃山台2-3-17</t>
    <rPh sb="0" eb="3">
      <t>オオサカフ</t>
    </rPh>
    <rPh sb="3" eb="6">
      <t>ハビキノ</t>
    </rPh>
    <rPh sb="6" eb="7">
      <t>シ</t>
    </rPh>
    <rPh sb="7" eb="9">
      <t>モモヤマ</t>
    </rPh>
    <rPh sb="9" eb="10">
      <t>ダイ</t>
    </rPh>
    <phoneticPr fontId="1"/>
  </si>
  <si>
    <t>090-8573-0686</t>
    <phoneticPr fontId="1"/>
  </si>
  <si>
    <t>大村　泰隆</t>
    <rPh sb="0" eb="2">
      <t>オオムラ</t>
    </rPh>
    <rPh sb="3" eb="5">
      <t>ヤスタカ</t>
    </rPh>
    <phoneticPr fontId="1"/>
  </si>
  <si>
    <t>河合　将人</t>
    <rPh sb="0" eb="2">
      <t>カワイ</t>
    </rPh>
    <rPh sb="3" eb="5">
      <t>マサト</t>
    </rPh>
    <phoneticPr fontId="1"/>
  </si>
  <si>
    <t>651-1502</t>
    <phoneticPr fontId="1"/>
  </si>
  <si>
    <t>神戸市北区道場町塩田1957-11</t>
    <rPh sb="0" eb="3">
      <t>コウベシ</t>
    </rPh>
    <rPh sb="3" eb="5">
      <t>キタク</t>
    </rPh>
    <rPh sb="5" eb="7">
      <t>ミチバ</t>
    </rPh>
    <rPh sb="7" eb="8">
      <t>マチ</t>
    </rPh>
    <rPh sb="8" eb="10">
      <t>シオタ</t>
    </rPh>
    <phoneticPr fontId="1"/>
  </si>
  <si>
    <t>090-6205-2602</t>
    <phoneticPr fontId="1"/>
  </si>
  <si>
    <t>ゴルフランド様ご紹介</t>
    <rPh sb="6" eb="7">
      <t>サマ</t>
    </rPh>
    <rPh sb="8" eb="10">
      <t>ショウカイ</t>
    </rPh>
    <phoneticPr fontId="1"/>
  </si>
  <si>
    <t>比嘉　拓也</t>
    <rPh sb="0" eb="2">
      <t>ヒガ</t>
    </rPh>
    <rPh sb="3" eb="5">
      <t>タクヤ</t>
    </rPh>
    <phoneticPr fontId="1"/>
  </si>
  <si>
    <t>470-0135</t>
    <phoneticPr fontId="1"/>
  </si>
  <si>
    <t>愛知県日進市岩崎台2-1501-206</t>
    <rPh sb="0" eb="3">
      <t>アイチケン</t>
    </rPh>
    <rPh sb="3" eb="6">
      <t>ニッシンシ</t>
    </rPh>
    <rPh sb="6" eb="8">
      <t>イワサキ</t>
    </rPh>
    <rPh sb="8" eb="9">
      <t>ダイ</t>
    </rPh>
    <phoneticPr fontId="1"/>
  </si>
  <si>
    <t>090-6860-6304</t>
    <phoneticPr fontId="1"/>
  </si>
  <si>
    <t>古川さんお知り合い</t>
    <rPh sb="0" eb="2">
      <t>フルカワ</t>
    </rPh>
    <rPh sb="5" eb="6">
      <t>シ</t>
    </rPh>
    <rPh sb="7" eb="8">
      <t>ア</t>
    </rPh>
    <phoneticPr fontId="1"/>
  </si>
  <si>
    <t>岩本　千佳</t>
    <rPh sb="0" eb="2">
      <t>イワモト</t>
    </rPh>
    <rPh sb="3" eb="5">
      <t>チカ</t>
    </rPh>
    <phoneticPr fontId="1"/>
  </si>
  <si>
    <t>630-0212</t>
    <phoneticPr fontId="1"/>
  </si>
  <si>
    <t>奈良県生駒市辻町32-6</t>
    <rPh sb="0" eb="3">
      <t>ナラケン</t>
    </rPh>
    <rPh sb="3" eb="6">
      <t>イコマシ</t>
    </rPh>
    <rPh sb="6" eb="8">
      <t>ツジチョウ</t>
    </rPh>
    <phoneticPr fontId="1"/>
  </si>
  <si>
    <t>090-9040-4253</t>
    <phoneticPr fontId="1"/>
  </si>
  <si>
    <t>遠藤　麻耶</t>
    <rPh sb="0" eb="2">
      <t>エンドウ</t>
    </rPh>
    <rPh sb="3" eb="5">
      <t>マヤ</t>
    </rPh>
    <phoneticPr fontId="1"/>
  </si>
  <si>
    <t>豊中市少路1-1-8</t>
    <rPh sb="0" eb="2">
      <t>トヨナカ</t>
    </rPh>
    <rPh sb="2" eb="3">
      <t>シ</t>
    </rPh>
    <rPh sb="3" eb="5">
      <t>ショウジ</t>
    </rPh>
    <phoneticPr fontId="1"/>
  </si>
  <si>
    <t>080-4110-5729</t>
    <phoneticPr fontId="1"/>
  </si>
  <si>
    <t>藤田さんお知り合い</t>
    <rPh sb="0" eb="2">
      <t>フジタ</t>
    </rPh>
    <rPh sb="5" eb="6">
      <t>シ</t>
    </rPh>
    <rPh sb="7" eb="8">
      <t>ア</t>
    </rPh>
    <phoneticPr fontId="1"/>
  </si>
  <si>
    <t>沖田　絵美</t>
  </si>
  <si>
    <t>664-0008</t>
  </si>
  <si>
    <t>伊丹市荒牧南2-22-11</t>
  </si>
  <si>
    <t>沖田　ひとみ</t>
  </si>
  <si>
    <t>665-0883</t>
  </si>
  <si>
    <t>兵庫県宝塚市山本中2-9-20</t>
  </si>
  <si>
    <t>080-2501-8577</t>
    <phoneticPr fontId="1"/>
  </si>
  <si>
    <t>体験利用</t>
    <rPh sb="0" eb="4">
      <t>タイケンリヨウ</t>
    </rPh>
    <phoneticPr fontId="1"/>
  </si>
  <si>
    <t>090-3712-1756</t>
    <phoneticPr fontId="1"/>
  </si>
  <si>
    <t>兵庫県宝塚市雲雀丘1-13-8-306</t>
    <rPh sb="6" eb="9">
      <t>ヒバリガオカ</t>
    </rPh>
    <phoneticPr fontId="1"/>
  </si>
  <si>
    <t>090-4360-5274</t>
    <phoneticPr fontId="1"/>
  </si>
  <si>
    <t>岩蕗　卓也</t>
    <rPh sb="0" eb="1">
      <t>イワ</t>
    </rPh>
    <rPh sb="1" eb="2">
      <t>フキ</t>
    </rPh>
    <rPh sb="3" eb="5">
      <t>タクヤ</t>
    </rPh>
    <phoneticPr fontId="1"/>
  </si>
  <si>
    <t>谷　信男</t>
    <rPh sb="0" eb="1">
      <t>タニ</t>
    </rPh>
    <rPh sb="2" eb="4">
      <t>ノブオ</t>
    </rPh>
    <phoneticPr fontId="1"/>
  </si>
  <si>
    <t>宝塚市平井5-6-16</t>
    <rPh sb="0" eb="3">
      <t>タカラヅカシ</t>
    </rPh>
    <rPh sb="3" eb="5">
      <t>ヒライ</t>
    </rPh>
    <phoneticPr fontId="1"/>
  </si>
  <si>
    <t>0797-88-0227</t>
    <phoneticPr fontId="1"/>
  </si>
  <si>
    <t>渡部　美弥子</t>
    <rPh sb="0" eb="2">
      <t>ワタナベ</t>
    </rPh>
    <rPh sb="3" eb="6">
      <t>ミヤコ</t>
    </rPh>
    <phoneticPr fontId="1"/>
  </si>
  <si>
    <t>563-0017</t>
    <phoneticPr fontId="1"/>
  </si>
  <si>
    <t>大阪府池田市伏尾台5-1-5-505</t>
    <rPh sb="0" eb="3">
      <t>オオサカフ</t>
    </rPh>
    <rPh sb="3" eb="5">
      <t>イケダ</t>
    </rPh>
    <rPh sb="5" eb="6">
      <t>シ</t>
    </rPh>
    <rPh sb="6" eb="9">
      <t>フシオダイ</t>
    </rPh>
    <phoneticPr fontId="1"/>
  </si>
  <si>
    <t>090-3053-5357</t>
    <phoneticPr fontId="1"/>
  </si>
  <si>
    <t>田邊　宏徳</t>
    <rPh sb="0" eb="2">
      <t>タナベ</t>
    </rPh>
    <rPh sb="3" eb="4">
      <t>ヒロ</t>
    </rPh>
    <rPh sb="4" eb="5">
      <t>トク</t>
    </rPh>
    <phoneticPr fontId="1"/>
  </si>
  <si>
    <t>665-0072</t>
    <phoneticPr fontId="1"/>
  </si>
  <si>
    <t>宝塚市千種4-17-8-1</t>
    <rPh sb="0" eb="3">
      <t>タカラヅカシ</t>
    </rPh>
    <rPh sb="3" eb="5">
      <t>チクサ</t>
    </rPh>
    <phoneticPr fontId="1"/>
  </si>
  <si>
    <t>090-5366-6955</t>
    <phoneticPr fontId="1"/>
  </si>
  <si>
    <t>佐野　順子</t>
    <rPh sb="0" eb="2">
      <t>サノ</t>
    </rPh>
    <rPh sb="3" eb="5">
      <t>ジュンコ</t>
    </rPh>
    <phoneticPr fontId="1"/>
  </si>
  <si>
    <t>西村　裕評</t>
    <rPh sb="0" eb="2">
      <t>ニシムラ</t>
    </rPh>
    <rPh sb="3" eb="4">
      <t>ユウ</t>
    </rPh>
    <rPh sb="4" eb="5">
      <t>ヒョウ</t>
    </rPh>
    <phoneticPr fontId="1"/>
  </si>
  <si>
    <t>由本　浩司</t>
    <rPh sb="0" eb="2">
      <t>ユモト</t>
    </rPh>
    <rPh sb="3" eb="5">
      <t>コウジ</t>
    </rPh>
    <phoneticPr fontId="1"/>
  </si>
  <si>
    <t>芦屋市宮塚町1-4-503</t>
    <rPh sb="0" eb="3">
      <t>アシヤシ</t>
    </rPh>
    <rPh sb="3" eb="6">
      <t>ミヤツカチョウ</t>
    </rPh>
    <phoneticPr fontId="1"/>
  </si>
  <si>
    <t>大阪市住吉区我孫子2-10-30</t>
    <rPh sb="0" eb="3">
      <t>オオサカシ</t>
    </rPh>
    <rPh sb="3" eb="6">
      <t>スミヨシク</t>
    </rPh>
    <rPh sb="6" eb="9">
      <t>アビコ</t>
    </rPh>
    <phoneticPr fontId="1"/>
  </si>
  <si>
    <t>546-0024</t>
    <phoneticPr fontId="1"/>
  </si>
  <si>
    <t>090-8822-9234</t>
    <phoneticPr fontId="1"/>
  </si>
  <si>
    <t>090-7755-8585</t>
    <phoneticPr fontId="1"/>
  </si>
  <si>
    <t>06-6697-7088</t>
    <phoneticPr fontId="1"/>
  </si>
  <si>
    <t>大阪府箕面市箕面2-7-32</t>
  </si>
  <si>
    <t>562-0001</t>
    <phoneticPr fontId="1"/>
  </si>
  <si>
    <t>665-0847</t>
    <phoneticPr fontId="1"/>
  </si>
  <si>
    <t>651-0056</t>
    <phoneticPr fontId="1"/>
  </si>
  <si>
    <t>571-0030</t>
    <phoneticPr fontId="1"/>
  </si>
  <si>
    <t>665-0051</t>
    <phoneticPr fontId="1"/>
  </si>
  <si>
    <t>666-0025</t>
    <phoneticPr fontId="1"/>
  </si>
  <si>
    <t>444-0861</t>
    <phoneticPr fontId="1"/>
  </si>
  <si>
    <t>560-0081</t>
    <phoneticPr fontId="1"/>
  </si>
  <si>
    <t>665-0887</t>
    <phoneticPr fontId="1"/>
  </si>
  <si>
    <t>665-0827</t>
    <phoneticPr fontId="1"/>
  </si>
  <si>
    <t>534-0014</t>
    <phoneticPr fontId="1"/>
  </si>
  <si>
    <t>565-0855</t>
    <phoneticPr fontId="1"/>
  </si>
  <si>
    <t>665-0881</t>
    <phoneticPr fontId="1"/>
  </si>
  <si>
    <t>兵庫県伊丹市鴻池6-16-27</t>
  </si>
  <si>
    <t>665-0864</t>
  </si>
  <si>
    <t>772-0002</t>
    <phoneticPr fontId="1"/>
  </si>
  <si>
    <t>659-0023</t>
    <phoneticPr fontId="1"/>
  </si>
  <si>
    <t>663-8183</t>
    <phoneticPr fontId="1"/>
  </si>
  <si>
    <t>560-0004</t>
    <phoneticPr fontId="1"/>
  </si>
  <si>
    <t>659-0062</t>
    <phoneticPr fontId="1"/>
  </si>
  <si>
    <t>558-0014</t>
    <phoneticPr fontId="1"/>
  </si>
  <si>
    <t>大阪府大阪市東住吉区公園南矢田</t>
  </si>
  <si>
    <t>6/23　体験で一度来店有</t>
    <rPh sb="5" eb="7">
      <t>タイケン</t>
    </rPh>
    <rPh sb="8" eb="10">
      <t>イチド</t>
    </rPh>
    <rPh sb="10" eb="12">
      <t>ライテン</t>
    </rPh>
    <rPh sb="12" eb="13">
      <t>アリ</t>
    </rPh>
    <phoneticPr fontId="1"/>
  </si>
  <si>
    <t>大西　康平</t>
    <rPh sb="0" eb="2">
      <t>オオニシ</t>
    </rPh>
    <rPh sb="3" eb="5">
      <t>コウヘイ</t>
    </rPh>
    <phoneticPr fontId="1"/>
  </si>
  <si>
    <t>宝塚市雲雀丘3-13-13</t>
    <phoneticPr fontId="1"/>
  </si>
  <si>
    <t>会員大西様　ご家族</t>
    <rPh sb="0" eb="2">
      <t>カイイン</t>
    </rPh>
    <rPh sb="2" eb="5">
      <t>オオニシサマ</t>
    </rPh>
    <rPh sb="7" eb="9">
      <t>カゾク</t>
    </rPh>
    <phoneticPr fontId="1"/>
  </si>
  <si>
    <t>島村　英子</t>
    <rPh sb="0" eb="2">
      <t>シマムラ</t>
    </rPh>
    <rPh sb="3" eb="5">
      <t>ヒデコ</t>
    </rPh>
    <phoneticPr fontId="1"/>
  </si>
  <si>
    <t>665-0877</t>
    <phoneticPr fontId="1"/>
  </si>
  <si>
    <t>宝塚市中山桜台2-11-3</t>
    <rPh sb="3" eb="5">
      <t>ナカヤマ</t>
    </rPh>
    <rPh sb="5" eb="7">
      <t>サクラダイ</t>
    </rPh>
    <phoneticPr fontId="1"/>
  </si>
  <si>
    <t>0797-89-1207</t>
    <phoneticPr fontId="1"/>
  </si>
  <si>
    <t>会員中西様　お知り合い</t>
    <rPh sb="0" eb="2">
      <t>カイイン</t>
    </rPh>
    <rPh sb="2" eb="5">
      <t>ナカニシサマ</t>
    </rPh>
    <rPh sb="7" eb="8">
      <t>シ</t>
    </rPh>
    <rPh sb="9" eb="10">
      <t>ア</t>
    </rPh>
    <phoneticPr fontId="1"/>
  </si>
  <si>
    <t>北原　淳也</t>
    <rPh sb="0" eb="2">
      <t>キタハラ</t>
    </rPh>
    <rPh sb="3" eb="5">
      <t>ジュンヤ</t>
    </rPh>
    <phoneticPr fontId="1"/>
  </si>
  <si>
    <t>伊丹市鴻池3-4-64</t>
    <rPh sb="0" eb="3">
      <t>イタミシ</t>
    </rPh>
    <rPh sb="3" eb="5">
      <t>コウノイケ</t>
    </rPh>
    <phoneticPr fontId="1"/>
  </si>
  <si>
    <t>090-7889-9000</t>
    <phoneticPr fontId="1"/>
  </si>
  <si>
    <t>森脇　竜真</t>
    <rPh sb="0" eb="2">
      <t>モリワキ</t>
    </rPh>
    <rPh sb="3" eb="4">
      <t>リュウ</t>
    </rPh>
    <rPh sb="4" eb="5">
      <t>マコト</t>
    </rPh>
    <phoneticPr fontId="1"/>
  </si>
  <si>
    <t>090-3356-1177</t>
    <phoneticPr fontId="1"/>
  </si>
  <si>
    <t>平川　達樹</t>
    <rPh sb="0" eb="1">
      <t>ヒラ</t>
    </rPh>
    <rPh sb="1" eb="2">
      <t>カワ</t>
    </rPh>
    <rPh sb="3" eb="5">
      <t>タツキ</t>
    </rPh>
    <phoneticPr fontId="1"/>
  </si>
  <si>
    <t>651-1302</t>
    <phoneticPr fontId="1"/>
  </si>
  <si>
    <t>兵庫県神戸市北区藤原台中町6-5-7</t>
    <rPh sb="0" eb="3">
      <t>ヒョウゴケン</t>
    </rPh>
    <rPh sb="3" eb="6">
      <t>コウベシ</t>
    </rPh>
    <rPh sb="6" eb="8">
      <t>キタク</t>
    </rPh>
    <rPh sb="8" eb="11">
      <t>フジワラダイ</t>
    </rPh>
    <rPh sb="11" eb="13">
      <t>ナカチョウ</t>
    </rPh>
    <phoneticPr fontId="1"/>
  </si>
  <si>
    <t>090-3491-0552</t>
    <phoneticPr fontId="1"/>
  </si>
  <si>
    <t>社長ご友人　会員 木村孝様ご紹介　シャフトご購入</t>
    <rPh sb="0" eb="2">
      <t>シャチョウ</t>
    </rPh>
    <rPh sb="3" eb="5">
      <t>ユウジン</t>
    </rPh>
    <rPh sb="6" eb="8">
      <t>カイイン</t>
    </rPh>
    <rPh sb="9" eb="11">
      <t>キムラ</t>
    </rPh>
    <rPh sb="11" eb="12">
      <t>タカシ</t>
    </rPh>
    <rPh sb="12" eb="13">
      <t>サマ</t>
    </rPh>
    <rPh sb="14" eb="16">
      <t>ショウカイ</t>
    </rPh>
    <rPh sb="22" eb="24">
      <t>コウニュウ</t>
    </rPh>
    <phoneticPr fontId="1"/>
  </si>
  <si>
    <t>664-0002</t>
    <phoneticPr fontId="1"/>
  </si>
  <si>
    <t>斎藤　みさを</t>
    <rPh sb="0" eb="2">
      <t>サイトウ</t>
    </rPh>
    <phoneticPr fontId="1"/>
  </si>
  <si>
    <t>540-0031</t>
    <phoneticPr fontId="1"/>
  </si>
  <si>
    <t>大阪市東住吉区田辺1-7-9</t>
    <rPh sb="0" eb="3">
      <t>オオサカシ</t>
    </rPh>
    <rPh sb="3" eb="7">
      <t>ヒガシスミヨシク</t>
    </rPh>
    <rPh sb="7" eb="9">
      <t>タナベ</t>
    </rPh>
    <phoneticPr fontId="1"/>
  </si>
  <si>
    <t>090-7356-5503</t>
    <phoneticPr fontId="1"/>
  </si>
  <si>
    <t>金沢　幸一</t>
    <rPh sb="0" eb="2">
      <t>カナザワ</t>
    </rPh>
    <rPh sb="3" eb="5">
      <t>ユキカズ</t>
    </rPh>
    <phoneticPr fontId="1"/>
  </si>
  <si>
    <t>大阪市生野区巽東4-8-20-106</t>
    <rPh sb="0" eb="7">
      <t>オオサカシイクノクタツミ</t>
    </rPh>
    <rPh sb="7" eb="8">
      <t>ヒガシ</t>
    </rPh>
    <phoneticPr fontId="1"/>
  </si>
  <si>
    <t>090-7352-4488</t>
    <phoneticPr fontId="1"/>
  </si>
  <si>
    <t>544-0014</t>
    <phoneticPr fontId="1"/>
  </si>
  <si>
    <t>安部　百江</t>
    <rPh sb="0" eb="2">
      <t>アベ</t>
    </rPh>
    <rPh sb="3" eb="5">
      <t>モモエ</t>
    </rPh>
    <phoneticPr fontId="1"/>
  </si>
  <si>
    <t>690-1407</t>
    <phoneticPr fontId="1"/>
  </si>
  <si>
    <t>島根県松江市八束町寺津392-1</t>
    <phoneticPr fontId="1"/>
  </si>
  <si>
    <t>090-9062-6499</t>
    <phoneticPr fontId="1"/>
  </si>
  <si>
    <t>島根県松江市八束町寺津392-2</t>
  </si>
  <si>
    <t>安部　光夫</t>
    <rPh sb="0" eb="2">
      <t>アベ</t>
    </rPh>
    <rPh sb="3" eb="5">
      <t>ミツオ</t>
    </rPh>
    <phoneticPr fontId="1"/>
  </si>
  <si>
    <t>090-9063-3467</t>
    <phoneticPr fontId="1"/>
  </si>
  <si>
    <t>田中　功</t>
    <rPh sb="0" eb="2">
      <t>タナカ</t>
    </rPh>
    <rPh sb="3" eb="4">
      <t>イサオ</t>
    </rPh>
    <phoneticPr fontId="1"/>
  </si>
  <si>
    <t>662-0811</t>
    <phoneticPr fontId="1"/>
  </si>
  <si>
    <t>西宮市仁川町4丁目8-26</t>
    <rPh sb="0" eb="3">
      <t>ニシノミヤシ</t>
    </rPh>
    <rPh sb="3" eb="6">
      <t>ニガワチョウ</t>
    </rPh>
    <rPh sb="7" eb="9">
      <t>チョウメ</t>
    </rPh>
    <phoneticPr fontId="1"/>
  </si>
  <si>
    <t>090-4767-3875</t>
    <phoneticPr fontId="1"/>
  </si>
  <si>
    <t>シャフト試打3本</t>
    <rPh sb="4" eb="6">
      <t>シダ</t>
    </rPh>
    <rPh sb="7" eb="8">
      <t>ホン</t>
    </rPh>
    <phoneticPr fontId="1"/>
  </si>
  <si>
    <t>田中　みゆき</t>
    <rPh sb="0" eb="2">
      <t>タナカ</t>
    </rPh>
    <phoneticPr fontId="1"/>
  </si>
  <si>
    <t>090-3946-1562</t>
    <phoneticPr fontId="1"/>
  </si>
  <si>
    <t>岩原　竜一</t>
    <rPh sb="0" eb="2">
      <t>イワハラ</t>
    </rPh>
    <rPh sb="3" eb="5">
      <t>リュウイチ</t>
    </rPh>
    <phoneticPr fontId="1"/>
  </si>
  <si>
    <t>666-0151</t>
    <phoneticPr fontId="1"/>
  </si>
  <si>
    <t>川西市美山台1-3-7</t>
    <rPh sb="0" eb="3">
      <t>カワニシシ</t>
    </rPh>
    <rPh sb="3" eb="5">
      <t>ミヤマ</t>
    </rPh>
    <rPh sb="5" eb="6">
      <t>ダイ</t>
    </rPh>
    <phoneticPr fontId="1"/>
  </si>
  <si>
    <t>072-741-1892</t>
    <phoneticPr fontId="1"/>
  </si>
  <si>
    <t>奧野　健一</t>
    <rPh sb="0" eb="2">
      <t>オクノ</t>
    </rPh>
    <rPh sb="3" eb="5">
      <t>ケンイチ</t>
    </rPh>
    <phoneticPr fontId="1"/>
  </si>
  <si>
    <t>宝塚市安倉中五丁目15-25</t>
    <rPh sb="0" eb="3">
      <t>タカラヅカシ</t>
    </rPh>
    <rPh sb="3" eb="5">
      <t>アクラ</t>
    </rPh>
    <rPh sb="5" eb="6">
      <t>ナカ</t>
    </rPh>
    <rPh sb="6" eb="9">
      <t>ゴチョウメ</t>
    </rPh>
    <phoneticPr fontId="1"/>
  </si>
  <si>
    <t>0797-86-7737</t>
    <phoneticPr fontId="1"/>
  </si>
  <si>
    <t>okn-dnk-123@gaia.eonet.ne.jp</t>
    <phoneticPr fontId="1"/>
  </si>
  <si>
    <t>甲斐　正典</t>
    <rPh sb="0" eb="2">
      <t>カイ</t>
    </rPh>
    <rPh sb="3" eb="5">
      <t>マサノリ</t>
    </rPh>
    <phoneticPr fontId="1"/>
  </si>
  <si>
    <t>663-8006</t>
    <phoneticPr fontId="1"/>
  </si>
  <si>
    <t>西宮市段上町8-9-3</t>
    <rPh sb="0" eb="2">
      <t>ニシノミヤ</t>
    </rPh>
    <rPh sb="2" eb="3">
      <t>シ</t>
    </rPh>
    <rPh sb="3" eb="4">
      <t>ダン</t>
    </rPh>
    <rPh sb="4" eb="5">
      <t>ウエ</t>
    </rPh>
    <rPh sb="5" eb="6">
      <t>チョウ</t>
    </rPh>
    <phoneticPr fontId="1"/>
  </si>
  <si>
    <t>0798-51-1190</t>
    <phoneticPr fontId="1"/>
  </si>
  <si>
    <t>長屋　健</t>
    <rPh sb="0" eb="2">
      <t>ナガヤ</t>
    </rPh>
    <rPh sb="3" eb="4">
      <t>ケン</t>
    </rPh>
    <phoneticPr fontId="1"/>
  </si>
  <si>
    <t>630-0232</t>
    <phoneticPr fontId="1"/>
  </si>
  <si>
    <t>生駒市小倉寺町343-8</t>
    <rPh sb="0" eb="3">
      <t>イコマシ</t>
    </rPh>
    <rPh sb="3" eb="5">
      <t>オグラ</t>
    </rPh>
    <rPh sb="5" eb="7">
      <t>テラマチ</t>
    </rPh>
    <phoneticPr fontId="1"/>
  </si>
  <si>
    <t>090-4649-1847</t>
    <phoneticPr fontId="1"/>
  </si>
  <si>
    <t>横野　ちゆき</t>
    <rPh sb="0" eb="1">
      <t>ヨコ</t>
    </rPh>
    <rPh sb="1" eb="2">
      <t>ノ</t>
    </rPh>
    <phoneticPr fontId="1"/>
  </si>
  <si>
    <t>664-0025</t>
    <phoneticPr fontId="1"/>
  </si>
  <si>
    <t>伊丹市奥畑3-3-403</t>
    <rPh sb="3" eb="5">
      <t>オクハタ</t>
    </rPh>
    <phoneticPr fontId="1"/>
  </si>
  <si>
    <t>090-9888-6121</t>
    <phoneticPr fontId="1"/>
  </si>
  <si>
    <t>原　潤</t>
    <rPh sb="0" eb="1">
      <t>ハラ</t>
    </rPh>
    <rPh sb="2" eb="3">
      <t>ジュン</t>
    </rPh>
    <phoneticPr fontId="1"/>
  </si>
  <si>
    <t>宝塚市高司1-7-3</t>
    <rPh sb="0" eb="3">
      <t>タカラヅカシ</t>
    </rPh>
    <rPh sb="3" eb="4">
      <t>コウ</t>
    </rPh>
    <rPh sb="4" eb="5">
      <t>ツカサ</t>
    </rPh>
    <phoneticPr fontId="1"/>
  </si>
  <si>
    <t>090-3033-4105</t>
    <phoneticPr fontId="1"/>
  </si>
  <si>
    <t>山本　潤祐</t>
    <rPh sb="0" eb="2">
      <t>ヤマモト</t>
    </rPh>
    <rPh sb="3" eb="4">
      <t>ジュン</t>
    </rPh>
    <rPh sb="4" eb="5">
      <t>ユウ</t>
    </rPh>
    <phoneticPr fontId="1"/>
  </si>
  <si>
    <t>宝塚市中筋山手1-14-12</t>
    <rPh sb="0" eb="2">
      <t>タカラヅカ</t>
    </rPh>
    <rPh sb="2" eb="3">
      <t>シ</t>
    </rPh>
    <rPh sb="3" eb="5">
      <t>ナカスジ</t>
    </rPh>
    <rPh sb="5" eb="7">
      <t>ヤマテ</t>
    </rPh>
    <phoneticPr fontId="1"/>
  </si>
  <si>
    <t>090-3710-3881</t>
    <phoneticPr fontId="1"/>
  </si>
  <si>
    <t>中村　友尚</t>
    <rPh sb="0" eb="2">
      <t>ナカムラ</t>
    </rPh>
    <rPh sb="3" eb="4">
      <t>トモ</t>
    </rPh>
    <rPh sb="4" eb="5">
      <t>ヒサ</t>
    </rPh>
    <phoneticPr fontId="1"/>
  </si>
  <si>
    <t>579-8012</t>
    <phoneticPr fontId="1"/>
  </si>
  <si>
    <t>大阪府東大阪市上石切町1-7-35-102</t>
    <rPh sb="0" eb="3">
      <t>オオサカフ</t>
    </rPh>
    <rPh sb="3" eb="4">
      <t>ヒガシ</t>
    </rPh>
    <rPh sb="4" eb="6">
      <t>オオサカ</t>
    </rPh>
    <rPh sb="6" eb="7">
      <t>シ</t>
    </rPh>
    <rPh sb="7" eb="8">
      <t>カミ</t>
    </rPh>
    <rPh sb="8" eb="10">
      <t>イシキリ</t>
    </rPh>
    <rPh sb="10" eb="11">
      <t>チョウ</t>
    </rPh>
    <phoneticPr fontId="1"/>
  </si>
  <si>
    <t>090-3039-7387</t>
    <phoneticPr fontId="1"/>
  </si>
  <si>
    <t>所　彰義</t>
    <rPh sb="0" eb="1">
      <t>トコロ</t>
    </rPh>
    <rPh sb="2" eb="4">
      <t>アキヨシ</t>
    </rPh>
    <phoneticPr fontId="1"/>
  </si>
  <si>
    <t>665-0817</t>
    <phoneticPr fontId="1"/>
  </si>
  <si>
    <t>兵庫県宝塚市平井山荘13-21</t>
    <rPh sb="0" eb="3">
      <t>ヒョウゴケン</t>
    </rPh>
    <rPh sb="3" eb="8">
      <t>タカラヅカシヒライ</t>
    </rPh>
    <rPh sb="8" eb="10">
      <t>サンソウ</t>
    </rPh>
    <phoneticPr fontId="1"/>
  </si>
  <si>
    <t>090-8791-7371</t>
    <phoneticPr fontId="1"/>
  </si>
  <si>
    <t>榊　亜矢子</t>
    <rPh sb="0" eb="1">
      <t>サカキ</t>
    </rPh>
    <rPh sb="2" eb="5">
      <t>アヤコ</t>
    </rPh>
    <phoneticPr fontId="1"/>
  </si>
  <si>
    <t>兵庫県伊丹市荒牧5-16-25-907</t>
    <rPh sb="0" eb="3">
      <t>ヒョウゴケン</t>
    </rPh>
    <rPh sb="6" eb="8">
      <t>アラマキ</t>
    </rPh>
    <phoneticPr fontId="1"/>
  </si>
  <si>
    <t>090-1142-0900</t>
    <phoneticPr fontId="1"/>
  </si>
  <si>
    <t>670-0056</t>
    <phoneticPr fontId="1"/>
  </si>
  <si>
    <t>姫路市東今宿5-4-11-2</t>
    <rPh sb="0" eb="3">
      <t>ヒメジシ</t>
    </rPh>
    <rPh sb="3" eb="4">
      <t>ヒガシ</t>
    </rPh>
    <rPh sb="4" eb="6">
      <t>イマシュク</t>
    </rPh>
    <phoneticPr fontId="1"/>
  </si>
  <si>
    <t>090-9091-1171</t>
    <phoneticPr fontId="1"/>
  </si>
  <si>
    <t>090-3289-9554</t>
    <phoneticPr fontId="1"/>
  </si>
  <si>
    <t>berrysg@d7.dion.ne.jp</t>
    <phoneticPr fontId="1"/>
  </si>
  <si>
    <t>位田　竜真</t>
    <rPh sb="0" eb="1">
      <t>クライ</t>
    </rPh>
    <rPh sb="1" eb="2">
      <t>タ</t>
    </rPh>
    <rPh sb="3" eb="4">
      <t>リュウ</t>
    </rPh>
    <rPh sb="4" eb="5">
      <t>マ</t>
    </rPh>
    <phoneticPr fontId="1"/>
  </si>
  <si>
    <t>670-0944</t>
    <phoneticPr fontId="1"/>
  </si>
  <si>
    <t>姫路市阿保1-205</t>
    <rPh sb="0" eb="3">
      <t>ヒメジシ</t>
    </rPh>
    <rPh sb="3" eb="5">
      <t>アボ</t>
    </rPh>
    <phoneticPr fontId="1"/>
  </si>
  <si>
    <t>山﨑　忍</t>
    <rPh sb="0" eb="2">
      <t>ヤマサキ</t>
    </rPh>
    <rPh sb="3" eb="4">
      <t>シノブ</t>
    </rPh>
    <phoneticPr fontId="1"/>
  </si>
  <si>
    <t>山﨑　康治</t>
    <rPh sb="0" eb="2">
      <t>ヤマサキ</t>
    </rPh>
    <rPh sb="3" eb="5">
      <t>ヤスハル</t>
    </rPh>
    <phoneticPr fontId="1"/>
  </si>
  <si>
    <t>勝山　真次</t>
    <rPh sb="0" eb="1">
      <t>カツ</t>
    </rPh>
    <rPh sb="1" eb="2">
      <t>ヤマ</t>
    </rPh>
    <rPh sb="3" eb="5">
      <t>マサツグ</t>
    </rPh>
    <phoneticPr fontId="1"/>
  </si>
  <si>
    <t>530-0005</t>
    <phoneticPr fontId="1"/>
  </si>
  <si>
    <t>大阪市北区中之島3-5-8-402</t>
    <rPh sb="0" eb="3">
      <t>オオサカシ</t>
    </rPh>
    <rPh sb="3" eb="5">
      <t>キタク</t>
    </rPh>
    <rPh sb="5" eb="8">
      <t>ナカノシマ</t>
    </rPh>
    <phoneticPr fontId="1"/>
  </si>
  <si>
    <t>080-4762-3493</t>
    <phoneticPr fontId="1"/>
  </si>
  <si>
    <t>白石　元康</t>
    <rPh sb="0" eb="2">
      <t>シライシ</t>
    </rPh>
    <rPh sb="3" eb="5">
      <t>モトヤス</t>
    </rPh>
    <phoneticPr fontId="1"/>
  </si>
  <si>
    <t>大阪市福島区福島1-1-12-907</t>
    <rPh sb="0" eb="3">
      <t>オオサカシ</t>
    </rPh>
    <rPh sb="3" eb="6">
      <t>フクシマク</t>
    </rPh>
    <rPh sb="6" eb="8">
      <t>フクシマ</t>
    </rPh>
    <phoneticPr fontId="1"/>
  </si>
  <si>
    <t>090-3053-0520</t>
    <phoneticPr fontId="1"/>
  </si>
  <si>
    <t>西尾　誠</t>
    <rPh sb="0" eb="2">
      <t>ニシオ</t>
    </rPh>
    <rPh sb="3" eb="4">
      <t>マコト</t>
    </rPh>
    <phoneticPr fontId="1"/>
  </si>
  <si>
    <t>520-0221</t>
    <phoneticPr fontId="1"/>
  </si>
  <si>
    <t>滋賀県大津市緑町10-32</t>
    <rPh sb="0" eb="3">
      <t>シガケン</t>
    </rPh>
    <rPh sb="3" eb="6">
      <t>オオツシ</t>
    </rPh>
    <rPh sb="6" eb="7">
      <t>ミドリ</t>
    </rPh>
    <rPh sb="7" eb="8">
      <t>マチ</t>
    </rPh>
    <phoneticPr fontId="1"/>
  </si>
  <si>
    <t>090-1149-3190</t>
    <phoneticPr fontId="1"/>
  </si>
  <si>
    <t>姫路市東今宿2丁目2-3　サクラメント今宿601</t>
    <rPh sb="0" eb="3">
      <t>ヒメジシ</t>
    </rPh>
    <rPh sb="3" eb="6">
      <t>ヒガシイマシュク</t>
    </rPh>
    <rPh sb="7" eb="9">
      <t>チョウメ</t>
    </rPh>
    <rPh sb="19" eb="21">
      <t>イマシュク</t>
    </rPh>
    <phoneticPr fontId="1"/>
  </si>
  <si>
    <t>090-1075-1071</t>
    <phoneticPr fontId="1"/>
  </si>
  <si>
    <t>村田　晃子</t>
    <rPh sb="0" eb="2">
      <t>ムラタ</t>
    </rPh>
    <rPh sb="3" eb="5">
      <t>アキコ</t>
    </rPh>
    <phoneticPr fontId="1"/>
  </si>
  <si>
    <t>673-0883</t>
    <phoneticPr fontId="1"/>
  </si>
  <si>
    <t>明石市中崎2-5-6-203</t>
    <rPh sb="0" eb="3">
      <t>アカシシ</t>
    </rPh>
    <rPh sb="3" eb="5">
      <t>ナカサキ</t>
    </rPh>
    <phoneticPr fontId="1"/>
  </si>
  <si>
    <t>090-2011-6627</t>
    <phoneticPr fontId="1"/>
  </si>
  <si>
    <t>akkoloo220@gmail.com</t>
    <phoneticPr fontId="1"/>
  </si>
  <si>
    <t>シャフト試打 無制限</t>
    <rPh sb="4" eb="6">
      <t>シダ</t>
    </rPh>
    <rPh sb="7" eb="10">
      <t>ムセイゲン</t>
    </rPh>
    <phoneticPr fontId="1"/>
  </si>
  <si>
    <t>村田　裕</t>
    <rPh sb="0" eb="2">
      <t>ムラタ</t>
    </rPh>
    <rPh sb="3" eb="4">
      <t>ユウ</t>
    </rPh>
    <phoneticPr fontId="1"/>
  </si>
  <si>
    <t>北條　誠</t>
    <rPh sb="0" eb="2">
      <t>ホウジョウ</t>
    </rPh>
    <rPh sb="3" eb="4">
      <t>マコト</t>
    </rPh>
    <phoneticPr fontId="1"/>
  </si>
  <si>
    <t>尼崎市南武庫之荘3-9-20</t>
    <rPh sb="0" eb="3">
      <t>アマガサキシ</t>
    </rPh>
    <rPh sb="3" eb="4">
      <t>ミナミ</t>
    </rPh>
    <rPh sb="4" eb="8">
      <t>ムコノソウ</t>
    </rPh>
    <phoneticPr fontId="1"/>
  </si>
  <si>
    <t>080-1302-1030</t>
    <phoneticPr fontId="1"/>
  </si>
  <si>
    <t>090-1901-9007</t>
    <phoneticPr fontId="1"/>
  </si>
  <si>
    <t>三里　泰義</t>
    <rPh sb="0" eb="2">
      <t>ミサト</t>
    </rPh>
    <rPh sb="3" eb="5">
      <t>ヤスヨシ</t>
    </rPh>
    <phoneticPr fontId="1"/>
  </si>
  <si>
    <t>兵庫県たつの市新宮町井野原537-1</t>
    <rPh sb="0" eb="3">
      <t>ヒョウゴケン</t>
    </rPh>
    <rPh sb="6" eb="7">
      <t>シ</t>
    </rPh>
    <rPh sb="7" eb="9">
      <t>シンミヤ</t>
    </rPh>
    <rPh sb="9" eb="10">
      <t>チョウ</t>
    </rPh>
    <rPh sb="10" eb="11">
      <t>イ</t>
    </rPh>
    <rPh sb="11" eb="12">
      <t>ノ</t>
    </rPh>
    <rPh sb="12" eb="13">
      <t>ハラ</t>
    </rPh>
    <phoneticPr fontId="1"/>
  </si>
  <si>
    <t>090-1482-1082</t>
    <phoneticPr fontId="1"/>
  </si>
  <si>
    <t>大井　真澄</t>
    <rPh sb="0" eb="2">
      <t>オオイ</t>
    </rPh>
    <rPh sb="3" eb="5">
      <t>マスミ</t>
    </rPh>
    <phoneticPr fontId="1"/>
  </si>
  <si>
    <t>兵庫県宝塚市山本中3-14-2-201</t>
    <rPh sb="0" eb="3">
      <t>ヒョウゴケン</t>
    </rPh>
    <rPh sb="3" eb="6">
      <t>タカラヅカシ</t>
    </rPh>
    <rPh sb="6" eb="8">
      <t>ヤマモト</t>
    </rPh>
    <rPh sb="8" eb="9">
      <t>ナカ</t>
    </rPh>
    <phoneticPr fontId="1"/>
  </si>
  <si>
    <t>0797-78-8665</t>
    <phoneticPr fontId="1"/>
  </si>
  <si>
    <t>佐久間　友祐</t>
    <rPh sb="0" eb="3">
      <t>サクマ</t>
    </rPh>
    <rPh sb="4" eb="6">
      <t>トモヒロ</t>
    </rPh>
    <phoneticPr fontId="1"/>
  </si>
  <si>
    <t>665-0803</t>
    <phoneticPr fontId="1"/>
  </si>
  <si>
    <t>兵庫県宝塚市花屋敷つつじが丘13-9</t>
    <rPh sb="0" eb="3">
      <t>ヒョウゴケン</t>
    </rPh>
    <rPh sb="3" eb="6">
      <t>タカラヅカシ</t>
    </rPh>
    <rPh sb="6" eb="7">
      <t>ハナ</t>
    </rPh>
    <rPh sb="7" eb="9">
      <t>ヤシキ</t>
    </rPh>
    <rPh sb="13" eb="14">
      <t>オカ</t>
    </rPh>
    <phoneticPr fontId="1"/>
  </si>
  <si>
    <t>090-1076-2121</t>
    <phoneticPr fontId="1"/>
  </si>
  <si>
    <t>大西　洋平</t>
    <rPh sb="0" eb="2">
      <t>オオニシ</t>
    </rPh>
    <rPh sb="3" eb="5">
      <t>ヨウヘイ</t>
    </rPh>
    <phoneticPr fontId="1"/>
  </si>
  <si>
    <t>080-1433-1814</t>
    <phoneticPr fontId="1"/>
  </si>
  <si>
    <t>大阪府箕面市森町中2-3-7</t>
    <rPh sb="0" eb="3">
      <t>オオサカフ</t>
    </rPh>
    <rPh sb="3" eb="5">
      <t>ミノオ</t>
    </rPh>
    <rPh sb="5" eb="6">
      <t>シ</t>
    </rPh>
    <rPh sb="6" eb="8">
      <t>モリマチ</t>
    </rPh>
    <rPh sb="8" eb="9">
      <t>ナカ</t>
    </rPh>
    <phoneticPr fontId="1"/>
  </si>
  <si>
    <t>563-0257</t>
    <phoneticPr fontId="1"/>
  </si>
  <si>
    <t>679-4315</t>
    <phoneticPr fontId="1"/>
  </si>
  <si>
    <t>南條　友理</t>
    <rPh sb="0" eb="2">
      <t>ナンジョウ</t>
    </rPh>
    <rPh sb="3" eb="5">
      <t>ユリ</t>
    </rPh>
    <phoneticPr fontId="1"/>
  </si>
  <si>
    <t>561-0861</t>
    <phoneticPr fontId="1"/>
  </si>
  <si>
    <t>豊中市東泉丘4-5-50-926</t>
    <rPh sb="0" eb="3">
      <t>トヨナカシ</t>
    </rPh>
    <rPh sb="3" eb="4">
      <t>ヒガシ</t>
    </rPh>
    <rPh sb="4" eb="5">
      <t>イズミ</t>
    </rPh>
    <rPh sb="5" eb="6">
      <t>オカ</t>
    </rPh>
    <phoneticPr fontId="1"/>
  </si>
  <si>
    <t>jyo.ty.102352@gmail.com</t>
    <phoneticPr fontId="1"/>
  </si>
  <si>
    <t>090-5966-1526</t>
    <phoneticPr fontId="1"/>
  </si>
  <si>
    <t>シャフト試打　3本</t>
    <rPh sb="4" eb="6">
      <t>シダ</t>
    </rPh>
    <rPh sb="8" eb="9">
      <t>ボン</t>
    </rPh>
    <phoneticPr fontId="1"/>
  </si>
  <si>
    <t>竹内　由岐子</t>
    <rPh sb="0" eb="2">
      <t>タケウチ</t>
    </rPh>
    <rPh sb="3" eb="6">
      <t>ユキコ</t>
    </rPh>
    <phoneticPr fontId="1"/>
  </si>
  <si>
    <t>後藤　優</t>
    <rPh sb="0" eb="2">
      <t>ゴトウ</t>
    </rPh>
    <rPh sb="3" eb="4">
      <t>マサル</t>
    </rPh>
    <phoneticPr fontId="1"/>
  </si>
  <si>
    <t>吹田市青山台4-8-9</t>
    <rPh sb="0" eb="3">
      <t>スイタシ</t>
    </rPh>
    <rPh sb="3" eb="5">
      <t>アオヤマ</t>
    </rPh>
    <rPh sb="5" eb="6">
      <t>ダイ</t>
    </rPh>
    <phoneticPr fontId="1"/>
  </si>
  <si>
    <t>090-9090-9611</t>
    <phoneticPr fontId="1"/>
  </si>
  <si>
    <t>565-0875</t>
    <phoneticPr fontId="1"/>
  </si>
  <si>
    <t>黒木　恵介</t>
    <rPh sb="0" eb="2">
      <t>クロキ</t>
    </rPh>
    <rPh sb="3" eb="5">
      <t>ケイスケ</t>
    </rPh>
    <phoneticPr fontId="1"/>
  </si>
  <si>
    <t>宝塚市山本東3-10-5</t>
    <rPh sb="0" eb="2">
      <t>タカラヅカ</t>
    </rPh>
    <rPh sb="2" eb="3">
      <t>シ</t>
    </rPh>
    <rPh sb="3" eb="5">
      <t>ヤマモト</t>
    </rPh>
    <rPh sb="5" eb="6">
      <t>ヒガシ</t>
    </rPh>
    <phoneticPr fontId="1"/>
  </si>
  <si>
    <t>090-4567-0628</t>
    <phoneticPr fontId="1"/>
  </si>
  <si>
    <t>櫻井　まゆみ</t>
    <rPh sb="0" eb="2">
      <t>サクライ</t>
    </rPh>
    <phoneticPr fontId="1"/>
  </si>
  <si>
    <t>598-0044</t>
    <phoneticPr fontId="1"/>
  </si>
  <si>
    <t>大阪府泉佐野市笠松1-2-28-3</t>
    <rPh sb="0" eb="3">
      <t>オオサカフ</t>
    </rPh>
    <rPh sb="3" eb="7">
      <t>イズミサノシ</t>
    </rPh>
    <rPh sb="7" eb="9">
      <t>カサマツ</t>
    </rPh>
    <phoneticPr fontId="1"/>
  </si>
  <si>
    <t>072-463-2621</t>
    <phoneticPr fontId="1"/>
  </si>
  <si>
    <t>本社櫻井さん　奥様</t>
    <rPh sb="0" eb="2">
      <t>ホンシャ</t>
    </rPh>
    <rPh sb="2" eb="4">
      <t>サクライ</t>
    </rPh>
    <rPh sb="7" eb="9">
      <t>オクサマ</t>
    </rPh>
    <phoneticPr fontId="1"/>
  </si>
  <si>
    <t>滋野　尚</t>
    <rPh sb="0" eb="2">
      <t>シゲノ</t>
    </rPh>
    <rPh sb="3" eb="4">
      <t>ナオ</t>
    </rPh>
    <phoneticPr fontId="1"/>
  </si>
  <si>
    <t>623-0011</t>
    <phoneticPr fontId="1"/>
  </si>
  <si>
    <t>京都府綾部市青野町6反目27　グランブルーG102</t>
    <rPh sb="0" eb="3">
      <t>キョウトフ</t>
    </rPh>
    <rPh sb="3" eb="6">
      <t>アヤベシ</t>
    </rPh>
    <rPh sb="6" eb="8">
      <t>アオノ</t>
    </rPh>
    <rPh sb="8" eb="9">
      <t>マチ</t>
    </rPh>
    <rPh sb="10" eb="11">
      <t>ハン</t>
    </rPh>
    <rPh sb="11" eb="12">
      <t>メ</t>
    </rPh>
    <phoneticPr fontId="1"/>
  </si>
  <si>
    <t>090-9049-8189</t>
    <phoneticPr fontId="1"/>
  </si>
  <si>
    <t>本社接待</t>
    <rPh sb="0" eb="2">
      <t>ホンシャ</t>
    </rPh>
    <rPh sb="2" eb="4">
      <t>セッタイ</t>
    </rPh>
    <phoneticPr fontId="1"/>
  </si>
  <si>
    <t>森岡　秀一</t>
    <rPh sb="0" eb="2">
      <t>モリオカ</t>
    </rPh>
    <rPh sb="3" eb="5">
      <t>シュウイチ</t>
    </rPh>
    <phoneticPr fontId="1"/>
  </si>
  <si>
    <t>542-0012</t>
    <phoneticPr fontId="1"/>
  </si>
  <si>
    <t>大阪市中央区谷町6-6-5-902</t>
    <rPh sb="0" eb="3">
      <t>オオサカシ</t>
    </rPh>
    <rPh sb="3" eb="5">
      <t>チュウオウ</t>
    </rPh>
    <rPh sb="5" eb="6">
      <t>ク</t>
    </rPh>
    <rPh sb="6" eb="7">
      <t>タニ</t>
    </rPh>
    <rPh sb="7" eb="8">
      <t>マチ</t>
    </rPh>
    <phoneticPr fontId="1"/>
  </si>
  <si>
    <t>080-3832-6791</t>
    <phoneticPr fontId="1"/>
  </si>
  <si>
    <t>gbbnd656@ybb.ne.jp</t>
    <phoneticPr fontId="1"/>
  </si>
  <si>
    <t>t.san9679@gmail.com</t>
    <phoneticPr fontId="1"/>
  </si>
  <si>
    <t>mamip39@yahoo.co.jp</t>
    <phoneticPr fontId="1"/>
  </si>
  <si>
    <t>小松　洋一</t>
    <rPh sb="0" eb="2">
      <t>コマツ</t>
    </rPh>
    <rPh sb="3" eb="5">
      <t>ヨウイチ</t>
    </rPh>
    <phoneticPr fontId="1"/>
  </si>
  <si>
    <t>531-6013</t>
    <phoneticPr fontId="1"/>
  </si>
  <si>
    <t>大阪市北区大淀中1-1-88</t>
    <rPh sb="0" eb="3">
      <t>オオサカシ</t>
    </rPh>
    <rPh sb="3" eb="5">
      <t>キタク</t>
    </rPh>
    <rPh sb="5" eb="7">
      <t>オオヨド</t>
    </rPh>
    <rPh sb="7" eb="8">
      <t>ナカ</t>
    </rPh>
    <phoneticPr fontId="1"/>
  </si>
  <si>
    <t>06-6440-3272</t>
    <phoneticPr fontId="1"/>
  </si>
  <si>
    <t>葉山　敬三</t>
    <rPh sb="0" eb="2">
      <t>ハヤマ</t>
    </rPh>
    <rPh sb="3" eb="5">
      <t>ケイゾウ</t>
    </rPh>
    <phoneticPr fontId="1"/>
  </si>
  <si>
    <t>563-0041</t>
    <phoneticPr fontId="1"/>
  </si>
  <si>
    <t>池田市満寿美町2-24-605</t>
    <rPh sb="0" eb="2">
      <t>イケダ</t>
    </rPh>
    <rPh sb="2" eb="3">
      <t>シ</t>
    </rPh>
    <rPh sb="3" eb="4">
      <t>ミチル</t>
    </rPh>
    <rPh sb="4" eb="5">
      <t>コトブキ</t>
    </rPh>
    <rPh sb="5" eb="6">
      <t>ミ</t>
    </rPh>
    <rPh sb="6" eb="7">
      <t>チョウ</t>
    </rPh>
    <phoneticPr fontId="1"/>
  </si>
  <si>
    <t>090-1901-9333</t>
    <phoneticPr fontId="1"/>
  </si>
  <si>
    <t>ご入会・返金済</t>
    <rPh sb="1" eb="3">
      <t>ニュウカイ</t>
    </rPh>
    <rPh sb="4" eb="6">
      <t>ヘンキン</t>
    </rPh>
    <rPh sb="6" eb="7">
      <t>スミ</t>
    </rPh>
    <phoneticPr fontId="1"/>
  </si>
  <si>
    <t>関籐　直熙</t>
    <rPh sb="0" eb="1">
      <t>セキ</t>
    </rPh>
    <rPh sb="1" eb="2">
      <t>トウ</t>
    </rPh>
    <rPh sb="3" eb="4">
      <t>ジカ</t>
    </rPh>
    <rPh sb="4" eb="5">
      <t>ヒカ</t>
    </rPh>
    <phoneticPr fontId="1"/>
  </si>
  <si>
    <t>花田　豪樹</t>
    <rPh sb="0" eb="2">
      <t>ハナダ</t>
    </rPh>
    <rPh sb="3" eb="4">
      <t>ゴウ</t>
    </rPh>
    <rPh sb="4" eb="5">
      <t>キ</t>
    </rPh>
    <phoneticPr fontId="1"/>
  </si>
  <si>
    <t>720-1131</t>
    <phoneticPr fontId="1"/>
  </si>
  <si>
    <t>広島県福山市駅家町万能倉1364-1</t>
    <rPh sb="0" eb="2">
      <t>ヒロシマ</t>
    </rPh>
    <rPh sb="2" eb="3">
      <t>ケン</t>
    </rPh>
    <rPh sb="3" eb="6">
      <t>フクヤマシ</t>
    </rPh>
    <rPh sb="6" eb="7">
      <t>エキ</t>
    </rPh>
    <rPh sb="7" eb="8">
      <t>イエ</t>
    </rPh>
    <rPh sb="8" eb="9">
      <t>チョウ</t>
    </rPh>
    <rPh sb="9" eb="12">
      <t>マナグラ</t>
    </rPh>
    <phoneticPr fontId="1"/>
  </si>
  <si>
    <t>大阪府大阪市北区中津1-6-29-1811</t>
    <rPh sb="0" eb="2">
      <t>オオサカ</t>
    </rPh>
    <rPh sb="2" eb="3">
      <t>フ</t>
    </rPh>
    <rPh sb="6" eb="8">
      <t>キタク</t>
    </rPh>
    <rPh sb="8" eb="10">
      <t>ナカツ</t>
    </rPh>
    <phoneticPr fontId="1"/>
  </si>
  <si>
    <t>080-2940-5043</t>
    <phoneticPr fontId="1"/>
  </si>
  <si>
    <t>古川さん　ヒロ君　知り合い</t>
    <rPh sb="0" eb="2">
      <t>フルカワ</t>
    </rPh>
    <rPh sb="7" eb="8">
      <t>クン</t>
    </rPh>
    <rPh sb="9" eb="10">
      <t>シ</t>
    </rPh>
    <rPh sb="11" eb="12">
      <t>ア</t>
    </rPh>
    <phoneticPr fontId="1"/>
  </si>
  <si>
    <t>090-3993-8709</t>
    <phoneticPr fontId="1"/>
  </si>
  <si>
    <t>531-0071</t>
    <phoneticPr fontId="1"/>
  </si>
  <si>
    <t>林　征志</t>
    <rPh sb="0" eb="1">
      <t>ハヤシ</t>
    </rPh>
    <rPh sb="2" eb="3">
      <t>セイ</t>
    </rPh>
    <rPh sb="3" eb="4">
      <t>ココロザシ</t>
    </rPh>
    <phoneticPr fontId="1"/>
  </si>
  <si>
    <t>050-0065</t>
    <phoneticPr fontId="1"/>
  </si>
  <si>
    <t>北海道室蘭市本輪西町3-5-13</t>
    <rPh sb="0" eb="3">
      <t>ホッカイドウ</t>
    </rPh>
    <rPh sb="3" eb="6">
      <t>ムロランシ</t>
    </rPh>
    <rPh sb="6" eb="7">
      <t>モト</t>
    </rPh>
    <rPh sb="7" eb="8">
      <t>ワ</t>
    </rPh>
    <rPh sb="8" eb="9">
      <t>ニシ</t>
    </rPh>
    <rPh sb="9" eb="10">
      <t>チョウ</t>
    </rPh>
    <phoneticPr fontId="1"/>
  </si>
  <si>
    <t>090-3390-0907</t>
    <phoneticPr fontId="1"/>
  </si>
  <si>
    <t>岡本　由香里</t>
    <rPh sb="0" eb="2">
      <t>オカモト</t>
    </rPh>
    <rPh sb="3" eb="6">
      <t>ユカリ</t>
    </rPh>
    <phoneticPr fontId="1"/>
  </si>
  <si>
    <t>540-0037</t>
    <phoneticPr fontId="1"/>
  </si>
  <si>
    <t>大阪府大阪市中央区内平野町2-3-11-1102</t>
    <rPh sb="0" eb="2">
      <t>オオサカ</t>
    </rPh>
    <rPh sb="2" eb="3">
      <t>フ</t>
    </rPh>
    <rPh sb="6" eb="9">
      <t>チュウオウク</t>
    </rPh>
    <rPh sb="9" eb="10">
      <t>ウチ</t>
    </rPh>
    <rPh sb="10" eb="12">
      <t>ヒラノ</t>
    </rPh>
    <rPh sb="12" eb="13">
      <t>チョウ</t>
    </rPh>
    <phoneticPr fontId="1"/>
  </si>
  <si>
    <t>田中　維知子</t>
    <rPh sb="0" eb="2">
      <t>タナカ</t>
    </rPh>
    <rPh sb="3" eb="4">
      <t>イ</t>
    </rPh>
    <rPh sb="4" eb="5">
      <t>チ</t>
    </rPh>
    <rPh sb="5" eb="6">
      <t>コ</t>
    </rPh>
    <phoneticPr fontId="1"/>
  </si>
  <si>
    <t>大阪府大阪市西区北堀江2-5-5</t>
    <rPh sb="0" eb="3">
      <t>オオサカフ</t>
    </rPh>
    <rPh sb="3" eb="6">
      <t>オオサカシ</t>
    </rPh>
    <rPh sb="6" eb="7">
      <t>ニシ</t>
    </rPh>
    <rPh sb="7" eb="8">
      <t>ク</t>
    </rPh>
    <rPh sb="8" eb="11">
      <t>キタホリエ</t>
    </rPh>
    <phoneticPr fontId="1"/>
  </si>
  <si>
    <t>090-7097-5346</t>
    <phoneticPr fontId="1"/>
  </si>
  <si>
    <t>090-1919-1040</t>
    <phoneticPr fontId="1"/>
  </si>
  <si>
    <t>樫村　直人</t>
    <rPh sb="0" eb="2">
      <t>カシムラ</t>
    </rPh>
    <rPh sb="3" eb="5">
      <t>ナオト</t>
    </rPh>
    <phoneticPr fontId="1"/>
  </si>
  <si>
    <t>宝塚市弥生町5-1-1008</t>
    <rPh sb="0" eb="3">
      <t>タカラヅカシ</t>
    </rPh>
    <rPh sb="3" eb="6">
      <t>ヤヨイチョウ</t>
    </rPh>
    <phoneticPr fontId="1"/>
  </si>
  <si>
    <t>090-2107-2858</t>
    <phoneticPr fontId="1"/>
  </si>
  <si>
    <t>665-0826</t>
    <phoneticPr fontId="1"/>
  </si>
  <si>
    <t>馬野　靖子</t>
    <rPh sb="0" eb="2">
      <t>ウマノ</t>
    </rPh>
    <rPh sb="3" eb="5">
      <t>ヤスコ</t>
    </rPh>
    <phoneticPr fontId="1"/>
  </si>
  <si>
    <t>546-0042</t>
    <phoneticPr fontId="1"/>
  </si>
  <si>
    <t>大阪府大阪市東住吉区西今川3-32-14</t>
    <rPh sb="0" eb="3">
      <t>オオサカフ</t>
    </rPh>
    <rPh sb="3" eb="6">
      <t>オオサカシ</t>
    </rPh>
    <rPh sb="6" eb="7">
      <t>ヒガシ</t>
    </rPh>
    <rPh sb="7" eb="10">
      <t>スミヨシク</t>
    </rPh>
    <rPh sb="10" eb="11">
      <t>ニシ</t>
    </rPh>
    <rPh sb="11" eb="13">
      <t>イマカワ</t>
    </rPh>
    <phoneticPr fontId="1"/>
  </si>
  <si>
    <t>馬野　隆信</t>
    <rPh sb="0" eb="2">
      <t>ウマノ</t>
    </rPh>
    <rPh sb="3" eb="5">
      <t>タカノブ</t>
    </rPh>
    <phoneticPr fontId="1"/>
  </si>
  <si>
    <t>090-8194-3711</t>
    <phoneticPr fontId="1"/>
  </si>
  <si>
    <t>090-8194-3799</t>
    <phoneticPr fontId="1"/>
  </si>
  <si>
    <t>体験、フィッティングご利用　シャフト、ヘッドご購入</t>
    <rPh sb="0" eb="2">
      <t>タイケン</t>
    </rPh>
    <rPh sb="11" eb="13">
      <t>リヨウ</t>
    </rPh>
    <rPh sb="23" eb="25">
      <t>コウニュウ</t>
    </rPh>
    <phoneticPr fontId="1"/>
  </si>
  <si>
    <t>体験、フィッティングご利用　グローブご購入</t>
    <rPh sb="0" eb="2">
      <t>タイケン</t>
    </rPh>
    <rPh sb="11" eb="13">
      <t>リヨウ</t>
    </rPh>
    <rPh sb="19" eb="21">
      <t>コウニュウ</t>
    </rPh>
    <phoneticPr fontId="1"/>
  </si>
  <si>
    <t>上本　博紀</t>
    <rPh sb="0" eb="2">
      <t>ウエモト</t>
    </rPh>
    <rPh sb="3" eb="5">
      <t>ヒロノリ</t>
    </rPh>
    <phoneticPr fontId="1"/>
  </si>
  <si>
    <t>662-0025</t>
    <phoneticPr fontId="1"/>
  </si>
  <si>
    <t>西宮市北名次町6-37-201</t>
    <rPh sb="0" eb="3">
      <t>ニシノミヤシ</t>
    </rPh>
    <rPh sb="3" eb="4">
      <t>キタ</t>
    </rPh>
    <rPh sb="4" eb="5">
      <t>ナ</t>
    </rPh>
    <rPh sb="5" eb="6">
      <t>ジ</t>
    </rPh>
    <rPh sb="6" eb="7">
      <t>マチ</t>
    </rPh>
    <phoneticPr fontId="1"/>
  </si>
  <si>
    <t>090-1680-0310</t>
    <phoneticPr fontId="1"/>
  </si>
  <si>
    <t>西垣　克己</t>
    <rPh sb="0" eb="2">
      <t>ニシガキ</t>
    </rPh>
    <rPh sb="3" eb="5">
      <t>カツミ</t>
    </rPh>
    <phoneticPr fontId="1"/>
  </si>
  <si>
    <t>563-0104</t>
    <phoneticPr fontId="1"/>
  </si>
  <si>
    <t>大阪府大阪市豊能郡豊能町光風台6丁目10-15</t>
    <rPh sb="0" eb="6">
      <t>オオサカフオオサカシ</t>
    </rPh>
    <rPh sb="6" eb="8">
      <t>トヨノ</t>
    </rPh>
    <rPh sb="8" eb="9">
      <t>グン</t>
    </rPh>
    <rPh sb="9" eb="12">
      <t>トヨノチョウ</t>
    </rPh>
    <rPh sb="12" eb="13">
      <t>ヒカリ</t>
    </rPh>
    <rPh sb="13" eb="14">
      <t>カゼ</t>
    </rPh>
    <rPh sb="16" eb="18">
      <t>チョウメ</t>
    </rPh>
    <phoneticPr fontId="1"/>
  </si>
  <si>
    <t>080-4411-7946</t>
    <phoneticPr fontId="1"/>
  </si>
  <si>
    <t>katsu_nishi790@yahoo.co.jp</t>
    <phoneticPr fontId="1"/>
  </si>
  <si>
    <t>ビジター 2回目　</t>
    <rPh sb="6" eb="7">
      <t>カイ</t>
    </rPh>
    <rPh sb="7" eb="8">
      <t>メ</t>
    </rPh>
    <phoneticPr fontId="1"/>
  </si>
  <si>
    <t xml:space="preserve">ビジター </t>
    <phoneticPr fontId="1"/>
  </si>
  <si>
    <t>藤原　大輔</t>
    <rPh sb="0" eb="2">
      <t>フジハラ</t>
    </rPh>
    <rPh sb="3" eb="5">
      <t>ダイスケ</t>
    </rPh>
    <phoneticPr fontId="1"/>
  </si>
  <si>
    <t>629-2203</t>
    <phoneticPr fontId="1"/>
  </si>
  <si>
    <t>京丹後市大宮町岡野1806-1</t>
    <rPh sb="0" eb="4">
      <t>キョウタンゴシ</t>
    </rPh>
    <rPh sb="4" eb="7">
      <t>オオミヤチョウ</t>
    </rPh>
    <rPh sb="7" eb="9">
      <t>オカノ</t>
    </rPh>
    <phoneticPr fontId="1"/>
  </si>
  <si>
    <t>warawara.0914@i.softbank.jp</t>
    <phoneticPr fontId="1"/>
  </si>
  <si>
    <t>090-6062-3735</t>
    <phoneticPr fontId="1"/>
  </si>
  <si>
    <t>佐地　富砂子</t>
    <rPh sb="0" eb="1">
      <t>タスク</t>
    </rPh>
    <rPh sb="1" eb="2">
      <t>チ</t>
    </rPh>
    <rPh sb="3" eb="4">
      <t>トミ</t>
    </rPh>
    <rPh sb="4" eb="6">
      <t>スナコ</t>
    </rPh>
    <phoneticPr fontId="1"/>
  </si>
  <si>
    <t>659-0087</t>
    <phoneticPr fontId="1"/>
  </si>
  <si>
    <t>芦屋市三条町28-1</t>
    <rPh sb="0" eb="3">
      <t>アシヤシ</t>
    </rPh>
    <rPh sb="3" eb="5">
      <t>サンジョウ</t>
    </rPh>
    <rPh sb="5" eb="6">
      <t>チョウ</t>
    </rPh>
    <phoneticPr fontId="1"/>
  </si>
  <si>
    <t>fusako34@gmail.com</t>
    <phoneticPr fontId="1"/>
  </si>
  <si>
    <t>090-8052-5742</t>
    <phoneticPr fontId="1"/>
  </si>
  <si>
    <t>550-0012</t>
    <phoneticPr fontId="1"/>
  </si>
  <si>
    <t>大阪府大阪市西区立売堀6-7-50-1011</t>
    <rPh sb="0" eb="3">
      <t>オオサカフ</t>
    </rPh>
    <rPh sb="3" eb="6">
      <t>オオサカシ</t>
    </rPh>
    <rPh sb="6" eb="8">
      <t>ニシク</t>
    </rPh>
    <rPh sb="8" eb="11">
      <t>イタチボリ</t>
    </rPh>
    <phoneticPr fontId="1"/>
  </si>
  <si>
    <t>江本　直嗣</t>
    <rPh sb="0" eb="2">
      <t>エモト</t>
    </rPh>
    <rPh sb="3" eb="4">
      <t>ナオ</t>
    </rPh>
    <rPh sb="4" eb="5">
      <t>シ</t>
    </rPh>
    <phoneticPr fontId="1"/>
  </si>
  <si>
    <t>080-4495-5210</t>
    <phoneticPr fontId="1"/>
  </si>
  <si>
    <t>則藤さんお知り合い</t>
    <rPh sb="0" eb="1">
      <t>ノリ</t>
    </rPh>
    <rPh sb="1" eb="2">
      <t>フジ</t>
    </rPh>
    <rPh sb="5" eb="6">
      <t>シ</t>
    </rPh>
    <rPh sb="7" eb="8">
      <t>ア</t>
    </rPh>
    <phoneticPr fontId="1"/>
  </si>
  <si>
    <t>岩井　一寛</t>
    <rPh sb="0" eb="2">
      <t>イワイ</t>
    </rPh>
    <rPh sb="3" eb="5">
      <t>カズヒロ</t>
    </rPh>
    <phoneticPr fontId="1"/>
  </si>
  <si>
    <t>566-0145</t>
    <phoneticPr fontId="1"/>
  </si>
  <si>
    <t>川西市けやき坂4-10-12</t>
    <rPh sb="0" eb="3">
      <t>カワニシシ</t>
    </rPh>
    <rPh sb="6" eb="7">
      <t>ザカ</t>
    </rPh>
    <phoneticPr fontId="1"/>
  </si>
  <si>
    <t>090-9349-4696</t>
    <phoneticPr fontId="1"/>
  </si>
  <si>
    <t>増田　憲太郎</t>
    <rPh sb="0" eb="2">
      <t>マスダ</t>
    </rPh>
    <rPh sb="3" eb="6">
      <t>ケンタロウ</t>
    </rPh>
    <phoneticPr fontId="1"/>
  </si>
  <si>
    <t>神戸市中央区磯辺通4-1-41-1305</t>
    <rPh sb="0" eb="6">
      <t>コウベシチュウオウク</t>
    </rPh>
    <rPh sb="6" eb="8">
      <t>イソベ</t>
    </rPh>
    <rPh sb="8" eb="9">
      <t>トオ</t>
    </rPh>
    <phoneticPr fontId="1"/>
  </si>
  <si>
    <t>090-1480-3071</t>
    <phoneticPr fontId="1"/>
  </si>
  <si>
    <t>651-0084</t>
    <phoneticPr fontId="1"/>
  </si>
  <si>
    <t>林　修平</t>
    <rPh sb="0" eb="1">
      <t>ハヤシ</t>
    </rPh>
    <rPh sb="2" eb="4">
      <t>シュウヘイ</t>
    </rPh>
    <phoneticPr fontId="1"/>
  </si>
  <si>
    <t>670-0025</t>
    <phoneticPr fontId="1"/>
  </si>
  <si>
    <t>090-7356-8634</t>
    <phoneticPr fontId="1"/>
  </si>
  <si>
    <t>小西　毅</t>
    <rPh sb="0" eb="2">
      <t>コニシ</t>
    </rPh>
    <rPh sb="3" eb="4">
      <t>タケシ</t>
    </rPh>
    <phoneticPr fontId="1"/>
  </si>
  <si>
    <t>658-0003</t>
    <phoneticPr fontId="1"/>
  </si>
  <si>
    <t>神戸市東灘区本山北町3-12-1-1</t>
    <rPh sb="0" eb="3">
      <t>コウベシ</t>
    </rPh>
    <rPh sb="3" eb="6">
      <t>ヒガシナダク</t>
    </rPh>
    <rPh sb="6" eb="8">
      <t>モトヤマ</t>
    </rPh>
    <rPh sb="8" eb="10">
      <t>キタマチ</t>
    </rPh>
    <phoneticPr fontId="1"/>
  </si>
  <si>
    <t>090-6902-9118</t>
    <phoneticPr fontId="1"/>
  </si>
  <si>
    <t>konishi@osaka-am-law.net</t>
    <phoneticPr fontId="1"/>
  </si>
  <si>
    <t>姫路市材木町15－3　ロワイヤル401</t>
    <rPh sb="0" eb="3">
      <t>ヒメジシ</t>
    </rPh>
    <rPh sb="3" eb="5">
      <t>ザイモク</t>
    </rPh>
    <rPh sb="5" eb="6">
      <t>チョウ</t>
    </rPh>
    <phoneticPr fontId="1"/>
  </si>
  <si>
    <t>浜田　節夫</t>
    <rPh sb="0" eb="2">
      <t>ハマダ</t>
    </rPh>
    <rPh sb="3" eb="5">
      <t>セツオ</t>
    </rPh>
    <phoneticPr fontId="1"/>
  </si>
  <si>
    <t>794-0055</t>
    <phoneticPr fontId="1"/>
  </si>
  <si>
    <t>愛媛県今治市中日吉町1丁目3-61-201</t>
    <rPh sb="0" eb="6">
      <t>エヒメケンイマバリシ</t>
    </rPh>
    <rPh sb="6" eb="10">
      <t>ナカヒヨシチョウ</t>
    </rPh>
    <rPh sb="11" eb="13">
      <t>チョウメ</t>
    </rPh>
    <phoneticPr fontId="1"/>
  </si>
  <si>
    <t>seetsukun.h@gmail.com</t>
    <phoneticPr fontId="1"/>
  </si>
  <si>
    <t>090-2787-8434</t>
    <phoneticPr fontId="1"/>
  </si>
  <si>
    <t>プロ</t>
    <phoneticPr fontId="1"/>
  </si>
  <si>
    <t>岩井 幸司</t>
    <rPh sb="0" eb="2">
      <t>イワイ</t>
    </rPh>
    <rPh sb="3" eb="5">
      <t>コウジ</t>
    </rPh>
    <phoneticPr fontId="1"/>
  </si>
  <si>
    <t>兵庫県伊丹市鴻池6-23-28 C17</t>
    <rPh sb="0" eb="3">
      <t>ヒョウゴケン</t>
    </rPh>
    <rPh sb="6" eb="8">
      <t>コウノイケ</t>
    </rPh>
    <phoneticPr fontId="1"/>
  </si>
  <si>
    <t>090-2388-7237</t>
    <phoneticPr fontId="1"/>
  </si>
  <si>
    <t>神戸市北区藤原台中町6-5-7</t>
    <rPh sb="0" eb="5">
      <t>コウベシキタク</t>
    </rPh>
    <rPh sb="5" eb="8">
      <t>フジワラダイ</t>
    </rPh>
    <rPh sb="8" eb="10">
      <t>ナカマチ</t>
    </rPh>
    <phoneticPr fontId="1"/>
  </si>
  <si>
    <t>藤山　大耀</t>
    <rPh sb="0" eb="2">
      <t>フジヤマ</t>
    </rPh>
    <rPh sb="3" eb="5">
      <t>タイヨウ</t>
    </rPh>
    <phoneticPr fontId="1"/>
  </si>
  <si>
    <t>兵庫県河辺郡猪名川町白金2-46-2</t>
    <rPh sb="0" eb="3">
      <t>ヒョウゴケン</t>
    </rPh>
    <rPh sb="3" eb="5">
      <t>カワベ</t>
    </rPh>
    <rPh sb="5" eb="6">
      <t>グン</t>
    </rPh>
    <rPh sb="6" eb="10">
      <t>イナガワチョウ</t>
    </rPh>
    <rPh sb="10" eb="12">
      <t>シロガネ</t>
    </rPh>
    <phoneticPr fontId="1"/>
  </si>
  <si>
    <t>djk23828@kwansei.ac.jp</t>
    <phoneticPr fontId="1"/>
  </si>
  <si>
    <t>080-3840-9876</t>
    <phoneticPr fontId="1"/>
  </si>
  <si>
    <t>吉川　遼平</t>
    <rPh sb="0" eb="2">
      <t>ヨシカワ</t>
    </rPh>
    <rPh sb="3" eb="5">
      <t>リョウヘイ</t>
    </rPh>
    <phoneticPr fontId="1"/>
  </si>
  <si>
    <t>655-0039</t>
    <phoneticPr fontId="1"/>
  </si>
  <si>
    <t>兵庫県神戸市垂水区霞ヶ丘6-4-26</t>
    <rPh sb="0" eb="3">
      <t>ヒョウゴケン</t>
    </rPh>
    <rPh sb="3" eb="6">
      <t>コウベシ</t>
    </rPh>
    <rPh sb="6" eb="9">
      <t>タルミク</t>
    </rPh>
    <rPh sb="9" eb="12">
      <t>カスミガオカ</t>
    </rPh>
    <phoneticPr fontId="1"/>
  </si>
  <si>
    <t>080-3858-9084</t>
    <phoneticPr fontId="1"/>
  </si>
  <si>
    <t>山下　健介</t>
    <rPh sb="0" eb="2">
      <t>ヤマシタ</t>
    </rPh>
    <rPh sb="3" eb="5">
      <t>ケンスケ</t>
    </rPh>
    <phoneticPr fontId="1"/>
  </si>
  <si>
    <t>666-0031</t>
    <phoneticPr fontId="1"/>
  </si>
  <si>
    <t>川西市霞ヶ丘1-6-14</t>
    <rPh sb="0" eb="3">
      <t>カワニシシ</t>
    </rPh>
    <rPh sb="3" eb="6">
      <t>カスミガオカ</t>
    </rPh>
    <phoneticPr fontId="1"/>
  </si>
  <si>
    <t>090-1717-1794</t>
    <phoneticPr fontId="1"/>
  </si>
  <si>
    <t>日永　徹</t>
    <rPh sb="0" eb="2">
      <t>ヒナガ</t>
    </rPh>
    <rPh sb="3" eb="4">
      <t>トオル</t>
    </rPh>
    <phoneticPr fontId="1"/>
  </si>
  <si>
    <t>宝塚市千種3-8-26</t>
    <rPh sb="0" eb="3">
      <t>タカラヅカシ</t>
    </rPh>
    <rPh sb="3" eb="5">
      <t>チクサ</t>
    </rPh>
    <phoneticPr fontId="1"/>
  </si>
  <si>
    <t>1962.hiei@gmail.com</t>
    <phoneticPr fontId="1"/>
  </si>
  <si>
    <t>090-8935-8921</t>
    <phoneticPr fontId="1"/>
  </si>
  <si>
    <t>安川　茂</t>
    <rPh sb="0" eb="2">
      <t>ヤスカワ</t>
    </rPh>
    <rPh sb="3" eb="4">
      <t>シゲル</t>
    </rPh>
    <phoneticPr fontId="1"/>
  </si>
  <si>
    <t>666-0014</t>
    <phoneticPr fontId="1"/>
  </si>
  <si>
    <t>川西市小戸1-10-4</t>
    <rPh sb="0" eb="3">
      <t>カワニシシ</t>
    </rPh>
    <rPh sb="3" eb="5">
      <t>オド</t>
    </rPh>
    <phoneticPr fontId="1"/>
  </si>
  <si>
    <t>090-5971-9508</t>
    <phoneticPr fontId="1"/>
  </si>
  <si>
    <t>武城　秀晃</t>
    <rPh sb="0" eb="2">
      <t>タケシロ</t>
    </rPh>
    <rPh sb="3" eb="4">
      <t>ヒデ</t>
    </rPh>
    <rPh sb="4" eb="5">
      <t>アキラ</t>
    </rPh>
    <phoneticPr fontId="1"/>
  </si>
  <si>
    <t>宝塚市南ひばりガ丘2-11-15-1310</t>
    <rPh sb="0" eb="3">
      <t>タカラヅカシ</t>
    </rPh>
    <rPh sb="3" eb="4">
      <t>ミナミ</t>
    </rPh>
    <rPh sb="8" eb="9">
      <t>オカ</t>
    </rPh>
    <phoneticPr fontId="1"/>
  </si>
  <si>
    <t>takeversal@gmail.com</t>
    <phoneticPr fontId="1"/>
  </si>
  <si>
    <t>080-3010-7809</t>
    <phoneticPr fontId="1"/>
  </si>
  <si>
    <t>玉井　尚治</t>
    <rPh sb="0" eb="2">
      <t>タマイ</t>
    </rPh>
    <rPh sb="3" eb="4">
      <t>ナオ</t>
    </rPh>
    <rPh sb="4" eb="5">
      <t>オサ</t>
    </rPh>
    <phoneticPr fontId="1"/>
  </si>
  <si>
    <t>豊中市新千里北町2-1-3</t>
    <rPh sb="0" eb="3">
      <t>トヨナカシ</t>
    </rPh>
    <rPh sb="3" eb="8">
      <t>シンセンリキタマチ</t>
    </rPh>
    <phoneticPr fontId="1"/>
  </si>
  <si>
    <t>080-2429-0446</t>
    <phoneticPr fontId="1"/>
  </si>
  <si>
    <t>川島　祐</t>
    <rPh sb="0" eb="2">
      <t>カワシマ</t>
    </rPh>
    <rPh sb="3" eb="4">
      <t>ユウ</t>
    </rPh>
    <phoneticPr fontId="1"/>
  </si>
  <si>
    <t>606-0008</t>
    <phoneticPr fontId="1"/>
  </si>
  <si>
    <t>京都府左京区岩倉三笠町242-1</t>
    <rPh sb="0" eb="3">
      <t>キョウトフ</t>
    </rPh>
    <rPh sb="3" eb="6">
      <t>サキョウク</t>
    </rPh>
    <rPh sb="6" eb="8">
      <t>イワクラ</t>
    </rPh>
    <rPh sb="8" eb="10">
      <t>ミカサ</t>
    </rPh>
    <rPh sb="10" eb="11">
      <t>チョウ</t>
    </rPh>
    <phoneticPr fontId="1"/>
  </si>
  <si>
    <t>090-1687-1759</t>
    <phoneticPr fontId="1"/>
  </si>
  <si>
    <t>ビジター</t>
    <phoneticPr fontId="1"/>
  </si>
  <si>
    <t>内藤　智之</t>
    <rPh sb="0" eb="2">
      <t>ナイトウ</t>
    </rPh>
    <rPh sb="3" eb="5">
      <t>トモユキ</t>
    </rPh>
    <phoneticPr fontId="1"/>
  </si>
  <si>
    <t>神戸市東灘区魚崎北町5-3-16-605</t>
    <rPh sb="0" eb="3">
      <t>コウベシ</t>
    </rPh>
    <rPh sb="3" eb="6">
      <t>ヒガシナダク</t>
    </rPh>
    <rPh sb="6" eb="10">
      <t>ウオザキキタマチ</t>
    </rPh>
    <phoneticPr fontId="1"/>
  </si>
  <si>
    <t>090-9620-5408</t>
    <phoneticPr fontId="1"/>
  </si>
  <si>
    <t>658-0082</t>
    <phoneticPr fontId="1"/>
  </si>
  <si>
    <t>吉川　達郎</t>
    <rPh sb="0" eb="2">
      <t>ヨシカワ</t>
    </rPh>
    <rPh sb="3" eb="5">
      <t>タツロウ</t>
    </rPh>
    <phoneticPr fontId="1"/>
  </si>
  <si>
    <t>神戸市垂水区霞ヶ丘6-4-26</t>
    <rPh sb="0" eb="9">
      <t>コウベシタルミクカスミガオカ</t>
    </rPh>
    <phoneticPr fontId="1"/>
  </si>
  <si>
    <t>090-5890-9005</t>
    <phoneticPr fontId="1"/>
  </si>
  <si>
    <t>宍戸　健二</t>
    <rPh sb="0" eb="2">
      <t>シシド</t>
    </rPh>
    <rPh sb="3" eb="5">
      <t>ケンジ</t>
    </rPh>
    <phoneticPr fontId="1"/>
  </si>
  <si>
    <t>大阪市住之江区我孫子3-2-8-606</t>
    <rPh sb="0" eb="3">
      <t>オオサカシ</t>
    </rPh>
    <rPh sb="3" eb="7">
      <t>スミノエク</t>
    </rPh>
    <rPh sb="7" eb="10">
      <t>アビコ</t>
    </rPh>
    <phoneticPr fontId="1"/>
  </si>
  <si>
    <t>090-9625-7446</t>
    <phoneticPr fontId="1"/>
  </si>
  <si>
    <t>木村谷　勝彦</t>
    <rPh sb="0" eb="2">
      <t>キムラ</t>
    </rPh>
    <rPh sb="2" eb="3">
      <t>タニ</t>
    </rPh>
    <rPh sb="4" eb="6">
      <t>カツヒコ</t>
    </rPh>
    <phoneticPr fontId="1"/>
  </si>
  <si>
    <t>宝塚市平井山荘8-9</t>
    <rPh sb="0" eb="3">
      <t>タカラヅカシ</t>
    </rPh>
    <rPh sb="3" eb="5">
      <t>ヒライ</t>
    </rPh>
    <rPh sb="5" eb="7">
      <t>サンソウ</t>
    </rPh>
    <phoneticPr fontId="1"/>
  </si>
  <si>
    <t>090-8453-0327</t>
    <phoneticPr fontId="1"/>
  </si>
  <si>
    <t>ビジター利用、シャフトご購入</t>
    <rPh sb="4" eb="6">
      <t>リヨウ</t>
    </rPh>
    <rPh sb="12" eb="14">
      <t>コウニュウ</t>
    </rPh>
    <phoneticPr fontId="1"/>
  </si>
  <si>
    <t>ビジター再来</t>
    <rPh sb="4" eb="6">
      <t>サイライ</t>
    </rPh>
    <phoneticPr fontId="1"/>
  </si>
  <si>
    <t>森井　淳司</t>
    <rPh sb="0" eb="2">
      <t>モリイ</t>
    </rPh>
    <rPh sb="3" eb="5">
      <t>ジュンジ</t>
    </rPh>
    <phoneticPr fontId="1"/>
  </si>
  <si>
    <t>兵庫県川西市花屋敷2-8-5ハーベストグーデンB1</t>
    <rPh sb="0" eb="3">
      <t>ヒョウゴケン</t>
    </rPh>
    <rPh sb="3" eb="6">
      <t>カワニシシ</t>
    </rPh>
    <rPh sb="6" eb="7">
      <t>ハナ</t>
    </rPh>
    <rPh sb="7" eb="9">
      <t>ヤシキ</t>
    </rPh>
    <phoneticPr fontId="1"/>
  </si>
  <si>
    <t>junji0405@hotmail.co.jp</t>
    <phoneticPr fontId="1"/>
  </si>
  <si>
    <t>090-4646-8669</t>
    <phoneticPr fontId="1"/>
  </si>
  <si>
    <t>問い合わせフォームよりご予約</t>
    <rPh sb="0" eb="1">
      <t>ト</t>
    </rPh>
    <rPh sb="2" eb="3">
      <t>ア</t>
    </rPh>
    <rPh sb="12" eb="14">
      <t>ヨヤク</t>
    </rPh>
    <phoneticPr fontId="1"/>
  </si>
  <si>
    <t>今成　亮太</t>
    <rPh sb="0" eb="2">
      <t>イマナリ</t>
    </rPh>
    <rPh sb="3" eb="5">
      <t>リョウタ</t>
    </rPh>
    <phoneticPr fontId="1"/>
  </si>
  <si>
    <t>662-0838</t>
    <phoneticPr fontId="1"/>
  </si>
  <si>
    <t>西宮市能登町14-14-101</t>
    <rPh sb="0" eb="3">
      <t>ニシノミヤシ</t>
    </rPh>
    <rPh sb="3" eb="5">
      <t>ノト</t>
    </rPh>
    <rPh sb="5" eb="6">
      <t>チョウ</t>
    </rPh>
    <phoneticPr fontId="1"/>
  </si>
  <si>
    <t>090-3978-6249</t>
    <phoneticPr fontId="1"/>
  </si>
  <si>
    <t>阪神元選手　上本様ご紹介</t>
    <rPh sb="0" eb="2">
      <t>ハンシン</t>
    </rPh>
    <rPh sb="2" eb="3">
      <t>モト</t>
    </rPh>
    <rPh sb="3" eb="5">
      <t>センシュ</t>
    </rPh>
    <rPh sb="6" eb="8">
      <t>ウエモト</t>
    </rPh>
    <rPh sb="8" eb="9">
      <t>サマ</t>
    </rPh>
    <rPh sb="10" eb="12">
      <t>ショウカイ</t>
    </rPh>
    <phoneticPr fontId="1"/>
  </si>
  <si>
    <t>山田　義誠</t>
    <rPh sb="0" eb="2">
      <t>ヤマダ</t>
    </rPh>
    <rPh sb="3" eb="4">
      <t>ギ</t>
    </rPh>
    <rPh sb="4" eb="5">
      <t>マコト</t>
    </rPh>
    <phoneticPr fontId="1"/>
  </si>
  <si>
    <t>632-0098</t>
    <phoneticPr fontId="1"/>
  </si>
  <si>
    <t>奈良県天理市南六条町516</t>
    <rPh sb="0" eb="3">
      <t>ナラケン</t>
    </rPh>
    <rPh sb="3" eb="5">
      <t>テンリ</t>
    </rPh>
    <rPh sb="5" eb="6">
      <t>シ</t>
    </rPh>
    <rPh sb="6" eb="7">
      <t>ミナミ</t>
    </rPh>
    <rPh sb="7" eb="9">
      <t>ロクジョウ</t>
    </rPh>
    <rPh sb="9" eb="10">
      <t>チョウ</t>
    </rPh>
    <phoneticPr fontId="1"/>
  </si>
  <si>
    <t>090-5055-6734</t>
    <phoneticPr fontId="1"/>
  </si>
  <si>
    <t>常包　浩司</t>
    <rPh sb="0" eb="1">
      <t>ツネ</t>
    </rPh>
    <rPh sb="1" eb="2">
      <t>ホウ</t>
    </rPh>
    <rPh sb="3" eb="5">
      <t>コウジ</t>
    </rPh>
    <phoneticPr fontId="1"/>
  </si>
  <si>
    <t>560-0003</t>
    <phoneticPr fontId="1"/>
  </si>
  <si>
    <t>豊中市東豊中町3-16-5</t>
    <rPh sb="0" eb="3">
      <t>トヨナカシ</t>
    </rPh>
    <rPh sb="3" eb="7">
      <t>ヒガシトヨナカチョウ</t>
    </rPh>
    <phoneticPr fontId="1"/>
  </si>
  <si>
    <t>tsunekane@ebase.co.jp</t>
    <phoneticPr fontId="1"/>
  </si>
  <si>
    <t>090-5657-4103</t>
    <phoneticPr fontId="1"/>
  </si>
  <si>
    <t>社長知り合い</t>
    <rPh sb="0" eb="3">
      <t>シャチョウシ</t>
    </rPh>
    <rPh sb="4" eb="5">
      <t>ア</t>
    </rPh>
    <phoneticPr fontId="1"/>
  </si>
  <si>
    <t>堀　茂美</t>
    <rPh sb="0" eb="1">
      <t>ホリ</t>
    </rPh>
    <rPh sb="2" eb="4">
      <t>シゲミ</t>
    </rPh>
    <phoneticPr fontId="1"/>
  </si>
  <si>
    <t>宝塚市すみれが丘1-7-1-1215</t>
    <rPh sb="0" eb="2">
      <t>タカラヅカ</t>
    </rPh>
    <rPh sb="2" eb="3">
      <t>シ</t>
    </rPh>
    <rPh sb="7" eb="8">
      <t>オカ</t>
    </rPh>
    <phoneticPr fontId="1"/>
  </si>
  <si>
    <t>sgm0729@yahoo.co.jp</t>
    <phoneticPr fontId="1"/>
  </si>
  <si>
    <t>080-4394-5504</t>
    <phoneticPr fontId="1"/>
  </si>
  <si>
    <t>アンケート記入</t>
    <rPh sb="5" eb="7">
      <t>キニュウ</t>
    </rPh>
    <phoneticPr fontId="1"/>
  </si>
  <si>
    <t>山口　俊治</t>
    <rPh sb="0" eb="2">
      <t>ヤマグチ</t>
    </rPh>
    <rPh sb="3" eb="5">
      <t>トシハル</t>
    </rPh>
    <phoneticPr fontId="1"/>
  </si>
  <si>
    <t>536-0008</t>
    <phoneticPr fontId="1"/>
  </si>
  <si>
    <t>大阪市城東区関目5-3-21-906</t>
    <rPh sb="0" eb="3">
      <t>オオサカシ</t>
    </rPh>
    <rPh sb="3" eb="6">
      <t>ジョウトウク</t>
    </rPh>
    <rPh sb="6" eb="7">
      <t>セキ</t>
    </rPh>
    <rPh sb="7" eb="8">
      <t>メ</t>
    </rPh>
    <phoneticPr fontId="1"/>
  </si>
  <si>
    <t>090-6883-3235</t>
    <phoneticPr fontId="1"/>
  </si>
  <si>
    <t>本社の取引先コンペ景品</t>
    <rPh sb="0" eb="2">
      <t>ホンシャ</t>
    </rPh>
    <rPh sb="3" eb="6">
      <t>トリヒキサキ</t>
    </rPh>
    <rPh sb="9" eb="11">
      <t>ケイヒン</t>
    </rPh>
    <phoneticPr fontId="1"/>
  </si>
  <si>
    <t>中村　均</t>
    <rPh sb="0" eb="2">
      <t>ナカムラ</t>
    </rPh>
    <rPh sb="3" eb="4">
      <t>ヒトシ</t>
    </rPh>
    <phoneticPr fontId="1"/>
  </si>
  <si>
    <t>宝塚市山本東2-1-6</t>
    <rPh sb="0" eb="3">
      <t>タカラヅカシ</t>
    </rPh>
    <rPh sb="3" eb="5">
      <t>ヤマモト</t>
    </rPh>
    <rPh sb="5" eb="6">
      <t>ヒガシ</t>
    </rPh>
    <phoneticPr fontId="1"/>
  </si>
  <si>
    <t>hnkmr67@gmail.com</t>
    <phoneticPr fontId="1"/>
  </si>
  <si>
    <t>090-3991-7590</t>
    <phoneticPr fontId="1"/>
  </si>
  <si>
    <t>染谷　啓</t>
    <rPh sb="0" eb="2">
      <t>ソメタニ</t>
    </rPh>
    <rPh sb="3" eb="4">
      <t>ケイ</t>
    </rPh>
    <phoneticPr fontId="1"/>
  </si>
  <si>
    <t>宝塚市泉町30-14</t>
    <rPh sb="0" eb="3">
      <t>タカラヅカシ</t>
    </rPh>
    <rPh sb="3" eb="4">
      <t>イズミ</t>
    </rPh>
    <rPh sb="4" eb="5">
      <t>マチ</t>
    </rPh>
    <phoneticPr fontId="1"/>
  </si>
  <si>
    <t>090-6977-9190</t>
    <phoneticPr fontId="1"/>
  </si>
  <si>
    <t>somesome55hi-side@docomo.ne.jp</t>
    <phoneticPr fontId="1"/>
  </si>
  <si>
    <t>荒木　宏隆</t>
    <rPh sb="0" eb="2">
      <t>アラキ</t>
    </rPh>
    <rPh sb="3" eb="5">
      <t>ヒロタカ</t>
    </rPh>
    <phoneticPr fontId="1"/>
  </si>
  <si>
    <t>662-0017</t>
    <phoneticPr fontId="1"/>
  </si>
  <si>
    <t>西宮市甲陽園西山町5-53</t>
    <rPh sb="0" eb="3">
      <t>ニシノミヤシ</t>
    </rPh>
    <rPh sb="3" eb="6">
      <t>コウヨウエン</t>
    </rPh>
    <rPh sb="6" eb="8">
      <t>ニシヤマ</t>
    </rPh>
    <rPh sb="8" eb="9">
      <t>チョウ</t>
    </rPh>
    <phoneticPr fontId="1"/>
  </si>
  <si>
    <t>090-8654-0141</t>
    <phoneticPr fontId="1"/>
  </si>
  <si>
    <t>伊勢川　亮介</t>
    <rPh sb="0" eb="2">
      <t>イセ</t>
    </rPh>
    <rPh sb="2" eb="3">
      <t>ガワ</t>
    </rPh>
    <rPh sb="4" eb="6">
      <t>リョウスケ</t>
    </rPh>
    <phoneticPr fontId="1"/>
  </si>
  <si>
    <t>659-0026</t>
    <phoneticPr fontId="1"/>
  </si>
  <si>
    <t>芦屋市西蔵町8-9-502</t>
    <rPh sb="0" eb="3">
      <t>アシヤシ</t>
    </rPh>
    <rPh sb="3" eb="4">
      <t>ニシ</t>
    </rPh>
    <rPh sb="4" eb="6">
      <t>クラチョウ</t>
    </rPh>
    <phoneticPr fontId="1"/>
  </si>
  <si>
    <t>dooryo1129@yahoo.co.jp</t>
    <phoneticPr fontId="1"/>
  </si>
  <si>
    <t>090-6823-7869</t>
    <phoneticPr fontId="1"/>
  </si>
  <si>
    <t>大野　秀朋</t>
    <rPh sb="0" eb="2">
      <t>オオノ</t>
    </rPh>
    <rPh sb="3" eb="5">
      <t>ヒデトモ</t>
    </rPh>
    <phoneticPr fontId="1"/>
  </si>
  <si>
    <t>宝塚市雲雀丘2-11-8</t>
    <rPh sb="0" eb="3">
      <t>タカラヅカシ</t>
    </rPh>
    <rPh sb="3" eb="6">
      <t>ヒバリガオカ</t>
    </rPh>
    <phoneticPr fontId="1"/>
  </si>
  <si>
    <t>desertfox@k.vodafone.ne.jp</t>
    <phoneticPr fontId="1"/>
  </si>
  <si>
    <t>090-3940-6730</t>
    <phoneticPr fontId="1"/>
  </si>
  <si>
    <t>木村　裕也</t>
    <rPh sb="0" eb="2">
      <t>キムラ</t>
    </rPh>
    <rPh sb="3" eb="5">
      <t>ユウヤ</t>
    </rPh>
    <phoneticPr fontId="1"/>
  </si>
  <si>
    <t>565-0815</t>
    <phoneticPr fontId="1"/>
  </si>
  <si>
    <t>吹田市千里丘北1-20-810</t>
    <rPh sb="0" eb="3">
      <t>スイタシ</t>
    </rPh>
    <rPh sb="3" eb="6">
      <t>センリオカ</t>
    </rPh>
    <rPh sb="6" eb="7">
      <t>キタ</t>
    </rPh>
    <phoneticPr fontId="1"/>
  </si>
  <si>
    <t>090-5056-1948</t>
    <phoneticPr fontId="1"/>
  </si>
  <si>
    <t>三井　啓介</t>
    <rPh sb="0" eb="2">
      <t>ミツイ</t>
    </rPh>
    <rPh sb="3" eb="5">
      <t>ケイスケ</t>
    </rPh>
    <phoneticPr fontId="1"/>
  </si>
  <si>
    <t>565-0821</t>
    <phoneticPr fontId="1"/>
  </si>
  <si>
    <t>吹田市山田東3-8-23-906</t>
    <rPh sb="0" eb="3">
      <t>スイタシ</t>
    </rPh>
    <rPh sb="3" eb="6">
      <t>ヤマダヒガシ</t>
    </rPh>
    <phoneticPr fontId="1"/>
  </si>
  <si>
    <t>070-1766-8501</t>
    <phoneticPr fontId="1"/>
  </si>
  <si>
    <t>吉川　正規</t>
    <rPh sb="0" eb="2">
      <t>ヨシカワ</t>
    </rPh>
    <rPh sb="3" eb="5">
      <t>セイキ</t>
    </rPh>
    <phoneticPr fontId="1"/>
  </si>
  <si>
    <t>569-0823</t>
    <phoneticPr fontId="1"/>
  </si>
  <si>
    <t>高槻市芝生町3丁目34-7</t>
    <rPh sb="0" eb="3">
      <t>タカツキシ</t>
    </rPh>
    <rPh sb="3" eb="6">
      <t>シバフチョウ</t>
    </rPh>
    <rPh sb="7" eb="9">
      <t>チョウメ</t>
    </rPh>
    <phoneticPr fontId="1"/>
  </si>
  <si>
    <t>080-2620-4711</t>
    <phoneticPr fontId="1"/>
  </si>
  <si>
    <t>野海　康夫</t>
    <rPh sb="0" eb="1">
      <t>ノ</t>
    </rPh>
    <rPh sb="1" eb="2">
      <t>ウミ</t>
    </rPh>
    <rPh sb="3" eb="5">
      <t>ヤスオ</t>
    </rPh>
    <phoneticPr fontId="1"/>
  </si>
  <si>
    <t>663-8132</t>
    <phoneticPr fontId="1"/>
  </si>
  <si>
    <t>西宮市東鳴尾町1-6-3</t>
    <rPh sb="0" eb="3">
      <t>ニシノミヤシ</t>
    </rPh>
    <rPh sb="3" eb="4">
      <t>ヒガシ</t>
    </rPh>
    <rPh sb="4" eb="7">
      <t>ナルオチョウ</t>
    </rPh>
    <phoneticPr fontId="1"/>
  </si>
  <si>
    <t>090-3465-3005</t>
    <phoneticPr fontId="1"/>
  </si>
  <si>
    <t>谷田　真紀</t>
    <rPh sb="0" eb="2">
      <t>タニダ</t>
    </rPh>
    <rPh sb="3" eb="5">
      <t>マキ</t>
    </rPh>
    <phoneticPr fontId="1"/>
  </si>
  <si>
    <t>669-1133</t>
    <phoneticPr fontId="1"/>
  </si>
  <si>
    <t>西宮市東山台1-10-5</t>
    <rPh sb="0" eb="3">
      <t>ニシノミヤシ</t>
    </rPh>
    <rPh sb="3" eb="6">
      <t>ヒガシヤマダイ</t>
    </rPh>
    <phoneticPr fontId="1"/>
  </si>
  <si>
    <t>090-6983-3749</t>
    <phoneticPr fontId="1"/>
  </si>
  <si>
    <t>無料クーポン</t>
    <rPh sb="0" eb="2">
      <t>ムリョウ</t>
    </rPh>
    <phoneticPr fontId="1"/>
  </si>
  <si>
    <t>谷田　英輔</t>
    <rPh sb="0" eb="2">
      <t>タニダ</t>
    </rPh>
    <rPh sb="3" eb="5">
      <t>エイスケ</t>
    </rPh>
    <phoneticPr fontId="1"/>
  </si>
  <si>
    <t>090-8930-2084</t>
    <phoneticPr fontId="1"/>
  </si>
  <si>
    <t>加納　悟史</t>
    <rPh sb="0" eb="2">
      <t>カノウ</t>
    </rPh>
    <rPh sb="3" eb="5">
      <t>サトシ</t>
    </rPh>
    <phoneticPr fontId="1"/>
  </si>
  <si>
    <t>536-0007</t>
    <phoneticPr fontId="1"/>
  </si>
  <si>
    <t>大阪市城東区成育4丁目21-10</t>
    <rPh sb="0" eb="3">
      <t>オオサカシ</t>
    </rPh>
    <rPh sb="3" eb="6">
      <t>ジョウトウク</t>
    </rPh>
    <rPh sb="6" eb="8">
      <t>セイイク</t>
    </rPh>
    <rPh sb="9" eb="11">
      <t>チョウメ</t>
    </rPh>
    <phoneticPr fontId="1"/>
  </si>
  <si>
    <t>090-4649-5030</t>
    <phoneticPr fontId="1"/>
  </si>
  <si>
    <t>元スタッフ濱中様知り合い</t>
    <rPh sb="0" eb="1">
      <t>モト</t>
    </rPh>
    <rPh sb="5" eb="7">
      <t>ハマナカ</t>
    </rPh>
    <rPh sb="7" eb="8">
      <t>サマ</t>
    </rPh>
    <rPh sb="8" eb="9">
      <t>シ</t>
    </rPh>
    <rPh sb="10" eb="11">
      <t>ア</t>
    </rPh>
    <phoneticPr fontId="1"/>
  </si>
  <si>
    <t>濱中　学</t>
    <rPh sb="0" eb="2">
      <t>ハマナカ</t>
    </rPh>
    <rPh sb="3" eb="4">
      <t>マナ</t>
    </rPh>
    <phoneticPr fontId="1"/>
  </si>
  <si>
    <t>元スタッフ濱中様ご主人</t>
    <rPh sb="9" eb="11">
      <t>シュジン</t>
    </rPh>
    <phoneticPr fontId="1"/>
  </si>
  <si>
    <t>宝塚市山本中3-12-1</t>
    <rPh sb="0" eb="3">
      <t>タカラヅカシ</t>
    </rPh>
    <rPh sb="3" eb="5">
      <t>ヤマモト</t>
    </rPh>
    <rPh sb="5" eb="6">
      <t>ナカ</t>
    </rPh>
    <phoneticPr fontId="1"/>
  </si>
  <si>
    <t>090-6205-2013</t>
    <phoneticPr fontId="1"/>
  </si>
  <si>
    <t>無料クーポン　ご入会</t>
    <rPh sb="0" eb="2">
      <t>ムリョウ</t>
    </rPh>
    <rPh sb="8" eb="10">
      <t>ニュウカイ</t>
    </rPh>
    <phoneticPr fontId="1"/>
  </si>
  <si>
    <t>板東　淳子</t>
    <rPh sb="0" eb="2">
      <t>バンドウ</t>
    </rPh>
    <rPh sb="3" eb="5">
      <t>ジュンコ</t>
    </rPh>
    <phoneticPr fontId="1"/>
  </si>
  <si>
    <t>吉田　玲子</t>
    <rPh sb="0" eb="2">
      <t>ヨシダ</t>
    </rPh>
    <rPh sb="3" eb="5">
      <t>レイコ</t>
    </rPh>
    <phoneticPr fontId="1"/>
  </si>
  <si>
    <t>川西市花屋敷2-8-21-204</t>
    <rPh sb="0" eb="3">
      <t>カワニシシ</t>
    </rPh>
    <rPh sb="3" eb="4">
      <t>ハナ</t>
    </rPh>
    <rPh sb="4" eb="6">
      <t>ヤシキ</t>
    </rPh>
    <phoneticPr fontId="1"/>
  </si>
  <si>
    <t>080-3112-6411</t>
    <phoneticPr fontId="1"/>
  </si>
  <si>
    <t>前田　佳子</t>
    <rPh sb="0" eb="2">
      <t>マエダ</t>
    </rPh>
    <rPh sb="3" eb="5">
      <t>ヨシコ</t>
    </rPh>
    <phoneticPr fontId="1"/>
  </si>
  <si>
    <t>663-8113</t>
    <phoneticPr fontId="1"/>
  </si>
  <si>
    <t>西宮市甲子園口3-14-1</t>
    <rPh sb="0" eb="3">
      <t>ニシノミヤシ</t>
    </rPh>
    <rPh sb="3" eb="7">
      <t>コウシエングチ</t>
    </rPh>
    <phoneticPr fontId="1"/>
  </si>
  <si>
    <t>0798-67-4675</t>
    <phoneticPr fontId="1"/>
  </si>
  <si>
    <t>山本　隆子</t>
    <rPh sb="0" eb="2">
      <t>ヤマモト</t>
    </rPh>
    <rPh sb="3" eb="5">
      <t>タカコ</t>
    </rPh>
    <phoneticPr fontId="1"/>
  </si>
  <si>
    <t>659-0011</t>
    <phoneticPr fontId="1"/>
  </si>
  <si>
    <t>兵庫県芦屋市六麓荘町11-20</t>
    <rPh sb="0" eb="3">
      <t>ヒョウゴケン</t>
    </rPh>
    <rPh sb="3" eb="6">
      <t>アシヤシ</t>
    </rPh>
    <rPh sb="6" eb="9">
      <t>ロクロクソウ</t>
    </rPh>
    <rPh sb="9" eb="10">
      <t>チョウ</t>
    </rPh>
    <phoneticPr fontId="1"/>
  </si>
  <si>
    <t>090-2069-0800</t>
    <phoneticPr fontId="1"/>
  </si>
  <si>
    <t>石川　健</t>
    <rPh sb="0" eb="2">
      <t>イシカワ</t>
    </rPh>
    <rPh sb="3" eb="4">
      <t>ケン</t>
    </rPh>
    <phoneticPr fontId="1"/>
  </si>
  <si>
    <t>664-0004</t>
    <phoneticPr fontId="1"/>
  </si>
  <si>
    <t>伊丹市東野7-15-7</t>
    <rPh sb="0" eb="3">
      <t>イタミシ</t>
    </rPh>
    <rPh sb="3" eb="4">
      <t>ヒガシ</t>
    </rPh>
    <rPh sb="4" eb="5">
      <t>ノ</t>
    </rPh>
    <phoneticPr fontId="1"/>
  </si>
  <si>
    <t>090-9694-3721</t>
    <phoneticPr fontId="1"/>
  </si>
  <si>
    <t>下田　城聖</t>
    <rPh sb="0" eb="2">
      <t>シモダ</t>
    </rPh>
    <rPh sb="3" eb="5">
      <t>ジョウセイ</t>
    </rPh>
    <phoneticPr fontId="1"/>
  </si>
  <si>
    <t>536-0002</t>
    <phoneticPr fontId="1"/>
  </si>
  <si>
    <t>090-5012-6555</t>
    <phoneticPr fontId="1"/>
  </si>
  <si>
    <t>大阪市城東区今福東1丁目8-15-1413</t>
    <rPh sb="0" eb="3">
      <t>オオサカシ</t>
    </rPh>
    <rPh sb="3" eb="6">
      <t>ジョウトウク</t>
    </rPh>
    <rPh sb="6" eb="9">
      <t>イマフクヒガシ</t>
    </rPh>
    <rPh sb="10" eb="12">
      <t>チョウメ</t>
    </rPh>
    <phoneticPr fontId="1"/>
  </si>
  <si>
    <t>山本　澄</t>
    <rPh sb="0" eb="2">
      <t>ヤマモト</t>
    </rPh>
    <rPh sb="3" eb="4">
      <t>スミ</t>
    </rPh>
    <phoneticPr fontId="1"/>
  </si>
  <si>
    <t>嘉正　裕子</t>
    <rPh sb="0" eb="1">
      <t>カ</t>
    </rPh>
    <rPh sb="1" eb="2">
      <t>タダシ</t>
    </rPh>
    <rPh sb="3" eb="5">
      <t>ユウコ</t>
    </rPh>
    <phoneticPr fontId="1"/>
  </si>
  <si>
    <t>574-0044</t>
    <phoneticPr fontId="1"/>
  </si>
  <si>
    <t>大阪府大東市諸福8-1-16-313</t>
    <rPh sb="0" eb="3">
      <t>オオサカフ</t>
    </rPh>
    <rPh sb="3" eb="6">
      <t>ダイトウシ</t>
    </rPh>
    <rPh sb="6" eb="8">
      <t>モロフク</t>
    </rPh>
    <phoneticPr fontId="1"/>
  </si>
  <si>
    <t>090-5054-5651</t>
    <phoneticPr fontId="1"/>
  </si>
  <si>
    <t>松田　博</t>
    <rPh sb="0" eb="2">
      <t>マツダ</t>
    </rPh>
    <rPh sb="3" eb="4">
      <t>ヒロシ</t>
    </rPh>
    <phoneticPr fontId="1"/>
  </si>
  <si>
    <t>574-0036</t>
    <phoneticPr fontId="1"/>
  </si>
  <si>
    <t>大阪府大東市末広町12-1</t>
    <rPh sb="0" eb="3">
      <t>オオサカフ</t>
    </rPh>
    <rPh sb="3" eb="6">
      <t>ダイトウシ</t>
    </rPh>
    <rPh sb="6" eb="9">
      <t>スエヒロマチ</t>
    </rPh>
    <phoneticPr fontId="1"/>
  </si>
  <si>
    <t>090-1489-1574</t>
    <phoneticPr fontId="1"/>
  </si>
  <si>
    <t>上山　仁志</t>
    <rPh sb="0" eb="2">
      <t>ウエヤマ</t>
    </rPh>
    <rPh sb="3" eb="4">
      <t>ヒトシ</t>
    </rPh>
    <rPh sb="4" eb="5">
      <t>シ</t>
    </rPh>
    <phoneticPr fontId="1"/>
  </si>
  <si>
    <t>大阪市豊能町東ときわ台2-20-10</t>
    <rPh sb="0" eb="3">
      <t>オオサカシ</t>
    </rPh>
    <rPh sb="3" eb="6">
      <t>トヨノチョウ</t>
    </rPh>
    <rPh sb="6" eb="7">
      <t>ヒガシ</t>
    </rPh>
    <rPh sb="10" eb="11">
      <t>ダイ</t>
    </rPh>
    <phoneticPr fontId="1"/>
  </si>
  <si>
    <t>090-9712-9652</t>
    <phoneticPr fontId="1"/>
  </si>
  <si>
    <t>加藤　沙弥</t>
    <rPh sb="0" eb="2">
      <t>カトウ</t>
    </rPh>
    <rPh sb="3" eb="4">
      <t>サ</t>
    </rPh>
    <phoneticPr fontId="1"/>
  </si>
  <si>
    <t>599-8126</t>
    <phoneticPr fontId="1"/>
  </si>
  <si>
    <t>大阪府堺市東区大美野62-1</t>
    <rPh sb="0" eb="3">
      <t>オオサカフ</t>
    </rPh>
    <rPh sb="3" eb="4">
      <t>サカイ</t>
    </rPh>
    <rPh sb="4" eb="5">
      <t>シ</t>
    </rPh>
    <rPh sb="5" eb="6">
      <t>ヒガシ</t>
    </rPh>
    <rPh sb="6" eb="7">
      <t>ク</t>
    </rPh>
    <rPh sb="7" eb="8">
      <t>オオ</t>
    </rPh>
    <rPh sb="8" eb="9">
      <t>ミ</t>
    </rPh>
    <rPh sb="9" eb="10">
      <t>ノ</t>
    </rPh>
    <phoneticPr fontId="1"/>
  </si>
  <si>
    <t>090-8531-3568</t>
    <phoneticPr fontId="1"/>
  </si>
  <si>
    <t>駒木根　昌彦</t>
    <rPh sb="0" eb="1">
      <t>コマ</t>
    </rPh>
    <rPh sb="1" eb="2">
      <t>キ</t>
    </rPh>
    <rPh sb="2" eb="3">
      <t>ネ</t>
    </rPh>
    <rPh sb="4" eb="6">
      <t>マサヒコ</t>
    </rPh>
    <phoneticPr fontId="1"/>
  </si>
  <si>
    <t>564-0082</t>
    <phoneticPr fontId="1"/>
  </si>
  <si>
    <t>大阪府吹田市片山町4-21-20</t>
    <rPh sb="0" eb="3">
      <t>オオサカフ</t>
    </rPh>
    <rPh sb="3" eb="5">
      <t>スイタ</t>
    </rPh>
    <rPh sb="5" eb="6">
      <t>シ</t>
    </rPh>
    <rPh sb="6" eb="8">
      <t>カタヤマ</t>
    </rPh>
    <rPh sb="8" eb="9">
      <t>チョウ</t>
    </rPh>
    <phoneticPr fontId="1"/>
  </si>
  <si>
    <t>090-2389-0630</t>
    <phoneticPr fontId="1"/>
  </si>
  <si>
    <t>井上　誠</t>
    <rPh sb="0" eb="2">
      <t>イノウエ</t>
    </rPh>
    <rPh sb="3" eb="4">
      <t>マコト</t>
    </rPh>
    <phoneticPr fontId="1"/>
  </si>
  <si>
    <t>箕面市牧落5-12-18</t>
    <rPh sb="0" eb="1">
      <t>ミ</t>
    </rPh>
    <rPh sb="1" eb="2">
      <t>メン</t>
    </rPh>
    <rPh sb="2" eb="3">
      <t>シ</t>
    </rPh>
    <rPh sb="3" eb="5">
      <t>マキオチ</t>
    </rPh>
    <phoneticPr fontId="1"/>
  </si>
  <si>
    <t>090-8214-0133</t>
    <phoneticPr fontId="1"/>
  </si>
  <si>
    <t>プロ価格　シャフトご購入</t>
    <rPh sb="2" eb="4">
      <t>カカク</t>
    </rPh>
    <rPh sb="10" eb="12">
      <t>コウニュウ</t>
    </rPh>
    <phoneticPr fontId="1"/>
  </si>
  <si>
    <t>返金　ご入会</t>
    <rPh sb="0" eb="2">
      <t>ヘンキン</t>
    </rPh>
    <rPh sb="4" eb="6">
      <t>ニュウカイ</t>
    </rPh>
    <phoneticPr fontId="1"/>
  </si>
  <si>
    <t>山下　功一郎</t>
    <rPh sb="0" eb="2">
      <t>ヤマシタ</t>
    </rPh>
    <rPh sb="3" eb="4">
      <t>コウ</t>
    </rPh>
    <rPh sb="4" eb="6">
      <t>イチロウ</t>
    </rPh>
    <phoneticPr fontId="1"/>
  </si>
  <si>
    <t>663-8201</t>
    <phoneticPr fontId="1"/>
  </si>
  <si>
    <t>兵庫県西宮市田代町11-14-102</t>
    <rPh sb="0" eb="3">
      <t>ヒョウゴケン</t>
    </rPh>
    <rPh sb="3" eb="5">
      <t>ニシノミヤ</t>
    </rPh>
    <rPh sb="5" eb="6">
      <t>シ</t>
    </rPh>
    <rPh sb="6" eb="8">
      <t>タシロ</t>
    </rPh>
    <rPh sb="8" eb="9">
      <t>チョウ</t>
    </rPh>
    <phoneticPr fontId="1"/>
  </si>
  <si>
    <t>090-8231-0713</t>
    <phoneticPr fontId="1"/>
  </si>
  <si>
    <t>萩原　正利</t>
    <rPh sb="0" eb="2">
      <t>ハギワラ</t>
    </rPh>
    <rPh sb="3" eb="5">
      <t>マサトシ</t>
    </rPh>
    <phoneticPr fontId="1"/>
  </si>
  <si>
    <t>651-0072</t>
    <phoneticPr fontId="1"/>
  </si>
  <si>
    <t>兵庫県神戸市中央区脇浜町3-4-13 507号</t>
    <rPh sb="0" eb="3">
      <t>ヒョウゴケン</t>
    </rPh>
    <rPh sb="3" eb="5">
      <t>コウベ</t>
    </rPh>
    <rPh sb="5" eb="6">
      <t>シ</t>
    </rPh>
    <rPh sb="6" eb="9">
      <t>チュウオウク</t>
    </rPh>
    <rPh sb="9" eb="11">
      <t>ワキハマ</t>
    </rPh>
    <rPh sb="11" eb="12">
      <t>チョウ</t>
    </rPh>
    <rPh sb="22" eb="23">
      <t>ゴウ</t>
    </rPh>
    <phoneticPr fontId="1"/>
  </si>
  <si>
    <t>080-6145-3635</t>
    <phoneticPr fontId="1"/>
  </si>
  <si>
    <t>シャフトご購入　返金済</t>
    <rPh sb="5" eb="7">
      <t>コウニュウ</t>
    </rPh>
    <rPh sb="8" eb="10">
      <t>ヘンキン</t>
    </rPh>
    <rPh sb="10" eb="11">
      <t>スミ</t>
    </rPh>
    <phoneticPr fontId="1"/>
  </si>
  <si>
    <t>増村　正之</t>
    <rPh sb="0" eb="2">
      <t>マスムラ</t>
    </rPh>
    <rPh sb="3" eb="5">
      <t>マサユキ</t>
    </rPh>
    <phoneticPr fontId="1"/>
  </si>
  <si>
    <t>657-0027</t>
    <phoneticPr fontId="1"/>
  </si>
  <si>
    <t>兵庫県神戸市灘区永手町4-2-1-607</t>
    <rPh sb="0" eb="3">
      <t>ヒョウゴケン</t>
    </rPh>
    <rPh sb="3" eb="6">
      <t>コウベシ</t>
    </rPh>
    <rPh sb="6" eb="8">
      <t>ナダク</t>
    </rPh>
    <rPh sb="8" eb="10">
      <t>ナガテ</t>
    </rPh>
    <rPh sb="10" eb="11">
      <t>チョウ</t>
    </rPh>
    <phoneticPr fontId="1"/>
  </si>
  <si>
    <t>mmasumura151010@g.vodafone.ne.jp</t>
    <phoneticPr fontId="1"/>
  </si>
  <si>
    <t>090-1361-9670</t>
    <phoneticPr fontId="1"/>
  </si>
  <si>
    <t>内田　和広</t>
    <rPh sb="0" eb="2">
      <t>ウチダ</t>
    </rPh>
    <rPh sb="3" eb="5">
      <t>カズヒロ</t>
    </rPh>
    <phoneticPr fontId="1"/>
  </si>
  <si>
    <t>561-0833</t>
    <phoneticPr fontId="1"/>
  </si>
  <si>
    <t>豊中市庄内幸町2-25-41-4</t>
    <rPh sb="0" eb="3">
      <t>トヨナカシ</t>
    </rPh>
    <rPh sb="3" eb="5">
      <t>ショウナイ</t>
    </rPh>
    <rPh sb="5" eb="6">
      <t>サチ</t>
    </rPh>
    <rPh sb="6" eb="7">
      <t>マチ</t>
    </rPh>
    <phoneticPr fontId="1"/>
  </si>
  <si>
    <t>090-3038-4373</t>
    <phoneticPr fontId="1"/>
  </si>
  <si>
    <t>赤松　理充</t>
    <rPh sb="0" eb="2">
      <t>アカマツ</t>
    </rPh>
    <rPh sb="3" eb="4">
      <t>リ</t>
    </rPh>
    <rPh sb="4" eb="5">
      <t>ミツ</t>
    </rPh>
    <phoneticPr fontId="1"/>
  </si>
  <si>
    <t>大阪市福島区福島1-1-48-4803</t>
    <rPh sb="0" eb="3">
      <t>オオサカシ</t>
    </rPh>
    <rPh sb="3" eb="6">
      <t>フクシマク</t>
    </rPh>
    <rPh sb="6" eb="8">
      <t>フクシマ</t>
    </rPh>
    <phoneticPr fontId="1"/>
  </si>
  <si>
    <t>090-4516-9999</t>
    <phoneticPr fontId="1"/>
  </si>
  <si>
    <t>aka9999toshi@gmail.com</t>
    <phoneticPr fontId="1"/>
  </si>
  <si>
    <t>板東　和秀</t>
    <rPh sb="0" eb="2">
      <t>バンドウ</t>
    </rPh>
    <rPh sb="3" eb="5">
      <t>カズヒデ</t>
    </rPh>
    <phoneticPr fontId="1"/>
  </si>
  <si>
    <t>090-6090-8053</t>
    <phoneticPr fontId="1"/>
  </si>
  <si>
    <t>小池　雄一朗</t>
    <rPh sb="0" eb="2">
      <t>コイケ</t>
    </rPh>
    <rPh sb="3" eb="6">
      <t>ユウイチロウ</t>
    </rPh>
    <phoneticPr fontId="1"/>
  </si>
  <si>
    <t>560-0085</t>
    <phoneticPr fontId="1"/>
  </si>
  <si>
    <t>豊中市上新田2-10-20-401</t>
    <rPh sb="0" eb="3">
      <t>トヨナカシ</t>
    </rPh>
    <rPh sb="3" eb="6">
      <t>カミシンデン</t>
    </rPh>
    <phoneticPr fontId="1"/>
  </si>
  <si>
    <t>oem0057262034@ezweb.ne.jp</t>
    <phoneticPr fontId="1"/>
  </si>
  <si>
    <t>080-6160-0532</t>
    <phoneticPr fontId="1"/>
  </si>
  <si>
    <t>会員板東様　ご家族</t>
    <rPh sb="0" eb="2">
      <t>カイイン</t>
    </rPh>
    <rPh sb="2" eb="4">
      <t>バンドウ</t>
    </rPh>
    <rPh sb="4" eb="5">
      <t>サマ</t>
    </rPh>
    <rPh sb="7" eb="9">
      <t>カゾク</t>
    </rPh>
    <phoneticPr fontId="1"/>
  </si>
  <si>
    <t>会員駒木根様　お知り合い</t>
    <rPh sb="0" eb="2">
      <t>カイイン</t>
    </rPh>
    <rPh sb="2" eb="6">
      <t>コマキネサマ</t>
    </rPh>
    <rPh sb="8" eb="9">
      <t>シ</t>
    </rPh>
    <rPh sb="10" eb="11">
      <t>ア</t>
    </rPh>
    <phoneticPr fontId="1"/>
  </si>
  <si>
    <t>西屋　悟</t>
    <rPh sb="0" eb="1">
      <t>ニシ</t>
    </rPh>
    <rPh sb="1" eb="2">
      <t>ヤ</t>
    </rPh>
    <rPh sb="3" eb="4">
      <t>サトル</t>
    </rPh>
    <phoneticPr fontId="1"/>
  </si>
  <si>
    <t>599-8234</t>
    <phoneticPr fontId="1"/>
  </si>
  <si>
    <t>堺市中区土塔町3102-1</t>
    <rPh sb="0" eb="2">
      <t>サカイシ</t>
    </rPh>
    <rPh sb="2" eb="3">
      <t>ナカ</t>
    </rPh>
    <rPh sb="3" eb="4">
      <t>ク</t>
    </rPh>
    <rPh sb="4" eb="5">
      <t>ツチ</t>
    </rPh>
    <rPh sb="5" eb="6">
      <t>トウ</t>
    </rPh>
    <rPh sb="6" eb="7">
      <t>マチ</t>
    </rPh>
    <phoneticPr fontId="1"/>
  </si>
  <si>
    <t>072-283-1787</t>
    <phoneticPr fontId="1"/>
  </si>
  <si>
    <t>橋本　学</t>
    <rPh sb="0" eb="2">
      <t>ハシモト</t>
    </rPh>
    <rPh sb="3" eb="4">
      <t>マナ</t>
    </rPh>
    <phoneticPr fontId="1"/>
  </si>
  <si>
    <t>宝塚市仁川高丸3-12-5</t>
    <rPh sb="0" eb="2">
      <t>タカラヅカ</t>
    </rPh>
    <rPh sb="2" eb="3">
      <t>シ</t>
    </rPh>
    <rPh sb="3" eb="5">
      <t>ニガワ</t>
    </rPh>
    <rPh sb="5" eb="7">
      <t>タカマル</t>
    </rPh>
    <phoneticPr fontId="1"/>
  </si>
  <si>
    <t>090-3035-6262</t>
    <phoneticPr fontId="1"/>
  </si>
  <si>
    <t>古川社長ご紹介</t>
    <rPh sb="0" eb="2">
      <t>フルカワ</t>
    </rPh>
    <rPh sb="2" eb="4">
      <t>シャチョウ</t>
    </rPh>
    <rPh sb="5" eb="7">
      <t>ショウカイ</t>
    </rPh>
    <phoneticPr fontId="1"/>
  </si>
  <si>
    <t>松清　貴幸</t>
    <rPh sb="0" eb="2">
      <t>マツキヨ</t>
    </rPh>
    <rPh sb="3" eb="5">
      <t>タカユキ</t>
    </rPh>
    <phoneticPr fontId="1"/>
  </si>
  <si>
    <t>080-5277-7106</t>
    <phoneticPr fontId="1"/>
  </si>
  <si>
    <t>546-0014</t>
    <phoneticPr fontId="1"/>
  </si>
  <si>
    <t>大阪府大阪市東住吉区今村2-14-17</t>
    <rPh sb="0" eb="2">
      <t>オオサカ</t>
    </rPh>
    <rPh sb="2" eb="3">
      <t>フ</t>
    </rPh>
    <rPh sb="3" eb="5">
      <t>オオサカ</t>
    </rPh>
    <rPh sb="5" eb="6">
      <t>シ</t>
    </rPh>
    <rPh sb="10" eb="12">
      <t>イマムラ</t>
    </rPh>
    <phoneticPr fontId="1"/>
  </si>
  <si>
    <t>06-6952-7372</t>
    <phoneticPr fontId="1"/>
  </si>
  <si>
    <t>大島　信授</t>
    <rPh sb="0" eb="2">
      <t>オオシマ</t>
    </rPh>
    <rPh sb="3" eb="4">
      <t>シン</t>
    </rPh>
    <rPh sb="4" eb="5">
      <t>ジュ</t>
    </rPh>
    <phoneticPr fontId="1"/>
  </si>
  <si>
    <t>土居　義孝</t>
    <rPh sb="0" eb="2">
      <t>ドイ</t>
    </rPh>
    <rPh sb="3" eb="5">
      <t>ヨシタカ</t>
    </rPh>
    <phoneticPr fontId="1"/>
  </si>
  <si>
    <t>大阪府松原市東新町5-12-28</t>
    <rPh sb="0" eb="2">
      <t>オオサカ</t>
    </rPh>
    <rPh sb="2" eb="3">
      <t>フ</t>
    </rPh>
    <rPh sb="3" eb="5">
      <t>マツバラ</t>
    </rPh>
    <rPh sb="5" eb="6">
      <t>シ</t>
    </rPh>
    <rPh sb="6" eb="7">
      <t>ヒガシ</t>
    </rPh>
    <rPh sb="7" eb="9">
      <t>シンマチ</t>
    </rPh>
    <phoneticPr fontId="1"/>
  </si>
  <si>
    <t>090-5045-2880</t>
    <phoneticPr fontId="1"/>
  </si>
  <si>
    <t>580-0024</t>
    <phoneticPr fontId="1"/>
  </si>
  <si>
    <t>鳥飼　良太</t>
    <rPh sb="0" eb="2">
      <t>トリカイ</t>
    </rPh>
    <rPh sb="3" eb="5">
      <t>リョウタ</t>
    </rPh>
    <phoneticPr fontId="1"/>
  </si>
  <si>
    <t>兵庫県西宮市甲子園口3-11-3-402</t>
    <rPh sb="0" eb="3">
      <t>ヒョウゴケン</t>
    </rPh>
    <rPh sb="3" eb="6">
      <t>ニシノミヤシ</t>
    </rPh>
    <rPh sb="6" eb="9">
      <t>コウシエン</t>
    </rPh>
    <rPh sb="9" eb="10">
      <t>クチ</t>
    </rPh>
    <phoneticPr fontId="1"/>
  </si>
  <si>
    <t>090-6967-5297</t>
    <phoneticPr fontId="1"/>
  </si>
  <si>
    <t>喜岡　忠之</t>
    <rPh sb="0" eb="1">
      <t>キ</t>
    </rPh>
    <rPh sb="1" eb="2">
      <t>オカ</t>
    </rPh>
    <rPh sb="3" eb="5">
      <t>タダユキ</t>
    </rPh>
    <phoneticPr fontId="1"/>
  </si>
  <si>
    <t>662-0085</t>
    <phoneticPr fontId="1"/>
  </si>
  <si>
    <t>兵庫県西宮市老松町11-13</t>
    <rPh sb="0" eb="2">
      <t>ヒョウゴ</t>
    </rPh>
    <rPh sb="2" eb="3">
      <t>ケン</t>
    </rPh>
    <rPh sb="3" eb="5">
      <t>ニシノミヤ</t>
    </rPh>
    <rPh sb="5" eb="6">
      <t>シ</t>
    </rPh>
    <rPh sb="6" eb="7">
      <t>ロウ</t>
    </rPh>
    <rPh sb="7" eb="8">
      <t>マツ</t>
    </rPh>
    <rPh sb="8" eb="9">
      <t>チョウ</t>
    </rPh>
    <phoneticPr fontId="1"/>
  </si>
  <si>
    <t>090-5465-2775</t>
    <phoneticPr fontId="1"/>
  </si>
  <si>
    <t>鹿児島県市志布志市志布志町安楽468</t>
  </si>
  <si>
    <t>899-7104</t>
  </si>
  <si>
    <t>665-0063</t>
  </si>
  <si>
    <t>663-8113</t>
  </si>
  <si>
    <t>562-0004</t>
  </si>
  <si>
    <t>黒岩　真二</t>
    <rPh sb="0" eb="2">
      <t>クロイワ</t>
    </rPh>
    <rPh sb="3" eb="5">
      <t>シンジ</t>
    </rPh>
    <phoneticPr fontId="1"/>
  </si>
  <si>
    <t>伊丹市荒牧6丁目24-30</t>
    <rPh sb="0" eb="3">
      <t>イタミシ</t>
    </rPh>
    <rPh sb="6" eb="8">
      <t>チョウメ</t>
    </rPh>
    <phoneticPr fontId="1"/>
  </si>
  <si>
    <t>090-5255-7550</t>
    <phoneticPr fontId="1"/>
  </si>
  <si>
    <t>韓　廣貴</t>
    <rPh sb="0" eb="1">
      <t>カン</t>
    </rPh>
    <rPh sb="2" eb="3">
      <t>ヒロシ</t>
    </rPh>
    <rPh sb="3" eb="4">
      <t>タカシ</t>
    </rPh>
    <phoneticPr fontId="1"/>
  </si>
  <si>
    <t>宝塚市すみれが丘3-3-1-901</t>
    <rPh sb="0" eb="2">
      <t>タカラヅカ</t>
    </rPh>
    <rPh sb="2" eb="3">
      <t>シ</t>
    </rPh>
    <rPh sb="7" eb="8">
      <t>オカ</t>
    </rPh>
    <phoneticPr fontId="1"/>
  </si>
  <si>
    <t>090-1718-0086</t>
    <phoneticPr fontId="1"/>
  </si>
  <si>
    <t>ビジター　12月より入会手続き済</t>
    <rPh sb="7" eb="8">
      <t>ガツ</t>
    </rPh>
    <rPh sb="10" eb="12">
      <t>ニュウカイ</t>
    </rPh>
    <rPh sb="12" eb="14">
      <t>テツヅ</t>
    </rPh>
    <rPh sb="15" eb="16">
      <t>スミ</t>
    </rPh>
    <phoneticPr fontId="1"/>
  </si>
  <si>
    <t>高橋　大輔</t>
    <rPh sb="0" eb="2">
      <t>タカハシ</t>
    </rPh>
    <rPh sb="3" eb="5">
      <t>ダイスケ</t>
    </rPh>
    <phoneticPr fontId="1"/>
  </si>
  <si>
    <t>813-0004</t>
    <phoneticPr fontId="1"/>
  </si>
  <si>
    <t>西宮市薬師町2-64-603</t>
    <rPh sb="0" eb="3">
      <t>ニシノミヤシ</t>
    </rPh>
    <rPh sb="3" eb="6">
      <t>ヤクシチョウ</t>
    </rPh>
    <phoneticPr fontId="1"/>
  </si>
  <si>
    <t>090-3470-7721</t>
    <phoneticPr fontId="1"/>
  </si>
  <si>
    <t>岩佐　識</t>
    <rPh sb="0" eb="2">
      <t>イワサ</t>
    </rPh>
    <rPh sb="3" eb="4">
      <t>サトル</t>
    </rPh>
    <phoneticPr fontId="1"/>
  </si>
  <si>
    <t>664-0884</t>
    <phoneticPr fontId="1"/>
  </si>
  <si>
    <t>伊丹市美鈴町3-8-17</t>
    <rPh sb="0" eb="3">
      <t>イタミシ</t>
    </rPh>
    <rPh sb="3" eb="4">
      <t>ミ</t>
    </rPh>
    <rPh sb="4" eb="5">
      <t>スズ</t>
    </rPh>
    <rPh sb="5" eb="6">
      <t>チョウ</t>
    </rPh>
    <phoneticPr fontId="1"/>
  </si>
  <si>
    <t>090-2389-9169</t>
    <phoneticPr fontId="1"/>
  </si>
  <si>
    <t>110分 ＋ ボールフィッティング</t>
    <rPh sb="3" eb="4">
      <t>フン</t>
    </rPh>
    <phoneticPr fontId="1"/>
  </si>
  <si>
    <t>林　秀次</t>
    <rPh sb="0" eb="1">
      <t>ハヤシ</t>
    </rPh>
    <rPh sb="2" eb="4">
      <t>シュウジ</t>
    </rPh>
    <phoneticPr fontId="1"/>
  </si>
  <si>
    <t>兵庫県宝塚市長尾町14-21</t>
    <rPh sb="0" eb="3">
      <t>ヒョウゴケン</t>
    </rPh>
    <rPh sb="3" eb="6">
      <t>タカラヅカシ</t>
    </rPh>
    <rPh sb="6" eb="9">
      <t>ナガオチョウ</t>
    </rPh>
    <phoneticPr fontId="1"/>
  </si>
  <si>
    <t>090-5138-2907</t>
    <phoneticPr fontId="1"/>
  </si>
  <si>
    <t>武田　正樹</t>
    <rPh sb="0" eb="2">
      <t>タケダ</t>
    </rPh>
    <rPh sb="3" eb="5">
      <t>マサキ</t>
    </rPh>
    <phoneticPr fontId="1"/>
  </si>
  <si>
    <t>659-0032</t>
    <phoneticPr fontId="1"/>
  </si>
  <si>
    <t>兵庫県芦屋市浜風町28-8</t>
    <rPh sb="0" eb="3">
      <t>ヒョウゴケン</t>
    </rPh>
    <rPh sb="3" eb="6">
      <t>アシヤシ</t>
    </rPh>
    <rPh sb="6" eb="8">
      <t>ハマカゼ</t>
    </rPh>
    <rPh sb="8" eb="9">
      <t>チョウ</t>
    </rPh>
    <phoneticPr fontId="1"/>
  </si>
  <si>
    <t>090-9996-4478</t>
    <phoneticPr fontId="1"/>
  </si>
  <si>
    <t>石本　実来</t>
    <rPh sb="0" eb="2">
      <t>イシモト</t>
    </rPh>
    <rPh sb="3" eb="5">
      <t>ミク</t>
    </rPh>
    <phoneticPr fontId="1"/>
  </si>
  <si>
    <t>665-081</t>
    <phoneticPr fontId="1"/>
  </si>
  <si>
    <t>兵庫県宝塚市口谷西1-15-1-102</t>
    <rPh sb="0" eb="3">
      <t>ヒョウゴケン</t>
    </rPh>
    <rPh sb="3" eb="6">
      <t>タカラヅカシ</t>
    </rPh>
    <rPh sb="6" eb="8">
      <t>クチタニ</t>
    </rPh>
    <rPh sb="8" eb="9">
      <t>ニシ</t>
    </rPh>
    <phoneticPr fontId="1"/>
  </si>
  <si>
    <t>080-4490-1139</t>
    <phoneticPr fontId="1"/>
  </si>
  <si>
    <t>片島　大志</t>
    <rPh sb="0" eb="2">
      <t>カタシマ</t>
    </rPh>
    <rPh sb="3" eb="4">
      <t>ダイ</t>
    </rPh>
    <rPh sb="4" eb="5">
      <t>ココロザ</t>
    </rPh>
    <phoneticPr fontId="1"/>
  </si>
  <si>
    <t>577-0818</t>
    <phoneticPr fontId="1"/>
  </si>
  <si>
    <t>大阪府東大阪市小若江3-9-5-202</t>
    <rPh sb="0" eb="3">
      <t>オオサカフ</t>
    </rPh>
    <rPh sb="3" eb="4">
      <t>ヒガシ</t>
    </rPh>
    <rPh sb="4" eb="7">
      <t>オオサカシ</t>
    </rPh>
    <rPh sb="7" eb="10">
      <t>コワカエ</t>
    </rPh>
    <phoneticPr fontId="1"/>
  </si>
  <si>
    <t>090-9615-3248</t>
    <phoneticPr fontId="1"/>
  </si>
  <si>
    <t>兵庫県宝塚市中筋山手6-1-1-211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</si>
  <si>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奥小路　裕康</t>
    <rPh sb="0" eb="1">
      <t>オク</t>
    </rPh>
    <rPh sb="1" eb="2">
      <t>ショウ</t>
    </rPh>
    <rPh sb="2" eb="3">
      <t>ジ</t>
    </rPh>
    <rPh sb="4" eb="6">
      <t>ヒロヤス</t>
    </rPh>
    <phoneticPr fontId="1"/>
  </si>
  <si>
    <t>560-0083</t>
    <phoneticPr fontId="1"/>
  </si>
  <si>
    <t>大阪府豊中市新千里西町1-1-10-542</t>
    <rPh sb="0" eb="3">
      <t>オオサカフ</t>
    </rPh>
    <rPh sb="3" eb="5">
      <t>トヨナカ</t>
    </rPh>
    <rPh sb="5" eb="6">
      <t>シ</t>
    </rPh>
    <rPh sb="6" eb="7">
      <t>シン</t>
    </rPh>
    <rPh sb="7" eb="9">
      <t>センリ</t>
    </rPh>
    <rPh sb="9" eb="10">
      <t>ニシ</t>
    </rPh>
    <rPh sb="10" eb="11">
      <t>マチ</t>
    </rPh>
    <phoneticPr fontId="1"/>
  </si>
  <si>
    <t>080-1421-9174</t>
    <phoneticPr fontId="1"/>
  </si>
  <si>
    <t>090-3163-4180</t>
    <phoneticPr fontId="1"/>
  </si>
  <si>
    <t>村田　正幸</t>
    <rPh sb="0" eb="2">
      <t>ムラタ</t>
    </rPh>
    <rPh sb="3" eb="5">
      <t>マサユキ</t>
    </rPh>
    <phoneticPr fontId="1"/>
  </si>
  <si>
    <t>664-0858</t>
    <phoneticPr fontId="1"/>
  </si>
  <si>
    <t>兵庫県伊丹市西台1-7-21-801</t>
    <rPh sb="0" eb="3">
      <t>ヒョウゴケン</t>
    </rPh>
    <rPh sb="3" eb="6">
      <t>イタミシ</t>
    </rPh>
    <rPh sb="6" eb="8">
      <t>ニシダイ</t>
    </rPh>
    <phoneticPr fontId="1"/>
  </si>
  <si>
    <t>090-8368-4848</t>
    <phoneticPr fontId="1"/>
  </si>
  <si>
    <t>荒川　直喜</t>
    <rPh sb="0" eb="2">
      <t>アラカワ</t>
    </rPh>
    <rPh sb="3" eb="4">
      <t>ナオ</t>
    </rPh>
    <rPh sb="4" eb="5">
      <t>キ</t>
    </rPh>
    <phoneticPr fontId="1"/>
  </si>
  <si>
    <t>兵庫県伊丹市荒牧6-12-16</t>
    <rPh sb="0" eb="3">
      <t>ヒョウゴケン</t>
    </rPh>
    <rPh sb="3" eb="6">
      <t>イタミシ</t>
    </rPh>
    <rPh sb="6" eb="8">
      <t>アラマキ</t>
    </rPh>
    <phoneticPr fontId="1"/>
  </si>
  <si>
    <t>090-2703-0255</t>
    <phoneticPr fontId="1"/>
  </si>
  <si>
    <t>森田　真弘</t>
    <rPh sb="0" eb="2">
      <t>モリタ</t>
    </rPh>
    <rPh sb="3" eb="4">
      <t>マコト</t>
    </rPh>
    <rPh sb="4" eb="5">
      <t>ヒロ</t>
    </rPh>
    <phoneticPr fontId="1"/>
  </si>
  <si>
    <t>666-0036</t>
    <phoneticPr fontId="1"/>
  </si>
  <si>
    <t>兵庫県川西市花屋敷山手町10-20-104</t>
    <rPh sb="0" eb="3">
      <t>ヒョウゴケン</t>
    </rPh>
    <rPh sb="3" eb="5">
      <t>カワニシ</t>
    </rPh>
    <rPh sb="5" eb="6">
      <t>シ</t>
    </rPh>
    <rPh sb="6" eb="7">
      <t>ハナ</t>
    </rPh>
    <rPh sb="7" eb="9">
      <t>ヤシキ</t>
    </rPh>
    <rPh sb="9" eb="11">
      <t>ヤマテ</t>
    </rPh>
    <rPh sb="11" eb="12">
      <t>チョウ</t>
    </rPh>
    <phoneticPr fontId="1"/>
  </si>
  <si>
    <t>090-8578-2704</t>
    <phoneticPr fontId="1"/>
  </si>
  <si>
    <t>チラシクーポン利用　ご入会　シャフトご購入</t>
    <rPh sb="7" eb="9">
      <t>リヨウ</t>
    </rPh>
    <rPh sb="11" eb="13">
      <t>ニュウカイ</t>
    </rPh>
    <rPh sb="19" eb="21">
      <t>コウニュウ</t>
    </rPh>
    <phoneticPr fontId="1"/>
  </si>
  <si>
    <t>木下　洋一</t>
    <rPh sb="0" eb="2">
      <t>キノシタ</t>
    </rPh>
    <rPh sb="3" eb="5">
      <t>ヨウイチ</t>
    </rPh>
    <phoneticPr fontId="1"/>
  </si>
  <si>
    <t>573-0047</t>
    <phoneticPr fontId="1"/>
  </si>
  <si>
    <t>大阪府枚方市山之上5-2-12</t>
    <rPh sb="0" eb="3">
      <t>オオサカフ</t>
    </rPh>
    <rPh sb="3" eb="6">
      <t>ヒラカタシ</t>
    </rPh>
    <rPh sb="6" eb="9">
      <t>ヤマノウエ</t>
    </rPh>
    <phoneticPr fontId="1"/>
  </si>
  <si>
    <t>090-1144-0155</t>
    <phoneticPr fontId="1"/>
  </si>
  <si>
    <t>島田　英次</t>
    <rPh sb="0" eb="2">
      <t>シマダ</t>
    </rPh>
    <rPh sb="3" eb="5">
      <t>ヒデツグ</t>
    </rPh>
    <phoneticPr fontId="1"/>
  </si>
  <si>
    <t>西宮市北名次町10-4</t>
    <rPh sb="0" eb="3">
      <t>ニシノミヤシ</t>
    </rPh>
    <rPh sb="3" eb="4">
      <t>キタ</t>
    </rPh>
    <rPh sb="4" eb="5">
      <t>ナ</t>
    </rPh>
    <rPh sb="5" eb="6">
      <t>ジ</t>
    </rPh>
    <rPh sb="6" eb="7">
      <t>マチ</t>
    </rPh>
    <phoneticPr fontId="1"/>
  </si>
  <si>
    <t>090-7716-4037</t>
    <phoneticPr fontId="1"/>
  </si>
  <si>
    <t xml:space="preserve">110分 </t>
    <rPh sb="3" eb="4">
      <t>フン</t>
    </rPh>
    <phoneticPr fontId="1"/>
  </si>
  <si>
    <t>青木　利夫</t>
    <rPh sb="0" eb="2">
      <t>アオキ</t>
    </rPh>
    <rPh sb="3" eb="5">
      <t>トシオ</t>
    </rPh>
    <phoneticPr fontId="1"/>
  </si>
  <si>
    <t>079-296-4352</t>
    <phoneticPr fontId="1"/>
  </si>
  <si>
    <t>兵庫県姫路市辻井6-7-32</t>
    <rPh sb="0" eb="3">
      <t>ヒョウゴケン</t>
    </rPh>
    <rPh sb="3" eb="6">
      <t>ヒメジシ</t>
    </rPh>
    <rPh sb="6" eb="8">
      <t>ツジイ</t>
    </rPh>
    <phoneticPr fontId="1"/>
  </si>
  <si>
    <t>670-0083</t>
  </si>
  <si>
    <t>増田　綾太</t>
    <rPh sb="0" eb="2">
      <t>マスダ</t>
    </rPh>
    <rPh sb="3" eb="4">
      <t>アヤ</t>
    </rPh>
    <rPh sb="4" eb="5">
      <t>タ</t>
    </rPh>
    <phoneticPr fontId="1"/>
  </si>
  <si>
    <t>675-1316</t>
    <phoneticPr fontId="1"/>
  </si>
  <si>
    <t>兵庫県小野市天神町80-217</t>
    <rPh sb="0" eb="3">
      <t>ヒョウゴケン</t>
    </rPh>
    <rPh sb="3" eb="6">
      <t>オノシ</t>
    </rPh>
    <rPh sb="6" eb="9">
      <t>テンジンチョウ</t>
    </rPh>
    <phoneticPr fontId="1"/>
  </si>
  <si>
    <t>080-6146-9309</t>
    <phoneticPr fontId="1"/>
  </si>
  <si>
    <t>赤枝　正</t>
    <rPh sb="0" eb="2">
      <t>アカエダ</t>
    </rPh>
    <rPh sb="3" eb="4">
      <t>セイ</t>
    </rPh>
    <phoneticPr fontId="1"/>
  </si>
  <si>
    <t>651-1301</t>
    <phoneticPr fontId="1"/>
  </si>
  <si>
    <t>神戸市北区藤原台北町2-1-6-104</t>
    <rPh sb="0" eb="5">
      <t>コウベシキタク</t>
    </rPh>
    <rPh sb="5" eb="8">
      <t>フジワラダイ</t>
    </rPh>
    <rPh sb="8" eb="10">
      <t>キタマチ</t>
    </rPh>
    <phoneticPr fontId="1"/>
  </si>
  <si>
    <t>078-981-5779</t>
    <phoneticPr fontId="1"/>
  </si>
  <si>
    <t>熊谷　カール</t>
    <rPh sb="0" eb="2">
      <t>クマガイ</t>
    </rPh>
    <phoneticPr fontId="1"/>
  </si>
  <si>
    <t>659-0012</t>
    <phoneticPr fontId="1"/>
  </si>
  <si>
    <t>芦屋市朝日ヶ丘38-21</t>
    <rPh sb="0" eb="3">
      <t>アシヤシ</t>
    </rPh>
    <rPh sb="3" eb="7">
      <t>アサヒガオカ</t>
    </rPh>
    <phoneticPr fontId="1"/>
  </si>
  <si>
    <t>090-1902-9258</t>
    <phoneticPr fontId="1"/>
  </si>
  <si>
    <t>杦本　昌也</t>
    <rPh sb="0" eb="2">
      <t>スギモト</t>
    </rPh>
    <rPh sb="3" eb="5">
      <t>マサヤ</t>
    </rPh>
    <phoneticPr fontId="1"/>
  </si>
  <si>
    <t>吹田市山田東4-32-1-101</t>
    <rPh sb="0" eb="3">
      <t>スイタシ</t>
    </rPh>
    <rPh sb="3" eb="6">
      <t>ヤマダヒガシ</t>
    </rPh>
    <phoneticPr fontId="1"/>
  </si>
  <si>
    <t>080-5719-4173</t>
    <phoneticPr fontId="1"/>
  </si>
  <si>
    <t>080-1452-3442</t>
    <phoneticPr fontId="1"/>
  </si>
  <si>
    <t>川野　利通</t>
    <rPh sb="0" eb="2">
      <t>カワノ</t>
    </rPh>
    <rPh sb="3" eb="5">
      <t>トシミチ</t>
    </rPh>
    <phoneticPr fontId="1"/>
  </si>
  <si>
    <t>561-0844</t>
    <phoneticPr fontId="1"/>
  </si>
  <si>
    <t>豊中市利倉西1-6-24-103</t>
    <rPh sb="0" eb="3">
      <t>トヨナカシ</t>
    </rPh>
    <rPh sb="3" eb="6">
      <t>トクラニシ</t>
    </rPh>
    <phoneticPr fontId="1"/>
  </si>
  <si>
    <t>高原　樹生</t>
    <rPh sb="0" eb="2">
      <t>タカハラ</t>
    </rPh>
    <rPh sb="3" eb="4">
      <t>タツキ</t>
    </rPh>
    <rPh sb="4" eb="5">
      <t>イ</t>
    </rPh>
    <phoneticPr fontId="1"/>
  </si>
  <si>
    <t>田中　照久</t>
    <rPh sb="0" eb="2">
      <t>タナカ</t>
    </rPh>
    <rPh sb="3" eb="5">
      <t>テルヒサ</t>
    </rPh>
    <phoneticPr fontId="1"/>
  </si>
  <si>
    <t>664-0873</t>
    <phoneticPr fontId="1"/>
  </si>
  <si>
    <t>592-8333</t>
    <phoneticPr fontId="1"/>
  </si>
  <si>
    <t>兵庫県伊丹市野間1-8-15-401</t>
    <rPh sb="0" eb="3">
      <t>ヒョウゴケン</t>
    </rPh>
    <rPh sb="3" eb="6">
      <t>イタミシ</t>
    </rPh>
    <rPh sb="6" eb="8">
      <t>ノマ</t>
    </rPh>
    <phoneticPr fontId="1"/>
  </si>
  <si>
    <t>大阪府堺市西区浜寺石津町東4-2-30</t>
    <rPh sb="0" eb="3">
      <t>オオサカフ</t>
    </rPh>
    <rPh sb="3" eb="5">
      <t>サカイシ</t>
    </rPh>
    <rPh sb="5" eb="7">
      <t>ニシク</t>
    </rPh>
    <rPh sb="7" eb="9">
      <t>ハマデラ</t>
    </rPh>
    <rPh sb="9" eb="11">
      <t>イシヅ</t>
    </rPh>
    <rPh sb="11" eb="12">
      <t>チョウ</t>
    </rPh>
    <rPh sb="12" eb="13">
      <t>ヒガシ</t>
    </rPh>
    <phoneticPr fontId="1"/>
  </si>
  <si>
    <t>080-5763-7316</t>
    <phoneticPr fontId="1"/>
  </si>
  <si>
    <t>090-7113-8113</t>
    <phoneticPr fontId="1"/>
  </si>
  <si>
    <t>580-0011</t>
    <phoneticPr fontId="1"/>
  </si>
  <si>
    <t>大阪府松原市西大塚2-954-72</t>
    <rPh sb="0" eb="3">
      <t>オオサカフ</t>
    </rPh>
    <rPh sb="3" eb="6">
      <t>マツバラシ</t>
    </rPh>
    <rPh sb="6" eb="7">
      <t>ニシ</t>
    </rPh>
    <rPh sb="7" eb="9">
      <t>オオツカ</t>
    </rPh>
    <phoneticPr fontId="1"/>
  </si>
  <si>
    <t>090-4765-5292</t>
    <phoneticPr fontId="1"/>
  </si>
  <si>
    <t>奥村　淳一</t>
    <rPh sb="0" eb="2">
      <t>オクムラ</t>
    </rPh>
    <rPh sb="3" eb="4">
      <t>ジュン</t>
    </rPh>
    <phoneticPr fontId="1"/>
  </si>
  <si>
    <t>古河﨑 祐子</t>
    <rPh sb="0" eb="1">
      <t>コ</t>
    </rPh>
    <rPh sb="1" eb="3">
      <t>カワサキ</t>
    </rPh>
    <rPh sb="4" eb="6">
      <t>ユウコ</t>
    </rPh>
    <phoneticPr fontId="1"/>
  </si>
  <si>
    <t>瀬川　佳世</t>
    <rPh sb="0" eb="2">
      <t>セガワ</t>
    </rPh>
    <rPh sb="3" eb="5">
      <t>カヨ</t>
    </rPh>
    <phoneticPr fontId="1"/>
  </si>
  <si>
    <t>651-1433</t>
    <phoneticPr fontId="1"/>
  </si>
  <si>
    <t>651-1313</t>
    <phoneticPr fontId="1"/>
  </si>
  <si>
    <t>兵庫県西宮市山口町中野3-3-9</t>
    <rPh sb="0" eb="3">
      <t>ヒョウゴケン</t>
    </rPh>
    <rPh sb="3" eb="6">
      <t>ニシノミヤシ</t>
    </rPh>
    <rPh sb="6" eb="8">
      <t>ヤマグチ</t>
    </rPh>
    <rPh sb="8" eb="9">
      <t>チョウ</t>
    </rPh>
    <rPh sb="9" eb="11">
      <t>ナカノ</t>
    </rPh>
    <phoneticPr fontId="1"/>
  </si>
  <si>
    <t>兵庫県神戸市北区有野中野3-3-11 E-212</t>
    <rPh sb="0" eb="3">
      <t>ヒョウゴケン</t>
    </rPh>
    <rPh sb="3" eb="6">
      <t>コウベシ</t>
    </rPh>
    <rPh sb="6" eb="8">
      <t>キタク</t>
    </rPh>
    <rPh sb="8" eb="10">
      <t>アリノ</t>
    </rPh>
    <rPh sb="10" eb="12">
      <t>ナカノ</t>
    </rPh>
    <phoneticPr fontId="1"/>
  </si>
  <si>
    <t>090-3166-9951</t>
    <phoneticPr fontId="1"/>
  </si>
  <si>
    <t>090-3030-0663</t>
    <phoneticPr fontId="1"/>
  </si>
  <si>
    <t>女子プロ</t>
    <rPh sb="0" eb="2">
      <t>ジョシ</t>
    </rPh>
    <phoneticPr fontId="1"/>
  </si>
  <si>
    <t>桑島　幸雄</t>
    <rPh sb="0" eb="2">
      <t>クワジマ</t>
    </rPh>
    <rPh sb="3" eb="5">
      <t>ユキオ</t>
    </rPh>
    <phoneticPr fontId="1"/>
  </si>
  <si>
    <t>654-0134</t>
    <phoneticPr fontId="1"/>
  </si>
  <si>
    <t>神戸市須磨区多井畑東町9-30</t>
    <rPh sb="0" eb="6">
      <t>コウベシスマク</t>
    </rPh>
    <rPh sb="6" eb="7">
      <t>オオ</t>
    </rPh>
    <rPh sb="7" eb="9">
      <t>イハタ</t>
    </rPh>
    <rPh sb="9" eb="10">
      <t>ヒガシ</t>
    </rPh>
    <rPh sb="10" eb="11">
      <t>マチ</t>
    </rPh>
    <phoneticPr fontId="1"/>
  </si>
  <si>
    <t>090-8935-1694</t>
    <phoneticPr fontId="1"/>
  </si>
  <si>
    <t>木田　昌昭</t>
    <rPh sb="0" eb="2">
      <t>キダ</t>
    </rPh>
    <rPh sb="3" eb="5">
      <t>マサアキ</t>
    </rPh>
    <phoneticPr fontId="1"/>
  </si>
  <si>
    <t>090-1023-2273</t>
    <phoneticPr fontId="1"/>
  </si>
  <si>
    <t>662-0868</t>
    <phoneticPr fontId="1"/>
  </si>
  <si>
    <t>西宮市中屋町2-7</t>
    <rPh sb="0" eb="2">
      <t>ニシノミヤ</t>
    </rPh>
    <rPh sb="2" eb="3">
      <t>シ</t>
    </rPh>
    <rPh sb="3" eb="6">
      <t>ナカヤチョウ</t>
    </rPh>
    <phoneticPr fontId="1"/>
  </si>
  <si>
    <t>浦野　莉那</t>
    <rPh sb="0" eb="2">
      <t>ウラノ</t>
    </rPh>
    <rPh sb="3" eb="5">
      <t>リナ</t>
    </rPh>
    <phoneticPr fontId="1"/>
  </si>
  <si>
    <t>590-0138</t>
    <phoneticPr fontId="1"/>
  </si>
  <si>
    <t>大阪府堺市南区鴨谷台2-3-2-409</t>
    <rPh sb="0" eb="3">
      <t>オオサカフ</t>
    </rPh>
    <rPh sb="3" eb="5">
      <t>サカイシ</t>
    </rPh>
    <rPh sb="5" eb="7">
      <t>ミナミク</t>
    </rPh>
    <rPh sb="7" eb="10">
      <t>カモタニダイ</t>
    </rPh>
    <phoneticPr fontId="1"/>
  </si>
  <si>
    <t>090-3614-4765</t>
    <phoneticPr fontId="1"/>
  </si>
  <si>
    <t>栗田　晃祐</t>
    <rPh sb="0" eb="2">
      <t>クリタ</t>
    </rPh>
    <rPh sb="3" eb="5">
      <t>コウスケ</t>
    </rPh>
    <phoneticPr fontId="1"/>
  </si>
  <si>
    <t>527-0221</t>
    <phoneticPr fontId="1"/>
  </si>
  <si>
    <t>滋賀県東近江市上二俣町1011</t>
    <rPh sb="0" eb="3">
      <t>シガケン</t>
    </rPh>
    <rPh sb="3" eb="7">
      <t>ヒガシオウミシ</t>
    </rPh>
    <rPh sb="7" eb="8">
      <t>カミ</t>
    </rPh>
    <rPh sb="8" eb="11">
      <t>フタマタチョウ</t>
    </rPh>
    <phoneticPr fontId="1"/>
  </si>
  <si>
    <t>090-3167-9197</t>
    <phoneticPr fontId="1"/>
  </si>
  <si>
    <t>西森　幸男</t>
    <rPh sb="0" eb="2">
      <t>ニシモリ</t>
    </rPh>
    <rPh sb="3" eb="5">
      <t>ユキオ</t>
    </rPh>
    <phoneticPr fontId="1"/>
  </si>
  <si>
    <t>577-0016</t>
    <phoneticPr fontId="1"/>
  </si>
  <si>
    <t>大阪府東大阪市長田西1-1-22</t>
    <rPh sb="0" eb="3">
      <t>オオサカフ</t>
    </rPh>
    <rPh sb="3" eb="7">
      <t>ヒガシオオサカシ</t>
    </rPh>
    <rPh sb="7" eb="9">
      <t>ナガタ</t>
    </rPh>
    <rPh sb="9" eb="10">
      <t>ニシ</t>
    </rPh>
    <phoneticPr fontId="1"/>
  </si>
  <si>
    <t>090-3164-5993</t>
    <phoneticPr fontId="1"/>
  </si>
  <si>
    <t>土山　慶子</t>
    <rPh sb="0" eb="2">
      <t>ツチヤマ</t>
    </rPh>
    <rPh sb="3" eb="5">
      <t>ケイコ</t>
    </rPh>
    <phoneticPr fontId="1"/>
  </si>
  <si>
    <t>宝塚市旭町1-12-1</t>
    <rPh sb="0" eb="3">
      <t>タカラヅカシ</t>
    </rPh>
    <rPh sb="3" eb="4">
      <t>アサヒ</t>
    </rPh>
    <rPh sb="4" eb="5">
      <t>チョウ</t>
    </rPh>
    <phoneticPr fontId="1"/>
  </si>
  <si>
    <t>090-9099-0330</t>
    <phoneticPr fontId="1"/>
  </si>
  <si>
    <t>665-0835</t>
    <phoneticPr fontId="1"/>
  </si>
  <si>
    <t>中村　仁</t>
    <rPh sb="0" eb="2">
      <t>ナカムラ</t>
    </rPh>
    <rPh sb="3" eb="4">
      <t>ヒトシ</t>
    </rPh>
    <phoneticPr fontId="1"/>
  </si>
  <si>
    <t>578-0942</t>
    <phoneticPr fontId="1"/>
  </si>
  <si>
    <t>東大阪市若江本町1-5-25</t>
    <rPh sb="0" eb="4">
      <t>ヒガシオオサカシ</t>
    </rPh>
    <rPh sb="4" eb="6">
      <t>ワカエ</t>
    </rPh>
    <rPh sb="6" eb="8">
      <t>ホンマチ</t>
    </rPh>
    <phoneticPr fontId="1"/>
  </si>
  <si>
    <t>080-4483-8831</t>
    <phoneticPr fontId="1"/>
  </si>
  <si>
    <t>無料クーポン（FINE宮原さんお知り合い）</t>
    <rPh sb="0" eb="2">
      <t>ムリョウ</t>
    </rPh>
    <rPh sb="11" eb="13">
      <t>ミヤハラ</t>
    </rPh>
    <rPh sb="16" eb="17">
      <t>シ</t>
    </rPh>
    <rPh sb="18" eb="19">
      <t>ア</t>
    </rPh>
    <phoneticPr fontId="1"/>
  </si>
  <si>
    <t>西原　伸</t>
    <rPh sb="0" eb="2">
      <t>ニシハラ</t>
    </rPh>
    <rPh sb="3" eb="4">
      <t>ノブ</t>
    </rPh>
    <phoneticPr fontId="1"/>
  </si>
  <si>
    <t>672-8079</t>
    <phoneticPr fontId="1"/>
  </si>
  <si>
    <t>姫路市飾磨区今在家6丁目199-1</t>
    <rPh sb="0" eb="6">
      <t>ヒメジシシカマク</t>
    </rPh>
    <rPh sb="6" eb="9">
      <t>イマザイケ</t>
    </rPh>
    <rPh sb="10" eb="12">
      <t>チョウメ</t>
    </rPh>
    <phoneticPr fontId="1"/>
  </si>
  <si>
    <t>090-3268-2419</t>
    <phoneticPr fontId="1"/>
  </si>
  <si>
    <t>冨田　正行</t>
    <rPh sb="0" eb="2">
      <t>トミタ</t>
    </rPh>
    <rPh sb="3" eb="5">
      <t>マサユキ</t>
    </rPh>
    <phoneticPr fontId="1"/>
  </si>
  <si>
    <t>669-1533</t>
    <phoneticPr fontId="1"/>
  </si>
  <si>
    <t>三田市三田町6-13</t>
    <rPh sb="0" eb="3">
      <t>サンダシ</t>
    </rPh>
    <rPh sb="3" eb="5">
      <t>サンダ</t>
    </rPh>
    <rPh sb="5" eb="6">
      <t>チョウ</t>
    </rPh>
    <phoneticPr fontId="1"/>
  </si>
  <si>
    <t>090-2350-2291</t>
    <phoneticPr fontId="1"/>
  </si>
  <si>
    <t>プロ価格　</t>
    <rPh sb="2" eb="4">
      <t>カカク</t>
    </rPh>
    <phoneticPr fontId="1"/>
  </si>
  <si>
    <t>佐藤　雅彦</t>
    <rPh sb="0" eb="2">
      <t>サトウ</t>
    </rPh>
    <rPh sb="3" eb="5">
      <t>マサヒコ</t>
    </rPh>
    <phoneticPr fontId="1"/>
  </si>
  <si>
    <t>710-0805</t>
    <phoneticPr fontId="1"/>
  </si>
  <si>
    <t>倉敷市片島町1018-6</t>
    <rPh sb="0" eb="3">
      <t>クラシキシ</t>
    </rPh>
    <rPh sb="3" eb="6">
      <t>カタシマチョウ</t>
    </rPh>
    <phoneticPr fontId="1"/>
  </si>
  <si>
    <t>090-3374-5855</t>
    <phoneticPr fontId="1"/>
  </si>
  <si>
    <t>古原　佳代</t>
    <rPh sb="0" eb="2">
      <t>フルハラ</t>
    </rPh>
    <rPh sb="3" eb="5">
      <t>カヨ</t>
    </rPh>
    <phoneticPr fontId="1"/>
  </si>
  <si>
    <t>701-1151</t>
    <phoneticPr fontId="1"/>
  </si>
  <si>
    <t>岡山市北区津高台1丁目2015-11</t>
    <rPh sb="0" eb="3">
      <t>オカヤマシ</t>
    </rPh>
    <rPh sb="3" eb="5">
      <t>キタク</t>
    </rPh>
    <rPh sb="5" eb="8">
      <t>ツタカダイ</t>
    </rPh>
    <rPh sb="9" eb="11">
      <t>チョウメ</t>
    </rPh>
    <phoneticPr fontId="1"/>
  </si>
  <si>
    <t>090-7507-5775</t>
    <phoneticPr fontId="1"/>
  </si>
  <si>
    <t>南谷　洋志</t>
    <rPh sb="0" eb="2">
      <t>ミナミタニ</t>
    </rPh>
    <rPh sb="3" eb="4">
      <t>ヒロシ</t>
    </rPh>
    <rPh sb="4" eb="5">
      <t>シ</t>
    </rPh>
    <phoneticPr fontId="1"/>
  </si>
  <si>
    <t>570-0082</t>
    <phoneticPr fontId="1"/>
  </si>
  <si>
    <t>大阪府守口市豊秀町2-7-4-1107</t>
    <rPh sb="0" eb="3">
      <t>オオサカフ</t>
    </rPh>
    <rPh sb="3" eb="5">
      <t>モリグチ</t>
    </rPh>
    <rPh sb="5" eb="6">
      <t>シ</t>
    </rPh>
    <rPh sb="6" eb="7">
      <t>トヨ</t>
    </rPh>
    <rPh sb="7" eb="8">
      <t>ヒデ</t>
    </rPh>
    <rPh sb="8" eb="9">
      <t>チョウ</t>
    </rPh>
    <phoneticPr fontId="1"/>
  </si>
  <si>
    <t>山本　雄亮</t>
    <rPh sb="0" eb="2">
      <t>ヤマモト</t>
    </rPh>
    <rPh sb="3" eb="4">
      <t>ユウ</t>
    </rPh>
    <rPh sb="4" eb="5">
      <t>リョウ</t>
    </rPh>
    <phoneticPr fontId="1"/>
  </si>
  <si>
    <t>560-0045</t>
    <phoneticPr fontId="1"/>
  </si>
  <si>
    <t>大阪府豊中市刀根山4-4-20-227</t>
    <rPh sb="0" eb="2">
      <t>オオサカ</t>
    </rPh>
    <rPh sb="2" eb="3">
      <t>フ</t>
    </rPh>
    <rPh sb="3" eb="6">
      <t>トヨナカシ</t>
    </rPh>
    <rPh sb="6" eb="9">
      <t>トネヤマ</t>
    </rPh>
    <phoneticPr fontId="1"/>
  </si>
  <si>
    <t>080-5067-0164</t>
    <phoneticPr fontId="1"/>
  </si>
  <si>
    <t>ゴルフランド 濱田様ご紹介</t>
    <rPh sb="7" eb="9">
      <t>ハマダ</t>
    </rPh>
    <rPh sb="9" eb="10">
      <t>サマ</t>
    </rPh>
    <rPh sb="11" eb="13">
      <t>ショウカイ</t>
    </rPh>
    <phoneticPr fontId="1"/>
  </si>
  <si>
    <t>090-4306-7088</t>
    <phoneticPr fontId="1"/>
  </si>
  <si>
    <t>櫻井常務ご紹介　クーポン有　シャフトご購入</t>
    <rPh sb="0" eb="2">
      <t>サクライ</t>
    </rPh>
    <rPh sb="2" eb="4">
      <t>ジョウム</t>
    </rPh>
    <rPh sb="5" eb="7">
      <t>ショウカイ</t>
    </rPh>
    <rPh sb="12" eb="13">
      <t>アリ</t>
    </rPh>
    <rPh sb="19" eb="21">
      <t>コウニュウ</t>
    </rPh>
    <phoneticPr fontId="1"/>
  </si>
  <si>
    <t>高橋　孝輔</t>
    <rPh sb="0" eb="2">
      <t>タカハシ</t>
    </rPh>
    <rPh sb="3" eb="5">
      <t>コウスケ</t>
    </rPh>
    <phoneticPr fontId="1"/>
  </si>
  <si>
    <t>大阪府吹田市山田東3-1-10アドニスセンリ402</t>
    <rPh sb="0" eb="3">
      <t>オオサカフ</t>
    </rPh>
    <rPh sb="3" eb="6">
      <t>スイタシ</t>
    </rPh>
    <rPh sb="6" eb="8">
      <t>ヤマダ</t>
    </rPh>
    <rPh sb="8" eb="9">
      <t>ヒガシ</t>
    </rPh>
    <phoneticPr fontId="1"/>
  </si>
  <si>
    <t>090-1075-3052</t>
    <phoneticPr fontId="1"/>
  </si>
  <si>
    <t>プロ価格</t>
    <rPh sb="2" eb="4">
      <t>カカク</t>
    </rPh>
    <phoneticPr fontId="1"/>
  </si>
  <si>
    <t>鈴木　佑弦</t>
    <rPh sb="0" eb="2">
      <t>スズキ</t>
    </rPh>
    <rPh sb="3" eb="4">
      <t>ユウ</t>
    </rPh>
    <rPh sb="4" eb="5">
      <t>ゲン</t>
    </rPh>
    <phoneticPr fontId="1"/>
  </si>
  <si>
    <t>665-0061</t>
    <phoneticPr fontId="1"/>
  </si>
  <si>
    <t>宝塚市仁川北1丁目4-36-606</t>
    <rPh sb="0" eb="3">
      <t>タカラヅカシ</t>
    </rPh>
    <rPh sb="3" eb="5">
      <t>ニガワ</t>
    </rPh>
    <rPh sb="5" eb="6">
      <t>キタ</t>
    </rPh>
    <rPh sb="7" eb="9">
      <t>チョウメ</t>
    </rPh>
    <phoneticPr fontId="1"/>
  </si>
  <si>
    <t>0798-53-5922</t>
    <phoneticPr fontId="1"/>
  </si>
  <si>
    <t>保護者同伴　クーポン有</t>
    <rPh sb="0" eb="5">
      <t>ホゴシャドウハン</t>
    </rPh>
    <rPh sb="10" eb="11">
      <t>アリ</t>
    </rPh>
    <phoneticPr fontId="1"/>
  </si>
  <si>
    <t>加藤　英章</t>
    <rPh sb="0" eb="2">
      <t>カトウ</t>
    </rPh>
    <rPh sb="3" eb="4">
      <t>ヒデ</t>
    </rPh>
    <rPh sb="4" eb="5">
      <t>ショウ</t>
    </rPh>
    <phoneticPr fontId="1"/>
  </si>
  <si>
    <t>533-0021</t>
    <phoneticPr fontId="1"/>
  </si>
  <si>
    <t>大阪市東淀川区下新庄1-7-12</t>
    <rPh sb="0" eb="3">
      <t>オオサカシ</t>
    </rPh>
    <rPh sb="3" eb="7">
      <t>ヒガシヨドガワク</t>
    </rPh>
    <rPh sb="7" eb="10">
      <t>シタシンジョウ</t>
    </rPh>
    <phoneticPr fontId="1"/>
  </si>
  <si>
    <t>090-8379-1768</t>
    <phoneticPr fontId="1"/>
  </si>
  <si>
    <t>hide4412@gmail.com</t>
    <phoneticPr fontId="1"/>
  </si>
  <si>
    <t>クーポン有</t>
    <rPh sb="4" eb="5">
      <t>アリ</t>
    </rPh>
    <phoneticPr fontId="1"/>
  </si>
  <si>
    <t>田中　善治</t>
    <rPh sb="0" eb="2">
      <t>タナカ</t>
    </rPh>
    <rPh sb="3" eb="5">
      <t>ゼンジ</t>
    </rPh>
    <phoneticPr fontId="1"/>
  </si>
  <si>
    <t>577-0812</t>
    <phoneticPr fontId="1"/>
  </si>
  <si>
    <t>大阪府東上小阪8-20</t>
    <rPh sb="0" eb="3">
      <t>オオサカフ</t>
    </rPh>
    <rPh sb="3" eb="4">
      <t>ヒガシ</t>
    </rPh>
    <rPh sb="4" eb="5">
      <t>カミ</t>
    </rPh>
    <rPh sb="5" eb="7">
      <t>コサカ</t>
    </rPh>
    <phoneticPr fontId="1"/>
  </si>
  <si>
    <t>090-3167-3664</t>
    <phoneticPr fontId="1"/>
  </si>
  <si>
    <t>櫻井常務ご紹介　</t>
    <rPh sb="0" eb="2">
      <t>サクライ</t>
    </rPh>
    <rPh sb="2" eb="4">
      <t>ジョウム</t>
    </rPh>
    <rPh sb="5" eb="7">
      <t>ショウカイ</t>
    </rPh>
    <phoneticPr fontId="1"/>
  </si>
  <si>
    <t>兵庫県宝塚市山本南25-3-201</t>
    <rPh sb="0" eb="3">
      <t>ヒョウゴケン</t>
    </rPh>
    <rPh sb="3" eb="4">
      <t>タカラ</t>
    </rPh>
    <rPh sb="4" eb="5">
      <t>ツカ</t>
    </rPh>
    <rPh sb="5" eb="6">
      <t>シ</t>
    </rPh>
    <rPh sb="6" eb="8">
      <t>ヤマモト</t>
    </rPh>
    <rPh sb="8" eb="9">
      <t>ミナミ</t>
    </rPh>
    <phoneticPr fontId="1"/>
  </si>
  <si>
    <t>090‐2806-0732</t>
    <phoneticPr fontId="1"/>
  </si>
  <si>
    <t>藤田   和貴</t>
    <rPh sb="0" eb="2">
      <t>フジタ</t>
    </rPh>
    <rPh sb="5" eb="7">
      <t>カズタカ</t>
    </rPh>
    <phoneticPr fontId="1"/>
  </si>
  <si>
    <t>山下　英之</t>
    <rPh sb="0" eb="2">
      <t>ヤマシタ</t>
    </rPh>
    <rPh sb="3" eb="5">
      <t>ヒデユキ</t>
    </rPh>
    <phoneticPr fontId="1"/>
  </si>
  <si>
    <t>631-0022</t>
    <phoneticPr fontId="1"/>
  </si>
  <si>
    <t>奈良県奈良市鶴舞西町1-11-302</t>
    <rPh sb="0" eb="3">
      <t>ナラケン</t>
    </rPh>
    <rPh sb="3" eb="6">
      <t>ナラシ</t>
    </rPh>
    <rPh sb="6" eb="7">
      <t>ツル</t>
    </rPh>
    <rPh sb="7" eb="8">
      <t>マイ</t>
    </rPh>
    <rPh sb="8" eb="9">
      <t>ニシ</t>
    </rPh>
    <rPh sb="9" eb="10">
      <t>マチ</t>
    </rPh>
    <phoneticPr fontId="1"/>
  </si>
  <si>
    <t>090-2381-8886</t>
    <phoneticPr fontId="1"/>
  </si>
  <si>
    <t>深田　学</t>
    <rPh sb="0" eb="2">
      <t>フカダ</t>
    </rPh>
    <rPh sb="3" eb="4">
      <t>マナ</t>
    </rPh>
    <phoneticPr fontId="1"/>
  </si>
  <si>
    <t>679-4108</t>
    <phoneticPr fontId="1"/>
  </si>
  <si>
    <t>兵庫県たつの市神岡町大住寺600-2</t>
    <rPh sb="0" eb="3">
      <t>ヒョウゴケン</t>
    </rPh>
    <rPh sb="6" eb="7">
      <t>シ</t>
    </rPh>
    <rPh sb="7" eb="9">
      <t>カミオカ</t>
    </rPh>
    <rPh sb="9" eb="10">
      <t>チョウ</t>
    </rPh>
    <rPh sb="10" eb="13">
      <t>ダイジュウジ</t>
    </rPh>
    <phoneticPr fontId="1"/>
  </si>
  <si>
    <t>080-5364-5824</t>
    <phoneticPr fontId="1"/>
  </si>
  <si>
    <t>永松　義之</t>
    <rPh sb="0" eb="2">
      <t>ナガマツ</t>
    </rPh>
    <rPh sb="3" eb="5">
      <t>ヨシユキ</t>
    </rPh>
    <phoneticPr fontId="1"/>
  </si>
  <si>
    <t>619-0223</t>
    <phoneticPr fontId="1"/>
  </si>
  <si>
    <t>京都府木津川市相楽台6-3-2</t>
    <rPh sb="0" eb="3">
      <t>キョウトフ</t>
    </rPh>
    <rPh sb="3" eb="6">
      <t>キツカワ</t>
    </rPh>
    <rPh sb="6" eb="7">
      <t>シ</t>
    </rPh>
    <rPh sb="7" eb="8">
      <t>アイ</t>
    </rPh>
    <rPh sb="8" eb="9">
      <t>ラク</t>
    </rPh>
    <rPh sb="9" eb="10">
      <t>ダイ</t>
    </rPh>
    <phoneticPr fontId="1"/>
  </si>
  <si>
    <t>090-1583-3141</t>
    <phoneticPr fontId="1"/>
  </si>
  <si>
    <t>社長友人 5000円off</t>
    <rPh sb="0" eb="2">
      <t>シャチョウ</t>
    </rPh>
    <rPh sb="2" eb="4">
      <t>ユウジン</t>
    </rPh>
    <rPh sb="9" eb="10">
      <t>エン</t>
    </rPh>
    <phoneticPr fontId="1"/>
  </si>
  <si>
    <t>中平　純子</t>
    <rPh sb="0" eb="2">
      <t>ナカヒラ</t>
    </rPh>
    <rPh sb="3" eb="5">
      <t>ジュンコ</t>
    </rPh>
    <phoneticPr fontId="1"/>
  </si>
  <si>
    <t>583-0867</t>
    <phoneticPr fontId="1"/>
  </si>
  <si>
    <t>大阪府羽曳野市川原城45-11</t>
    <rPh sb="0" eb="3">
      <t>オオサカフ</t>
    </rPh>
    <rPh sb="3" eb="7">
      <t>ハビキノシ</t>
    </rPh>
    <rPh sb="7" eb="10">
      <t>カワハラジョウ</t>
    </rPh>
    <phoneticPr fontId="1"/>
  </si>
  <si>
    <t>090-1677-5871</t>
    <phoneticPr fontId="1"/>
  </si>
  <si>
    <t>松田　圭伊子</t>
    <rPh sb="0" eb="2">
      <t>マツダ</t>
    </rPh>
    <rPh sb="3" eb="4">
      <t>ケイ</t>
    </rPh>
    <rPh sb="4" eb="5">
      <t>イ</t>
    </rPh>
    <rPh sb="5" eb="6">
      <t>コ</t>
    </rPh>
    <phoneticPr fontId="1"/>
  </si>
  <si>
    <t>635-0076</t>
    <phoneticPr fontId="1"/>
  </si>
  <si>
    <t>奈良県大和高田市大谷536-29</t>
    <rPh sb="0" eb="3">
      <t>ナラケン</t>
    </rPh>
    <rPh sb="3" eb="8">
      <t>ヤマトタカダシ</t>
    </rPh>
    <rPh sb="8" eb="10">
      <t>オオタニ</t>
    </rPh>
    <phoneticPr fontId="1"/>
  </si>
  <si>
    <t>090-1593-7408</t>
    <phoneticPr fontId="1"/>
  </si>
  <si>
    <t>井田　幸代</t>
    <rPh sb="0" eb="2">
      <t>イダ</t>
    </rPh>
    <rPh sb="3" eb="5">
      <t>サチヨ</t>
    </rPh>
    <phoneticPr fontId="1"/>
  </si>
  <si>
    <t>639-0223</t>
    <phoneticPr fontId="1"/>
  </si>
  <si>
    <t>奈良県香芝真美ヶ丘7-14-17</t>
    <rPh sb="0" eb="3">
      <t>ナラケン</t>
    </rPh>
    <rPh sb="3" eb="4">
      <t>カオ</t>
    </rPh>
    <rPh sb="5" eb="7">
      <t>マミ</t>
    </rPh>
    <rPh sb="8" eb="9">
      <t>オカ</t>
    </rPh>
    <phoneticPr fontId="1"/>
  </si>
  <si>
    <t>090-4493-0450</t>
    <phoneticPr fontId="1"/>
  </si>
  <si>
    <t>古川さん友人 5000円off</t>
    <rPh sb="0" eb="2">
      <t>フルカワ</t>
    </rPh>
    <rPh sb="4" eb="6">
      <t>ユウジン</t>
    </rPh>
    <rPh sb="11" eb="12">
      <t>エン</t>
    </rPh>
    <phoneticPr fontId="1"/>
  </si>
  <si>
    <t>尾崎　欣生</t>
    <rPh sb="0" eb="2">
      <t>オザキ</t>
    </rPh>
    <rPh sb="3" eb="4">
      <t>キン</t>
    </rPh>
    <rPh sb="4" eb="5">
      <t>イキル</t>
    </rPh>
    <phoneticPr fontId="1"/>
  </si>
  <si>
    <t>656-0462</t>
    <phoneticPr fontId="1"/>
  </si>
  <si>
    <t>南あわじ市市青木96-1</t>
    <rPh sb="0" eb="1">
      <t>ミナミ</t>
    </rPh>
    <rPh sb="4" eb="5">
      <t>シ</t>
    </rPh>
    <rPh sb="5" eb="6">
      <t>シ</t>
    </rPh>
    <rPh sb="6" eb="8">
      <t>アオキ</t>
    </rPh>
    <phoneticPr fontId="1"/>
  </si>
  <si>
    <t>090-3350-6953</t>
    <phoneticPr fontId="1"/>
  </si>
  <si>
    <t>古川さん友人 5000円off シャフトご購入</t>
    <rPh sb="0" eb="2">
      <t>フルカワ</t>
    </rPh>
    <rPh sb="4" eb="6">
      <t>ユウジン</t>
    </rPh>
    <rPh sb="11" eb="12">
      <t>エン</t>
    </rPh>
    <rPh sb="21" eb="23">
      <t>コウニュウ</t>
    </rPh>
    <phoneticPr fontId="1"/>
  </si>
  <si>
    <t>遠藤　裕介</t>
    <rPh sb="0" eb="2">
      <t>エンドウ</t>
    </rPh>
    <rPh sb="3" eb="5">
      <t>ユウスケ</t>
    </rPh>
    <phoneticPr fontId="1"/>
  </si>
  <si>
    <t>154-0017</t>
    <phoneticPr fontId="1"/>
  </si>
  <si>
    <t>東京都世田谷区世田谷1-26-10-203</t>
    <rPh sb="0" eb="3">
      <t>トウキョウト</t>
    </rPh>
    <rPh sb="3" eb="7">
      <t>セタガヤク</t>
    </rPh>
    <rPh sb="7" eb="10">
      <t>セタガヤ</t>
    </rPh>
    <phoneticPr fontId="1"/>
  </si>
  <si>
    <t>080-1690-1008</t>
    <phoneticPr fontId="1"/>
  </si>
  <si>
    <t>吉田　龍藏</t>
    <rPh sb="0" eb="2">
      <t>ヨシダ</t>
    </rPh>
    <rPh sb="3" eb="4">
      <t>リュウ</t>
    </rPh>
    <rPh sb="4" eb="5">
      <t>クラ</t>
    </rPh>
    <phoneticPr fontId="1"/>
  </si>
  <si>
    <t>090-3494-1446</t>
    <phoneticPr fontId="1"/>
  </si>
  <si>
    <t>坊岡　大輝</t>
    <rPh sb="0" eb="2">
      <t>ボウオカ</t>
    </rPh>
    <rPh sb="3" eb="5">
      <t>タイキ</t>
    </rPh>
    <phoneticPr fontId="1"/>
  </si>
  <si>
    <t>伊丹市荒牧6-17-15-401</t>
    <rPh sb="0" eb="3">
      <t>イタミシ</t>
    </rPh>
    <phoneticPr fontId="1"/>
  </si>
  <si>
    <t>072-714-4640</t>
    <phoneticPr fontId="1"/>
  </si>
  <si>
    <t>会員：大西真由美サマお孫さん</t>
    <rPh sb="0" eb="2">
      <t>カイイン</t>
    </rPh>
    <rPh sb="3" eb="5">
      <t>オオニシ</t>
    </rPh>
    <rPh sb="5" eb="8">
      <t>マユミ</t>
    </rPh>
    <rPh sb="11" eb="12">
      <t>マゴ</t>
    </rPh>
    <phoneticPr fontId="1"/>
  </si>
  <si>
    <t>西元　駿介</t>
    <rPh sb="0" eb="2">
      <t>ニシモト</t>
    </rPh>
    <rPh sb="3" eb="4">
      <t>シュン</t>
    </rPh>
    <rPh sb="4" eb="5">
      <t>スケ</t>
    </rPh>
    <phoneticPr fontId="1"/>
  </si>
  <si>
    <t>大阪府大阪市中央区本町橋2-23-308</t>
    <rPh sb="0" eb="3">
      <t>オオサカフ</t>
    </rPh>
    <rPh sb="3" eb="6">
      <t>オオサカシ</t>
    </rPh>
    <rPh sb="6" eb="9">
      <t>チュウオウク</t>
    </rPh>
    <rPh sb="9" eb="11">
      <t>ホンマチ</t>
    </rPh>
    <rPh sb="11" eb="12">
      <t>ハシ</t>
    </rPh>
    <phoneticPr fontId="1"/>
  </si>
  <si>
    <t>540-0029</t>
    <phoneticPr fontId="1"/>
  </si>
  <si>
    <t>06-6948-6368</t>
    <phoneticPr fontId="1"/>
  </si>
  <si>
    <t>加藤　靖</t>
    <rPh sb="0" eb="2">
      <t>カトウ</t>
    </rPh>
    <rPh sb="3" eb="4">
      <t>セイ</t>
    </rPh>
    <phoneticPr fontId="1"/>
  </si>
  <si>
    <t>590-0452</t>
    <phoneticPr fontId="1"/>
  </si>
  <si>
    <t>大阪府泉南郡熊取町山の手台2-4-11</t>
    <rPh sb="0" eb="3">
      <t>オオサカフ</t>
    </rPh>
    <phoneticPr fontId="1"/>
  </si>
  <si>
    <t>090-7965-2146</t>
    <phoneticPr fontId="1"/>
  </si>
  <si>
    <t>ゴルフランド濱田さんの紹介</t>
    <rPh sb="6" eb="8">
      <t>ハマダ</t>
    </rPh>
    <rPh sb="11" eb="13">
      <t>ショウカイ</t>
    </rPh>
    <phoneticPr fontId="1"/>
  </si>
  <si>
    <t>090-9876-6337</t>
    <phoneticPr fontId="1"/>
  </si>
  <si>
    <t>加藤　楓依</t>
    <rPh sb="0" eb="2">
      <t>カトウ</t>
    </rPh>
    <rPh sb="3" eb="4">
      <t>カエデ</t>
    </rPh>
    <rPh sb="4" eb="5">
      <t>イ</t>
    </rPh>
    <phoneticPr fontId="1"/>
  </si>
  <si>
    <t>kaikato7000@i.softbank.jp</t>
    <phoneticPr fontId="1"/>
  </si>
  <si>
    <t>チラシクーポン利用　5000円off</t>
    <rPh sb="7" eb="9">
      <t>リヨウ</t>
    </rPh>
    <rPh sb="14" eb="15">
      <t>エン</t>
    </rPh>
    <phoneticPr fontId="1"/>
  </si>
  <si>
    <t>再来店（前回10/12）</t>
    <rPh sb="0" eb="3">
      <t>サイライテン</t>
    </rPh>
    <rPh sb="4" eb="6">
      <t>ゼンカイ</t>
    </rPh>
    <phoneticPr fontId="1"/>
  </si>
  <si>
    <t>大智　靖志</t>
    <rPh sb="0" eb="1">
      <t>ダイ</t>
    </rPh>
    <rPh sb="1" eb="2">
      <t>サト</t>
    </rPh>
    <rPh sb="3" eb="5">
      <t>ヤスシ</t>
    </rPh>
    <phoneticPr fontId="1"/>
  </si>
  <si>
    <t>宝塚市雲雀丘1丁目9-32</t>
    <rPh sb="0" eb="3">
      <t>タカラヅカシ</t>
    </rPh>
    <rPh sb="3" eb="5">
      <t>ヒバリ</t>
    </rPh>
    <rPh sb="5" eb="6">
      <t>オカ</t>
    </rPh>
    <rPh sb="7" eb="9">
      <t>チョウメ</t>
    </rPh>
    <phoneticPr fontId="1"/>
  </si>
  <si>
    <t>090-9711-4929</t>
    <phoneticPr fontId="1"/>
  </si>
  <si>
    <t>池田　勇樹</t>
    <rPh sb="0" eb="2">
      <t>イケダ</t>
    </rPh>
    <rPh sb="3" eb="5">
      <t>ユウキ</t>
    </rPh>
    <phoneticPr fontId="1"/>
  </si>
  <si>
    <t>591-8013</t>
    <phoneticPr fontId="1"/>
  </si>
  <si>
    <t>堺市北区野遠町297-3</t>
    <rPh sb="0" eb="4">
      <t>サカイシキタク</t>
    </rPh>
    <rPh sb="4" eb="5">
      <t>ノ</t>
    </rPh>
    <rPh sb="5" eb="6">
      <t>オン</t>
    </rPh>
    <rPh sb="6" eb="7">
      <t>チョウ</t>
    </rPh>
    <phoneticPr fontId="1"/>
  </si>
  <si>
    <t>090-4030-5884</t>
    <phoneticPr fontId="1"/>
  </si>
  <si>
    <t>土山　勝史</t>
    <rPh sb="0" eb="2">
      <t>ツチヤマ</t>
    </rPh>
    <rPh sb="3" eb="4">
      <t>マサル</t>
    </rPh>
    <rPh sb="4" eb="5">
      <t>シ</t>
    </rPh>
    <phoneticPr fontId="1"/>
  </si>
  <si>
    <t>090-9610-1996</t>
    <phoneticPr fontId="1"/>
  </si>
  <si>
    <t>岡村　裕文</t>
    <rPh sb="0" eb="2">
      <t>オカムラ</t>
    </rPh>
    <rPh sb="3" eb="5">
      <t>ヒロフミ</t>
    </rPh>
    <phoneticPr fontId="1"/>
  </si>
  <si>
    <t>岡村　彰乃</t>
    <rPh sb="0" eb="2">
      <t>オカムラ</t>
    </rPh>
    <rPh sb="3" eb="4">
      <t>アキ</t>
    </rPh>
    <rPh sb="4" eb="5">
      <t>ノ</t>
    </rPh>
    <phoneticPr fontId="1"/>
  </si>
  <si>
    <t>666-0122</t>
    <phoneticPr fontId="1"/>
  </si>
  <si>
    <t>兵庫県川西市東多田3-11-4 105</t>
    <rPh sb="0" eb="3">
      <t>ヒョウゴケン</t>
    </rPh>
    <rPh sb="3" eb="6">
      <t>カワニシシ</t>
    </rPh>
    <rPh sb="6" eb="7">
      <t>ヒガシ</t>
    </rPh>
    <rPh sb="7" eb="9">
      <t>タダ</t>
    </rPh>
    <phoneticPr fontId="1"/>
  </si>
  <si>
    <t>070-2293-8289</t>
    <phoneticPr fontId="1"/>
  </si>
  <si>
    <t>080-4567-2943</t>
    <phoneticPr fontId="1"/>
  </si>
  <si>
    <t>大阪府東大阪市小若江3-9-15-202</t>
    <rPh sb="0" eb="3">
      <t>オオサカフ</t>
    </rPh>
    <rPh sb="3" eb="4">
      <t>ヒガシ</t>
    </rPh>
    <rPh sb="4" eb="7">
      <t>オオサカシ</t>
    </rPh>
    <rPh sb="7" eb="10">
      <t>コワカエ</t>
    </rPh>
    <phoneticPr fontId="1"/>
  </si>
  <si>
    <t>前回10/18ＤＲﾌｨｯﾃｨﾝｸﾞ＆ご購入済</t>
    <rPh sb="0" eb="2">
      <t>ゼンカイ</t>
    </rPh>
    <rPh sb="19" eb="21">
      <t>コウニュウ</t>
    </rPh>
    <rPh sb="21" eb="22">
      <t>ズ</t>
    </rPh>
    <phoneticPr fontId="1"/>
  </si>
  <si>
    <t>澤口　貴一</t>
    <rPh sb="0" eb="2">
      <t>サワグチ</t>
    </rPh>
    <rPh sb="3" eb="5">
      <t>タカイチ</t>
    </rPh>
    <phoneticPr fontId="1"/>
  </si>
  <si>
    <t>565-0851</t>
    <phoneticPr fontId="1"/>
  </si>
  <si>
    <t>吹田市千里山西6-10-28</t>
    <rPh sb="0" eb="7">
      <t>スイタシセンリヤマニシ</t>
    </rPh>
    <phoneticPr fontId="1"/>
  </si>
  <si>
    <t>090-7967-4152</t>
    <phoneticPr fontId="1"/>
  </si>
  <si>
    <t>090-3191-7943</t>
    <phoneticPr fontId="1"/>
  </si>
  <si>
    <t>松田　義文</t>
    <rPh sb="0" eb="2">
      <t>マツダ</t>
    </rPh>
    <rPh sb="3" eb="5">
      <t>ヨシフミ</t>
    </rPh>
    <phoneticPr fontId="1"/>
  </si>
  <si>
    <t>564-0072</t>
    <phoneticPr fontId="1"/>
  </si>
  <si>
    <t>吹田市出口町21-15-1215</t>
    <rPh sb="0" eb="3">
      <t>スイタシ</t>
    </rPh>
    <rPh sb="3" eb="5">
      <t>デグチ</t>
    </rPh>
    <rPh sb="5" eb="6">
      <t>チョウ</t>
    </rPh>
    <phoneticPr fontId="1"/>
  </si>
  <si>
    <t>y.matsuda19631211@docomo.ne.jp</t>
    <phoneticPr fontId="1"/>
  </si>
  <si>
    <t>t-sawa-1234@ezweb.ne.jp</t>
    <phoneticPr fontId="1"/>
  </si>
  <si>
    <t>片島　誠慈</t>
    <rPh sb="0" eb="2">
      <t>カタシマ</t>
    </rPh>
    <rPh sb="3" eb="4">
      <t>マコト</t>
    </rPh>
    <rPh sb="4" eb="5">
      <t>ジ</t>
    </rPh>
    <phoneticPr fontId="1"/>
  </si>
  <si>
    <t>665-0846</t>
    <phoneticPr fontId="1"/>
  </si>
  <si>
    <t>宝塚市桜ヶ丘10-19</t>
    <rPh sb="0" eb="3">
      <t>タカラヅカシ</t>
    </rPh>
    <rPh sb="3" eb="6">
      <t>サクラガオカ</t>
    </rPh>
    <phoneticPr fontId="1"/>
  </si>
  <si>
    <t>090-5157-6104</t>
    <phoneticPr fontId="1"/>
  </si>
  <si>
    <t>小林　正敬</t>
    <rPh sb="0" eb="2">
      <t>コバヤシ</t>
    </rPh>
    <rPh sb="3" eb="4">
      <t>セイ</t>
    </rPh>
    <rPh sb="4" eb="5">
      <t>ケイ</t>
    </rPh>
    <phoneticPr fontId="1"/>
  </si>
  <si>
    <t>662-0067</t>
    <phoneticPr fontId="1"/>
  </si>
  <si>
    <t>西宮市深谷町11-6</t>
    <rPh sb="0" eb="3">
      <t>ニシノミヤシ</t>
    </rPh>
    <rPh sb="3" eb="6">
      <t>フカヤチョウ</t>
    </rPh>
    <phoneticPr fontId="1"/>
  </si>
  <si>
    <t>080-1900-6692</t>
    <phoneticPr fontId="1"/>
  </si>
  <si>
    <t>5/6　来店歴あり　2回目</t>
    <rPh sb="4" eb="6">
      <t>ライテン</t>
    </rPh>
    <rPh sb="6" eb="7">
      <t>レキ</t>
    </rPh>
    <rPh sb="11" eb="13">
      <t>カイメ</t>
    </rPh>
    <phoneticPr fontId="1"/>
  </si>
  <si>
    <t>北畠　隆博</t>
    <rPh sb="0" eb="2">
      <t>キタハタ</t>
    </rPh>
    <rPh sb="3" eb="4">
      <t>タカシ</t>
    </rPh>
    <rPh sb="4" eb="5">
      <t>ヒロシ</t>
    </rPh>
    <phoneticPr fontId="1"/>
  </si>
  <si>
    <t>665-0861</t>
    <phoneticPr fontId="1"/>
  </si>
  <si>
    <t>宝塚市中山寺1-15-8</t>
    <rPh sb="0" eb="3">
      <t>タカラヅカシ</t>
    </rPh>
    <rPh sb="3" eb="5">
      <t>ナカヤマ</t>
    </rPh>
    <rPh sb="5" eb="6">
      <t>デラ</t>
    </rPh>
    <phoneticPr fontId="1"/>
  </si>
  <si>
    <t>t.kitabatake@gaia.eonet.ne.jp</t>
    <phoneticPr fontId="1"/>
  </si>
  <si>
    <t>090-3067-3437</t>
    <phoneticPr fontId="1"/>
  </si>
  <si>
    <t>無料クーポンご利用</t>
    <rPh sb="0" eb="2">
      <t>ムリョウ</t>
    </rPh>
    <rPh sb="7" eb="9">
      <t>リヨウ</t>
    </rPh>
    <phoneticPr fontId="1"/>
  </si>
  <si>
    <t>会員の山下健介様ご紹介にて入会（1/4）　</t>
    <rPh sb="0" eb="2">
      <t>カイイン</t>
    </rPh>
    <rPh sb="3" eb="8">
      <t>ヤマシタケンスケサマ</t>
    </rPh>
    <rPh sb="9" eb="11">
      <t>ショウカイ</t>
    </rPh>
    <rPh sb="13" eb="15">
      <t>ニュウカイ</t>
    </rPh>
    <phoneticPr fontId="1"/>
  </si>
  <si>
    <t>吉田　龍蔵</t>
    <rPh sb="0" eb="2">
      <t>ヨシダ</t>
    </rPh>
    <rPh sb="3" eb="4">
      <t>リュウ</t>
    </rPh>
    <rPh sb="4" eb="5">
      <t>ゾウ</t>
    </rPh>
    <phoneticPr fontId="1"/>
  </si>
  <si>
    <t>12/8　来店歴あり　2回目</t>
    <rPh sb="5" eb="7">
      <t>ライテン</t>
    </rPh>
    <rPh sb="7" eb="8">
      <t>レキ</t>
    </rPh>
    <rPh sb="12" eb="14">
      <t>カイメ</t>
    </rPh>
    <phoneticPr fontId="1"/>
  </si>
  <si>
    <t>能美　陽子</t>
    <rPh sb="0" eb="2">
      <t>ノウミ</t>
    </rPh>
    <rPh sb="3" eb="5">
      <t>ヨウコ</t>
    </rPh>
    <phoneticPr fontId="1"/>
  </si>
  <si>
    <t>木村　勇太</t>
    <rPh sb="0" eb="2">
      <t>キムラ</t>
    </rPh>
    <rPh sb="3" eb="5">
      <t>ユウタ</t>
    </rPh>
    <phoneticPr fontId="1"/>
  </si>
  <si>
    <t>宝塚市山手台東5丁目11-7</t>
    <rPh sb="0" eb="3">
      <t>タカラヅカシ</t>
    </rPh>
    <rPh sb="3" eb="5">
      <t>ヤマテ</t>
    </rPh>
    <rPh sb="5" eb="6">
      <t>ダイ</t>
    </rPh>
    <rPh sb="6" eb="7">
      <t>ヒガシ</t>
    </rPh>
    <rPh sb="8" eb="10">
      <t>チョウメ</t>
    </rPh>
    <phoneticPr fontId="1"/>
  </si>
  <si>
    <t>santacruz0220@gmail.com</t>
    <phoneticPr fontId="1"/>
  </si>
  <si>
    <t>exe.co.kimura@gmail.com</t>
    <phoneticPr fontId="1"/>
  </si>
  <si>
    <t>090-5360-7521</t>
    <phoneticPr fontId="1"/>
  </si>
  <si>
    <t>090-4397-7691</t>
    <phoneticPr fontId="1"/>
  </si>
  <si>
    <t>住所不明</t>
    <rPh sb="0" eb="4">
      <t>ジュウショフメイ</t>
    </rPh>
    <phoneticPr fontId="1"/>
  </si>
  <si>
    <t>←松本隆司様にＤＭ送付した際戻ってきたので…</t>
    <rPh sb="1" eb="3">
      <t>マツモト</t>
    </rPh>
    <rPh sb="3" eb="4">
      <t>タカシ</t>
    </rPh>
    <rPh sb="4" eb="5">
      <t>ツカサ</t>
    </rPh>
    <rPh sb="5" eb="6">
      <t>サマ</t>
    </rPh>
    <rPh sb="9" eb="11">
      <t>ソウフ</t>
    </rPh>
    <rPh sb="13" eb="14">
      <t>サイ</t>
    </rPh>
    <rPh sb="14" eb="15">
      <t>モド</t>
    </rPh>
    <phoneticPr fontId="1"/>
  </si>
  <si>
    <t>井殿さん知り合い</t>
    <rPh sb="0" eb="2">
      <t>イドノ</t>
    </rPh>
    <rPh sb="4" eb="5">
      <t>シ</t>
    </rPh>
    <rPh sb="6" eb="7">
      <t>ア</t>
    </rPh>
    <phoneticPr fontId="1"/>
  </si>
  <si>
    <t>試打3本、アンケート、12/28ﾌｨｯﾃｨﾝｸﾞ来店</t>
    <rPh sb="0" eb="2">
      <t>シダ</t>
    </rPh>
    <rPh sb="3" eb="4">
      <t>ボン</t>
    </rPh>
    <rPh sb="24" eb="26">
      <t>ライテン</t>
    </rPh>
    <phoneticPr fontId="1"/>
  </si>
  <si>
    <t>内藤　建志</t>
    <rPh sb="0" eb="2">
      <t>ナイトウ</t>
    </rPh>
    <rPh sb="3" eb="5">
      <t>ケンジ</t>
    </rPh>
    <phoneticPr fontId="1"/>
  </si>
  <si>
    <t>563-0025</t>
    <phoneticPr fontId="1"/>
  </si>
  <si>
    <t>池田市城南3-9-9</t>
    <rPh sb="0" eb="3">
      <t>イケダシ</t>
    </rPh>
    <rPh sb="3" eb="5">
      <t>ジョウナン</t>
    </rPh>
    <phoneticPr fontId="1"/>
  </si>
  <si>
    <t>t.nitou1975@gmail.com</t>
    <phoneticPr fontId="1"/>
  </si>
  <si>
    <t>072-750-3728</t>
    <phoneticPr fontId="1"/>
  </si>
  <si>
    <t>宮脇　一成</t>
    <rPh sb="0" eb="2">
      <t>ミヤワキ</t>
    </rPh>
    <rPh sb="3" eb="5">
      <t>カズナリ</t>
    </rPh>
    <phoneticPr fontId="1"/>
  </si>
  <si>
    <t>270-1132</t>
    <phoneticPr fontId="1"/>
  </si>
  <si>
    <t>千葉県我孫子市湖北台7-2-19-510</t>
    <rPh sb="0" eb="3">
      <t>チバケン</t>
    </rPh>
    <rPh sb="3" eb="4">
      <t>ガ</t>
    </rPh>
    <rPh sb="4" eb="5">
      <t>ソン</t>
    </rPh>
    <rPh sb="5" eb="6">
      <t>コ</t>
    </rPh>
    <rPh sb="6" eb="7">
      <t>シ</t>
    </rPh>
    <rPh sb="7" eb="8">
      <t>ミズウミ</t>
    </rPh>
    <rPh sb="8" eb="9">
      <t>キタ</t>
    </rPh>
    <rPh sb="9" eb="10">
      <t>ダイ</t>
    </rPh>
    <phoneticPr fontId="1"/>
  </si>
  <si>
    <t>090-8661-8913</t>
    <phoneticPr fontId="1"/>
  </si>
  <si>
    <t>田中　実</t>
    <rPh sb="0" eb="2">
      <t>タナカ</t>
    </rPh>
    <rPh sb="3" eb="4">
      <t>ミノル</t>
    </rPh>
    <phoneticPr fontId="1"/>
  </si>
  <si>
    <t>558-0055</t>
    <phoneticPr fontId="1"/>
  </si>
  <si>
    <t>大阪府大阪市住吉区万代3-1-21</t>
    <rPh sb="0" eb="6">
      <t>オオサカフオオサカシ</t>
    </rPh>
    <rPh sb="6" eb="8">
      <t>スミヨシ</t>
    </rPh>
    <rPh sb="8" eb="9">
      <t>ク</t>
    </rPh>
    <rPh sb="9" eb="11">
      <t>マンダイ</t>
    </rPh>
    <phoneticPr fontId="1"/>
  </si>
  <si>
    <t>090-1445-0918</t>
    <phoneticPr fontId="1"/>
  </si>
  <si>
    <t>会社関係者の方　¥0で対応</t>
    <rPh sb="0" eb="2">
      <t>カイシャ</t>
    </rPh>
    <rPh sb="2" eb="5">
      <t>カンケイシャ</t>
    </rPh>
    <rPh sb="6" eb="7">
      <t>カタ</t>
    </rPh>
    <rPh sb="11" eb="13">
      <t>タイオウ</t>
    </rPh>
    <phoneticPr fontId="1"/>
  </si>
  <si>
    <t>5/13　体験来店歴あり　シャフトご購入</t>
    <rPh sb="5" eb="7">
      <t>タイケン</t>
    </rPh>
    <rPh sb="7" eb="9">
      <t>ライテン</t>
    </rPh>
    <rPh sb="9" eb="10">
      <t>レキ</t>
    </rPh>
    <rPh sb="18" eb="20">
      <t>コウニュウ</t>
    </rPh>
    <phoneticPr fontId="1"/>
  </si>
  <si>
    <t>濱田　善幸</t>
    <rPh sb="0" eb="2">
      <t>ハマダ</t>
    </rPh>
    <rPh sb="3" eb="5">
      <t>ヨシユキ</t>
    </rPh>
    <phoneticPr fontId="1"/>
  </si>
  <si>
    <t>宝塚市安倉中5-20-8</t>
    <rPh sb="0" eb="2">
      <t>タカラヅカ</t>
    </rPh>
    <rPh sb="2" eb="3">
      <t>シ</t>
    </rPh>
    <rPh sb="3" eb="6">
      <t>アクラナカ</t>
    </rPh>
    <phoneticPr fontId="1"/>
  </si>
  <si>
    <t>090-3999-5120</t>
    <phoneticPr fontId="1"/>
  </si>
  <si>
    <t>中西逸人様のご紹介</t>
    <rPh sb="0" eb="4">
      <t>ナカニシハヤト</t>
    </rPh>
    <rPh sb="4" eb="5">
      <t>サマ</t>
    </rPh>
    <rPh sb="7" eb="9">
      <t>ショウカイ</t>
    </rPh>
    <phoneticPr fontId="1"/>
  </si>
  <si>
    <t>石田　肇</t>
    <rPh sb="0" eb="2">
      <t>イシダ</t>
    </rPh>
    <rPh sb="3" eb="4">
      <t>ハジメ</t>
    </rPh>
    <phoneticPr fontId="1"/>
  </si>
  <si>
    <t>石田　勇也</t>
    <rPh sb="0" eb="2">
      <t>イシダ</t>
    </rPh>
    <rPh sb="3" eb="5">
      <t>ユウヤ</t>
    </rPh>
    <phoneticPr fontId="1"/>
  </si>
  <si>
    <t>665-0813</t>
    <phoneticPr fontId="1"/>
  </si>
  <si>
    <t>宝塚市口谷西3-63-3</t>
    <rPh sb="0" eb="3">
      <t>タカラヅカシ</t>
    </rPh>
    <rPh sb="3" eb="4">
      <t>クチ</t>
    </rPh>
    <rPh sb="4" eb="5">
      <t>タニ</t>
    </rPh>
    <rPh sb="5" eb="6">
      <t>ニシ</t>
    </rPh>
    <phoneticPr fontId="1"/>
  </si>
  <si>
    <t>宝塚市山本中2-12-2-13</t>
    <rPh sb="0" eb="2">
      <t>タカラヅカ</t>
    </rPh>
    <rPh sb="2" eb="3">
      <t>シ</t>
    </rPh>
    <rPh sb="3" eb="5">
      <t>ヤマモト</t>
    </rPh>
    <rPh sb="5" eb="6">
      <t>ナカ</t>
    </rPh>
    <phoneticPr fontId="1"/>
  </si>
  <si>
    <t>090-3673-3225</t>
    <phoneticPr fontId="1"/>
  </si>
  <si>
    <t>090-2354-2726</t>
    <phoneticPr fontId="1"/>
  </si>
  <si>
    <t>伊藤　慶彦</t>
    <rPh sb="0" eb="2">
      <t>イトウ</t>
    </rPh>
    <rPh sb="3" eb="4">
      <t>ケイ</t>
    </rPh>
    <rPh sb="4" eb="5">
      <t>ビコ</t>
    </rPh>
    <phoneticPr fontId="1"/>
  </si>
  <si>
    <t>大阪市福島区福島3-1-65-1505</t>
    <rPh sb="0" eb="3">
      <t>オオサカシ</t>
    </rPh>
    <rPh sb="3" eb="6">
      <t>フクシマク</t>
    </rPh>
    <rPh sb="6" eb="8">
      <t>フクシマ</t>
    </rPh>
    <phoneticPr fontId="1"/>
  </si>
  <si>
    <t>oaksdram66@i.softbank.jp</t>
    <phoneticPr fontId="1"/>
  </si>
  <si>
    <t>080-4026-9979</t>
    <phoneticPr fontId="1"/>
  </si>
  <si>
    <t>山本　啓介</t>
    <rPh sb="0" eb="2">
      <t>ヤマモト</t>
    </rPh>
    <rPh sb="3" eb="5">
      <t>ケイスケ</t>
    </rPh>
    <phoneticPr fontId="1"/>
  </si>
  <si>
    <t>川西市小戸1-10-11-1</t>
    <rPh sb="0" eb="3">
      <t>カワニシシ</t>
    </rPh>
    <rPh sb="3" eb="4">
      <t>ショウ</t>
    </rPh>
    <rPh sb="4" eb="5">
      <t>ト</t>
    </rPh>
    <phoneticPr fontId="1"/>
  </si>
  <si>
    <t>ymt-k@nitty.com</t>
    <phoneticPr fontId="1"/>
  </si>
  <si>
    <t>080-1482-0011</t>
    <phoneticPr fontId="1"/>
  </si>
  <si>
    <t>松原　果音</t>
    <rPh sb="0" eb="2">
      <t>マツバラ</t>
    </rPh>
    <rPh sb="3" eb="5">
      <t>カノン</t>
    </rPh>
    <phoneticPr fontId="1"/>
  </si>
  <si>
    <t>537-0003</t>
    <phoneticPr fontId="1"/>
  </si>
  <si>
    <t>大阪府大阪市東成区神路2-5-18</t>
    <rPh sb="0" eb="3">
      <t>オオサカフ</t>
    </rPh>
    <rPh sb="3" eb="6">
      <t>オオサカシ</t>
    </rPh>
    <rPh sb="6" eb="9">
      <t>ヒガシナリク</t>
    </rPh>
    <rPh sb="9" eb="10">
      <t>カミ</t>
    </rPh>
    <rPh sb="10" eb="11">
      <t>ジ</t>
    </rPh>
    <phoneticPr fontId="3"/>
  </si>
  <si>
    <t>kanon.m.no.1@docomo.ne.jp</t>
    <phoneticPr fontId="1"/>
  </si>
  <si>
    <t>090-6979-1834</t>
    <phoneticPr fontId="1"/>
  </si>
  <si>
    <t>072-757-0902</t>
    <phoneticPr fontId="1"/>
  </si>
  <si>
    <t>谷本　美紀子</t>
    <rPh sb="0" eb="2">
      <t>タニモト</t>
    </rPh>
    <rPh sb="3" eb="6">
      <t>ミキコ</t>
    </rPh>
    <phoneticPr fontId="1"/>
  </si>
  <si>
    <t>547-0012</t>
    <phoneticPr fontId="1"/>
  </si>
  <si>
    <t>大阪府大阪市平野区長吉六反4-4-33</t>
    <rPh sb="0" eb="3">
      <t>オオサカフ</t>
    </rPh>
    <rPh sb="3" eb="6">
      <t>オオサカシ</t>
    </rPh>
    <rPh sb="6" eb="9">
      <t>ヒラノク</t>
    </rPh>
    <rPh sb="9" eb="11">
      <t>ナガヨシ</t>
    </rPh>
    <rPh sb="11" eb="12">
      <t>ロク</t>
    </rPh>
    <rPh sb="12" eb="13">
      <t>ハン</t>
    </rPh>
    <phoneticPr fontId="1"/>
  </si>
  <si>
    <t>06-6708-2937</t>
    <phoneticPr fontId="1"/>
  </si>
  <si>
    <t>5000円off券利用</t>
    <rPh sb="4" eb="5">
      <t>エン</t>
    </rPh>
    <rPh sb="8" eb="9">
      <t>ケン</t>
    </rPh>
    <rPh sb="9" eb="11">
      <t>リヨウ</t>
    </rPh>
    <phoneticPr fontId="1"/>
  </si>
  <si>
    <t>3回目ご利用</t>
    <rPh sb="1" eb="3">
      <t>カイメ</t>
    </rPh>
    <rPh sb="4" eb="6">
      <t>リヨウ</t>
    </rPh>
    <phoneticPr fontId="1"/>
  </si>
  <si>
    <t>Kuo Chieh Lun</t>
    <phoneticPr fontId="1"/>
  </si>
  <si>
    <t>台湾　新竹県竹北市復興一街63号</t>
    <rPh sb="0" eb="2">
      <t>タイワン</t>
    </rPh>
    <rPh sb="3" eb="5">
      <t>シンタケ</t>
    </rPh>
    <rPh sb="5" eb="6">
      <t>ケン</t>
    </rPh>
    <rPh sb="6" eb="7">
      <t>タケ</t>
    </rPh>
    <rPh sb="7" eb="8">
      <t>キタ</t>
    </rPh>
    <rPh sb="8" eb="9">
      <t>シ</t>
    </rPh>
    <rPh sb="9" eb="11">
      <t>フッコウ</t>
    </rPh>
    <rPh sb="11" eb="12">
      <t>イチ</t>
    </rPh>
    <rPh sb="12" eb="13">
      <t>マチ</t>
    </rPh>
    <rPh sb="15" eb="16">
      <t>ゴウ</t>
    </rPh>
    <phoneticPr fontId="1"/>
  </si>
  <si>
    <t>0975-557-966</t>
    <phoneticPr fontId="1"/>
  </si>
  <si>
    <t>tina20031121@yahoo.com.tw</t>
    <phoneticPr fontId="1"/>
  </si>
  <si>
    <t>郵便番号302</t>
    <rPh sb="0" eb="2">
      <t>ユウビン</t>
    </rPh>
    <rPh sb="2" eb="4">
      <t>バンゴウ</t>
    </rPh>
    <phoneticPr fontId="1"/>
  </si>
  <si>
    <t>ALAN</t>
    <phoneticPr fontId="1"/>
  </si>
  <si>
    <t>辻　朋子</t>
    <rPh sb="0" eb="1">
      <t>ツジ</t>
    </rPh>
    <rPh sb="2" eb="4">
      <t>トモコ</t>
    </rPh>
    <phoneticPr fontId="1"/>
  </si>
  <si>
    <t>宝塚市中筋山手7-18-6</t>
    <rPh sb="0" eb="3">
      <t>タカラヅカシ</t>
    </rPh>
    <rPh sb="3" eb="5">
      <t>ナカスジ</t>
    </rPh>
    <rPh sb="5" eb="7">
      <t>ヤマテ</t>
    </rPh>
    <phoneticPr fontId="1"/>
  </si>
  <si>
    <t>090-1443-4386</t>
    <phoneticPr fontId="1"/>
  </si>
  <si>
    <t>4回目利用</t>
    <rPh sb="1" eb="3">
      <t>カイメ</t>
    </rPh>
    <rPh sb="3" eb="5">
      <t>リヨウ</t>
    </rPh>
    <phoneticPr fontId="1"/>
  </si>
  <si>
    <t>大西　恒樹</t>
    <rPh sb="0" eb="2">
      <t>オオニシ</t>
    </rPh>
    <rPh sb="3" eb="4">
      <t>ヒサシ</t>
    </rPh>
    <rPh sb="4" eb="5">
      <t>キ</t>
    </rPh>
    <phoneticPr fontId="1"/>
  </si>
  <si>
    <t>横浜市青葉区あざみ野南2-6-16</t>
    <rPh sb="0" eb="3">
      <t>ヨコハマシ</t>
    </rPh>
    <rPh sb="3" eb="6">
      <t>アオバク</t>
    </rPh>
    <rPh sb="10" eb="11">
      <t>ミナミ</t>
    </rPh>
    <phoneticPr fontId="1"/>
  </si>
  <si>
    <t>225-0012</t>
    <phoneticPr fontId="1"/>
  </si>
  <si>
    <t>090-2484-1625</t>
    <phoneticPr fontId="1"/>
  </si>
  <si>
    <t>参議院　政治家</t>
    <rPh sb="0" eb="3">
      <t>サンギイン</t>
    </rPh>
    <rPh sb="4" eb="7">
      <t>セイジカ</t>
    </rPh>
    <phoneticPr fontId="1"/>
  </si>
  <si>
    <t>桑田　恵志</t>
    <rPh sb="0" eb="2">
      <t>クワタ</t>
    </rPh>
    <rPh sb="3" eb="4">
      <t>ケイ</t>
    </rPh>
    <rPh sb="4" eb="5">
      <t>ココロザシ</t>
    </rPh>
    <phoneticPr fontId="1"/>
  </si>
  <si>
    <t>奈良県生駒市辻町399-36　14-202</t>
    <rPh sb="0" eb="3">
      <t>ナラケン</t>
    </rPh>
    <rPh sb="3" eb="6">
      <t>イコマシ</t>
    </rPh>
    <rPh sb="6" eb="8">
      <t>ツジマチ</t>
    </rPh>
    <phoneticPr fontId="1"/>
  </si>
  <si>
    <t>080-1436-4592</t>
    <phoneticPr fontId="1"/>
  </si>
  <si>
    <t>脇田　政幸</t>
    <rPh sb="0" eb="2">
      <t>ワキタ</t>
    </rPh>
    <rPh sb="3" eb="4">
      <t>セイ</t>
    </rPh>
    <rPh sb="4" eb="5">
      <t>ユキ</t>
    </rPh>
    <phoneticPr fontId="1"/>
  </si>
  <si>
    <t>大阪府枚方市香里園桜木町34-40</t>
    <rPh sb="0" eb="6">
      <t>オオサカフヒラカタシ</t>
    </rPh>
    <phoneticPr fontId="1"/>
  </si>
  <si>
    <t>080-5302-1665</t>
    <phoneticPr fontId="1"/>
  </si>
  <si>
    <t>林　信彦</t>
    <rPh sb="0" eb="1">
      <t>ハヤシ</t>
    </rPh>
    <rPh sb="2" eb="4">
      <t>ノブヒコ</t>
    </rPh>
    <phoneticPr fontId="1"/>
  </si>
  <si>
    <t>578-0973</t>
    <phoneticPr fontId="1"/>
  </si>
  <si>
    <t>東大阪市東鴻池町4-2-22</t>
    <rPh sb="0" eb="3">
      <t>ヒガシオオサカ</t>
    </rPh>
    <rPh sb="1" eb="3">
      <t>オオサカ</t>
    </rPh>
    <phoneticPr fontId="1"/>
  </si>
  <si>
    <t>06-6745-1321</t>
    <phoneticPr fontId="1"/>
  </si>
  <si>
    <t>森田　誠</t>
    <rPh sb="0" eb="2">
      <t>モリタ</t>
    </rPh>
    <rPh sb="3" eb="4">
      <t>マコト</t>
    </rPh>
    <phoneticPr fontId="1"/>
  </si>
  <si>
    <t>東大阪市衣摺4-9-19</t>
    <rPh sb="0" eb="3">
      <t>ヒガシオオサカ</t>
    </rPh>
    <rPh sb="1" eb="3">
      <t>オオサカ</t>
    </rPh>
    <phoneticPr fontId="1"/>
  </si>
  <si>
    <t>080-5341-0024</t>
    <phoneticPr fontId="1"/>
  </si>
  <si>
    <t>則藤さん知り合い</t>
    <rPh sb="0" eb="2">
      <t>ノリフジ</t>
    </rPh>
    <rPh sb="4" eb="5">
      <t>シ</t>
    </rPh>
    <rPh sb="6" eb="7">
      <t>ア</t>
    </rPh>
    <phoneticPr fontId="1"/>
  </si>
  <si>
    <t>社長お知り合い　2回目来店</t>
    <rPh sb="0" eb="2">
      <t>シャチョウ</t>
    </rPh>
    <rPh sb="3" eb="4">
      <t>シ</t>
    </rPh>
    <rPh sb="5" eb="6">
      <t>ア</t>
    </rPh>
    <rPh sb="9" eb="11">
      <t>カイメ</t>
    </rPh>
    <rPh sb="11" eb="13">
      <t>ライテン</t>
    </rPh>
    <phoneticPr fontId="1"/>
  </si>
  <si>
    <t>黒田　和也</t>
    <rPh sb="0" eb="2">
      <t>クロダ</t>
    </rPh>
    <rPh sb="3" eb="5">
      <t>カズヤ</t>
    </rPh>
    <phoneticPr fontId="1"/>
  </si>
  <si>
    <t>吹田市南金田2-24-10-1202</t>
    <rPh sb="0" eb="3">
      <t>スイタシ</t>
    </rPh>
    <rPh sb="3" eb="4">
      <t>ミナミ</t>
    </rPh>
    <rPh sb="4" eb="6">
      <t>カネダ</t>
    </rPh>
    <phoneticPr fontId="1"/>
  </si>
  <si>
    <t>090-3496-3944</t>
    <phoneticPr fontId="1"/>
  </si>
  <si>
    <t>来栖　泰</t>
    <rPh sb="0" eb="2">
      <t>クルス</t>
    </rPh>
    <rPh sb="3" eb="4">
      <t>ヤスシ</t>
    </rPh>
    <phoneticPr fontId="1"/>
  </si>
  <si>
    <t>宝塚市平井山荘10-18</t>
    <rPh sb="0" eb="3">
      <t>タカラヅカシ</t>
    </rPh>
    <rPh sb="3" eb="5">
      <t>ヒライ</t>
    </rPh>
    <rPh sb="5" eb="7">
      <t>サンソウ</t>
    </rPh>
    <phoneticPr fontId="1"/>
  </si>
  <si>
    <t>090-3039-1323</t>
    <phoneticPr fontId="1"/>
  </si>
  <si>
    <t>4回目ご利用</t>
    <rPh sb="1" eb="3">
      <t>カイメ</t>
    </rPh>
    <rPh sb="4" eb="6">
      <t>リヨウ</t>
    </rPh>
    <phoneticPr fontId="1"/>
  </si>
  <si>
    <t>山崎　宏</t>
    <rPh sb="0" eb="2">
      <t>ヤマザキ</t>
    </rPh>
    <rPh sb="3" eb="4">
      <t>ヒロシ</t>
    </rPh>
    <phoneticPr fontId="1"/>
  </si>
  <si>
    <t>大阪府大阪市北区中之島6-1-38-3405</t>
    <rPh sb="0" eb="6">
      <t>オオサカフオオサカシ</t>
    </rPh>
    <rPh sb="6" eb="8">
      <t>キタク</t>
    </rPh>
    <rPh sb="8" eb="11">
      <t>ナカノシマ</t>
    </rPh>
    <phoneticPr fontId="1"/>
  </si>
  <si>
    <t>080-1451-7377</t>
    <phoneticPr fontId="1"/>
  </si>
  <si>
    <t>yama19840517@gmail．Com</t>
    <phoneticPr fontId="1"/>
  </si>
  <si>
    <t>南垣　佳秀</t>
    <rPh sb="0" eb="1">
      <t>ミナミ</t>
    </rPh>
    <rPh sb="1" eb="2">
      <t>カキ</t>
    </rPh>
    <rPh sb="3" eb="5">
      <t>ヨシヒデ</t>
    </rPh>
    <phoneticPr fontId="1"/>
  </si>
  <si>
    <t>530-0043</t>
    <phoneticPr fontId="1"/>
  </si>
  <si>
    <t>大阪市北区天満1-8-10-902</t>
    <rPh sb="0" eb="3">
      <t>オオサカシ</t>
    </rPh>
    <rPh sb="3" eb="5">
      <t>キタク</t>
    </rPh>
    <rPh sb="5" eb="7">
      <t>テンマ</t>
    </rPh>
    <phoneticPr fontId="1"/>
  </si>
  <si>
    <t>y.minamigaki@sakura-blue.co.jp</t>
    <phoneticPr fontId="1"/>
  </si>
  <si>
    <t>090-3057-1766</t>
    <phoneticPr fontId="1"/>
  </si>
  <si>
    <t>井殿さん紹介</t>
    <rPh sb="0" eb="2">
      <t>イドノ</t>
    </rPh>
    <rPh sb="4" eb="6">
      <t>ショウカイ</t>
    </rPh>
    <phoneticPr fontId="1"/>
  </si>
  <si>
    <t>今村　亜紀</t>
    <rPh sb="0" eb="2">
      <t>イマムラ</t>
    </rPh>
    <rPh sb="3" eb="5">
      <t>アキ</t>
    </rPh>
    <phoneticPr fontId="1"/>
  </si>
  <si>
    <t>545-0052</t>
    <phoneticPr fontId="1"/>
  </si>
  <si>
    <t>大阪市阿倍野区阿倍野筋3-5-17-1505</t>
    <rPh sb="0" eb="3">
      <t>オオサカシ</t>
    </rPh>
    <rPh sb="3" eb="7">
      <t>アベノク</t>
    </rPh>
    <rPh sb="7" eb="11">
      <t>アベノスジ</t>
    </rPh>
    <phoneticPr fontId="1"/>
  </si>
  <si>
    <t>080-4236-0550</t>
    <phoneticPr fontId="1"/>
  </si>
  <si>
    <t>植田　玲央</t>
    <rPh sb="0" eb="2">
      <t>ウエダ</t>
    </rPh>
    <rPh sb="3" eb="4">
      <t>レイ</t>
    </rPh>
    <rPh sb="4" eb="5">
      <t>オウ</t>
    </rPh>
    <phoneticPr fontId="1"/>
  </si>
  <si>
    <t>669-1321</t>
    <phoneticPr fontId="1"/>
  </si>
  <si>
    <t>三田市けやき台5-14-3</t>
    <rPh sb="0" eb="3">
      <t>サンダシ</t>
    </rPh>
    <rPh sb="6" eb="7">
      <t>ダイ</t>
    </rPh>
    <phoneticPr fontId="1"/>
  </si>
  <si>
    <t>079-551-1871</t>
    <phoneticPr fontId="1"/>
  </si>
  <si>
    <t>井殿知り合い</t>
    <rPh sb="0" eb="2">
      <t>イドノ</t>
    </rPh>
    <rPh sb="2" eb="3">
      <t>シ</t>
    </rPh>
    <rPh sb="4" eb="5">
      <t>ア</t>
    </rPh>
    <phoneticPr fontId="1"/>
  </si>
  <si>
    <t>谷口　眞一</t>
    <rPh sb="0" eb="2">
      <t>タニグチ</t>
    </rPh>
    <rPh sb="3" eb="5">
      <t>シンイチ</t>
    </rPh>
    <phoneticPr fontId="1"/>
  </si>
  <si>
    <t>1974/4/</t>
    <phoneticPr fontId="1"/>
  </si>
  <si>
    <t>伊丹市平松4-3-4-412</t>
    <rPh sb="0" eb="3">
      <t>イタミシ</t>
    </rPh>
    <rPh sb="3" eb="5">
      <t>ヒラマツ</t>
    </rPh>
    <phoneticPr fontId="1"/>
  </si>
  <si>
    <t>090-5066-9873</t>
    <phoneticPr fontId="1"/>
  </si>
  <si>
    <t>平崎　博嗣</t>
    <rPh sb="0" eb="2">
      <t>ヒラサキ</t>
    </rPh>
    <rPh sb="3" eb="4">
      <t>ハク</t>
    </rPh>
    <rPh sb="4" eb="5">
      <t>シ</t>
    </rPh>
    <phoneticPr fontId="1"/>
  </si>
  <si>
    <t>673-0005</t>
    <phoneticPr fontId="1"/>
  </si>
  <si>
    <t>兵庫県明石市小久保4-8-1-303</t>
    <rPh sb="0" eb="3">
      <t>ヒョウゴケン</t>
    </rPh>
    <rPh sb="3" eb="6">
      <t>アカシシ</t>
    </rPh>
    <rPh sb="6" eb="9">
      <t>コクボ</t>
    </rPh>
    <phoneticPr fontId="1"/>
  </si>
  <si>
    <t>090-6558-9247</t>
    <phoneticPr fontId="1"/>
  </si>
  <si>
    <t>3Ｗフィッティング</t>
    <phoneticPr fontId="1"/>
  </si>
  <si>
    <t>原田　真帆</t>
    <rPh sb="0" eb="2">
      <t>ハラダ</t>
    </rPh>
    <rPh sb="3" eb="5">
      <t>マホ</t>
    </rPh>
    <phoneticPr fontId="1"/>
  </si>
  <si>
    <t>659-0096</t>
    <phoneticPr fontId="1"/>
  </si>
  <si>
    <t>兵庫県芦屋市山手町19-6</t>
    <rPh sb="0" eb="3">
      <t>ヒョウゴケン</t>
    </rPh>
    <rPh sb="3" eb="6">
      <t>アシヤシ</t>
    </rPh>
    <rPh sb="6" eb="8">
      <t>ヤマテ</t>
    </rPh>
    <rPh sb="8" eb="9">
      <t>チョウ</t>
    </rPh>
    <phoneticPr fontId="1"/>
  </si>
  <si>
    <t>0797-31-3106</t>
    <phoneticPr fontId="1"/>
  </si>
  <si>
    <t>古川さん知人</t>
    <rPh sb="0" eb="2">
      <t>フルカワ</t>
    </rPh>
    <rPh sb="4" eb="6">
      <t>チジン</t>
    </rPh>
    <phoneticPr fontId="1"/>
  </si>
  <si>
    <t>新井　良太</t>
    <rPh sb="0" eb="2">
      <t>アライ</t>
    </rPh>
    <rPh sb="3" eb="5">
      <t>リョウタ</t>
    </rPh>
    <phoneticPr fontId="1"/>
  </si>
  <si>
    <t>090-8713-7853</t>
    <phoneticPr fontId="1"/>
  </si>
  <si>
    <t>阪神　打撃コーチ　山戸様ご紹介</t>
    <rPh sb="0" eb="2">
      <t>ハンシン</t>
    </rPh>
    <rPh sb="3" eb="5">
      <t>ダゲキ</t>
    </rPh>
    <rPh sb="9" eb="11">
      <t>ヤマト</t>
    </rPh>
    <rPh sb="11" eb="12">
      <t>サマ</t>
    </rPh>
    <rPh sb="13" eb="15">
      <t>ショウカイ</t>
    </rPh>
    <phoneticPr fontId="1"/>
  </si>
  <si>
    <t>藤井　弘子</t>
    <rPh sb="0" eb="2">
      <t>フジイ</t>
    </rPh>
    <rPh sb="3" eb="5">
      <t>ヒロコ</t>
    </rPh>
    <phoneticPr fontId="1"/>
  </si>
  <si>
    <t>宮本　圭隆</t>
    <rPh sb="0" eb="2">
      <t>ミヤモト</t>
    </rPh>
    <rPh sb="3" eb="4">
      <t>ケイ</t>
    </rPh>
    <rPh sb="4" eb="5">
      <t>タカ</t>
    </rPh>
    <phoneticPr fontId="1"/>
  </si>
  <si>
    <t>655-0853</t>
    <phoneticPr fontId="1"/>
  </si>
  <si>
    <t>神戸市垂水区つつじが丘1-3-19</t>
    <rPh sb="0" eb="6">
      <t>コウベシタルミク</t>
    </rPh>
    <rPh sb="10" eb="11">
      <t>オカ</t>
    </rPh>
    <phoneticPr fontId="1"/>
  </si>
  <si>
    <t>090-2596-7600</t>
    <phoneticPr fontId="1"/>
  </si>
  <si>
    <t>090-5157-0129</t>
    <phoneticPr fontId="1"/>
  </si>
  <si>
    <t>リシャフト券</t>
    <rPh sb="5" eb="6">
      <t>ケン</t>
    </rPh>
    <phoneticPr fontId="1"/>
  </si>
  <si>
    <t>松本　人司</t>
    <rPh sb="0" eb="2">
      <t>マツモト</t>
    </rPh>
    <rPh sb="3" eb="4">
      <t>ヒト</t>
    </rPh>
    <rPh sb="4" eb="5">
      <t>ツカサ</t>
    </rPh>
    <phoneticPr fontId="1"/>
  </si>
  <si>
    <t>541-0041</t>
    <phoneticPr fontId="1"/>
  </si>
  <si>
    <t>大阪市中央区平野町1-6-8</t>
    <rPh sb="0" eb="3">
      <t>オオサカシ</t>
    </rPh>
    <rPh sb="3" eb="6">
      <t>チュウオウク</t>
    </rPh>
    <rPh sb="6" eb="9">
      <t>ヒラノチョウ</t>
    </rPh>
    <phoneticPr fontId="1"/>
  </si>
  <si>
    <t>080-5344-9566</t>
    <phoneticPr fontId="1"/>
  </si>
  <si>
    <t>ゴルフランド様のご紹介→料金については確認済み</t>
    <rPh sb="6" eb="7">
      <t>サマ</t>
    </rPh>
    <rPh sb="9" eb="11">
      <t>ショウカイ</t>
    </rPh>
    <rPh sb="12" eb="14">
      <t>リョウキン</t>
    </rPh>
    <rPh sb="19" eb="21">
      <t>カクニン</t>
    </rPh>
    <rPh sb="21" eb="22">
      <t>ズ</t>
    </rPh>
    <phoneticPr fontId="1"/>
  </si>
  <si>
    <t>平松　孝太郎</t>
    <rPh sb="0" eb="2">
      <t>ヒラマツ</t>
    </rPh>
    <rPh sb="3" eb="6">
      <t>コウタロウ</t>
    </rPh>
    <phoneticPr fontId="1"/>
  </si>
  <si>
    <t>552-0011</t>
    <phoneticPr fontId="1"/>
  </si>
  <si>
    <t>大阪市港区南氏市岡3-6-59-3208</t>
    <rPh sb="0" eb="3">
      <t>オオサカシ</t>
    </rPh>
    <rPh sb="3" eb="5">
      <t>ミナトク</t>
    </rPh>
    <rPh sb="5" eb="7">
      <t>ミナミシ</t>
    </rPh>
    <rPh sb="7" eb="8">
      <t>シ</t>
    </rPh>
    <rPh sb="8" eb="9">
      <t>オカ</t>
    </rPh>
    <phoneticPr fontId="1"/>
  </si>
  <si>
    <t>090-2100-0870</t>
    <phoneticPr fontId="1"/>
  </si>
  <si>
    <t>←携帯番号はお母様の番号</t>
    <rPh sb="1" eb="3">
      <t>ケイタイ</t>
    </rPh>
    <rPh sb="3" eb="5">
      <t>バンゴウ</t>
    </rPh>
    <rPh sb="7" eb="9">
      <t>カアサマ</t>
    </rPh>
    <rPh sb="10" eb="12">
      <t>バンゴウ</t>
    </rPh>
    <phoneticPr fontId="1"/>
  </si>
  <si>
    <t>大西　弘</t>
    <rPh sb="0" eb="2">
      <t>オオニシ</t>
    </rPh>
    <rPh sb="3" eb="4">
      <t>ヒロシ</t>
    </rPh>
    <phoneticPr fontId="1"/>
  </si>
  <si>
    <t>562-0046</t>
    <phoneticPr fontId="1"/>
  </si>
  <si>
    <t>箕面市桜ケ丘4-12-58-410</t>
    <rPh sb="0" eb="3">
      <t>ミノオシ</t>
    </rPh>
    <rPh sb="3" eb="6">
      <t>サクラガオカ</t>
    </rPh>
    <phoneticPr fontId="1"/>
  </si>
  <si>
    <t>hiroshioo2shi@gmail.com</t>
    <phoneticPr fontId="1"/>
  </si>
  <si>
    <t>072-721-8000</t>
    <phoneticPr fontId="1"/>
  </si>
  <si>
    <t>山戸さんご紹介　シャフトご購入</t>
    <rPh sb="0" eb="2">
      <t>ヤマト</t>
    </rPh>
    <rPh sb="5" eb="7">
      <t>ショウカイ</t>
    </rPh>
    <rPh sb="13" eb="15">
      <t>コウニュウ</t>
    </rPh>
    <phoneticPr fontId="1"/>
  </si>
  <si>
    <t>南出プロご紹介　シャフトご購入　＠20,000の１０％OFF</t>
    <rPh sb="0" eb="2">
      <t>ミナミデ</t>
    </rPh>
    <rPh sb="5" eb="7">
      <t>ショウカイ</t>
    </rPh>
    <rPh sb="13" eb="15">
      <t>コウニュウ</t>
    </rPh>
    <phoneticPr fontId="1"/>
  </si>
  <si>
    <t>吹田市佐竹台1-5-10-1102</t>
    <rPh sb="0" eb="2">
      <t>スイタ</t>
    </rPh>
    <rPh sb="2" eb="3">
      <t>シ</t>
    </rPh>
    <rPh sb="3" eb="6">
      <t>サタケダイ</t>
    </rPh>
    <phoneticPr fontId="1"/>
  </si>
  <si>
    <t>090-7171-1267</t>
    <phoneticPr fontId="1"/>
  </si>
  <si>
    <t>会員の加藤様　お知り合い</t>
    <rPh sb="0" eb="2">
      <t>カイイン</t>
    </rPh>
    <rPh sb="3" eb="6">
      <t>カトウサマ</t>
    </rPh>
    <rPh sb="8" eb="9">
      <t>シ</t>
    </rPh>
    <rPh sb="10" eb="11">
      <t>ア</t>
    </rPh>
    <phoneticPr fontId="1"/>
  </si>
  <si>
    <t>眞下　正宏</t>
    <rPh sb="0" eb="1">
      <t>マ</t>
    </rPh>
    <rPh sb="1" eb="2">
      <t>シモ</t>
    </rPh>
    <rPh sb="3" eb="4">
      <t>セイ</t>
    </rPh>
    <rPh sb="4" eb="5">
      <t>ヒロシ</t>
    </rPh>
    <phoneticPr fontId="1"/>
  </si>
  <si>
    <t>板東和秀</t>
    <rPh sb="0" eb="1">
      <t>イタ</t>
    </rPh>
    <rPh sb="1" eb="2">
      <t>ヒガシ</t>
    </rPh>
    <rPh sb="2" eb="4">
      <t>カズヒデ</t>
    </rPh>
    <phoneticPr fontId="1"/>
  </si>
  <si>
    <t>尾崎　司</t>
    <rPh sb="0" eb="2">
      <t>オザキ</t>
    </rPh>
    <rPh sb="3" eb="4">
      <t>ツカサ</t>
    </rPh>
    <phoneticPr fontId="1"/>
  </si>
  <si>
    <t>669-1516</t>
    <phoneticPr fontId="1"/>
  </si>
  <si>
    <t>三田市友が丘2-2-13</t>
    <rPh sb="0" eb="3">
      <t>サンダシ</t>
    </rPh>
    <rPh sb="3" eb="4">
      <t>トモ</t>
    </rPh>
    <rPh sb="5" eb="6">
      <t>オカ</t>
    </rPh>
    <phoneticPr fontId="1"/>
  </si>
  <si>
    <t>079-562-1873</t>
    <phoneticPr fontId="1"/>
  </si>
  <si>
    <t>下古谷　和則</t>
    <rPh sb="0" eb="1">
      <t>シタ</t>
    </rPh>
    <rPh sb="1" eb="2">
      <t>フル</t>
    </rPh>
    <rPh sb="2" eb="3">
      <t>タニ</t>
    </rPh>
    <rPh sb="4" eb="6">
      <t>カズノリ</t>
    </rPh>
    <phoneticPr fontId="1"/>
  </si>
  <si>
    <t>090-2346-2652</t>
    <phoneticPr fontId="1"/>
  </si>
  <si>
    <t>豊中市東寺内町11-17-303</t>
    <rPh sb="0" eb="3">
      <t>トヨナカシ</t>
    </rPh>
    <rPh sb="3" eb="4">
      <t>ヒガシ</t>
    </rPh>
    <rPh sb="4" eb="5">
      <t>テラ</t>
    </rPh>
    <rPh sb="5" eb="6">
      <t>ウチ</t>
    </rPh>
    <rPh sb="6" eb="7">
      <t>マチ</t>
    </rPh>
    <phoneticPr fontId="1"/>
  </si>
  <si>
    <t>561-0871</t>
    <phoneticPr fontId="1"/>
  </si>
  <si>
    <t>積水ハウスお客様　シャフトご購入</t>
    <rPh sb="0" eb="2">
      <t>セキスイ</t>
    </rPh>
    <rPh sb="6" eb="8">
      <t>キャクサマ</t>
    </rPh>
    <rPh sb="14" eb="16">
      <t>コウニュウ</t>
    </rPh>
    <phoneticPr fontId="1"/>
  </si>
  <si>
    <t>常包　和子</t>
    <rPh sb="0" eb="1">
      <t>ツネ</t>
    </rPh>
    <rPh sb="1" eb="2">
      <t>ホウ</t>
    </rPh>
    <rPh sb="3" eb="5">
      <t>カズコ</t>
    </rPh>
    <phoneticPr fontId="1"/>
  </si>
  <si>
    <t>豊中市東豊中町3-16-15</t>
    <rPh sb="0" eb="3">
      <t>トヨナカシ</t>
    </rPh>
    <rPh sb="3" eb="7">
      <t>ヒガシトヨナカチョウ</t>
    </rPh>
    <phoneticPr fontId="1"/>
  </si>
  <si>
    <t>090-1961-4122</t>
    <phoneticPr fontId="1"/>
  </si>
  <si>
    <t>会員常包様　ご家族</t>
    <rPh sb="0" eb="2">
      <t>カイイン</t>
    </rPh>
    <rPh sb="2" eb="4">
      <t>ツネカネ</t>
    </rPh>
    <rPh sb="4" eb="5">
      <t>サマ</t>
    </rPh>
    <rPh sb="7" eb="9">
      <t>カゾク</t>
    </rPh>
    <phoneticPr fontId="1"/>
  </si>
  <si>
    <t>小谷　伸</t>
    <rPh sb="0" eb="2">
      <t>コタニ</t>
    </rPh>
    <rPh sb="3" eb="4">
      <t>シン</t>
    </rPh>
    <phoneticPr fontId="1"/>
  </si>
  <si>
    <t>564-0063</t>
    <phoneticPr fontId="1"/>
  </si>
  <si>
    <t>吹田市江坂町2-4-25-607</t>
    <rPh sb="0" eb="3">
      <t>スイタシ</t>
    </rPh>
    <rPh sb="3" eb="5">
      <t>エサカ</t>
    </rPh>
    <rPh sb="5" eb="6">
      <t>マチ</t>
    </rPh>
    <phoneticPr fontId="1"/>
  </si>
  <si>
    <t>090-8753-0983</t>
    <phoneticPr fontId="1"/>
  </si>
  <si>
    <t>会員板東淳子様ご家族 2回目（9/26）</t>
    <rPh sb="0" eb="2">
      <t>カイイン</t>
    </rPh>
    <rPh sb="2" eb="3">
      <t>イタ</t>
    </rPh>
    <rPh sb="3" eb="4">
      <t>ヒガシ</t>
    </rPh>
    <rPh sb="4" eb="6">
      <t>ジュンコ</t>
    </rPh>
    <rPh sb="6" eb="7">
      <t>サマ</t>
    </rPh>
    <rPh sb="8" eb="10">
      <t>カゾク</t>
    </rPh>
    <rPh sb="12" eb="14">
      <t>カイメ</t>
    </rPh>
    <phoneticPr fontId="1"/>
  </si>
  <si>
    <t>2020/3/7 シャフトご購入</t>
    <rPh sb="14" eb="16">
      <t>コウニュウ</t>
    </rPh>
    <phoneticPr fontId="1"/>
  </si>
  <si>
    <t>大智　英子</t>
    <rPh sb="0" eb="2">
      <t>オオチ</t>
    </rPh>
    <rPh sb="3" eb="5">
      <t>エイコ</t>
    </rPh>
    <phoneticPr fontId="1"/>
  </si>
  <si>
    <t>宝塚市雲雀丘1-9-32</t>
    <rPh sb="0" eb="2">
      <t>タカラヅカ</t>
    </rPh>
    <rPh sb="2" eb="3">
      <t>シ</t>
    </rPh>
    <rPh sb="3" eb="6">
      <t>ヒバリガオカ</t>
    </rPh>
    <phoneticPr fontId="1"/>
  </si>
  <si>
    <t>090-1952-7971</t>
    <phoneticPr fontId="1"/>
  </si>
  <si>
    <t>会員の大智様の奥様</t>
    <rPh sb="0" eb="2">
      <t>カイイン</t>
    </rPh>
    <rPh sb="3" eb="5">
      <t>オオチ</t>
    </rPh>
    <rPh sb="5" eb="6">
      <t>サマ</t>
    </rPh>
    <rPh sb="7" eb="9">
      <t>オクサマ</t>
    </rPh>
    <phoneticPr fontId="1"/>
  </si>
  <si>
    <t>森川　仁雄</t>
    <rPh sb="0" eb="2">
      <t>モリカワ</t>
    </rPh>
    <rPh sb="3" eb="4">
      <t>ジン</t>
    </rPh>
    <rPh sb="4" eb="5">
      <t>オス</t>
    </rPh>
    <phoneticPr fontId="1"/>
  </si>
  <si>
    <t>神戸市東灘区魚崎南町4-14-10-807</t>
    <rPh sb="0" eb="3">
      <t>コウベシ</t>
    </rPh>
    <rPh sb="3" eb="6">
      <t>ヒガシナダク</t>
    </rPh>
    <rPh sb="6" eb="8">
      <t>ウオサキ</t>
    </rPh>
    <rPh sb="8" eb="9">
      <t>ミナミ</t>
    </rPh>
    <rPh sb="9" eb="10">
      <t>マチ</t>
    </rPh>
    <phoneticPr fontId="1"/>
  </si>
  <si>
    <t>090-8167-3394</t>
    <phoneticPr fontId="1"/>
  </si>
  <si>
    <t>658-0025</t>
    <phoneticPr fontId="1"/>
  </si>
  <si>
    <t>土山　珠季</t>
    <rPh sb="0" eb="2">
      <t>ツチヤマ</t>
    </rPh>
    <rPh sb="3" eb="5">
      <t>タマキ</t>
    </rPh>
    <phoneticPr fontId="1"/>
  </si>
  <si>
    <t>宝塚市旭町1-12-1</t>
    <rPh sb="0" eb="3">
      <t>タカラヅカシ</t>
    </rPh>
    <rPh sb="3" eb="4">
      <t>アサヒ</t>
    </rPh>
    <rPh sb="4" eb="5">
      <t>マチ</t>
    </rPh>
    <phoneticPr fontId="1"/>
  </si>
  <si>
    <t>090-9217-6605</t>
    <phoneticPr fontId="1"/>
  </si>
  <si>
    <t>会員土山様のお嬢様</t>
    <rPh sb="0" eb="2">
      <t>カイイン</t>
    </rPh>
    <rPh sb="2" eb="4">
      <t>ツチヤマ</t>
    </rPh>
    <rPh sb="4" eb="5">
      <t>サマ</t>
    </rPh>
    <rPh sb="7" eb="9">
      <t>ジョウサマ</t>
    </rPh>
    <phoneticPr fontId="1"/>
  </si>
  <si>
    <t>藤間　明</t>
    <rPh sb="0" eb="2">
      <t>フジマ</t>
    </rPh>
    <rPh sb="3" eb="4">
      <t>アキラ</t>
    </rPh>
    <phoneticPr fontId="1"/>
  </si>
  <si>
    <t>宝塚市中山五月台3-12-17</t>
    <rPh sb="0" eb="3">
      <t>タカラヅカシ</t>
    </rPh>
    <rPh sb="3" eb="5">
      <t>ナカヤマ</t>
    </rPh>
    <rPh sb="5" eb="8">
      <t>サツキダイ</t>
    </rPh>
    <phoneticPr fontId="1"/>
  </si>
  <si>
    <t>0797-78-9222</t>
    <phoneticPr fontId="1"/>
  </si>
  <si>
    <t>佐藤　大輔</t>
    <rPh sb="0" eb="2">
      <t>サトウ</t>
    </rPh>
    <rPh sb="3" eb="5">
      <t>ダイスケ</t>
    </rPh>
    <phoneticPr fontId="1"/>
  </si>
  <si>
    <t>666-0864</t>
    <phoneticPr fontId="1"/>
  </si>
  <si>
    <t>尼崎市稲葉荘4-8-22</t>
    <rPh sb="0" eb="3">
      <t>アマガサキシ</t>
    </rPh>
    <rPh sb="3" eb="5">
      <t>イナバ</t>
    </rPh>
    <rPh sb="5" eb="6">
      <t>ソウ</t>
    </rPh>
    <phoneticPr fontId="1"/>
  </si>
  <si>
    <t>090-7093-4938</t>
    <phoneticPr fontId="1"/>
  </si>
  <si>
    <t>白石プロのご紹介</t>
    <rPh sb="0" eb="2">
      <t>シライシ</t>
    </rPh>
    <rPh sb="6" eb="8">
      <t>ショウカイ</t>
    </rPh>
    <phoneticPr fontId="1"/>
  </si>
  <si>
    <t>木下　ルイ</t>
    <rPh sb="0" eb="2">
      <t>キノシタ</t>
    </rPh>
    <phoneticPr fontId="1"/>
  </si>
  <si>
    <t>532-0023</t>
    <phoneticPr fontId="1"/>
  </si>
  <si>
    <t>大阪市淀川区十三東2-4-13</t>
    <rPh sb="0" eb="2">
      <t>オオサカ</t>
    </rPh>
    <rPh sb="2" eb="3">
      <t>シ</t>
    </rPh>
    <rPh sb="3" eb="6">
      <t>ヨドガワク</t>
    </rPh>
    <rPh sb="6" eb="8">
      <t>ジュウソウ</t>
    </rPh>
    <rPh sb="8" eb="9">
      <t>ヒガシ</t>
    </rPh>
    <phoneticPr fontId="1"/>
  </si>
  <si>
    <t>080-4322-5636</t>
    <phoneticPr fontId="1"/>
  </si>
  <si>
    <t>植田　剛央</t>
    <rPh sb="0" eb="2">
      <t>ウエダ</t>
    </rPh>
    <rPh sb="3" eb="4">
      <t>ゴウ</t>
    </rPh>
    <rPh sb="4" eb="5">
      <t>オウ</t>
    </rPh>
    <phoneticPr fontId="1"/>
  </si>
  <si>
    <t>井殿さん知り合い　試打3本</t>
    <rPh sb="0" eb="2">
      <t>イドノ</t>
    </rPh>
    <rPh sb="4" eb="5">
      <t>シ</t>
    </rPh>
    <rPh sb="6" eb="7">
      <t>ア</t>
    </rPh>
    <rPh sb="9" eb="11">
      <t>シダ</t>
    </rPh>
    <rPh sb="12" eb="13">
      <t>ホン</t>
    </rPh>
    <phoneticPr fontId="1"/>
  </si>
  <si>
    <t>ビジター利用</t>
    <rPh sb="4" eb="6">
      <t>リヨウ</t>
    </rPh>
    <phoneticPr fontId="1"/>
  </si>
  <si>
    <t>お店までの距離</t>
    <rPh sb="1" eb="2">
      <t>ミセ</t>
    </rPh>
    <rPh sb="5" eb="7">
      <t>キョリ</t>
    </rPh>
    <phoneticPr fontId="1"/>
  </si>
  <si>
    <t>14.4km</t>
    <phoneticPr fontId="1"/>
  </si>
  <si>
    <t>2.3km</t>
    <phoneticPr fontId="1"/>
  </si>
  <si>
    <t>9.4km</t>
    <phoneticPr fontId="1"/>
  </si>
  <si>
    <t>12.3km</t>
    <phoneticPr fontId="1"/>
  </si>
  <si>
    <t>4.5km</t>
    <phoneticPr fontId="1"/>
  </si>
  <si>
    <t>11.5km</t>
    <phoneticPr fontId="1"/>
  </si>
  <si>
    <t>5.9km</t>
    <phoneticPr fontId="1"/>
  </si>
  <si>
    <t>19.9km</t>
    <phoneticPr fontId="1"/>
  </si>
  <si>
    <t>89km</t>
    <phoneticPr fontId="1"/>
  </si>
  <si>
    <t>4.9km</t>
    <phoneticPr fontId="1"/>
  </si>
  <si>
    <t>4.7km</t>
    <phoneticPr fontId="1"/>
  </si>
  <si>
    <t>27.6km</t>
    <phoneticPr fontId="1"/>
  </si>
  <si>
    <t>12.7km</t>
    <phoneticPr fontId="1"/>
  </si>
  <si>
    <t>30.4km</t>
    <phoneticPr fontId="1"/>
  </si>
  <si>
    <t>4.1km</t>
    <phoneticPr fontId="1"/>
  </si>
  <si>
    <t>17.8km</t>
    <phoneticPr fontId="1"/>
  </si>
  <si>
    <t>23.2km</t>
    <phoneticPr fontId="1"/>
  </si>
  <si>
    <t>0.6km</t>
    <phoneticPr fontId="1"/>
  </si>
  <si>
    <t>0.8km</t>
    <phoneticPr fontId="1"/>
  </si>
  <si>
    <t>6.6km</t>
    <phoneticPr fontId="1"/>
  </si>
  <si>
    <t>38.3km</t>
    <phoneticPr fontId="1"/>
  </si>
  <si>
    <t>29.6km</t>
    <phoneticPr fontId="1"/>
  </si>
  <si>
    <t>2km</t>
    <phoneticPr fontId="1"/>
  </si>
  <si>
    <t>27.3km</t>
    <phoneticPr fontId="1"/>
  </si>
  <si>
    <t>兵庫県伊丹市行基町4-50</t>
  </si>
  <si>
    <t>1.6km</t>
    <phoneticPr fontId="1"/>
  </si>
  <si>
    <t>13.8km</t>
    <phoneticPr fontId="1"/>
  </si>
  <si>
    <t>40.8km</t>
    <phoneticPr fontId="1"/>
  </si>
  <si>
    <t>7km</t>
    <phoneticPr fontId="1"/>
  </si>
  <si>
    <t>11.1km</t>
    <phoneticPr fontId="1"/>
  </si>
  <si>
    <t>2.9km</t>
    <phoneticPr fontId="1"/>
  </si>
  <si>
    <t>兵庫県宝塚市安倉南1-8-23</t>
  </si>
  <si>
    <t>4.4km</t>
    <phoneticPr fontId="1"/>
  </si>
  <si>
    <t>1.8km</t>
    <phoneticPr fontId="1"/>
  </si>
  <si>
    <t>0.5km</t>
    <phoneticPr fontId="1"/>
  </si>
  <si>
    <t>1km</t>
    <phoneticPr fontId="1"/>
  </si>
  <si>
    <t>1.5km</t>
    <phoneticPr fontId="1"/>
  </si>
  <si>
    <t>11.3km</t>
    <phoneticPr fontId="1"/>
  </si>
  <si>
    <t>26.7km</t>
    <phoneticPr fontId="1"/>
  </si>
  <si>
    <t>50km</t>
    <phoneticPr fontId="1"/>
  </si>
  <si>
    <t>22.9km</t>
    <phoneticPr fontId="1"/>
  </si>
  <si>
    <t>41.2km</t>
    <phoneticPr fontId="1"/>
  </si>
  <si>
    <t>3km</t>
    <phoneticPr fontId="1"/>
  </si>
  <si>
    <t>23.6km</t>
    <phoneticPr fontId="1"/>
  </si>
  <si>
    <t>42.4km</t>
    <phoneticPr fontId="1"/>
  </si>
  <si>
    <t>0.7km</t>
    <phoneticPr fontId="1"/>
  </si>
  <si>
    <t>3.3km</t>
    <phoneticPr fontId="1"/>
  </si>
  <si>
    <t>2.7km</t>
    <phoneticPr fontId="1"/>
  </si>
  <si>
    <t>207km</t>
    <phoneticPr fontId="1"/>
  </si>
  <si>
    <t>32.9km</t>
    <phoneticPr fontId="1"/>
  </si>
  <si>
    <t>5km</t>
    <phoneticPr fontId="1"/>
  </si>
  <si>
    <t>7.2km</t>
    <phoneticPr fontId="1"/>
  </si>
  <si>
    <t>196km</t>
    <phoneticPr fontId="1"/>
  </si>
  <si>
    <t>13.9km</t>
    <phoneticPr fontId="1"/>
  </si>
  <si>
    <t>10.5km</t>
    <phoneticPr fontId="1"/>
  </si>
  <si>
    <t>36.1km</t>
    <phoneticPr fontId="1"/>
  </si>
  <si>
    <t>2.8km</t>
    <phoneticPr fontId="1"/>
  </si>
  <si>
    <t>32.7km</t>
    <phoneticPr fontId="1"/>
  </si>
  <si>
    <t>40.7km</t>
    <phoneticPr fontId="1"/>
  </si>
  <si>
    <t>12.8km</t>
    <phoneticPr fontId="1"/>
  </si>
  <si>
    <t>大阪府池田市五月丘1-3-26</t>
  </si>
  <si>
    <t>6.9km</t>
    <phoneticPr fontId="1"/>
  </si>
  <si>
    <t>宝塚市中山五月台2-9-1</t>
  </si>
  <si>
    <t>52.8km</t>
    <phoneticPr fontId="1"/>
  </si>
  <si>
    <t>3.4km</t>
    <phoneticPr fontId="1"/>
  </si>
  <si>
    <t>42.8km</t>
    <phoneticPr fontId="1"/>
  </si>
  <si>
    <t>50.9km</t>
    <phoneticPr fontId="1"/>
  </si>
  <si>
    <t>6.3km</t>
    <phoneticPr fontId="1"/>
  </si>
  <si>
    <t>1.4km</t>
    <phoneticPr fontId="1"/>
  </si>
  <si>
    <t>3.7km</t>
    <phoneticPr fontId="1"/>
  </si>
  <si>
    <t>28.1km</t>
    <phoneticPr fontId="1"/>
  </si>
  <si>
    <t>25.5km</t>
    <phoneticPr fontId="1"/>
  </si>
  <si>
    <t>49km</t>
    <phoneticPr fontId="1"/>
  </si>
  <si>
    <t>2.5km</t>
    <phoneticPr fontId="1"/>
  </si>
  <si>
    <t>33.3km</t>
    <phoneticPr fontId="1"/>
  </si>
  <si>
    <t>5.6km</t>
    <phoneticPr fontId="1"/>
  </si>
  <si>
    <t>48km</t>
    <phoneticPr fontId="1"/>
  </si>
  <si>
    <t>3.1km</t>
    <phoneticPr fontId="1"/>
  </si>
  <si>
    <t>14.6km</t>
    <phoneticPr fontId="1"/>
  </si>
  <si>
    <t>1.9km</t>
    <phoneticPr fontId="1"/>
  </si>
  <si>
    <t>5.2km</t>
    <phoneticPr fontId="1"/>
  </si>
  <si>
    <t>21.6km</t>
    <phoneticPr fontId="1"/>
  </si>
  <si>
    <t>1.1km</t>
    <phoneticPr fontId="1"/>
  </si>
  <si>
    <t>4.8km</t>
    <phoneticPr fontId="1"/>
  </si>
  <si>
    <t>0.1km</t>
    <phoneticPr fontId="1"/>
  </si>
  <si>
    <t>58.8km</t>
    <phoneticPr fontId="1"/>
  </si>
  <si>
    <t>5.3km</t>
    <phoneticPr fontId="1"/>
  </si>
  <si>
    <t>11.2km</t>
    <phoneticPr fontId="1"/>
  </si>
  <si>
    <t>15.3km</t>
    <phoneticPr fontId="1"/>
  </si>
  <si>
    <t>126km</t>
    <phoneticPr fontId="1"/>
  </si>
  <si>
    <t>1.3km</t>
    <phoneticPr fontId="1"/>
  </si>
  <si>
    <t>29km</t>
    <phoneticPr fontId="1"/>
  </si>
  <si>
    <t>26.2km</t>
    <phoneticPr fontId="1"/>
  </si>
  <si>
    <t>神戸市西区北山台3-16-3</t>
  </si>
  <si>
    <t>43.7km</t>
    <phoneticPr fontId="1"/>
  </si>
  <si>
    <t>45.4km</t>
    <phoneticPr fontId="1"/>
  </si>
  <si>
    <t>183km</t>
    <phoneticPr fontId="1"/>
  </si>
  <si>
    <t>44.2km</t>
    <phoneticPr fontId="1"/>
  </si>
  <si>
    <t>9.6km</t>
    <phoneticPr fontId="1"/>
  </si>
  <si>
    <t>2.6km</t>
    <phoneticPr fontId="1"/>
  </si>
  <si>
    <t>8km</t>
    <phoneticPr fontId="1"/>
  </si>
  <si>
    <t>29.2km</t>
    <phoneticPr fontId="1"/>
  </si>
  <si>
    <t>34.9km</t>
    <phoneticPr fontId="1"/>
  </si>
  <si>
    <t>33.7km</t>
    <phoneticPr fontId="1"/>
  </si>
  <si>
    <t>8.0km</t>
    <phoneticPr fontId="1"/>
  </si>
  <si>
    <t>3.6km</t>
    <phoneticPr fontId="1"/>
  </si>
  <si>
    <t>伊丹市荻野7-47</t>
  </si>
  <si>
    <t>21.9km</t>
    <phoneticPr fontId="1"/>
  </si>
  <si>
    <t>32.3km</t>
    <phoneticPr fontId="1"/>
  </si>
  <si>
    <t>36km</t>
    <phoneticPr fontId="1"/>
  </si>
  <si>
    <t>256km</t>
    <phoneticPr fontId="1"/>
  </si>
  <si>
    <t>8.8km</t>
    <phoneticPr fontId="1"/>
  </si>
  <si>
    <t>16km</t>
    <phoneticPr fontId="1"/>
  </si>
  <si>
    <t>43.2km</t>
    <phoneticPr fontId="1"/>
  </si>
  <si>
    <t>7.7km</t>
    <phoneticPr fontId="1"/>
  </si>
  <si>
    <t>6.4km</t>
    <phoneticPr fontId="1"/>
  </si>
  <si>
    <t>36.6km</t>
    <phoneticPr fontId="1"/>
  </si>
  <si>
    <t>山下　和将</t>
    <rPh sb="0" eb="2">
      <t>ヤマシタ</t>
    </rPh>
    <rPh sb="3" eb="4">
      <t>カズ</t>
    </rPh>
    <rPh sb="4" eb="5">
      <t>ショウ</t>
    </rPh>
    <phoneticPr fontId="1"/>
  </si>
  <si>
    <t>535-0022</t>
    <phoneticPr fontId="1"/>
  </si>
  <si>
    <t>大阪府大阪市旭区新森1-6-18-1404</t>
    <rPh sb="0" eb="3">
      <t>オオサカフ</t>
    </rPh>
    <rPh sb="3" eb="6">
      <t>オオサカシ</t>
    </rPh>
    <rPh sb="6" eb="8">
      <t>アサヒク</t>
    </rPh>
    <rPh sb="8" eb="10">
      <t>シンモリ</t>
    </rPh>
    <phoneticPr fontId="1"/>
  </si>
  <si>
    <t>090-1893-7978</t>
    <phoneticPr fontId="1"/>
  </si>
  <si>
    <t>無料券使用</t>
    <rPh sb="0" eb="2">
      <t>ムリョウ</t>
    </rPh>
    <rPh sb="2" eb="3">
      <t>ケン</t>
    </rPh>
    <rPh sb="3" eb="5">
      <t>シヨウ</t>
    </rPh>
    <phoneticPr fontId="1"/>
  </si>
  <si>
    <t>28.9ｋｍ</t>
    <phoneticPr fontId="1"/>
  </si>
  <si>
    <t>石原　浩</t>
    <rPh sb="0" eb="2">
      <t>イシハラ</t>
    </rPh>
    <rPh sb="3" eb="4">
      <t>ヒロシ</t>
    </rPh>
    <phoneticPr fontId="1"/>
  </si>
  <si>
    <t>562-0043</t>
    <phoneticPr fontId="1"/>
  </si>
  <si>
    <t>大阪府箕面市桜井1-18-36</t>
    <rPh sb="0" eb="3">
      <t>オオサカフ</t>
    </rPh>
    <rPh sb="3" eb="6">
      <t>ミノオシ</t>
    </rPh>
    <rPh sb="6" eb="8">
      <t>サクライ</t>
    </rPh>
    <phoneticPr fontId="1"/>
  </si>
  <si>
    <t>hiroshi@mikako.gr.jp</t>
    <phoneticPr fontId="1"/>
  </si>
  <si>
    <t>080-1401-9428</t>
    <phoneticPr fontId="1"/>
  </si>
  <si>
    <t>8.4ｋｍ</t>
    <phoneticPr fontId="1"/>
  </si>
  <si>
    <t>小西　正行</t>
    <rPh sb="0" eb="2">
      <t>コニシ</t>
    </rPh>
    <rPh sb="3" eb="5">
      <t>マサユキ</t>
    </rPh>
    <phoneticPr fontId="1"/>
  </si>
  <si>
    <t>大阪府大阪市阿倍野区阪南町6-5-6</t>
    <rPh sb="0" eb="3">
      <t>オオサカフ</t>
    </rPh>
    <rPh sb="3" eb="6">
      <t>オオサカシ</t>
    </rPh>
    <rPh sb="6" eb="9">
      <t>アベノ</t>
    </rPh>
    <rPh sb="9" eb="10">
      <t>ク</t>
    </rPh>
    <rPh sb="10" eb="12">
      <t>ハンナン</t>
    </rPh>
    <rPh sb="12" eb="13">
      <t>チョウ</t>
    </rPh>
    <phoneticPr fontId="1"/>
  </si>
  <si>
    <t>090-1453-5454</t>
    <phoneticPr fontId="1"/>
  </si>
  <si>
    <t>31.8㎞</t>
    <phoneticPr fontId="1"/>
  </si>
  <si>
    <t xml:space="preserve">545-0021 </t>
    <phoneticPr fontId="1"/>
  </si>
  <si>
    <t>南　友美子</t>
    <rPh sb="0" eb="1">
      <t>ミナミ</t>
    </rPh>
    <rPh sb="2" eb="3">
      <t>トモ</t>
    </rPh>
    <rPh sb="3" eb="4">
      <t>ミ</t>
    </rPh>
    <rPh sb="4" eb="5">
      <t>コ</t>
    </rPh>
    <phoneticPr fontId="1"/>
  </si>
  <si>
    <t>兵庫県宝塚市小浜3-10-4</t>
    <rPh sb="0" eb="2">
      <t>ヒョウゴ</t>
    </rPh>
    <rPh sb="2" eb="3">
      <t>ケン</t>
    </rPh>
    <rPh sb="3" eb="6">
      <t>タカラヅカシ</t>
    </rPh>
    <rPh sb="6" eb="8">
      <t>コハマ</t>
    </rPh>
    <phoneticPr fontId="1"/>
  </si>
  <si>
    <t>090-3487-9310</t>
    <phoneticPr fontId="1"/>
  </si>
  <si>
    <t>アンケート</t>
    <phoneticPr fontId="1"/>
  </si>
  <si>
    <t>3.4㎞</t>
    <phoneticPr fontId="1"/>
  </si>
  <si>
    <t>寺尾　輝明</t>
    <rPh sb="0" eb="2">
      <t>テラオ</t>
    </rPh>
    <rPh sb="3" eb="5">
      <t>テルアキ</t>
    </rPh>
    <phoneticPr fontId="1"/>
  </si>
  <si>
    <t>577-0017</t>
    <phoneticPr fontId="1"/>
  </si>
  <si>
    <t>大阪府東大阪市藤戸新田1-1-17</t>
    <rPh sb="0" eb="3">
      <t>オオサカフ</t>
    </rPh>
    <rPh sb="3" eb="7">
      <t>ヒガシオオサカシ</t>
    </rPh>
    <rPh sb="7" eb="9">
      <t>フジト</t>
    </rPh>
    <rPh sb="9" eb="11">
      <t>シンタ</t>
    </rPh>
    <phoneticPr fontId="1"/>
  </si>
  <si>
    <t>center.terao@gmail.com</t>
    <phoneticPr fontId="1"/>
  </si>
  <si>
    <t>090-8145-2401</t>
    <phoneticPr fontId="1"/>
  </si>
  <si>
    <t>\</t>
    <phoneticPr fontId="1"/>
  </si>
  <si>
    <t>大城　七海</t>
    <rPh sb="0" eb="2">
      <t>オオシロ</t>
    </rPh>
    <rPh sb="3" eb="5">
      <t>ナナミ</t>
    </rPh>
    <phoneticPr fontId="1"/>
  </si>
  <si>
    <t>663-8153</t>
    <phoneticPr fontId="1"/>
  </si>
  <si>
    <t>兵庫県西宮市南甲子園1-9-1-804</t>
    <rPh sb="0" eb="3">
      <t>ヒョウゴケン</t>
    </rPh>
    <rPh sb="3" eb="6">
      <t>ニシノミヤシ</t>
    </rPh>
    <rPh sb="6" eb="7">
      <t>ミナミ</t>
    </rPh>
    <rPh sb="7" eb="10">
      <t>コウシエン</t>
    </rPh>
    <phoneticPr fontId="1"/>
  </si>
  <si>
    <t>na.minlovesky@gmail.com</t>
    <phoneticPr fontId="1"/>
  </si>
  <si>
    <t>090-2103-6069</t>
    <phoneticPr fontId="1"/>
  </si>
  <si>
    <t>30.5ｋｍ</t>
    <phoneticPr fontId="1"/>
  </si>
  <si>
    <t>26.0ｋｍ</t>
    <phoneticPr fontId="1"/>
  </si>
  <si>
    <t>荒井　美佐子</t>
    <rPh sb="0" eb="2">
      <t>アライ</t>
    </rPh>
    <rPh sb="3" eb="6">
      <t>ミサコ</t>
    </rPh>
    <phoneticPr fontId="1"/>
  </si>
  <si>
    <t>兵庫県宝塚市口谷西３丁目20-35</t>
    <rPh sb="0" eb="3">
      <t>ヒョウゴケン</t>
    </rPh>
    <rPh sb="3" eb="6">
      <t>タカラヅカシ</t>
    </rPh>
    <rPh sb="6" eb="9">
      <t>クチタニニシ</t>
    </rPh>
    <rPh sb="10" eb="12">
      <t>チョウメ</t>
    </rPh>
    <phoneticPr fontId="1"/>
  </si>
  <si>
    <t>0797-88-5981</t>
    <phoneticPr fontId="1"/>
  </si>
  <si>
    <t>石本　脩真</t>
    <rPh sb="0" eb="2">
      <t>イシモト</t>
    </rPh>
    <rPh sb="3" eb="4">
      <t>シュウ</t>
    </rPh>
    <rPh sb="4" eb="5">
      <t>マ</t>
    </rPh>
    <phoneticPr fontId="1"/>
  </si>
  <si>
    <t>665-0812</t>
    <phoneticPr fontId="1"/>
  </si>
  <si>
    <t>兵庫県宝塚市口谷西1-15-1-102</t>
    <rPh sb="0" eb="3">
      <t>ヒョウゴケン</t>
    </rPh>
    <rPh sb="3" eb="6">
      <t>タカラヅカシ</t>
    </rPh>
    <rPh sb="6" eb="9">
      <t>クチタニニシ</t>
    </rPh>
    <phoneticPr fontId="1"/>
  </si>
  <si>
    <t>080-3863-7515</t>
    <phoneticPr fontId="1"/>
  </si>
  <si>
    <t>高砂　行彦</t>
    <rPh sb="0" eb="2">
      <t>タカサゴ</t>
    </rPh>
    <rPh sb="3" eb="5">
      <t>ユキヒコ</t>
    </rPh>
    <phoneticPr fontId="1"/>
  </si>
  <si>
    <t>兵庫県宝塚市長尾町15-1-603</t>
    <rPh sb="0" eb="3">
      <t>ヒョウゴケン</t>
    </rPh>
    <rPh sb="3" eb="6">
      <t>タカラヅカシ</t>
    </rPh>
    <rPh sb="6" eb="9">
      <t>ナガオチョウ</t>
    </rPh>
    <phoneticPr fontId="1"/>
  </si>
  <si>
    <t>080-5513-1042</t>
    <phoneticPr fontId="1"/>
  </si>
  <si>
    <t>400ｍ</t>
    <phoneticPr fontId="1"/>
  </si>
  <si>
    <t>渡辺　慎弥</t>
    <rPh sb="0" eb="2">
      <t>ワタナベ</t>
    </rPh>
    <rPh sb="3" eb="4">
      <t>シン</t>
    </rPh>
    <rPh sb="4" eb="5">
      <t>ヤ</t>
    </rPh>
    <phoneticPr fontId="1"/>
  </si>
  <si>
    <t>大阪府大阪市北区豊崎3-11-6-901</t>
    <rPh sb="0" eb="6">
      <t>オオサカフオオサカシ</t>
    </rPh>
    <rPh sb="6" eb="8">
      <t>キタク</t>
    </rPh>
    <rPh sb="8" eb="10">
      <t>トヨサキ</t>
    </rPh>
    <phoneticPr fontId="1"/>
  </si>
  <si>
    <t>080-3852-6006</t>
    <phoneticPr fontId="1"/>
  </si>
  <si>
    <t>21.3㎞</t>
    <phoneticPr fontId="1"/>
  </si>
  <si>
    <t xml:space="preserve">531-0072 </t>
  </si>
  <si>
    <t>瀬崎　唯</t>
    <rPh sb="0" eb="1">
      <t>セ</t>
    </rPh>
    <rPh sb="1" eb="2">
      <t>ザキ</t>
    </rPh>
    <rPh sb="3" eb="4">
      <t>ユイ</t>
    </rPh>
    <phoneticPr fontId="1"/>
  </si>
  <si>
    <t>569-0071</t>
    <phoneticPr fontId="1"/>
  </si>
  <si>
    <t>大阪府高槻市城北町1-5-30</t>
    <rPh sb="0" eb="3">
      <t>オオサカフ</t>
    </rPh>
    <rPh sb="3" eb="5">
      <t>タカツキ</t>
    </rPh>
    <rPh sb="5" eb="6">
      <t>シ</t>
    </rPh>
    <rPh sb="6" eb="7">
      <t>シロ</t>
    </rPh>
    <rPh sb="7" eb="9">
      <t>キタマチ</t>
    </rPh>
    <phoneticPr fontId="1"/>
  </si>
  <si>
    <t>080-5351-6429</t>
    <phoneticPr fontId="1"/>
  </si>
  <si>
    <t>25.0㎞</t>
    <phoneticPr fontId="1"/>
  </si>
  <si>
    <t>山木　保夫</t>
    <rPh sb="0" eb="2">
      <t>ヤマキ</t>
    </rPh>
    <rPh sb="3" eb="5">
      <t>ヤスオ</t>
    </rPh>
    <phoneticPr fontId="1"/>
  </si>
  <si>
    <t>664-0007</t>
    <phoneticPr fontId="1"/>
  </si>
  <si>
    <t>兵庫県伊丹市北野2-1-21</t>
    <rPh sb="0" eb="3">
      <t>ヒョウゴケン</t>
    </rPh>
    <rPh sb="3" eb="6">
      <t>イタミシ</t>
    </rPh>
    <rPh sb="6" eb="8">
      <t>キタノ</t>
    </rPh>
    <phoneticPr fontId="1"/>
  </si>
  <si>
    <t>090-4763-6923</t>
    <phoneticPr fontId="1"/>
  </si>
  <si>
    <t>2.0㎞</t>
    <phoneticPr fontId="1"/>
  </si>
  <si>
    <t>大阪府池田市神田1-6-20</t>
    <rPh sb="0" eb="2">
      <t>オオサカ</t>
    </rPh>
    <rPh sb="2" eb="3">
      <t>フ</t>
    </rPh>
    <rPh sb="6" eb="8">
      <t>カンダ</t>
    </rPh>
    <phoneticPr fontId="1"/>
  </si>
  <si>
    <t>080-1494-1639</t>
    <phoneticPr fontId="1"/>
  </si>
  <si>
    <t>4.7㎞</t>
    <phoneticPr fontId="1"/>
  </si>
  <si>
    <t>山井　拓朗</t>
    <rPh sb="0" eb="2">
      <t>ヤマイ</t>
    </rPh>
    <rPh sb="3" eb="5">
      <t>タクロウ</t>
    </rPh>
    <phoneticPr fontId="1"/>
  </si>
  <si>
    <t>中西　浩敏</t>
    <rPh sb="0" eb="2">
      <t>ナカニシ</t>
    </rPh>
    <rPh sb="3" eb="4">
      <t>ヒロシ</t>
    </rPh>
    <rPh sb="4" eb="5">
      <t>トシ</t>
    </rPh>
    <phoneticPr fontId="1"/>
  </si>
  <si>
    <t>山田　拓人</t>
    <rPh sb="0" eb="2">
      <t>ヤマダ</t>
    </rPh>
    <rPh sb="3" eb="5">
      <t>タクト</t>
    </rPh>
    <phoneticPr fontId="1"/>
  </si>
  <si>
    <t>545-0023</t>
    <phoneticPr fontId="1"/>
  </si>
  <si>
    <t>大阪府阿倍野区王子町4-1-48-102</t>
    <rPh sb="0" eb="2">
      <t>オオサカ</t>
    </rPh>
    <rPh sb="2" eb="3">
      <t>フ</t>
    </rPh>
    <rPh sb="3" eb="6">
      <t>アベノ</t>
    </rPh>
    <rPh sb="6" eb="7">
      <t>ク</t>
    </rPh>
    <rPh sb="7" eb="10">
      <t>オウジチョウ</t>
    </rPh>
    <phoneticPr fontId="1"/>
  </si>
  <si>
    <t>639-0218</t>
    <phoneticPr fontId="1"/>
  </si>
  <si>
    <t>奈良県北葛城郡上牧町ささゆり台2-10-10</t>
    <rPh sb="0" eb="2">
      <t>ナラ</t>
    </rPh>
    <phoneticPr fontId="1"/>
  </si>
  <si>
    <t>090-5672-5074</t>
    <phoneticPr fontId="1"/>
  </si>
  <si>
    <t>090-2197-1649</t>
    <phoneticPr fontId="1"/>
  </si>
  <si>
    <t>31.5㎞</t>
    <phoneticPr fontId="1"/>
  </si>
  <si>
    <t>54.0㎞</t>
    <phoneticPr fontId="1"/>
  </si>
  <si>
    <t>森川　晃</t>
    <rPh sb="0" eb="2">
      <t>モリカワ</t>
    </rPh>
    <rPh sb="3" eb="4">
      <t>アキラ</t>
    </rPh>
    <phoneticPr fontId="1"/>
  </si>
  <si>
    <t>664-0887</t>
    <phoneticPr fontId="1"/>
  </si>
  <si>
    <t>兵庫県伊丹市南野北1-12-3</t>
    <rPh sb="0" eb="3">
      <t>ヒョウゴケン</t>
    </rPh>
    <rPh sb="3" eb="6">
      <t>イタミシ</t>
    </rPh>
    <rPh sb="6" eb="8">
      <t>ミナミノ</t>
    </rPh>
    <rPh sb="8" eb="9">
      <t>キタ</t>
    </rPh>
    <phoneticPr fontId="1"/>
  </si>
  <si>
    <t>050-3553-1717</t>
    <phoneticPr fontId="1"/>
  </si>
  <si>
    <t>6.2㎞</t>
    <phoneticPr fontId="1"/>
  </si>
  <si>
    <t>中川　康幸</t>
    <rPh sb="0" eb="2">
      <t>ナカガワ</t>
    </rPh>
    <rPh sb="3" eb="4">
      <t>ヤス</t>
    </rPh>
    <rPh sb="4" eb="5">
      <t>シアワ</t>
    </rPh>
    <phoneticPr fontId="1"/>
  </si>
  <si>
    <t>665-0047</t>
    <phoneticPr fontId="1"/>
  </si>
  <si>
    <t>兵庫県宝塚市亀井町8-55</t>
    <rPh sb="0" eb="3">
      <t>ヒョウゴケン</t>
    </rPh>
    <rPh sb="3" eb="5">
      <t>タカラヅカ</t>
    </rPh>
    <rPh sb="5" eb="6">
      <t>シ</t>
    </rPh>
    <rPh sb="6" eb="8">
      <t>カメイ</t>
    </rPh>
    <rPh sb="8" eb="9">
      <t>チョウ</t>
    </rPh>
    <phoneticPr fontId="1"/>
  </si>
  <si>
    <t>中川　一葉</t>
    <rPh sb="0" eb="2">
      <t>ナカガワ</t>
    </rPh>
    <rPh sb="3" eb="5">
      <t>カズハ</t>
    </rPh>
    <phoneticPr fontId="1"/>
  </si>
  <si>
    <t>080-3706-5117</t>
    <phoneticPr fontId="1"/>
  </si>
  <si>
    <t>080-1480-3095</t>
    <phoneticPr fontId="1"/>
  </si>
  <si>
    <t>体験から
の入会</t>
    <rPh sb="0" eb="2">
      <t>タイケン</t>
    </rPh>
    <rPh sb="6" eb="8">
      <t>ニュウカイ</t>
    </rPh>
    <phoneticPr fontId="1"/>
  </si>
  <si>
    <t>アンケート（もらい忘れ）</t>
    <rPh sb="9" eb="10">
      <t>ワス</t>
    </rPh>
    <phoneticPr fontId="1"/>
  </si>
  <si>
    <t>フィッティング紹介サービス管理表</t>
    <rPh sb="7" eb="9">
      <t>ショウカイ</t>
    </rPh>
    <rPh sb="13" eb="15">
      <t>カンリ</t>
    </rPh>
    <rPh sb="15" eb="16">
      <t>ヒョウ</t>
    </rPh>
    <phoneticPr fontId="1"/>
  </si>
  <si>
    <t>ご利用者名</t>
    <rPh sb="1" eb="3">
      <t>リヨウ</t>
    </rPh>
    <rPh sb="3" eb="4">
      <t>シャ</t>
    </rPh>
    <rPh sb="4" eb="5">
      <t>メイ</t>
    </rPh>
    <phoneticPr fontId="1"/>
  </si>
  <si>
    <t>メニュー</t>
    <phoneticPr fontId="1"/>
  </si>
  <si>
    <t>日付</t>
    <rPh sb="0" eb="2">
      <t>ヒヅケ</t>
    </rPh>
    <phoneticPr fontId="1"/>
  </si>
  <si>
    <t>北林　格</t>
    <rPh sb="0" eb="2">
      <t>キタバヤシ</t>
    </rPh>
    <rPh sb="3" eb="4">
      <t>カク</t>
    </rPh>
    <phoneticPr fontId="1"/>
  </si>
  <si>
    <t>兵庫県宝塚市中山台1-19-1</t>
    <rPh sb="0" eb="3">
      <t>ヒョウゴケン</t>
    </rPh>
    <rPh sb="3" eb="6">
      <t>タカラヅカシ</t>
    </rPh>
    <rPh sb="6" eb="8">
      <t>ナカヤマ</t>
    </rPh>
    <rPh sb="8" eb="9">
      <t>ダイ</t>
    </rPh>
    <phoneticPr fontId="1"/>
  </si>
  <si>
    <t>665-0876</t>
    <phoneticPr fontId="1"/>
  </si>
  <si>
    <t>3.5㎞</t>
    <phoneticPr fontId="1"/>
  </si>
  <si>
    <t>090-8982-0014</t>
    <phoneticPr fontId="1"/>
  </si>
  <si>
    <t>659-4237</t>
    <phoneticPr fontId="1"/>
  </si>
  <si>
    <t>兵庫県芦屋市舟戸町5-2-201</t>
    <rPh sb="0" eb="3">
      <t>ヒョウゴケン</t>
    </rPh>
    <rPh sb="3" eb="6">
      <t>アシヤシ</t>
    </rPh>
    <rPh sb="6" eb="9">
      <t>フナトチョウ</t>
    </rPh>
    <phoneticPr fontId="1"/>
  </si>
  <si>
    <t>体験アンケート+ビジター55分フィッテイング2名分</t>
    <rPh sb="0" eb="2">
      <t>タイケン</t>
    </rPh>
    <rPh sb="14" eb="15">
      <t>フン</t>
    </rPh>
    <rPh sb="23" eb="24">
      <t>メイ</t>
    </rPh>
    <rPh sb="24" eb="25">
      <t>ブン</t>
    </rPh>
    <phoneticPr fontId="1"/>
  </si>
  <si>
    <t>森杉　大地</t>
    <rPh sb="0" eb="2">
      <t>モリスギ</t>
    </rPh>
    <rPh sb="3" eb="5">
      <t>ダイチ</t>
    </rPh>
    <phoneticPr fontId="1"/>
  </si>
  <si>
    <t>639-1123</t>
    <phoneticPr fontId="1"/>
  </si>
  <si>
    <t>奈良県大和郡山市筒井町1564</t>
    <rPh sb="0" eb="3">
      <t>ナラケン</t>
    </rPh>
    <rPh sb="3" eb="5">
      <t>ヤマト</t>
    </rPh>
    <rPh sb="5" eb="6">
      <t>グン</t>
    </rPh>
    <rPh sb="7" eb="8">
      <t>シ</t>
    </rPh>
    <rPh sb="8" eb="11">
      <t>ツツイチョウ</t>
    </rPh>
    <phoneticPr fontId="1"/>
  </si>
  <si>
    <t>080-3817-7103</t>
    <phoneticPr fontId="1"/>
  </si>
  <si>
    <t>横田様がお支払い</t>
    <rPh sb="0" eb="2">
      <t>ヨコタ</t>
    </rPh>
    <rPh sb="2" eb="3">
      <t>サマ</t>
    </rPh>
    <rPh sb="5" eb="7">
      <t>シハラ</t>
    </rPh>
    <phoneticPr fontId="1"/>
  </si>
  <si>
    <t>谷　大</t>
    <rPh sb="0" eb="1">
      <t>タニ</t>
    </rPh>
    <rPh sb="2" eb="3">
      <t>マサル</t>
    </rPh>
    <phoneticPr fontId="1"/>
  </si>
  <si>
    <t>564-0062</t>
    <phoneticPr fontId="1"/>
  </si>
  <si>
    <t>大阪府吹田市垂水町1-43-6</t>
    <rPh sb="0" eb="3">
      <t>オオサカフ</t>
    </rPh>
    <rPh sb="3" eb="6">
      <t>スイタシ</t>
    </rPh>
    <rPh sb="6" eb="8">
      <t>タルミ</t>
    </rPh>
    <rPh sb="8" eb="9">
      <t>チョウ</t>
    </rPh>
    <phoneticPr fontId="1"/>
  </si>
  <si>
    <t>090-2112-0337</t>
    <phoneticPr fontId="1"/>
  </si>
  <si>
    <t>29.5㎞</t>
    <phoneticPr fontId="1"/>
  </si>
  <si>
    <t>62.1㎞</t>
    <phoneticPr fontId="1"/>
  </si>
  <si>
    <t>15.8㎞</t>
    <phoneticPr fontId="1"/>
  </si>
  <si>
    <t>中西　逸人</t>
    <rPh sb="0" eb="2">
      <t>ナカニシ</t>
    </rPh>
    <rPh sb="3" eb="5">
      <t>ハヤト</t>
    </rPh>
    <phoneticPr fontId="1"/>
  </si>
  <si>
    <t>久田　禎彦</t>
    <rPh sb="0" eb="2">
      <t>ヒサダ</t>
    </rPh>
    <rPh sb="3" eb="5">
      <t>ヨシヒコ</t>
    </rPh>
    <phoneticPr fontId="1"/>
  </si>
  <si>
    <t>兵庫県宝塚市山手台西4-9-1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ニシ</t>
    </rPh>
    <phoneticPr fontId="1"/>
  </si>
  <si>
    <t>090-9042-8481</t>
    <phoneticPr fontId="1"/>
  </si>
  <si>
    <t>中井　好斗</t>
    <rPh sb="0" eb="2">
      <t>ナカイ</t>
    </rPh>
    <rPh sb="3" eb="4">
      <t>ヨシ</t>
    </rPh>
    <rPh sb="4" eb="5">
      <t>ト</t>
    </rPh>
    <phoneticPr fontId="1"/>
  </si>
  <si>
    <t>665-0831</t>
    <phoneticPr fontId="1"/>
  </si>
  <si>
    <t>兵庫県宝塚市米谷1-38-8</t>
    <rPh sb="0" eb="3">
      <t>ヒョウゴケン</t>
    </rPh>
    <rPh sb="3" eb="5">
      <t>タカラヅカ</t>
    </rPh>
    <rPh sb="5" eb="6">
      <t>シ</t>
    </rPh>
    <rPh sb="6" eb="8">
      <t>マイタニ</t>
    </rPh>
    <phoneticPr fontId="1"/>
  </si>
  <si>
    <t>090-5246-1027</t>
    <phoneticPr fontId="1"/>
  </si>
  <si>
    <t>3.6㎞</t>
    <phoneticPr fontId="1"/>
  </si>
  <si>
    <t>2.3㎞</t>
    <phoneticPr fontId="1"/>
  </si>
  <si>
    <t>谷口　慶悟</t>
    <rPh sb="0" eb="2">
      <t>タニグチ</t>
    </rPh>
    <rPh sb="3" eb="4">
      <t>ケイ</t>
    </rPh>
    <rPh sb="4" eb="5">
      <t>サトル</t>
    </rPh>
    <phoneticPr fontId="1"/>
  </si>
  <si>
    <t>谷口　悠子</t>
    <rPh sb="0" eb="2">
      <t>タニグチ</t>
    </rPh>
    <rPh sb="3" eb="5">
      <t>ユウコ</t>
    </rPh>
    <phoneticPr fontId="1"/>
  </si>
  <si>
    <t>669-1322</t>
    <phoneticPr fontId="1"/>
  </si>
  <si>
    <t>三田市すずかけ台1-29-2　C201</t>
    <rPh sb="0" eb="3">
      <t>サンダシ</t>
    </rPh>
    <rPh sb="7" eb="8">
      <t>ダイ</t>
    </rPh>
    <phoneticPr fontId="1"/>
  </si>
  <si>
    <t>090-5968-0587</t>
    <phoneticPr fontId="1"/>
  </si>
  <si>
    <t>社長のお知り合い</t>
    <rPh sb="0" eb="2">
      <t>シャチョウ</t>
    </rPh>
    <rPh sb="4" eb="5">
      <t>シ</t>
    </rPh>
    <rPh sb="6" eb="7">
      <t>ア</t>
    </rPh>
    <phoneticPr fontId="1"/>
  </si>
  <si>
    <t>090-2109-0584</t>
    <phoneticPr fontId="1"/>
  </si>
  <si>
    <t>川村　一透</t>
    <rPh sb="0" eb="2">
      <t>カワムラ</t>
    </rPh>
    <rPh sb="3" eb="4">
      <t>イチ</t>
    </rPh>
    <rPh sb="4" eb="5">
      <t>トウ</t>
    </rPh>
    <phoneticPr fontId="1"/>
  </si>
  <si>
    <t>558-0041</t>
    <phoneticPr fontId="1"/>
  </si>
  <si>
    <t>大阪市住吉区南住吉3-9-17-212</t>
    <rPh sb="0" eb="3">
      <t>オオサカシ</t>
    </rPh>
    <rPh sb="3" eb="6">
      <t>スミヨシク</t>
    </rPh>
    <rPh sb="6" eb="7">
      <t>ミナミ</t>
    </rPh>
    <rPh sb="7" eb="9">
      <t>スミヨシ</t>
    </rPh>
    <phoneticPr fontId="1"/>
  </si>
  <si>
    <t>090-2178-2932</t>
    <phoneticPr fontId="1"/>
  </si>
  <si>
    <t>27.9㎞</t>
    <phoneticPr fontId="1"/>
  </si>
  <si>
    <t>34.6㎞</t>
    <phoneticPr fontId="1"/>
  </si>
  <si>
    <t>貴志　彰英</t>
    <rPh sb="0" eb="2">
      <t>キシ</t>
    </rPh>
    <rPh sb="3" eb="4">
      <t>アキラ</t>
    </rPh>
    <rPh sb="4" eb="5">
      <t>エイ</t>
    </rPh>
    <phoneticPr fontId="1"/>
  </si>
  <si>
    <t>665-0074</t>
    <phoneticPr fontId="1"/>
  </si>
  <si>
    <t>兵庫県宝塚市仁川台51-2</t>
    <rPh sb="0" eb="3">
      <t>ヒョウゴケン</t>
    </rPh>
    <rPh sb="3" eb="6">
      <t>タカラヅカシ</t>
    </rPh>
    <rPh sb="6" eb="8">
      <t>ニガワ</t>
    </rPh>
    <rPh sb="8" eb="9">
      <t>ダイ</t>
    </rPh>
    <phoneticPr fontId="1"/>
  </si>
  <si>
    <t>7.2㎞</t>
    <phoneticPr fontId="1"/>
  </si>
  <si>
    <t>090-4568-2530</t>
    <phoneticPr fontId="1"/>
  </si>
  <si>
    <t>久保　昌雄</t>
    <rPh sb="0" eb="2">
      <t>クボ</t>
    </rPh>
    <rPh sb="3" eb="5">
      <t>マサオ</t>
    </rPh>
    <phoneticPr fontId="1"/>
  </si>
  <si>
    <t>651-1303</t>
    <phoneticPr fontId="1"/>
  </si>
  <si>
    <t>兵庫県神戸市北区道場町日下部957-14</t>
    <rPh sb="0" eb="3">
      <t>ヒョウゴケン</t>
    </rPh>
    <rPh sb="3" eb="6">
      <t>コウベシ</t>
    </rPh>
    <rPh sb="6" eb="8">
      <t>キタク</t>
    </rPh>
    <rPh sb="8" eb="10">
      <t>ドウジョウ</t>
    </rPh>
    <rPh sb="10" eb="11">
      <t>マチ</t>
    </rPh>
    <rPh sb="11" eb="14">
      <t>ヒカベ</t>
    </rPh>
    <phoneticPr fontId="1"/>
  </si>
  <si>
    <t>22.0㎞</t>
    <phoneticPr fontId="1"/>
  </si>
  <si>
    <t>080-6188-8080</t>
    <phoneticPr fontId="1"/>
  </si>
  <si>
    <t>長谷川　義高</t>
    <rPh sb="0" eb="3">
      <t>ハセガワ</t>
    </rPh>
    <rPh sb="4" eb="5">
      <t>ヨシ</t>
    </rPh>
    <rPh sb="5" eb="6">
      <t>タカ</t>
    </rPh>
    <phoneticPr fontId="1"/>
  </si>
  <si>
    <t>659-0095</t>
    <phoneticPr fontId="1"/>
  </si>
  <si>
    <t>兵庫県芦屋市東芦屋町9-11</t>
    <rPh sb="0" eb="3">
      <t>ヒョウゴケン</t>
    </rPh>
    <rPh sb="3" eb="6">
      <t>アシヤシ</t>
    </rPh>
    <rPh sb="6" eb="7">
      <t>ヒガシ</t>
    </rPh>
    <rPh sb="7" eb="9">
      <t>アシヤ</t>
    </rPh>
    <rPh sb="9" eb="10">
      <t>チョウ</t>
    </rPh>
    <phoneticPr fontId="1"/>
  </si>
  <si>
    <t>16.4㎞</t>
    <phoneticPr fontId="1"/>
  </si>
  <si>
    <t>竹下　憲子</t>
    <rPh sb="0" eb="2">
      <t>タケシタ</t>
    </rPh>
    <rPh sb="3" eb="4">
      <t>ケン</t>
    </rPh>
    <rPh sb="4" eb="5">
      <t>コ</t>
    </rPh>
    <phoneticPr fontId="1"/>
  </si>
  <si>
    <t>兵庫県宝塚市中山五月台2-20-9</t>
    <rPh sb="0" eb="3">
      <t>ヒョウゴケン</t>
    </rPh>
    <rPh sb="3" eb="6">
      <t>タカラヅカシ</t>
    </rPh>
    <rPh sb="6" eb="8">
      <t>ナカヤマ</t>
    </rPh>
    <rPh sb="8" eb="11">
      <t>サツキダイ</t>
    </rPh>
    <phoneticPr fontId="1"/>
  </si>
  <si>
    <t>4.6km</t>
    <phoneticPr fontId="1"/>
  </si>
  <si>
    <t>coco.3991.take@docomo.ne.jp</t>
    <phoneticPr fontId="1"/>
  </si>
  <si>
    <t>090-5960-4289</t>
    <phoneticPr fontId="1"/>
  </si>
  <si>
    <t>080-4151-6360</t>
    <phoneticPr fontId="1"/>
  </si>
  <si>
    <t>椿　淳一郎</t>
    <rPh sb="0" eb="1">
      <t>ツバキ</t>
    </rPh>
    <rPh sb="2" eb="5">
      <t>ジュンイチロウ</t>
    </rPh>
    <phoneticPr fontId="1"/>
  </si>
  <si>
    <t>675-0017</t>
    <phoneticPr fontId="1"/>
  </si>
  <si>
    <t>兵庫県加古川市野口町良野822-19</t>
    <rPh sb="0" eb="3">
      <t>ヒョウゴケン</t>
    </rPh>
    <rPh sb="3" eb="7">
      <t>カコガワシ</t>
    </rPh>
    <rPh sb="7" eb="10">
      <t>ノグチチョウ</t>
    </rPh>
    <rPh sb="10" eb="12">
      <t>ヨシノ</t>
    </rPh>
    <phoneticPr fontId="1"/>
  </si>
  <si>
    <t>090-8129-4121</t>
    <phoneticPr fontId="1"/>
  </si>
  <si>
    <t>小川さん紹介</t>
    <rPh sb="0" eb="2">
      <t>オガワ</t>
    </rPh>
    <rPh sb="4" eb="6">
      <t>ショウカイ</t>
    </rPh>
    <phoneticPr fontId="1"/>
  </si>
  <si>
    <t>武塙　浩二</t>
    <rPh sb="0" eb="2">
      <t>タケハナ</t>
    </rPh>
    <rPh sb="3" eb="5">
      <t>コウジ</t>
    </rPh>
    <phoneticPr fontId="1"/>
  </si>
  <si>
    <t>658-0021</t>
    <phoneticPr fontId="1"/>
  </si>
  <si>
    <t>兵庫県神戸市東灘区深江本町2-1-31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フカエ</t>
    </rPh>
    <rPh sb="11" eb="13">
      <t>ホンマチ</t>
    </rPh>
    <phoneticPr fontId="1"/>
  </si>
  <si>
    <t>090-7626-0896</t>
    <phoneticPr fontId="1"/>
  </si>
  <si>
    <t>koko08203117@i.softbank.jp</t>
    <phoneticPr fontId="1"/>
  </si>
  <si>
    <t>吉野　由美子</t>
    <rPh sb="0" eb="2">
      <t>ヨシノ</t>
    </rPh>
    <rPh sb="3" eb="6">
      <t>ユミコ</t>
    </rPh>
    <phoneticPr fontId="1"/>
  </si>
  <si>
    <t>661-0046</t>
    <phoneticPr fontId="1"/>
  </si>
  <si>
    <t>兵庫県尼崎市常松1-3-7-721</t>
    <rPh sb="0" eb="3">
      <t>ヒョウゴケン</t>
    </rPh>
    <rPh sb="3" eb="5">
      <t>アマガサキ</t>
    </rPh>
    <rPh sb="5" eb="6">
      <t>シ</t>
    </rPh>
    <rPh sb="6" eb="8">
      <t>ツネマツ</t>
    </rPh>
    <phoneticPr fontId="1"/>
  </si>
  <si>
    <t>090-5251-4470</t>
    <phoneticPr fontId="1"/>
  </si>
  <si>
    <t>櫻井　大規</t>
    <rPh sb="0" eb="2">
      <t>サクライ</t>
    </rPh>
    <rPh sb="3" eb="4">
      <t>ダイ</t>
    </rPh>
    <rPh sb="4" eb="5">
      <t>キ</t>
    </rPh>
    <phoneticPr fontId="1"/>
  </si>
  <si>
    <t>666-0021</t>
    <phoneticPr fontId="1"/>
  </si>
  <si>
    <t>兵庫県川西市栄根2-14-8</t>
    <rPh sb="0" eb="3">
      <t>ヒョウゴケン</t>
    </rPh>
    <rPh sb="3" eb="5">
      <t>カワニシ</t>
    </rPh>
    <rPh sb="5" eb="6">
      <t>シ</t>
    </rPh>
    <rPh sb="6" eb="7">
      <t>サカエ</t>
    </rPh>
    <rPh sb="7" eb="8">
      <t>ネ</t>
    </rPh>
    <phoneticPr fontId="1"/>
  </si>
  <si>
    <t>090-3620-1654</t>
    <phoneticPr fontId="1"/>
  </si>
  <si>
    <t>7.3ｋｍ</t>
    <phoneticPr fontId="1"/>
  </si>
  <si>
    <t>2.7ｋｍ</t>
    <phoneticPr fontId="1"/>
  </si>
  <si>
    <t>大西　雅征</t>
    <rPh sb="0" eb="2">
      <t>オオニシ</t>
    </rPh>
    <rPh sb="3" eb="4">
      <t>マサ</t>
    </rPh>
    <rPh sb="4" eb="5">
      <t>セイ</t>
    </rPh>
    <phoneticPr fontId="1"/>
  </si>
  <si>
    <t>兵庫県川西市南花屋敷3-14-3-3</t>
    <rPh sb="0" eb="3">
      <t>ヒョウゴケン</t>
    </rPh>
    <rPh sb="3" eb="6">
      <t>カワニシシ</t>
    </rPh>
    <rPh sb="6" eb="7">
      <t>ミナミ</t>
    </rPh>
    <rPh sb="7" eb="10">
      <t>ハナヤシキ</t>
    </rPh>
    <phoneticPr fontId="1"/>
  </si>
  <si>
    <t>090-6823-8662</t>
    <phoneticPr fontId="1"/>
  </si>
  <si>
    <t>1.7ｋｍ</t>
    <phoneticPr fontId="1"/>
  </si>
  <si>
    <t>西山　友浩</t>
    <rPh sb="0" eb="2">
      <t>ニシヤマ</t>
    </rPh>
    <rPh sb="3" eb="4">
      <t>トモ</t>
    </rPh>
    <rPh sb="4" eb="5">
      <t>ヒロ</t>
    </rPh>
    <phoneticPr fontId="1"/>
  </si>
  <si>
    <t>667-0004</t>
    <phoneticPr fontId="1"/>
  </si>
  <si>
    <t>兵庫県養父市八鹿町上小田483-1</t>
    <rPh sb="0" eb="3">
      <t>ヒョウゴケン</t>
    </rPh>
    <rPh sb="3" eb="5">
      <t>ヤブ</t>
    </rPh>
    <rPh sb="5" eb="6">
      <t>シ</t>
    </rPh>
    <rPh sb="6" eb="9">
      <t>ヨウカチョウ</t>
    </rPh>
    <rPh sb="9" eb="10">
      <t>カミ</t>
    </rPh>
    <rPh sb="10" eb="12">
      <t>オダ</t>
    </rPh>
    <phoneticPr fontId="1"/>
  </si>
  <si>
    <t>080-6188-2553</t>
    <phoneticPr fontId="1"/>
  </si>
  <si>
    <t>3本</t>
    <rPh sb="1" eb="2">
      <t>ボン</t>
    </rPh>
    <phoneticPr fontId="1"/>
  </si>
  <si>
    <t>119km</t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</si>
  <si>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</si>
  <si>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</si>
  <si>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4.6㎞</t>
    <phoneticPr fontId="1"/>
  </si>
  <si>
    <t>徳永　勇治</t>
    <rPh sb="0" eb="2">
      <t>トクナガ</t>
    </rPh>
    <rPh sb="3" eb="5">
      <t>ユウジ</t>
    </rPh>
    <phoneticPr fontId="1"/>
  </si>
  <si>
    <t>兵庫県尼崎市潮江1-5-1-2210</t>
    <rPh sb="0" eb="3">
      <t>ヒョウゴケン</t>
    </rPh>
    <rPh sb="3" eb="6">
      <t>アマガサキシ</t>
    </rPh>
    <rPh sb="6" eb="8">
      <t>シオエ</t>
    </rPh>
    <phoneticPr fontId="1"/>
  </si>
  <si>
    <t>12.1km</t>
    <phoneticPr fontId="1"/>
  </si>
  <si>
    <t>661-0976</t>
    <phoneticPr fontId="1"/>
  </si>
  <si>
    <t>090-7083-8452</t>
    <phoneticPr fontId="1"/>
  </si>
  <si>
    <t>体験利用打席料金+無制限</t>
    <rPh sb="0" eb="4">
      <t>タイケンリヨウ</t>
    </rPh>
    <rPh sb="4" eb="6">
      <t>ダセキ</t>
    </rPh>
    <rPh sb="6" eb="7">
      <t>リョウ</t>
    </rPh>
    <rPh sb="7" eb="8">
      <t>キン</t>
    </rPh>
    <rPh sb="9" eb="12">
      <t>ムセイゲン</t>
    </rPh>
    <phoneticPr fontId="1"/>
  </si>
  <si>
    <t>石川　智也</t>
    <rPh sb="0" eb="2">
      <t>イシカワ</t>
    </rPh>
    <rPh sb="3" eb="5">
      <t>トモヤ</t>
    </rPh>
    <phoneticPr fontId="1"/>
  </si>
  <si>
    <t>大阪府大阪市東成区深江南3-14-29</t>
    <rPh sb="0" eb="3">
      <t>オオサカフ</t>
    </rPh>
    <rPh sb="3" eb="6">
      <t>オオサカシ</t>
    </rPh>
    <rPh sb="6" eb="9">
      <t>ヒガシナリク</t>
    </rPh>
    <rPh sb="9" eb="12">
      <t>フカエミナミ</t>
    </rPh>
    <phoneticPr fontId="1"/>
  </si>
  <si>
    <t>080-1480-5343</t>
    <phoneticPr fontId="1"/>
  </si>
  <si>
    <t>小林　知隆</t>
    <rPh sb="0" eb="2">
      <t>コバヤシ</t>
    </rPh>
    <rPh sb="3" eb="4">
      <t>シ</t>
    </rPh>
    <rPh sb="4" eb="5">
      <t>タカ</t>
    </rPh>
    <phoneticPr fontId="1"/>
  </si>
  <si>
    <t>512-0934</t>
    <phoneticPr fontId="1"/>
  </si>
  <si>
    <t>三重県四日市川島町5400-1</t>
    <rPh sb="0" eb="3">
      <t>ミエケン</t>
    </rPh>
    <rPh sb="3" eb="6">
      <t>ヨッカイチ</t>
    </rPh>
    <rPh sb="6" eb="8">
      <t>カワシマ</t>
    </rPh>
    <rPh sb="8" eb="9">
      <t>チョウ</t>
    </rPh>
    <phoneticPr fontId="1"/>
  </si>
  <si>
    <t>133km</t>
    <phoneticPr fontId="1"/>
  </si>
  <si>
    <t>090-4616-3662</t>
    <phoneticPr fontId="1"/>
  </si>
  <si>
    <t>山本　大介</t>
    <rPh sb="0" eb="2">
      <t>ヤマモト</t>
    </rPh>
    <rPh sb="3" eb="5">
      <t>ダイスケ</t>
    </rPh>
    <phoneticPr fontId="1"/>
  </si>
  <si>
    <t>662-0026</t>
    <phoneticPr fontId="1"/>
  </si>
  <si>
    <t>西宮市獅子ケ口町8-32-202</t>
    <rPh sb="0" eb="3">
      <t>ニシノミヤシ</t>
    </rPh>
    <rPh sb="3" eb="4">
      <t>シ</t>
    </rPh>
    <rPh sb="6" eb="7">
      <t>クチ</t>
    </rPh>
    <rPh sb="7" eb="8">
      <t>チョウ</t>
    </rPh>
    <phoneticPr fontId="1"/>
  </si>
  <si>
    <t>yamadai1113@gmail.com</t>
    <phoneticPr fontId="1"/>
  </si>
  <si>
    <t>090-4961-5264</t>
    <phoneticPr fontId="1"/>
  </si>
  <si>
    <t>13.4km</t>
    <phoneticPr fontId="1"/>
  </si>
  <si>
    <t>伊藤　佑一</t>
    <rPh sb="0" eb="2">
      <t>イトウ</t>
    </rPh>
    <rPh sb="3" eb="5">
      <t>ユウイチ</t>
    </rPh>
    <phoneticPr fontId="1"/>
  </si>
  <si>
    <t>630-1112</t>
    <phoneticPr fontId="1"/>
  </si>
  <si>
    <t>奈良県奈良市南庄町136</t>
    <rPh sb="0" eb="2">
      <t>ナラ</t>
    </rPh>
    <rPh sb="2" eb="3">
      <t>ケン</t>
    </rPh>
    <rPh sb="3" eb="6">
      <t>ナラシ</t>
    </rPh>
    <rPh sb="6" eb="7">
      <t>ミナミ</t>
    </rPh>
    <rPh sb="7" eb="9">
      <t>ショウマチ</t>
    </rPh>
    <phoneticPr fontId="1"/>
  </si>
  <si>
    <t>69.8㎞</t>
    <phoneticPr fontId="1"/>
  </si>
  <si>
    <t>090-8579-0805</t>
    <phoneticPr fontId="1"/>
  </si>
  <si>
    <t>yuich.ito0130@gmail.com</t>
    <phoneticPr fontId="1"/>
  </si>
  <si>
    <t>北條　晃英</t>
    <rPh sb="0" eb="2">
      <t>ホウジョウ</t>
    </rPh>
    <rPh sb="3" eb="5">
      <t>アキヒデ</t>
    </rPh>
    <phoneticPr fontId="1"/>
  </si>
  <si>
    <t>639-2312</t>
    <phoneticPr fontId="1"/>
  </si>
  <si>
    <t>奈良県御所市櫛羅2375</t>
    <rPh sb="0" eb="3">
      <t>ナラケン</t>
    </rPh>
    <rPh sb="3" eb="5">
      <t>ゴショ</t>
    </rPh>
    <rPh sb="5" eb="6">
      <t>シ</t>
    </rPh>
    <rPh sb="6" eb="8">
      <t>クジラ</t>
    </rPh>
    <phoneticPr fontId="1"/>
  </si>
  <si>
    <t>61.8㎞</t>
    <phoneticPr fontId="1"/>
  </si>
  <si>
    <t>090-5019-2553</t>
    <phoneticPr fontId="1"/>
  </si>
  <si>
    <t>田中　健</t>
    <rPh sb="0" eb="2">
      <t>タナカ</t>
    </rPh>
    <rPh sb="3" eb="4">
      <t>ケン</t>
    </rPh>
    <phoneticPr fontId="1"/>
  </si>
  <si>
    <t>547-0011</t>
    <phoneticPr fontId="1"/>
  </si>
  <si>
    <t>大阪府大阪市平野区長吉出戸2-3-36-501</t>
    <rPh sb="0" eb="3">
      <t>オオサカフ</t>
    </rPh>
    <rPh sb="3" eb="6">
      <t>オオサカシ</t>
    </rPh>
    <rPh sb="6" eb="8">
      <t>ヒラノ</t>
    </rPh>
    <rPh sb="8" eb="9">
      <t>ク</t>
    </rPh>
    <rPh sb="9" eb="10">
      <t>ナガ</t>
    </rPh>
    <rPh sb="10" eb="11">
      <t>ヨシ</t>
    </rPh>
    <rPh sb="11" eb="12">
      <t>デ</t>
    </rPh>
    <rPh sb="12" eb="13">
      <t>ト</t>
    </rPh>
    <phoneticPr fontId="1"/>
  </si>
  <si>
    <t>35.5㎞</t>
    <phoneticPr fontId="1"/>
  </si>
  <si>
    <t>090-7348-2688</t>
    <phoneticPr fontId="1"/>
  </si>
  <si>
    <t>大阪府堺市北区南花田町125-23</t>
    <rPh sb="0" eb="3">
      <t>オオサカフ</t>
    </rPh>
    <rPh sb="3" eb="5">
      <t>サカイシ</t>
    </rPh>
    <rPh sb="5" eb="7">
      <t>キタク</t>
    </rPh>
    <rPh sb="7" eb="8">
      <t>ミナミ</t>
    </rPh>
    <rPh sb="8" eb="10">
      <t>ハナダ</t>
    </rPh>
    <rPh sb="10" eb="11">
      <t>チョウ</t>
    </rPh>
    <phoneticPr fontId="1"/>
  </si>
  <si>
    <t>591-8011</t>
    <phoneticPr fontId="1"/>
  </si>
  <si>
    <t>40.0km</t>
    <phoneticPr fontId="1"/>
  </si>
  <si>
    <t>080-1403-8777</t>
    <phoneticPr fontId="1"/>
  </si>
  <si>
    <t>田畑　晃一</t>
    <rPh sb="0" eb="2">
      <t>タバタ</t>
    </rPh>
    <rPh sb="3" eb="5">
      <t>コウイチ</t>
    </rPh>
    <phoneticPr fontId="1"/>
  </si>
  <si>
    <t>591-8021</t>
    <phoneticPr fontId="1"/>
  </si>
  <si>
    <t>大阪府堺市北区新金岡町5-3-323</t>
    <rPh sb="0" eb="3">
      <t>オオサカフ</t>
    </rPh>
    <rPh sb="3" eb="5">
      <t>サカイシ</t>
    </rPh>
    <rPh sb="5" eb="7">
      <t>キタク</t>
    </rPh>
    <rPh sb="7" eb="8">
      <t>シン</t>
    </rPh>
    <rPh sb="8" eb="10">
      <t>カナオカ</t>
    </rPh>
    <rPh sb="10" eb="11">
      <t>チョウ</t>
    </rPh>
    <phoneticPr fontId="1"/>
  </si>
  <si>
    <t>41.9kkm</t>
    <phoneticPr fontId="1"/>
  </si>
  <si>
    <t>090-5884-7781</t>
    <phoneticPr fontId="1"/>
  </si>
  <si>
    <t>前川　幸憲</t>
    <rPh sb="0" eb="2">
      <t>マエカワ</t>
    </rPh>
    <rPh sb="3" eb="5">
      <t>ユキノリ</t>
    </rPh>
    <phoneticPr fontId="1"/>
  </si>
  <si>
    <t>神戸市中央区中山手通2-2-4-1004</t>
    <rPh sb="0" eb="6">
      <t>コウベシチュウオウク</t>
    </rPh>
    <rPh sb="6" eb="7">
      <t>ナカ</t>
    </rPh>
    <rPh sb="7" eb="9">
      <t>ヤマテ</t>
    </rPh>
    <rPh sb="9" eb="10">
      <t>トオ</t>
    </rPh>
    <phoneticPr fontId="1"/>
  </si>
  <si>
    <t>650-0004</t>
    <phoneticPr fontId="1"/>
  </si>
  <si>
    <t>080-7799-0007</t>
    <phoneticPr fontId="1"/>
  </si>
  <si>
    <t>藤田さんご紹介</t>
    <rPh sb="0" eb="2">
      <t>フジタ</t>
    </rPh>
    <rPh sb="5" eb="7">
      <t>ショウカイ</t>
    </rPh>
    <phoneticPr fontId="1"/>
  </si>
  <si>
    <t>岡田　徹</t>
    <rPh sb="0" eb="2">
      <t>オカダ</t>
    </rPh>
    <rPh sb="3" eb="4">
      <t>トオル</t>
    </rPh>
    <phoneticPr fontId="1"/>
  </si>
  <si>
    <t>662-0081</t>
    <phoneticPr fontId="1"/>
  </si>
  <si>
    <t>西宮市苦楽園三番町13-9</t>
    <rPh sb="0" eb="3">
      <t>ニシノミヤシ</t>
    </rPh>
    <rPh sb="3" eb="6">
      <t>クラクエン</t>
    </rPh>
    <rPh sb="6" eb="9">
      <t>サンバンチョウ</t>
    </rPh>
    <phoneticPr fontId="1"/>
  </si>
  <si>
    <t>090-8575-3591</t>
    <phoneticPr fontId="1"/>
  </si>
  <si>
    <t>12.9km</t>
    <phoneticPr fontId="1"/>
  </si>
  <si>
    <t>茶木　才斉</t>
    <rPh sb="0" eb="2">
      <t>チャキ</t>
    </rPh>
    <rPh sb="3" eb="4">
      <t>サイ</t>
    </rPh>
    <rPh sb="4" eb="5">
      <t>セイ</t>
    </rPh>
    <phoneticPr fontId="1"/>
  </si>
  <si>
    <t>進藤　太雅</t>
    <rPh sb="0" eb="2">
      <t>シンドウ</t>
    </rPh>
    <rPh sb="3" eb="5">
      <t>タイガ</t>
    </rPh>
    <phoneticPr fontId="1"/>
  </si>
  <si>
    <t>654-0052</t>
    <phoneticPr fontId="1"/>
  </si>
  <si>
    <t>兵庫県神戸市須磨区行幸町1-4-14-703</t>
  </si>
  <si>
    <t>49.5㎞</t>
    <phoneticPr fontId="1"/>
  </si>
  <si>
    <t>078-739-5050</t>
    <phoneticPr fontId="1"/>
  </si>
  <si>
    <t>井殿さんご紹介</t>
    <rPh sb="0" eb="2">
      <t>イドノ</t>
    </rPh>
    <rPh sb="5" eb="7">
      <t>ショウカイ</t>
    </rPh>
    <phoneticPr fontId="1"/>
  </si>
  <si>
    <t>坂本　徹</t>
    <rPh sb="0" eb="2">
      <t>サカモト</t>
    </rPh>
    <rPh sb="3" eb="4">
      <t>テツ</t>
    </rPh>
    <phoneticPr fontId="1"/>
  </si>
  <si>
    <t>662-0088</t>
    <phoneticPr fontId="1"/>
  </si>
  <si>
    <t>兵庫県西宮市苦楽園四番町24-9</t>
    <rPh sb="0" eb="3">
      <t>ヒョウゴケン</t>
    </rPh>
    <rPh sb="3" eb="6">
      <t>ニシノミヤシ</t>
    </rPh>
    <rPh sb="6" eb="9">
      <t>クラクエン</t>
    </rPh>
    <rPh sb="9" eb="12">
      <t>ヨンバンチョウ</t>
    </rPh>
    <phoneticPr fontId="1"/>
  </si>
  <si>
    <t>13.4㎞</t>
    <phoneticPr fontId="1"/>
  </si>
  <si>
    <t>090-8937-3892</t>
    <phoneticPr fontId="1"/>
  </si>
  <si>
    <t>北六甲岩本支配人のご紹介</t>
    <rPh sb="0" eb="1">
      <t>キタ</t>
    </rPh>
    <rPh sb="1" eb="3">
      <t>ロッコウ</t>
    </rPh>
    <rPh sb="3" eb="5">
      <t>イワモト</t>
    </rPh>
    <rPh sb="5" eb="8">
      <t>シハイニン</t>
    </rPh>
    <rPh sb="10" eb="12">
      <t>ショウカイ</t>
    </rPh>
    <phoneticPr fontId="1"/>
  </si>
  <si>
    <t>濱野　有佑</t>
    <rPh sb="0" eb="2">
      <t>ハマノ</t>
    </rPh>
    <rPh sb="3" eb="4">
      <t>ユウ</t>
    </rPh>
    <rPh sb="4" eb="5">
      <t>ユウ</t>
    </rPh>
    <phoneticPr fontId="1"/>
  </si>
  <si>
    <t>581-0846</t>
    <phoneticPr fontId="1"/>
  </si>
  <si>
    <t>大阪府八尾市上之島町南1-7-3</t>
    <phoneticPr fontId="1"/>
  </si>
  <si>
    <t>40.2㎞</t>
    <phoneticPr fontId="1"/>
  </si>
  <si>
    <t>090-7968-5620</t>
    <phoneticPr fontId="1"/>
  </si>
  <si>
    <t>坂入　由美子</t>
    <rPh sb="0" eb="2">
      <t>サカイリ</t>
    </rPh>
    <rPh sb="3" eb="6">
      <t>ユミコ</t>
    </rPh>
    <phoneticPr fontId="1"/>
  </si>
  <si>
    <t>666-0245</t>
    <phoneticPr fontId="1"/>
  </si>
  <si>
    <t>坂入　隆夫</t>
    <rPh sb="0" eb="2">
      <t>サカイリ</t>
    </rPh>
    <rPh sb="3" eb="5">
      <t>タカオ</t>
    </rPh>
    <phoneticPr fontId="1"/>
  </si>
  <si>
    <t>兵庫県川辺郡猪名川町つつじが丘1-22-7</t>
    <rPh sb="0" eb="3">
      <t>ヒョウゴケン</t>
    </rPh>
    <rPh sb="3" eb="6">
      <t>カワベグン</t>
    </rPh>
    <rPh sb="6" eb="10">
      <t>イナガワチョウ</t>
    </rPh>
    <rPh sb="14" eb="15">
      <t>オカ</t>
    </rPh>
    <phoneticPr fontId="1"/>
  </si>
  <si>
    <t>12.3㎞</t>
    <phoneticPr fontId="1"/>
  </si>
  <si>
    <t>072-766-1952</t>
    <phoneticPr fontId="1"/>
  </si>
  <si>
    <t>会員竹下憲子様のご紹介</t>
    <rPh sb="0" eb="2">
      <t>カイイン</t>
    </rPh>
    <rPh sb="2" eb="4">
      <t>タケシタ</t>
    </rPh>
    <rPh sb="4" eb="5">
      <t>ケン</t>
    </rPh>
    <rPh sb="5" eb="6">
      <t>コ</t>
    </rPh>
    <rPh sb="6" eb="7">
      <t>サマ</t>
    </rPh>
    <rPh sb="9" eb="11">
      <t>ショウカイ</t>
    </rPh>
    <phoneticPr fontId="1"/>
  </si>
  <si>
    <t>清水　雄太</t>
    <rPh sb="0" eb="2">
      <t>シミズ</t>
    </rPh>
    <rPh sb="3" eb="5">
      <t>ユウタ</t>
    </rPh>
    <phoneticPr fontId="1"/>
  </si>
  <si>
    <t>563-043</t>
    <phoneticPr fontId="1"/>
  </si>
  <si>
    <t>大阪府池田市神田3-7-9-103</t>
    <rPh sb="0" eb="2">
      <t>オオサカ</t>
    </rPh>
    <rPh sb="2" eb="3">
      <t>フ</t>
    </rPh>
    <rPh sb="6" eb="8">
      <t>カンダ</t>
    </rPh>
    <phoneticPr fontId="1"/>
  </si>
  <si>
    <t>4.3㎞</t>
    <phoneticPr fontId="1"/>
  </si>
  <si>
    <t>080-5359-9304</t>
    <phoneticPr fontId="1"/>
  </si>
  <si>
    <t>再来店　￥5000オフ</t>
    <rPh sb="0" eb="3">
      <t>サイライテン</t>
    </rPh>
    <phoneticPr fontId="1"/>
  </si>
  <si>
    <t>北川　昴佑</t>
    <rPh sb="0" eb="2">
      <t>キタガワ</t>
    </rPh>
    <rPh sb="3" eb="4">
      <t>スバル</t>
    </rPh>
    <rPh sb="4" eb="5">
      <t>スケ</t>
    </rPh>
    <phoneticPr fontId="1"/>
  </si>
  <si>
    <t>625-0051</t>
    <phoneticPr fontId="1"/>
  </si>
  <si>
    <t>京都府舞鶴市行永東町25-3-102</t>
    <rPh sb="0" eb="3">
      <t>キョウトフ</t>
    </rPh>
    <rPh sb="3" eb="6">
      <t>マイヅルシ</t>
    </rPh>
    <rPh sb="6" eb="7">
      <t>ギョウ</t>
    </rPh>
    <rPh sb="7" eb="8">
      <t>ナガ</t>
    </rPh>
    <rPh sb="8" eb="9">
      <t>ヒガシ</t>
    </rPh>
    <rPh sb="9" eb="10">
      <t>マチ</t>
    </rPh>
    <phoneticPr fontId="1"/>
  </si>
  <si>
    <t>117㎞</t>
    <phoneticPr fontId="1"/>
  </si>
  <si>
    <t>080-5775-8839</t>
    <phoneticPr fontId="1"/>
  </si>
  <si>
    <t>内藤　拓海</t>
    <rPh sb="0" eb="2">
      <t>ナイトウ</t>
    </rPh>
    <rPh sb="3" eb="5">
      <t>タクミ</t>
    </rPh>
    <phoneticPr fontId="1"/>
  </si>
  <si>
    <t>池田市城南3丁目9-9</t>
    <rPh sb="0" eb="3">
      <t>イケダシ</t>
    </rPh>
    <rPh sb="3" eb="5">
      <t>ジョウナン</t>
    </rPh>
    <rPh sb="6" eb="8">
      <t>チョウメ</t>
    </rPh>
    <phoneticPr fontId="1"/>
  </si>
  <si>
    <t>内藤健志会員サマ　ご子息</t>
    <rPh sb="0" eb="2">
      <t>ナイトウ</t>
    </rPh>
    <rPh sb="2" eb="3">
      <t>タケシ</t>
    </rPh>
    <rPh sb="3" eb="4">
      <t>ココロザシ</t>
    </rPh>
    <rPh sb="4" eb="6">
      <t>カイイン</t>
    </rPh>
    <rPh sb="10" eb="12">
      <t>シソク</t>
    </rPh>
    <phoneticPr fontId="1"/>
  </si>
  <si>
    <t>試打5本</t>
    <rPh sb="0" eb="2">
      <t>シダ</t>
    </rPh>
    <rPh sb="3" eb="4">
      <t>ホン</t>
    </rPh>
    <phoneticPr fontId="1"/>
  </si>
  <si>
    <t>棚瀬　善靖</t>
    <rPh sb="0" eb="2">
      <t>タナセ</t>
    </rPh>
    <rPh sb="3" eb="5">
      <t>ヨシヤス</t>
    </rPh>
    <phoneticPr fontId="1"/>
  </si>
  <si>
    <t>大阪府池田市五月丘5-1-30</t>
    <rPh sb="0" eb="3">
      <t>オオサカフ</t>
    </rPh>
    <rPh sb="3" eb="6">
      <t>イケダシ</t>
    </rPh>
    <rPh sb="6" eb="8">
      <t>サツキ</t>
    </rPh>
    <rPh sb="8" eb="9">
      <t>オカ</t>
    </rPh>
    <phoneticPr fontId="1"/>
  </si>
  <si>
    <t>6.9㎞</t>
    <phoneticPr fontId="1"/>
  </si>
  <si>
    <t>setuna0423@yahoo.co.jp</t>
    <phoneticPr fontId="1"/>
  </si>
  <si>
    <t>080-4708-1793</t>
    <phoneticPr fontId="1"/>
  </si>
  <si>
    <t>下垣　昌久</t>
    <rPh sb="0" eb="2">
      <t>シモガキ</t>
    </rPh>
    <rPh sb="3" eb="4">
      <t>マサ</t>
    </rPh>
    <rPh sb="4" eb="5">
      <t>ヒサ</t>
    </rPh>
    <phoneticPr fontId="1"/>
  </si>
  <si>
    <t>663-8114</t>
    <phoneticPr fontId="1"/>
  </si>
  <si>
    <t>兵庫県上甲子園2-3-23-109</t>
    <rPh sb="0" eb="2">
      <t>ヒョウゴ</t>
    </rPh>
    <rPh sb="2" eb="3">
      <t>ケン</t>
    </rPh>
    <rPh sb="3" eb="7">
      <t>カミコウシエン</t>
    </rPh>
    <phoneticPr fontId="1"/>
  </si>
  <si>
    <t>12.0km</t>
    <phoneticPr fontId="1"/>
  </si>
  <si>
    <t>080-1438-5004</t>
    <phoneticPr fontId="1"/>
  </si>
  <si>
    <t>小川　泰史</t>
    <rPh sb="0" eb="2">
      <t>オガワ</t>
    </rPh>
    <rPh sb="3" eb="5">
      <t>ヤスシ</t>
    </rPh>
    <phoneticPr fontId="1"/>
  </si>
  <si>
    <t>640-8137</t>
    <phoneticPr fontId="1"/>
  </si>
  <si>
    <t>和歌山県和歌山市吹上3-1-12</t>
    <rPh sb="0" eb="4">
      <t>ワカヤマケン</t>
    </rPh>
    <rPh sb="4" eb="8">
      <t>ワカヤマシ</t>
    </rPh>
    <rPh sb="8" eb="9">
      <t>フ</t>
    </rPh>
    <rPh sb="9" eb="10">
      <t>カミ</t>
    </rPh>
    <phoneticPr fontId="1"/>
  </si>
  <si>
    <t>101㎞</t>
    <phoneticPr fontId="1"/>
  </si>
  <si>
    <t>090-2107-2129</t>
    <phoneticPr fontId="1"/>
  </si>
  <si>
    <t>ﾌｨｯﾃｨﾝｸﾞ + ﾎﾞｰﾙﾌｨｯﾃｨﾝｸﾞ</t>
    <phoneticPr fontId="1"/>
  </si>
  <si>
    <t>葛井　啓三</t>
    <rPh sb="0" eb="2">
      <t>カツイ</t>
    </rPh>
    <rPh sb="3" eb="5">
      <t>ケイゾウ</t>
    </rPh>
    <phoneticPr fontId="1"/>
  </si>
  <si>
    <t>兵庫県宝塚市平井4-14-3</t>
    <rPh sb="0" eb="3">
      <t>ヒョウゴケン</t>
    </rPh>
    <rPh sb="3" eb="6">
      <t>タカラヅカシ</t>
    </rPh>
    <rPh sb="6" eb="8">
      <t>ヒライ</t>
    </rPh>
    <phoneticPr fontId="1"/>
  </si>
  <si>
    <t>2.4㎞</t>
    <phoneticPr fontId="1"/>
  </si>
  <si>
    <t>090-5901-4718</t>
    <phoneticPr fontId="1"/>
  </si>
  <si>
    <t>社長紹介　¥5000オフ</t>
    <rPh sb="0" eb="2">
      <t>シャチョウ</t>
    </rPh>
    <rPh sb="2" eb="4">
      <t>ショウカイ</t>
    </rPh>
    <phoneticPr fontId="1"/>
  </si>
  <si>
    <t>鍵田　佳成</t>
    <rPh sb="0" eb="1">
      <t>カギ</t>
    </rPh>
    <rPh sb="1" eb="2">
      <t>タ</t>
    </rPh>
    <rPh sb="3" eb="4">
      <t>ヨシ</t>
    </rPh>
    <rPh sb="4" eb="5">
      <t>ナリ</t>
    </rPh>
    <phoneticPr fontId="1"/>
  </si>
  <si>
    <t>662-0083</t>
    <phoneticPr fontId="1"/>
  </si>
  <si>
    <t>兵庫県西宮市苦楽園一番町2-62-305</t>
    <rPh sb="0" eb="3">
      <t>ヒョウゴケン</t>
    </rPh>
    <rPh sb="3" eb="6">
      <t>ニシノミヤシ</t>
    </rPh>
    <rPh sb="6" eb="9">
      <t>クラクエン</t>
    </rPh>
    <rPh sb="9" eb="12">
      <t>イチバンチョウ</t>
    </rPh>
    <phoneticPr fontId="1"/>
  </si>
  <si>
    <t>090-6984-8974</t>
    <phoneticPr fontId="1"/>
  </si>
  <si>
    <t>yoshinari.kagita@gmail.com</t>
    <phoneticPr fontId="1"/>
  </si>
  <si>
    <t>中野　菜穂子</t>
    <rPh sb="0" eb="2">
      <t>ナカノ</t>
    </rPh>
    <rPh sb="3" eb="6">
      <t>ナオコ</t>
    </rPh>
    <phoneticPr fontId="1"/>
  </si>
  <si>
    <t>665-0011</t>
    <phoneticPr fontId="1"/>
  </si>
  <si>
    <t>兵庫県宝塚市南口2-14-5-1201</t>
    <rPh sb="0" eb="3">
      <t>ヒョウゴケン</t>
    </rPh>
    <rPh sb="3" eb="6">
      <t>タカラヅカシ</t>
    </rPh>
    <rPh sb="6" eb="8">
      <t>ミナミグチ</t>
    </rPh>
    <phoneticPr fontId="1"/>
  </si>
  <si>
    <t>090-8799-5215</t>
    <phoneticPr fontId="1"/>
  </si>
  <si>
    <t>胡　英華</t>
    <rPh sb="0" eb="1">
      <t>コ</t>
    </rPh>
    <rPh sb="2" eb="3">
      <t>ヒデ</t>
    </rPh>
    <rPh sb="3" eb="4">
      <t>ハナ</t>
    </rPh>
    <phoneticPr fontId="1"/>
  </si>
  <si>
    <t>大阪府大阪市北区天神橋4-10-10</t>
    <rPh sb="0" eb="2">
      <t>オオサカ</t>
    </rPh>
    <rPh sb="2" eb="3">
      <t>フ</t>
    </rPh>
    <rPh sb="3" eb="6">
      <t>オオサカシ</t>
    </rPh>
    <rPh sb="6" eb="8">
      <t>キタク</t>
    </rPh>
    <rPh sb="8" eb="11">
      <t>テンジンバシ</t>
    </rPh>
    <phoneticPr fontId="1"/>
  </si>
  <si>
    <t>530-0041</t>
    <phoneticPr fontId="1"/>
  </si>
  <si>
    <t>24.3km</t>
    <phoneticPr fontId="1"/>
  </si>
  <si>
    <t>06-6352-4193</t>
    <phoneticPr fontId="1"/>
  </si>
  <si>
    <t>大阪府大阪市北区天神5-1-4</t>
    <rPh sb="0" eb="2">
      <t>オオサカ</t>
    </rPh>
    <rPh sb="2" eb="3">
      <t>フ</t>
    </rPh>
    <rPh sb="3" eb="6">
      <t>オオサカシ</t>
    </rPh>
    <rPh sb="6" eb="8">
      <t>キタク</t>
    </rPh>
    <rPh sb="8" eb="10">
      <t>テンジン</t>
    </rPh>
    <phoneticPr fontId="1"/>
  </si>
  <si>
    <t>23.3km</t>
    <phoneticPr fontId="1"/>
  </si>
  <si>
    <t>090-1886-8881</t>
    <phoneticPr fontId="1"/>
  </si>
  <si>
    <t>kdchao@gmail.com</t>
    <phoneticPr fontId="1"/>
  </si>
  <si>
    <t>茶尾　克仁</t>
    <rPh sb="0" eb="1">
      <t>チャ</t>
    </rPh>
    <rPh sb="1" eb="2">
      <t>オ</t>
    </rPh>
    <rPh sb="3" eb="4">
      <t>カツ</t>
    </rPh>
    <rPh sb="4" eb="5">
      <t>ジン</t>
    </rPh>
    <phoneticPr fontId="1"/>
  </si>
  <si>
    <t>大阪府池田市神田3-19-20</t>
    <rPh sb="0" eb="3">
      <t>オオサカフ</t>
    </rPh>
    <rPh sb="3" eb="6">
      <t>イケダシ</t>
    </rPh>
    <rPh sb="6" eb="8">
      <t>カンダ</t>
    </rPh>
    <phoneticPr fontId="1"/>
  </si>
  <si>
    <t>090-7352-6953</t>
    <phoneticPr fontId="1"/>
  </si>
  <si>
    <t>内海　崇</t>
    <rPh sb="0" eb="2">
      <t>ウツミ</t>
    </rPh>
    <rPh sb="3" eb="4">
      <t>タカシ</t>
    </rPh>
    <phoneticPr fontId="1"/>
  </si>
  <si>
    <t>662-0934</t>
    <phoneticPr fontId="1"/>
  </si>
  <si>
    <t>兵庫県西宮市西宮浜4-10-5-203</t>
    <rPh sb="0" eb="3">
      <t>ヒョウゴケン</t>
    </rPh>
    <rPh sb="3" eb="6">
      <t>ニシノミヤシ</t>
    </rPh>
    <rPh sb="6" eb="8">
      <t>ニシノミヤ</t>
    </rPh>
    <rPh sb="8" eb="9">
      <t>ハマ</t>
    </rPh>
    <phoneticPr fontId="1"/>
  </si>
  <si>
    <t>29.0㎞</t>
    <phoneticPr fontId="1"/>
  </si>
  <si>
    <t>diablo6.out@maia.eonet.ne.jp</t>
    <phoneticPr fontId="1"/>
  </si>
  <si>
    <t>090-1484-0130</t>
    <phoneticPr fontId="1"/>
  </si>
  <si>
    <t>南　聡次</t>
    <rPh sb="0" eb="1">
      <t>ミナミ</t>
    </rPh>
    <rPh sb="2" eb="3">
      <t>サトシ</t>
    </rPh>
    <rPh sb="3" eb="4">
      <t>ツギ</t>
    </rPh>
    <phoneticPr fontId="1"/>
  </si>
  <si>
    <t>792-0824</t>
    <phoneticPr fontId="1"/>
  </si>
  <si>
    <t>愛媛県新居浜市上泉町7-43</t>
    <rPh sb="0" eb="3">
      <t>エヒメケン</t>
    </rPh>
    <rPh sb="3" eb="7">
      <t>ニイハマシ</t>
    </rPh>
    <rPh sb="7" eb="8">
      <t>ウエ</t>
    </rPh>
    <rPh sb="8" eb="9">
      <t>イズミ</t>
    </rPh>
    <rPh sb="9" eb="10">
      <t>チョウ</t>
    </rPh>
    <phoneticPr fontId="1"/>
  </si>
  <si>
    <t>２６０㎞</t>
    <phoneticPr fontId="1"/>
  </si>
  <si>
    <t>kangjionsang324@gmail.com</t>
    <phoneticPr fontId="1"/>
  </si>
  <si>
    <t>090-4506-1877</t>
    <phoneticPr fontId="1"/>
  </si>
  <si>
    <t>佐々木　定洋</t>
    <rPh sb="0" eb="3">
      <t>ササキ</t>
    </rPh>
    <rPh sb="4" eb="6">
      <t>サダヨウ</t>
    </rPh>
    <phoneticPr fontId="1"/>
  </si>
  <si>
    <t>651-1513</t>
    <phoneticPr fontId="1"/>
  </si>
  <si>
    <t>神戸市北区鹿の子台北町1-17-5</t>
    <rPh sb="3" eb="5">
      <t>キタク</t>
    </rPh>
    <rPh sb="5" eb="6">
      <t>カ</t>
    </rPh>
    <rPh sb="7" eb="8">
      <t>コ</t>
    </rPh>
    <rPh sb="8" eb="9">
      <t>ダイ</t>
    </rPh>
    <rPh sb="9" eb="11">
      <t>キタマチ</t>
    </rPh>
    <phoneticPr fontId="1"/>
  </si>
  <si>
    <t>22.4㎞</t>
    <phoneticPr fontId="1"/>
  </si>
  <si>
    <t>teiyou333sada@yahoocojp</t>
    <phoneticPr fontId="1"/>
  </si>
  <si>
    <t>090-8656-4959</t>
    <phoneticPr fontId="1"/>
  </si>
  <si>
    <t>真鍋　喜代文</t>
    <rPh sb="0" eb="2">
      <t>マナベ</t>
    </rPh>
    <rPh sb="3" eb="4">
      <t>キ</t>
    </rPh>
    <rPh sb="4" eb="5">
      <t>ヨ</t>
    </rPh>
    <rPh sb="5" eb="6">
      <t>フミ</t>
    </rPh>
    <phoneticPr fontId="1"/>
  </si>
  <si>
    <t>田中　維知子　</t>
    <rPh sb="0" eb="2">
      <t>タナカ</t>
    </rPh>
    <rPh sb="3" eb="4">
      <t>イ</t>
    </rPh>
    <rPh sb="4" eb="5">
      <t>チ</t>
    </rPh>
    <rPh sb="5" eb="6">
      <t>コ</t>
    </rPh>
    <phoneticPr fontId="1"/>
  </si>
  <si>
    <t>4.1㎞</t>
    <phoneticPr fontId="1"/>
  </si>
  <si>
    <t>5.2㎞</t>
    <phoneticPr fontId="1"/>
  </si>
  <si>
    <t>2.8㎞</t>
    <phoneticPr fontId="1"/>
  </si>
  <si>
    <t>1.5㎞</t>
    <phoneticPr fontId="1"/>
  </si>
  <si>
    <t>関　武士</t>
    <rPh sb="0" eb="1">
      <t>セキ</t>
    </rPh>
    <rPh sb="2" eb="4">
      <t>ブシ</t>
    </rPh>
    <phoneticPr fontId="1"/>
  </si>
  <si>
    <t>宝塚市すみれが丘3-3-1-1605</t>
    <rPh sb="0" eb="3">
      <t>タカラヅカシ</t>
    </rPh>
    <rPh sb="7" eb="8">
      <t>オカ</t>
    </rPh>
    <phoneticPr fontId="1"/>
  </si>
  <si>
    <t>takesi-seki@mitaka-soko.co.jp</t>
    <phoneticPr fontId="1"/>
  </si>
  <si>
    <t>080-3464-0343</t>
    <phoneticPr fontId="1"/>
  </si>
  <si>
    <t>5.4㎞</t>
    <phoneticPr fontId="1"/>
  </si>
  <si>
    <t>安冨　治長</t>
    <rPh sb="0" eb="2">
      <t>ヤストミ</t>
    </rPh>
    <rPh sb="3" eb="5">
      <t>ハルナガ</t>
    </rPh>
    <phoneticPr fontId="1"/>
  </si>
  <si>
    <t>560-0002</t>
    <phoneticPr fontId="1"/>
  </si>
  <si>
    <t>大阪府豊中市緑が丘4-5-12-1</t>
    <rPh sb="0" eb="3">
      <t>オオサカフ</t>
    </rPh>
    <rPh sb="3" eb="6">
      <t>トヨナカシ</t>
    </rPh>
    <rPh sb="6" eb="7">
      <t>ミドリ</t>
    </rPh>
    <rPh sb="8" eb="9">
      <t>オカ</t>
    </rPh>
    <phoneticPr fontId="1"/>
  </si>
  <si>
    <t>harunaga.yakuvi@gmail.com</t>
    <phoneticPr fontId="1"/>
  </si>
  <si>
    <t>080-3764-4998</t>
    <phoneticPr fontId="1"/>
  </si>
  <si>
    <t>宮田　友史</t>
    <rPh sb="0" eb="2">
      <t>ミヤタ</t>
    </rPh>
    <rPh sb="3" eb="5">
      <t>トモフミ</t>
    </rPh>
    <phoneticPr fontId="1"/>
  </si>
  <si>
    <t>伊丹市荻野4-40-3</t>
    <rPh sb="0" eb="3">
      <t>イタミシ</t>
    </rPh>
    <rPh sb="3" eb="5">
      <t>オギノ</t>
    </rPh>
    <phoneticPr fontId="1"/>
  </si>
  <si>
    <t>090-1588-3905</t>
    <phoneticPr fontId="1"/>
  </si>
  <si>
    <t>アンケート→ご入会</t>
    <rPh sb="7" eb="9">
      <t>ニュウカイ</t>
    </rPh>
    <phoneticPr fontId="1"/>
  </si>
  <si>
    <t>沖永　剛志</t>
    <rPh sb="0" eb="2">
      <t>オキナガ</t>
    </rPh>
    <rPh sb="3" eb="4">
      <t>ゴウ</t>
    </rPh>
    <rPh sb="4" eb="5">
      <t>シ</t>
    </rPh>
    <phoneticPr fontId="1"/>
  </si>
  <si>
    <t>590-0074</t>
    <phoneticPr fontId="1"/>
  </si>
  <si>
    <t>大阪府堺市堺区北花田口町3-1-3-1301</t>
    <rPh sb="0" eb="3">
      <t>オオサカフ</t>
    </rPh>
    <rPh sb="3" eb="5">
      <t>サカイシ</t>
    </rPh>
    <rPh sb="5" eb="7">
      <t>サカイク</t>
    </rPh>
    <rPh sb="7" eb="10">
      <t>キタハナダ</t>
    </rPh>
    <rPh sb="10" eb="11">
      <t>クチ</t>
    </rPh>
    <rPh sb="11" eb="12">
      <t>チョウ</t>
    </rPh>
    <phoneticPr fontId="1"/>
  </si>
  <si>
    <t>37.6km</t>
    <phoneticPr fontId="1"/>
  </si>
  <si>
    <t>okinagat@yahoo.co.jp</t>
    <phoneticPr fontId="1"/>
  </si>
  <si>
    <t>090-7366-8701</t>
    <phoneticPr fontId="1"/>
  </si>
  <si>
    <t>再来店 10％オフ</t>
    <rPh sb="0" eb="3">
      <t>サイライテン</t>
    </rPh>
    <phoneticPr fontId="1"/>
  </si>
  <si>
    <t>寿　福子</t>
    <rPh sb="0" eb="1">
      <t>コトブキ</t>
    </rPh>
    <rPh sb="2" eb="3">
      <t>フク</t>
    </rPh>
    <rPh sb="3" eb="4">
      <t>コ</t>
    </rPh>
    <phoneticPr fontId="1"/>
  </si>
  <si>
    <t>531-0073</t>
    <phoneticPr fontId="1"/>
  </si>
  <si>
    <t>大阪府大阪市北区本庄西1-1-7シティータワー梅田東3903</t>
    <rPh sb="0" eb="3">
      <t>オオサカフ</t>
    </rPh>
    <rPh sb="3" eb="6">
      <t>オオサカシ</t>
    </rPh>
    <rPh sb="6" eb="8">
      <t>キタク</t>
    </rPh>
    <rPh sb="8" eb="10">
      <t>ホンジョウ</t>
    </rPh>
    <rPh sb="10" eb="11">
      <t>ニシ</t>
    </rPh>
    <rPh sb="23" eb="25">
      <t>ウメダ</t>
    </rPh>
    <rPh sb="25" eb="26">
      <t>ヒガシ</t>
    </rPh>
    <phoneticPr fontId="1"/>
  </si>
  <si>
    <t>080-3829-2718</t>
    <phoneticPr fontId="1"/>
  </si>
  <si>
    <t>21.8㎞</t>
    <phoneticPr fontId="1"/>
  </si>
  <si>
    <t>小川　欣哉</t>
    <rPh sb="0" eb="2">
      <t>オガワ</t>
    </rPh>
    <rPh sb="3" eb="5">
      <t>キンヤ</t>
    </rPh>
    <phoneticPr fontId="1"/>
  </si>
  <si>
    <t>666-0004</t>
    <phoneticPr fontId="1"/>
  </si>
  <si>
    <t>兵庫県川西市萩原1-11-29</t>
    <rPh sb="0" eb="3">
      <t>ヒョウゴケン</t>
    </rPh>
    <rPh sb="3" eb="6">
      <t>カワニシシ</t>
    </rPh>
    <rPh sb="6" eb="8">
      <t>ハギワラ</t>
    </rPh>
    <phoneticPr fontId="1"/>
  </si>
  <si>
    <t>080-3805-9012</t>
    <phoneticPr fontId="1"/>
  </si>
  <si>
    <t>野間　秀顕</t>
    <rPh sb="0" eb="2">
      <t>ノマ</t>
    </rPh>
    <rPh sb="3" eb="4">
      <t>ヒデ</t>
    </rPh>
    <rPh sb="4" eb="5">
      <t>アキラ</t>
    </rPh>
    <phoneticPr fontId="1"/>
  </si>
  <si>
    <t>563-0258</t>
    <phoneticPr fontId="1"/>
  </si>
  <si>
    <t>兵庫県箕面市森町南1-18-23</t>
    <rPh sb="0" eb="3">
      <t>ヒョウゴケン</t>
    </rPh>
    <rPh sb="3" eb="6">
      <t>ミノオシ</t>
    </rPh>
    <rPh sb="6" eb="8">
      <t>モリマチ</t>
    </rPh>
    <rPh sb="8" eb="9">
      <t>ミナミ</t>
    </rPh>
    <phoneticPr fontId="1"/>
  </si>
  <si>
    <t>記載なし</t>
    <rPh sb="0" eb="2">
      <t>キサイ</t>
    </rPh>
    <phoneticPr fontId="1"/>
  </si>
  <si>
    <t>20.2km</t>
    <phoneticPr fontId="1"/>
  </si>
  <si>
    <t>小杉　啓生</t>
    <rPh sb="0" eb="2">
      <t>コスギ</t>
    </rPh>
    <rPh sb="3" eb="4">
      <t>ケイ</t>
    </rPh>
    <rPh sb="4" eb="5">
      <t>ショウ</t>
    </rPh>
    <phoneticPr fontId="1"/>
  </si>
  <si>
    <t>562-0035</t>
    <phoneticPr fontId="1"/>
  </si>
  <si>
    <t>兵庫県箕面市船場東1-10-1</t>
    <rPh sb="0" eb="3">
      <t>ヒョウゴケン</t>
    </rPh>
    <rPh sb="3" eb="6">
      <t>ミノオシ</t>
    </rPh>
    <rPh sb="6" eb="9">
      <t>センバヒガシ</t>
    </rPh>
    <phoneticPr fontId="1"/>
  </si>
  <si>
    <t>080-2530-9198</t>
    <phoneticPr fontId="1"/>
  </si>
  <si>
    <t>シュミレーションご利用</t>
    <rPh sb="9" eb="11">
      <t>リヨウ</t>
    </rPh>
    <phoneticPr fontId="1"/>
  </si>
  <si>
    <t>小林　一葉</t>
    <rPh sb="0" eb="2">
      <t>コバヤシ</t>
    </rPh>
    <rPh sb="3" eb="5">
      <t>カズハ</t>
    </rPh>
    <phoneticPr fontId="1"/>
  </si>
  <si>
    <t>556-0022</t>
    <phoneticPr fontId="1"/>
  </si>
  <si>
    <t>大阪市浪速区桜川1-7-10-502</t>
    <rPh sb="0" eb="3">
      <t>オオサカシ</t>
    </rPh>
    <rPh sb="3" eb="6">
      <t>ナニワク</t>
    </rPh>
    <rPh sb="6" eb="8">
      <t>サクラガワ</t>
    </rPh>
    <phoneticPr fontId="1"/>
  </si>
  <si>
    <t>090-8368-1230</t>
    <phoneticPr fontId="1"/>
  </si>
  <si>
    <t>小野　千鶴子</t>
    <rPh sb="0" eb="2">
      <t>オノ</t>
    </rPh>
    <rPh sb="3" eb="6">
      <t>チヅコ</t>
    </rPh>
    <phoneticPr fontId="1"/>
  </si>
  <si>
    <t>兵庫県宝塚市中山桜台6-9-7</t>
    <rPh sb="0" eb="3">
      <t>ヒョウゴケン</t>
    </rPh>
    <rPh sb="3" eb="6">
      <t>タカラヅカシ</t>
    </rPh>
    <rPh sb="6" eb="8">
      <t>ナカヤマ</t>
    </rPh>
    <rPh sb="8" eb="10">
      <t>サクラダイ</t>
    </rPh>
    <phoneticPr fontId="1"/>
  </si>
  <si>
    <t>senharu26@gmail.com</t>
    <phoneticPr fontId="1"/>
  </si>
  <si>
    <t>090-8578-0269</t>
    <phoneticPr fontId="1"/>
  </si>
  <si>
    <t>乾　由紀</t>
    <rPh sb="0" eb="1">
      <t>イヌイ</t>
    </rPh>
    <rPh sb="2" eb="4">
      <t>ユキ</t>
    </rPh>
    <phoneticPr fontId="1"/>
  </si>
  <si>
    <t>563-0054</t>
    <phoneticPr fontId="1"/>
  </si>
  <si>
    <t>大阪府池田市大和町4-9-301</t>
    <rPh sb="0" eb="3">
      <t>オオサカフ</t>
    </rPh>
    <rPh sb="3" eb="6">
      <t>イケダシ</t>
    </rPh>
    <rPh sb="6" eb="8">
      <t>ヤマト</t>
    </rPh>
    <rPh sb="8" eb="9">
      <t>チョウ</t>
    </rPh>
    <phoneticPr fontId="1"/>
  </si>
  <si>
    <t>4.4㎞</t>
    <phoneticPr fontId="1"/>
  </si>
  <si>
    <t>0ru25w05789086y@gmail.com</t>
    <phoneticPr fontId="1"/>
  </si>
  <si>
    <t>090-5056-0408</t>
    <phoneticPr fontId="1"/>
  </si>
  <si>
    <t>森本　敦子</t>
    <rPh sb="0" eb="2">
      <t>モリモト</t>
    </rPh>
    <rPh sb="3" eb="5">
      <t>アツコ</t>
    </rPh>
    <phoneticPr fontId="1"/>
  </si>
  <si>
    <t>4.9㎞</t>
    <phoneticPr fontId="1"/>
  </si>
  <si>
    <t>080-5685-0742</t>
    <phoneticPr fontId="1"/>
  </si>
  <si>
    <t>ビジター打席利用</t>
    <rPh sb="4" eb="6">
      <t>ダセキ</t>
    </rPh>
    <rPh sb="6" eb="8">
      <t>リヨウ</t>
    </rPh>
    <phoneticPr fontId="1"/>
  </si>
  <si>
    <t>池田　隆一</t>
    <rPh sb="0" eb="2">
      <t>イケダ</t>
    </rPh>
    <rPh sb="3" eb="5">
      <t>リュウイチ</t>
    </rPh>
    <phoneticPr fontId="1"/>
  </si>
  <si>
    <t>639-2145</t>
    <phoneticPr fontId="1"/>
  </si>
  <si>
    <t>奈良県葛城市大屋160-5</t>
    <rPh sb="0" eb="3">
      <t>ナラケン</t>
    </rPh>
    <rPh sb="3" eb="6">
      <t>カツラギシ</t>
    </rPh>
    <rPh sb="6" eb="8">
      <t>オオヤ</t>
    </rPh>
    <phoneticPr fontId="1"/>
  </si>
  <si>
    <t>59.7㎞</t>
    <phoneticPr fontId="1"/>
  </si>
  <si>
    <t>090-5068-7010</t>
    <phoneticPr fontId="1"/>
  </si>
  <si>
    <t>志野さん知人￥5000OFF</t>
    <rPh sb="0" eb="2">
      <t>シノ</t>
    </rPh>
    <rPh sb="4" eb="6">
      <t>チジン</t>
    </rPh>
    <phoneticPr fontId="1"/>
  </si>
  <si>
    <t>内藤　圭太</t>
    <rPh sb="0" eb="2">
      <t>ナイトウ</t>
    </rPh>
    <rPh sb="3" eb="5">
      <t>ケイタ</t>
    </rPh>
    <phoneticPr fontId="1"/>
  </si>
  <si>
    <t>森井　啓益</t>
    <rPh sb="0" eb="2">
      <t>モリイ</t>
    </rPh>
    <rPh sb="3" eb="4">
      <t>ケイ</t>
    </rPh>
    <rPh sb="4" eb="5">
      <t>ヤク</t>
    </rPh>
    <phoneticPr fontId="1"/>
  </si>
  <si>
    <t>639-2112</t>
    <phoneticPr fontId="1"/>
  </si>
  <si>
    <t>奈良県葛城市笛堂467-22</t>
    <rPh sb="0" eb="3">
      <t>ナラケン</t>
    </rPh>
    <rPh sb="3" eb="6">
      <t>カツラギシ</t>
    </rPh>
    <rPh sb="6" eb="7">
      <t>フエ</t>
    </rPh>
    <rPh sb="7" eb="8">
      <t>ドウ</t>
    </rPh>
    <phoneticPr fontId="1"/>
  </si>
  <si>
    <t>64㎞</t>
    <phoneticPr fontId="1"/>
  </si>
  <si>
    <t>5.3㎞</t>
    <phoneticPr fontId="1"/>
  </si>
  <si>
    <t>0745-69-5949</t>
    <phoneticPr fontId="1"/>
  </si>
  <si>
    <t>関岡　直也</t>
    <rPh sb="0" eb="2">
      <t>セキオカ</t>
    </rPh>
    <rPh sb="3" eb="4">
      <t>ナオ</t>
    </rPh>
    <rPh sb="4" eb="5">
      <t>ヤ</t>
    </rPh>
    <phoneticPr fontId="1"/>
  </si>
  <si>
    <t>530-0091</t>
    <phoneticPr fontId="1"/>
  </si>
  <si>
    <t>大阪府大阪市北区天神橋1-11-14-902号</t>
    <rPh sb="0" eb="3">
      <t>オオサカフ</t>
    </rPh>
    <rPh sb="3" eb="6">
      <t>オオサカシ</t>
    </rPh>
    <rPh sb="6" eb="8">
      <t>キタク</t>
    </rPh>
    <rPh sb="8" eb="11">
      <t>テンジンバシ</t>
    </rPh>
    <rPh sb="22" eb="23">
      <t>ゴウ</t>
    </rPh>
    <phoneticPr fontId="1"/>
  </si>
  <si>
    <t>080-6860-0732</t>
    <phoneticPr fontId="1"/>
  </si>
  <si>
    <t>阪井　裕貴</t>
    <rPh sb="0" eb="2">
      <t>サカイ</t>
    </rPh>
    <rPh sb="3" eb="5">
      <t>ユウキ</t>
    </rPh>
    <phoneticPr fontId="1"/>
  </si>
  <si>
    <t>581-0856</t>
    <phoneticPr fontId="1"/>
  </si>
  <si>
    <t>大阪府八尾市水越3-98-2</t>
    <rPh sb="0" eb="3">
      <t>オオサカフ</t>
    </rPh>
    <rPh sb="3" eb="6">
      <t>ヤオシ</t>
    </rPh>
    <rPh sb="6" eb="8">
      <t>ミズコシ</t>
    </rPh>
    <phoneticPr fontId="1"/>
  </si>
  <si>
    <t>39.6㎞</t>
    <phoneticPr fontId="1"/>
  </si>
  <si>
    <t>080-2477-4889</t>
    <phoneticPr fontId="1"/>
  </si>
  <si>
    <t>北井　雄大</t>
    <rPh sb="0" eb="2">
      <t>キタイ</t>
    </rPh>
    <rPh sb="3" eb="4">
      <t>ユウ</t>
    </rPh>
    <rPh sb="4" eb="5">
      <t>ダイ</t>
    </rPh>
    <phoneticPr fontId="1"/>
  </si>
  <si>
    <t>530-0054</t>
    <phoneticPr fontId="1"/>
  </si>
  <si>
    <t>大阪府大阪市北区南森町町2-3-8-1103</t>
    <rPh sb="0" eb="3">
      <t>オオサカフ</t>
    </rPh>
    <rPh sb="3" eb="6">
      <t>オオサカシ</t>
    </rPh>
    <rPh sb="6" eb="8">
      <t>キタク</t>
    </rPh>
    <rPh sb="8" eb="9">
      <t>ミナミ</t>
    </rPh>
    <rPh sb="9" eb="11">
      <t>モリマチ</t>
    </rPh>
    <rPh sb="11" eb="12">
      <t>チョウ</t>
    </rPh>
    <phoneticPr fontId="1"/>
  </si>
  <si>
    <t>24.6㎞</t>
    <phoneticPr fontId="1"/>
  </si>
  <si>
    <t>t.kitai@teams-tax.com</t>
    <phoneticPr fontId="1"/>
  </si>
  <si>
    <t>090-5961-0349</t>
    <phoneticPr fontId="1"/>
  </si>
  <si>
    <t>社長紹介 ￥2750で2コマ</t>
    <rPh sb="0" eb="2">
      <t>シャチョウ</t>
    </rPh>
    <rPh sb="2" eb="4">
      <t>ショウカイ</t>
    </rPh>
    <phoneticPr fontId="1"/>
  </si>
  <si>
    <t>井上　智旺</t>
    <rPh sb="0" eb="2">
      <t>イノウエ</t>
    </rPh>
    <rPh sb="3" eb="4">
      <t>チ</t>
    </rPh>
    <rPh sb="4" eb="5">
      <t>オウ</t>
    </rPh>
    <phoneticPr fontId="1"/>
  </si>
  <si>
    <t>666-0126</t>
    <phoneticPr fontId="1"/>
  </si>
  <si>
    <t>兵庫県川西市多田院2-19-13</t>
    <rPh sb="0" eb="3">
      <t>ヒョウゴケン</t>
    </rPh>
    <rPh sb="3" eb="6">
      <t>カワニシシ</t>
    </rPh>
    <rPh sb="6" eb="8">
      <t>タダ</t>
    </rPh>
    <rPh sb="8" eb="9">
      <t>イン</t>
    </rPh>
    <phoneticPr fontId="1"/>
  </si>
  <si>
    <t>8.8㎞</t>
    <phoneticPr fontId="1"/>
  </si>
  <si>
    <t>090-8163-3370</t>
    <phoneticPr fontId="1"/>
  </si>
  <si>
    <t>竹内　明</t>
    <rPh sb="0" eb="2">
      <t>タケウチ</t>
    </rPh>
    <rPh sb="3" eb="4">
      <t>アキラ</t>
    </rPh>
    <phoneticPr fontId="1"/>
  </si>
  <si>
    <t>兵庫県川西市花屋敷3-1-29-502</t>
    <rPh sb="0" eb="3">
      <t>ヒョウゴケン</t>
    </rPh>
    <rPh sb="3" eb="6">
      <t>カワニシシ</t>
    </rPh>
    <rPh sb="6" eb="9">
      <t>ハナヤシキ</t>
    </rPh>
    <phoneticPr fontId="1"/>
  </si>
  <si>
    <t>080-4768-2951</t>
    <phoneticPr fontId="1"/>
  </si>
  <si>
    <t>take2951@icloud.com</t>
    <phoneticPr fontId="1"/>
  </si>
  <si>
    <t>紹介プロ利用（小川うらら）</t>
    <rPh sb="0" eb="2">
      <t>ショウカイ</t>
    </rPh>
    <rPh sb="4" eb="6">
      <t>リヨウ</t>
    </rPh>
    <rPh sb="7" eb="9">
      <t>オガワ</t>
    </rPh>
    <phoneticPr fontId="1"/>
  </si>
  <si>
    <t>ビジター打席</t>
    <rPh sb="4" eb="6">
      <t>ダセキ</t>
    </rPh>
    <phoneticPr fontId="1"/>
  </si>
  <si>
    <t>会員家族</t>
    <rPh sb="0" eb="2">
      <t>カイイン</t>
    </rPh>
    <rPh sb="2" eb="4">
      <t>カゾク</t>
    </rPh>
    <phoneticPr fontId="1"/>
  </si>
  <si>
    <t>長岡　由剛</t>
    <rPh sb="0" eb="2">
      <t>ナガオカ</t>
    </rPh>
    <rPh sb="3" eb="4">
      <t>ユ</t>
    </rPh>
    <rPh sb="4" eb="5">
      <t>ゴウ</t>
    </rPh>
    <phoneticPr fontId="1"/>
  </si>
  <si>
    <t>兵庫県宝塚市川面5-15-14-409</t>
    <rPh sb="0" eb="3">
      <t>ヒョウゴケン</t>
    </rPh>
    <rPh sb="3" eb="6">
      <t>タカラヅカシ</t>
    </rPh>
    <rPh sb="6" eb="7">
      <t>カワ</t>
    </rPh>
    <rPh sb="7" eb="8">
      <t>メン</t>
    </rPh>
    <phoneticPr fontId="1"/>
  </si>
  <si>
    <t>090-5369-9244</t>
    <phoneticPr fontId="1"/>
  </si>
  <si>
    <t>3.1㎞</t>
    <phoneticPr fontId="1"/>
  </si>
  <si>
    <t>石田　亜里沙</t>
    <rPh sb="0" eb="2">
      <t>イシダ</t>
    </rPh>
    <rPh sb="3" eb="6">
      <t>アリサ</t>
    </rPh>
    <phoneticPr fontId="1"/>
  </si>
  <si>
    <t>630-8246</t>
    <phoneticPr fontId="1"/>
  </si>
  <si>
    <t>奈良県奈良市油阪地方町1-1-802</t>
    <rPh sb="0" eb="2">
      <t>ナラ</t>
    </rPh>
    <phoneticPr fontId="1"/>
  </si>
  <si>
    <t>52.6㎞</t>
    <phoneticPr fontId="1"/>
  </si>
  <si>
    <t>080-5321-0317</t>
    <phoneticPr fontId="1"/>
  </si>
  <si>
    <t>北井様がお支払い</t>
    <rPh sb="0" eb="2">
      <t>キタイ</t>
    </rPh>
    <rPh sb="2" eb="3">
      <t>サマ</t>
    </rPh>
    <rPh sb="5" eb="7">
      <t>シハラ</t>
    </rPh>
    <phoneticPr fontId="1"/>
  </si>
  <si>
    <t>吉俣　茂</t>
    <rPh sb="0" eb="2">
      <t>ヨシマタ</t>
    </rPh>
    <rPh sb="3" eb="4">
      <t>シゲル</t>
    </rPh>
    <phoneticPr fontId="1"/>
  </si>
  <si>
    <t>665-0801</t>
    <phoneticPr fontId="1"/>
  </si>
  <si>
    <t>兵庫県宝塚市花屋敷松が丘8-11</t>
    <rPh sb="0" eb="3">
      <t>ヒョウゴケン</t>
    </rPh>
    <rPh sb="3" eb="5">
      <t>タカラヅカ</t>
    </rPh>
    <rPh sb="5" eb="6">
      <t>シ</t>
    </rPh>
    <rPh sb="6" eb="9">
      <t>ハナヤシキ</t>
    </rPh>
    <rPh sb="9" eb="10">
      <t>マツ</t>
    </rPh>
    <rPh sb="11" eb="12">
      <t>オカ</t>
    </rPh>
    <phoneticPr fontId="1"/>
  </si>
  <si>
    <t>5.0㎞</t>
    <phoneticPr fontId="1"/>
  </si>
  <si>
    <t>090-3169-6708</t>
    <phoneticPr fontId="1"/>
  </si>
  <si>
    <t>井上　竜太</t>
    <rPh sb="0" eb="2">
      <t>イノウエ</t>
    </rPh>
    <rPh sb="3" eb="5">
      <t>リュウタ</t>
    </rPh>
    <phoneticPr fontId="1"/>
  </si>
  <si>
    <t>兵庫県宝塚市南口2-14-3-1301 宝塚タワー</t>
    <rPh sb="0" eb="3">
      <t>ヒョウゴケン</t>
    </rPh>
    <rPh sb="3" eb="6">
      <t>タカラヅカシ</t>
    </rPh>
    <rPh sb="6" eb="7">
      <t>ミナミ</t>
    </rPh>
    <rPh sb="7" eb="8">
      <t>クチ</t>
    </rPh>
    <rPh sb="20" eb="22">
      <t>タカラヅカ</t>
    </rPh>
    <phoneticPr fontId="1"/>
  </si>
  <si>
    <t>5.7㎞</t>
    <phoneticPr fontId="1"/>
  </si>
  <si>
    <t>090-3704-8153</t>
    <phoneticPr fontId="1"/>
  </si>
  <si>
    <t>社長紹介</t>
    <rPh sb="0" eb="2">
      <t>シャチョウ</t>
    </rPh>
    <rPh sb="2" eb="4">
      <t>ショウカイ</t>
    </rPh>
    <phoneticPr fontId="1"/>
  </si>
  <si>
    <t>ビジター2回目</t>
    <rPh sb="5" eb="7">
      <t>カイメ</t>
    </rPh>
    <phoneticPr fontId="1"/>
  </si>
  <si>
    <t>ビジター２回目</t>
    <rPh sb="5" eb="7">
      <t>カイメ</t>
    </rPh>
    <phoneticPr fontId="1"/>
  </si>
  <si>
    <t>西牟田　勇気</t>
    <rPh sb="0" eb="3">
      <t>ニシムタ</t>
    </rPh>
    <rPh sb="4" eb="6">
      <t>ユウキ</t>
    </rPh>
    <phoneticPr fontId="1"/>
  </si>
  <si>
    <t>080-3844-4927</t>
    <phoneticPr fontId="1"/>
  </si>
  <si>
    <t>664-0847</t>
    <phoneticPr fontId="1"/>
  </si>
  <si>
    <t>伊丹市藤ノ木3-1-3-801</t>
    <rPh sb="0" eb="3">
      <t>イタミシ</t>
    </rPh>
    <rPh sb="3" eb="4">
      <t>フジ</t>
    </rPh>
    <rPh sb="5" eb="6">
      <t>キ</t>
    </rPh>
    <phoneticPr fontId="1"/>
  </si>
  <si>
    <t>体験+フィッティング</t>
    <rPh sb="0" eb="2">
      <t>タイケン</t>
    </rPh>
    <phoneticPr fontId="1"/>
  </si>
  <si>
    <t>ビジター3回目</t>
    <rPh sb="5" eb="7">
      <t>カイメ</t>
    </rPh>
    <phoneticPr fontId="1"/>
  </si>
  <si>
    <t>佐藤　正博</t>
    <rPh sb="0" eb="2">
      <t>サトウ</t>
    </rPh>
    <rPh sb="3" eb="5">
      <t>マサヒロ</t>
    </rPh>
    <phoneticPr fontId="1"/>
  </si>
  <si>
    <t>651-0093</t>
    <phoneticPr fontId="1"/>
  </si>
  <si>
    <t>兵庫県神戸市中央区二宮町1-14-27-201</t>
    <rPh sb="0" eb="3">
      <t>ヒョウゴケン</t>
    </rPh>
    <rPh sb="3" eb="6">
      <t>コウベシ</t>
    </rPh>
    <rPh sb="6" eb="9">
      <t>チュウオウク</t>
    </rPh>
    <rPh sb="9" eb="12">
      <t>ニノミヤチョウ</t>
    </rPh>
    <phoneticPr fontId="1"/>
  </si>
  <si>
    <t>37.3㎞</t>
    <phoneticPr fontId="1"/>
  </si>
  <si>
    <t>090-3941-9065</t>
    <phoneticPr fontId="1"/>
  </si>
  <si>
    <t>m-sato@zephyr.dti.ne.jp</t>
    <phoneticPr fontId="1"/>
  </si>
  <si>
    <t>090-7491-7332</t>
    <phoneticPr fontId="1"/>
  </si>
  <si>
    <t>横山　俊介</t>
    <rPh sb="0" eb="2">
      <t>ヨコヤマ</t>
    </rPh>
    <rPh sb="3" eb="5">
      <t>シュンスケ</t>
    </rPh>
    <phoneticPr fontId="1"/>
  </si>
  <si>
    <t>兵庫県宝塚市雲雀丘1-5-21-402</t>
    <rPh sb="0" eb="3">
      <t>ヒョウゴケン</t>
    </rPh>
    <rPh sb="3" eb="6">
      <t>タカラヅカシ</t>
    </rPh>
    <rPh sb="6" eb="9">
      <t>ヒバリガオカ</t>
    </rPh>
    <phoneticPr fontId="1"/>
  </si>
  <si>
    <t>3.3㎞</t>
    <phoneticPr fontId="1"/>
  </si>
  <si>
    <t>笹部　雄亮</t>
    <rPh sb="0" eb="2">
      <t>ササベ</t>
    </rPh>
    <rPh sb="3" eb="4">
      <t>ユウ</t>
    </rPh>
    <rPh sb="4" eb="5">
      <t>リョウ</t>
    </rPh>
    <phoneticPr fontId="1"/>
  </si>
  <si>
    <t>580-0003</t>
    <phoneticPr fontId="1"/>
  </si>
  <si>
    <t>大阪府松原市一津屋4-6-32</t>
    <rPh sb="0" eb="3">
      <t>オオサカフ</t>
    </rPh>
    <rPh sb="3" eb="6">
      <t>マツバラシ</t>
    </rPh>
    <rPh sb="6" eb="7">
      <t>イチ</t>
    </rPh>
    <rPh sb="7" eb="9">
      <t>ツヤ</t>
    </rPh>
    <phoneticPr fontId="1"/>
  </si>
  <si>
    <t>46.1㎞</t>
    <phoneticPr fontId="1"/>
  </si>
  <si>
    <t>080-3831-9015</t>
    <phoneticPr fontId="1"/>
  </si>
  <si>
    <t>大西　良典</t>
    <rPh sb="0" eb="2">
      <t>オオニシ</t>
    </rPh>
    <rPh sb="3" eb="4">
      <t>ヨ</t>
    </rPh>
    <rPh sb="4" eb="5">
      <t>ノリ</t>
    </rPh>
    <phoneticPr fontId="1"/>
  </si>
  <si>
    <t>658-0012</t>
    <phoneticPr fontId="1"/>
  </si>
  <si>
    <t>兵庫県神戸市東灘区本庄町2-12-12</t>
    <rPh sb="0" eb="3">
      <t>ヒョウゴケン</t>
    </rPh>
    <rPh sb="3" eb="5">
      <t>コウベ</t>
    </rPh>
    <rPh sb="5" eb="6">
      <t>シ</t>
    </rPh>
    <rPh sb="6" eb="9">
      <t>ヒガシナダク</t>
    </rPh>
    <rPh sb="9" eb="11">
      <t>ホンジョウ</t>
    </rPh>
    <rPh sb="11" eb="12">
      <t>マチ</t>
    </rPh>
    <phoneticPr fontId="1"/>
  </si>
  <si>
    <t>090-3720-7746</t>
    <phoneticPr fontId="1"/>
  </si>
  <si>
    <t>藤田さん紹介　10％OFF</t>
    <rPh sb="0" eb="2">
      <t>フジタ</t>
    </rPh>
    <rPh sb="4" eb="6">
      <t>ショウカイ</t>
    </rPh>
    <phoneticPr fontId="1"/>
  </si>
  <si>
    <t>西野　礼雄</t>
    <rPh sb="0" eb="1">
      <t>ニシ</t>
    </rPh>
    <rPh sb="1" eb="2">
      <t>ノ</t>
    </rPh>
    <rPh sb="3" eb="4">
      <t>レイ</t>
    </rPh>
    <rPh sb="4" eb="5">
      <t>オ</t>
    </rPh>
    <phoneticPr fontId="1"/>
  </si>
  <si>
    <t>小笠原　仁</t>
    <rPh sb="0" eb="3">
      <t>オガサワラ</t>
    </rPh>
    <rPh sb="4" eb="5">
      <t>ジン</t>
    </rPh>
    <phoneticPr fontId="1"/>
  </si>
  <si>
    <t>662-0013</t>
    <phoneticPr fontId="1"/>
  </si>
  <si>
    <t>658-0073</t>
    <phoneticPr fontId="1"/>
  </si>
  <si>
    <t>兵庫県西宮市甲陽園西山町4-52　303</t>
    <rPh sb="0" eb="3">
      <t>ヒョウゴケン</t>
    </rPh>
    <rPh sb="3" eb="5">
      <t>ニシノミヤ</t>
    </rPh>
    <rPh sb="5" eb="6">
      <t>シ</t>
    </rPh>
    <rPh sb="6" eb="9">
      <t>コウヨウエン</t>
    </rPh>
    <rPh sb="9" eb="11">
      <t>ニシヤマ</t>
    </rPh>
    <rPh sb="11" eb="12">
      <t>チョウ</t>
    </rPh>
    <phoneticPr fontId="1"/>
  </si>
  <si>
    <t>兵庫県神戸市東灘区西岡本6-11-10</t>
    <rPh sb="0" eb="3">
      <t>ヒョウゴケン</t>
    </rPh>
    <rPh sb="6" eb="7">
      <t>ヒガシ</t>
    </rPh>
    <rPh sb="7" eb="8">
      <t>ナダ</t>
    </rPh>
    <rPh sb="8" eb="9">
      <t>ク</t>
    </rPh>
    <rPh sb="9" eb="10">
      <t>ニシ</t>
    </rPh>
    <rPh sb="10" eb="12">
      <t>オカモト</t>
    </rPh>
    <phoneticPr fontId="1"/>
  </si>
  <si>
    <t>12.1㎞</t>
    <phoneticPr fontId="1"/>
  </si>
  <si>
    <t>35.0㎞</t>
    <phoneticPr fontId="1"/>
  </si>
  <si>
    <t>090-9043-3384</t>
    <phoneticPr fontId="1"/>
  </si>
  <si>
    <t>080-1457-5832</t>
    <phoneticPr fontId="1"/>
  </si>
  <si>
    <t>山本大介様ご紹介 10％オフ</t>
    <rPh sb="0" eb="2">
      <t>ヤマモト</t>
    </rPh>
    <rPh sb="2" eb="4">
      <t>ダイスケ</t>
    </rPh>
    <rPh sb="4" eb="5">
      <t>サマ</t>
    </rPh>
    <rPh sb="6" eb="8">
      <t>ショウカイ</t>
    </rPh>
    <phoneticPr fontId="1"/>
  </si>
  <si>
    <t>谷川　毅</t>
    <rPh sb="0" eb="2">
      <t>タニガワ</t>
    </rPh>
    <rPh sb="3" eb="4">
      <t>ツヨシ</t>
    </rPh>
    <phoneticPr fontId="1"/>
  </si>
  <si>
    <t>563-0014</t>
    <phoneticPr fontId="1"/>
  </si>
  <si>
    <t>池田市木部町690-1-407</t>
    <rPh sb="0" eb="3">
      <t>イケダシ</t>
    </rPh>
    <rPh sb="3" eb="6">
      <t>キベチョウ</t>
    </rPh>
    <phoneticPr fontId="1"/>
  </si>
  <si>
    <t>090-3031-6526</t>
    <phoneticPr fontId="1"/>
  </si>
  <si>
    <t>北田　享利</t>
    <rPh sb="0" eb="2">
      <t>キタダ</t>
    </rPh>
    <rPh sb="3" eb="5">
      <t>タカトシ</t>
    </rPh>
    <phoneticPr fontId="1"/>
  </si>
  <si>
    <t>090-7346-4326</t>
    <phoneticPr fontId="1"/>
  </si>
  <si>
    <t>563-0047</t>
    <phoneticPr fontId="1"/>
  </si>
  <si>
    <t>大阪府池田市室町2-10-2A</t>
    <rPh sb="0" eb="3">
      <t>オオサカフ</t>
    </rPh>
    <rPh sb="3" eb="6">
      <t>イケダシ</t>
    </rPh>
    <rPh sb="6" eb="8">
      <t>ムロマチ</t>
    </rPh>
    <phoneticPr fontId="1"/>
  </si>
  <si>
    <t>平賀　太</t>
    <rPh sb="0" eb="2">
      <t>ヒラガ</t>
    </rPh>
    <rPh sb="3" eb="4">
      <t>フトシ</t>
    </rPh>
    <phoneticPr fontId="1"/>
  </si>
  <si>
    <t>中林　研太郎</t>
    <rPh sb="0" eb="2">
      <t>ナカバヤシ</t>
    </rPh>
    <rPh sb="3" eb="6">
      <t>ケンタロウ</t>
    </rPh>
    <phoneticPr fontId="1"/>
  </si>
  <si>
    <t>喜島　宏勝</t>
    <rPh sb="0" eb="2">
      <t>キジマ</t>
    </rPh>
    <rPh sb="3" eb="5">
      <t>ヒロカツ</t>
    </rPh>
    <phoneticPr fontId="1"/>
  </si>
  <si>
    <t>631-0052</t>
    <phoneticPr fontId="1"/>
  </si>
  <si>
    <t>639-1103</t>
    <phoneticPr fontId="1"/>
  </si>
  <si>
    <t>567-0042</t>
    <phoneticPr fontId="1"/>
  </si>
  <si>
    <t>奈良県奈良市中町247-5</t>
    <rPh sb="0" eb="3">
      <t>ナラケン</t>
    </rPh>
    <rPh sb="3" eb="6">
      <t>ナラシ</t>
    </rPh>
    <rPh sb="6" eb="7">
      <t>ナカ</t>
    </rPh>
    <rPh sb="7" eb="8">
      <t>マチ</t>
    </rPh>
    <phoneticPr fontId="1"/>
  </si>
  <si>
    <t>大阪府茨木市宇野辺1-2-35</t>
    <rPh sb="0" eb="3">
      <t>オオサカフ</t>
    </rPh>
    <rPh sb="3" eb="6">
      <t>イバラキシ</t>
    </rPh>
    <rPh sb="6" eb="9">
      <t>ウノベ</t>
    </rPh>
    <phoneticPr fontId="1"/>
  </si>
  <si>
    <t>奈良県大和郡山市美濃庄町170-15</t>
    <rPh sb="0" eb="3">
      <t>ナラケン</t>
    </rPh>
    <rPh sb="3" eb="5">
      <t>ヤマト</t>
    </rPh>
    <rPh sb="5" eb="8">
      <t>コオリヤマシ</t>
    </rPh>
    <rPh sb="8" eb="10">
      <t>ミノウ</t>
    </rPh>
    <rPh sb="10" eb="11">
      <t>ショウ</t>
    </rPh>
    <rPh sb="11" eb="12">
      <t>チョウ</t>
    </rPh>
    <phoneticPr fontId="1"/>
  </si>
  <si>
    <t>46㎞</t>
    <phoneticPr fontId="1"/>
  </si>
  <si>
    <t>52.4㎞</t>
    <phoneticPr fontId="1"/>
  </si>
  <si>
    <t>090-3624-1174</t>
    <phoneticPr fontId="1"/>
  </si>
  <si>
    <t>080-3832-1568</t>
    <phoneticPr fontId="1"/>
  </si>
  <si>
    <t>090-7353-5247</t>
    <phoneticPr fontId="1"/>
  </si>
  <si>
    <t>鈴木　英人</t>
    <rPh sb="0" eb="2">
      <t>スズキ</t>
    </rPh>
    <rPh sb="3" eb="5">
      <t>ヒデト</t>
    </rPh>
    <phoneticPr fontId="1"/>
  </si>
  <si>
    <t>京都府京都市下京区本燈籠町デリード烏丸東902号</t>
    <rPh sb="17" eb="19">
      <t>カラスマ</t>
    </rPh>
    <rPh sb="19" eb="20">
      <t>ヒガシ</t>
    </rPh>
    <rPh sb="23" eb="24">
      <t>ゴウ</t>
    </rPh>
    <phoneticPr fontId="1"/>
  </si>
  <si>
    <t>49.7㎞</t>
    <phoneticPr fontId="1"/>
  </si>
  <si>
    <t>600-8086</t>
    <phoneticPr fontId="1"/>
  </si>
  <si>
    <t>090-5676-1814</t>
    <phoneticPr fontId="1"/>
  </si>
  <si>
    <t>杉山　元茂</t>
    <rPh sb="0" eb="2">
      <t>スギヤマ</t>
    </rPh>
    <rPh sb="3" eb="4">
      <t>モト</t>
    </rPh>
    <rPh sb="4" eb="5">
      <t>シゲル</t>
    </rPh>
    <phoneticPr fontId="1"/>
  </si>
  <si>
    <t>兵庫県宝塚市山本東2丁目1-7-5</t>
    <rPh sb="0" eb="3">
      <t>ヒョウゴケン</t>
    </rPh>
    <rPh sb="3" eb="6">
      <t>タカラヅカシ</t>
    </rPh>
    <rPh sb="6" eb="8">
      <t>ヤマモト</t>
    </rPh>
    <rPh sb="8" eb="9">
      <t>ヒガシ</t>
    </rPh>
    <rPh sb="10" eb="12">
      <t>チョウメ</t>
    </rPh>
    <phoneticPr fontId="1"/>
  </si>
  <si>
    <t>0.2㎞</t>
    <phoneticPr fontId="1"/>
  </si>
  <si>
    <t>080-2410-0006</t>
    <phoneticPr fontId="1"/>
  </si>
  <si>
    <t>芦田　義孝</t>
    <rPh sb="0" eb="2">
      <t>アシダ</t>
    </rPh>
    <rPh sb="3" eb="5">
      <t>ヨシタカ</t>
    </rPh>
    <phoneticPr fontId="1"/>
  </si>
  <si>
    <t>670/0972</t>
    <phoneticPr fontId="1"/>
  </si>
  <si>
    <t>兵庫県姫路市手柄1-81-3</t>
    <rPh sb="0" eb="3">
      <t>ヒョウゴケン</t>
    </rPh>
    <rPh sb="3" eb="6">
      <t>ヒメジシ</t>
    </rPh>
    <rPh sb="6" eb="8">
      <t>テガラ</t>
    </rPh>
    <phoneticPr fontId="1"/>
  </si>
  <si>
    <t>83.7㎞</t>
    <phoneticPr fontId="1"/>
  </si>
  <si>
    <t>090-8935-5576</t>
    <phoneticPr fontId="1"/>
  </si>
  <si>
    <t>藤田さん紹介</t>
    <rPh sb="0" eb="2">
      <t>フジタ</t>
    </rPh>
    <rPh sb="4" eb="6">
      <t>ショウカイ</t>
    </rPh>
    <phoneticPr fontId="1"/>
  </si>
  <si>
    <t>平城　奈穂</t>
    <rPh sb="0" eb="2">
      <t>ヒラキ</t>
    </rPh>
    <rPh sb="3" eb="5">
      <t>ナホ</t>
    </rPh>
    <phoneticPr fontId="1"/>
  </si>
  <si>
    <t>671-2201</t>
    <phoneticPr fontId="1"/>
  </si>
  <si>
    <t>兵庫県姫路市書写2541-3</t>
    <rPh sb="0" eb="3">
      <t>ヒョウゴケン</t>
    </rPh>
    <rPh sb="3" eb="6">
      <t>ヒメジシ</t>
    </rPh>
    <rPh sb="6" eb="8">
      <t>ショシャ</t>
    </rPh>
    <phoneticPr fontId="1"/>
  </si>
  <si>
    <t>87.4㎞</t>
    <phoneticPr fontId="1"/>
  </si>
  <si>
    <t>090-5905-7733</t>
    <phoneticPr fontId="1"/>
  </si>
  <si>
    <t>大澤　良平</t>
    <rPh sb="0" eb="2">
      <t>オオサワ</t>
    </rPh>
    <rPh sb="3" eb="5">
      <t>リョウヘイ</t>
    </rPh>
    <phoneticPr fontId="1"/>
  </si>
  <si>
    <t>545-0037</t>
    <phoneticPr fontId="1"/>
  </si>
  <si>
    <t>大阪府大阪市阿倍野区帝塚山1-10-32-406</t>
    <rPh sb="0" eb="3">
      <t>オオサカフ</t>
    </rPh>
    <rPh sb="3" eb="6">
      <t>オオサカシ</t>
    </rPh>
    <rPh sb="6" eb="10">
      <t>アベノク</t>
    </rPh>
    <rPh sb="10" eb="13">
      <t>テヅカヤマ</t>
    </rPh>
    <phoneticPr fontId="1"/>
  </si>
  <si>
    <t>090-2116-5667</t>
    <phoneticPr fontId="1"/>
  </si>
  <si>
    <t>33.1㎞</t>
    <phoneticPr fontId="1"/>
  </si>
  <si>
    <t>加藤　肇悟</t>
    <rPh sb="0" eb="2">
      <t>カトウ</t>
    </rPh>
    <rPh sb="3" eb="4">
      <t>ハジメ</t>
    </rPh>
    <rPh sb="4" eb="5">
      <t>ゴ</t>
    </rPh>
    <phoneticPr fontId="1"/>
  </si>
  <si>
    <t>545-0004</t>
    <phoneticPr fontId="1"/>
  </si>
  <si>
    <t>大阪府大阪市阿倍野区文の里3-13-15</t>
    <rPh sb="0" eb="3">
      <t>オオサカフ</t>
    </rPh>
    <rPh sb="3" eb="6">
      <t>オオサカシ</t>
    </rPh>
    <rPh sb="6" eb="10">
      <t>アベノク</t>
    </rPh>
    <rPh sb="10" eb="11">
      <t>ブン</t>
    </rPh>
    <rPh sb="12" eb="13">
      <t>サト</t>
    </rPh>
    <phoneticPr fontId="1"/>
  </si>
  <si>
    <t>29.2㎞</t>
    <phoneticPr fontId="1"/>
  </si>
  <si>
    <t>080-3712-9513</t>
    <phoneticPr fontId="1"/>
  </si>
  <si>
    <t>水原　秀一</t>
    <rPh sb="0" eb="2">
      <t>ミズハラ</t>
    </rPh>
    <rPh sb="3" eb="4">
      <t>ヒデ</t>
    </rPh>
    <rPh sb="4" eb="5">
      <t>イチ</t>
    </rPh>
    <phoneticPr fontId="1"/>
  </si>
  <si>
    <t>631-0036</t>
    <phoneticPr fontId="1"/>
  </si>
  <si>
    <t>奈良県奈良市学園北2-7-2-2</t>
    <rPh sb="0" eb="2">
      <t>ナラ</t>
    </rPh>
    <rPh sb="6" eb="9">
      <t>ガクエンキタ</t>
    </rPh>
    <phoneticPr fontId="1"/>
  </si>
  <si>
    <t>52.9㎞</t>
    <phoneticPr fontId="1"/>
  </si>
  <si>
    <t>090-7966-1653</t>
    <phoneticPr fontId="1"/>
  </si>
  <si>
    <t>社長紹介　プロ紹介価格</t>
    <rPh sb="0" eb="2">
      <t>シャチョウ</t>
    </rPh>
    <rPh sb="2" eb="4">
      <t>ショウカイ</t>
    </rPh>
    <rPh sb="7" eb="9">
      <t>ショウカイ</t>
    </rPh>
    <rPh sb="9" eb="11">
      <t>カカク</t>
    </rPh>
    <phoneticPr fontId="1"/>
  </si>
  <si>
    <t>体験後にDRフィッティング</t>
    <rPh sb="0" eb="2">
      <t>タイケン</t>
    </rPh>
    <rPh sb="2" eb="3">
      <t>ゴ</t>
    </rPh>
    <phoneticPr fontId="1"/>
  </si>
  <si>
    <t>袋田　晃章</t>
    <rPh sb="0" eb="2">
      <t>フクロダ</t>
    </rPh>
    <rPh sb="3" eb="4">
      <t>テル</t>
    </rPh>
    <rPh sb="4" eb="5">
      <t>ショウ</t>
    </rPh>
    <phoneticPr fontId="1"/>
  </si>
  <si>
    <t>631-0033</t>
    <phoneticPr fontId="1"/>
  </si>
  <si>
    <t>奈良県奈良市あやめ池南3-3-37-207</t>
    <rPh sb="0" eb="3">
      <t>ナラケン</t>
    </rPh>
    <rPh sb="3" eb="6">
      <t>ナラシ</t>
    </rPh>
    <rPh sb="9" eb="10">
      <t>イケ</t>
    </rPh>
    <rPh sb="10" eb="11">
      <t>ミナミ</t>
    </rPh>
    <phoneticPr fontId="1"/>
  </si>
  <si>
    <t>50.4㎞</t>
    <phoneticPr fontId="1"/>
  </si>
  <si>
    <t>090-3260-1834</t>
    <phoneticPr fontId="1"/>
  </si>
  <si>
    <t>櫻井常務のお連れ様</t>
    <rPh sb="0" eb="2">
      <t>サクライ</t>
    </rPh>
    <rPh sb="2" eb="4">
      <t>ジョウム</t>
    </rPh>
    <rPh sb="6" eb="7">
      <t>ツ</t>
    </rPh>
    <rPh sb="8" eb="9">
      <t>サマ</t>
    </rPh>
    <phoneticPr fontId="1"/>
  </si>
  <si>
    <t>大野　泰一</t>
    <rPh sb="0" eb="2">
      <t>オオノ</t>
    </rPh>
    <rPh sb="3" eb="5">
      <t>ヤスカズ</t>
    </rPh>
    <phoneticPr fontId="1"/>
  </si>
  <si>
    <t>610-0341</t>
    <phoneticPr fontId="1"/>
  </si>
  <si>
    <t>京田辺市薪西山34-36</t>
    <rPh sb="0" eb="4">
      <t>キョウタナベシ</t>
    </rPh>
    <rPh sb="4" eb="5">
      <t>マキ</t>
    </rPh>
    <rPh sb="5" eb="7">
      <t>ニシヤマ</t>
    </rPh>
    <phoneticPr fontId="1"/>
  </si>
  <si>
    <t>090-5665-4968</t>
    <phoneticPr fontId="1"/>
  </si>
  <si>
    <t>重成　昭</t>
    <rPh sb="0" eb="2">
      <t>シゲナリ</t>
    </rPh>
    <rPh sb="3" eb="4">
      <t>アキラ</t>
    </rPh>
    <phoneticPr fontId="1"/>
  </si>
  <si>
    <t>兵庫県宝塚市口谷東1-1-10-102</t>
    <rPh sb="0" eb="3">
      <t>ヒョウゴケン</t>
    </rPh>
    <rPh sb="3" eb="6">
      <t>タカラヅカシ</t>
    </rPh>
    <rPh sb="6" eb="7">
      <t>クチ</t>
    </rPh>
    <rPh sb="7" eb="8">
      <t>タニ</t>
    </rPh>
    <rPh sb="8" eb="9">
      <t>ヒガシ</t>
    </rPh>
    <phoneticPr fontId="1"/>
  </si>
  <si>
    <t>080-5308-7929</t>
    <phoneticPr fontId="1"/>
  </si>
  <si>
    <t>2750+16500</t>
    <phoneticPr fontId="1"/>
  </si>
  <si>
    <t>1時間1打席でお帰りになったので芦田様の分のみ頂きました。(小川）</t>
    <rPh sb="1" eb="3">
      <t>ジカン</t>
    </rPh>
    <rPh sb="4" eb="6">
      <t>ダセキ</t>
    </rPh>
    <rPh sb="8" eb="9">
      <t>カエ</t>
    </rPh>
    <rPh sb="16" eb="19">
      <t>アシダサマ</t>
    </rPh>
    <rPh sb="20" eb="21">
      <t>ブン</t>
    </rPh>
    <rPh sb="23" eb="24">
      <t>イタダ</t>
    </rPh>
    <rPh sb="30" eb="32">
      <t>オガワ</t>
    </rPh>
    <phoneticPr fontId="1"/>
  </si>
  <si>
    <t>森田　将央</t>
    <rPh sb="0" eb="2">
      <t>モリタ</t>
    </rPh>
    <rPh sb="3" eb="4">
      <t>ショウ</t>
    </rPh>
    <rPh sb="4" eb="5">
      <t>オウ</t>
    </rPh>
    <phoneticPr fontId="1"/>
  </si>
  <si>
    <t>兵庫県尼崎市西立花町2-24-1</t>
    <rPh sb="0" eb="3">
      <t>ヒョウゴケン</t>
    </rPh>
    <rPh sb="3" eb="6">
      <t>アマガサキシ</t>
    </rPh>
    <rPh sb="6" eb="7">
      <t>ニシ</t>
    </rPh>
    <rPh sb="7" eb="9">
      <t>タチバナ</t>
    </rPh>
    <rPh sb="9" eb="10">
      <t>マチ</t>
    </rPh>
    <phoneticPr fontId="1"/>
  </si>
  <si>
    <t>20.9㎞</t>
    <phoneticPr fontId="1"/>
  </si>
  <si>
    <t>080-3100-9103</t>
    <phoneticPr fontId="1"/>
  </si>
  <si>
    <t>鎌苅　博之</t>
    <rPh sb="0" eb="2">
      <t>カマカリ</t>
    </rPh>
    <rPh sb="3" eb="5">
      <t>ヒロユキ</t>
    </rPh>
    <phoneticPr fontId="1"/>
  </si>
  <si>
    <t>大阪府吹田市青山台3-37-5</t>
    <rPh sb="0" eb="3">
      <t>オオサカフ</t>
    </rPh>
    <rPh sb="3" eb="6">
      <t>スイタシ</t>
    </rPh>
    <rPh sb="6" eb="8">
      <t>アオヤマ</t>
    </rPh>
    <rPh sb="8" eb="9">
      <t>ダイ</t>
    </rPh>
    <phoneticPr fontId="1"/>
  </si>
  <si>
    <t>13.8㎞</t>
    <phoneticPr fontId="1"/>
  </si>
  <si>
    <t>080-3611-9396</t>
    <phoneticPr fontId="1"/>
  </si>
  <si>
    <t>10％OFF</t>
    <phoneticPr fontId="1"/>
  </si>
  <si>
    <t>髙木　豊大</t>
    <rPh sb="0" eb="2">
      <t>タカギ</t>
    </rPh>
    <rPh sb="3" eb="4">
      <t>トヨ</t>
    </rPh>
    <rPh sb="4" eb="5">
      <t>ダイ</t>
    </rPh>
    <phoneticPr fontId="1"/>
  </si>
  <si>
    <t>543-0001</t>
    <phoneticPr fontId="1"/>
  </si>
  <si>
    <t>大阪府大阪市天王寺区上本町8-8-25-202</t>
    <rPh sb="0" eb="3">
      <t>オオサカフ</t>
    </rPh>
    <rPh sb="3" eb="6">
      <t>オオサカシ</t>
    </rPh>
    <rPh sb="6" eb="10">
      <t>テンノウジク</t>
    </rPh>
    <rPh sb="10" eb="13">
      <t>ウエホンマチ</t>
    </rPh>
    <phoneticPr fontId="1"/>
  </si>
  <si>
    <t>26.2㎞</t>
    <phoneticPr fontId="1"/>
  </si>
  <si>
    <t>080-4343-5704</t>
    <phoneticPr fontId="1"/>
  </si>
  <si>
    <t>亀井　智彦</t>
    <rPh sb="0" eb="2">
      <t>カメイ</t>
    </rPh>
    <rPh sb="3" eb="4">
      <t>トモ</t>
    </rPh>
    <rPh sb="4" eb="5">
      <t>ヒコ</t>
    </rPh>
    <phoneticPr fontId="1"/>
  </si>
  <si>
    <t>1869/8/13</t>
    <phoneticPr fontId="1"/>
  </si>
  <si>
    <t>534-0027</t>
    <phoneticPr fontId="1"/>
  </si>
  <si>
    <t>大阪府大阪市都島区中野町5-10-107-1201</t>
    <rPh sb="0" eb="3">
      <t>オオサカフ</t>
    </rPh>
    <rPh sb="3" eb="6">
      <t>オオサカシ</t>
    </rPh>
    <rPh sb="6" eb="7">
      <t>ト</t>
    </rPh>
    <rPh sb="7" eb="8">
      <t>シマ</t>
    </rPh>
    <rPh sb="8" eb="9">
      <t>ク</t>
    </rPh>
    <rPh sb="9" eb="11">
      <t>ナカノ</t>
    </rPh>
    <rPh sb="11" eb="12">
      <t>チョウ</t>
    </rPh>
    <phoneticPr fontId="1"/>
  </si>
  <si>
    <t>26.6㎞</t>
    <phoneticPr fontId="1"/>
  </si>
  <si>
    <t>090-1917-9945</t>
    <phoneticPr fontId="1"/>
  </si>
  <si>
    <t>喜多　清和</t>
    <rPh sb="0" eb="2">
      <t>キタ</t>
    </rPh>
    <rPh sb="3" eb="5">
      <t>キヨカズ</t>
    </rPh>
    <phoneticPr fontId="1"/>
  </si>
  <si>
    <t>556-0017</t>
    <phoneticPr fontId="1"/>
  </si>
  <si>
    <t>大阪市浪速区湊町2-2-5-1610</t>
    <rPh sb="0" eb="3">
      <t>オオサカシ</t>
    </rPh>
    <rPh sb="3" eb="6">
      <t>ナニワク</t>
    </rPh>
    <rPh sb="6" eb="8">
      <t>ミナトマチ</t>
    </rPh>
    <phoneticPr fontId="1"/>
  </si>
  <si>
    <t>atsuhiro@takagi.bz</t>
    <phoneticPr fontId="1"/>
  </si>
  <si>
    <t>090-3653-8444</t>
    <phoneticPr fontId="1"/>
  </si>
  <si>
    <t>会員染谷様ご紹介</t>
    <rPh sb="0" eb="2">
      <t>カイイン</t>
    </rPh>
    <rPh sb="2" eb="4">
      <t>ソメヤ</t>
    </rPh>
    <rPh sb="4" eb="5">
      <t>サマ</t>
    </rPh>
    <rPh sb="6" eb="8">
      <t>ショウカイ</t>
    </rPh>
    <phoneticPr fontId="1"/>
  </si>
  <si>
    <t>25.7㎞</t>
    <phoneticPr fontId="1"/>
  </si>
  <si>
    <t>命尾　昌彦</t>
    <rPh sb="0" eb="2">
      <t>メイオ</t>
    </rPh>
    <rPh sb="3" eb="4">
      <t>マサ</t>
    </rPh>
    <rPh sb="4" eb="5">
      <t>ヒコ</t>
    </rPh>
    <phoneticPr fontId="1"/>
  </si>
  <si>
    <t>兵庫県川西市花屋敷2-5-7-106</t>
    <rPh sb="0" eb="3">
      <t>ヒョウゴケン</t>
    </rPh>
    <rPh sb="3" eb="6">
      <t>カワニシシ</t>
    </rPh>
    <rPh sb="6" eb="9">
      <t>ハナヤシキ</t>
    </rPh>
    <phoneticPr fontId="1"/>
  </si>
  <si>
    <t>3.0㎞</t>
    <phoneticPr fontId="1"/>
  </si>
  <si>
    <t>carpeice1806@gmail.com</t>
    <phoneticPr fontId="1"/>
  </si>
  <si>
    <t>090-3704-8254</t>
    <phoneticPr fontId="1"/>
  </si>
  <si>
    <t>思っていたシュミレーションと違うとの事で体験せず。現金で返金しました。</t>
    <rPh sb="0" eb="1">
      <t>オモ</t>
    </rPh>
    <rPh sb="14" eb="15">
      <t>チガ</t>
    </rPh>
    <rPh sb="18" eb="19">
      <t>コト</t>
    </rPh>
    <rPh sb="20" eb="22">
      <t>タイケン</t>
    </rPh>
    <rPh sb="25" eb="27">
      <t>ゲンキン</t>
    </rPh>
    <rPh sb="28" eb="30">
      <t>ヘンキン</t>
    </rPh>
    <phoneticPr fontId="1"/>
  </si>
  <si>
    <t>岩城　宏和</t>
    <rPh sb="0" eb="2">
      <t>イワキ</t>
    </rPh>
    <rPh sb="3" eb="5">
      <t>ヒロカズ</t>
    </rPh>
    <phoneticPr fontId="1"/>
  </si>
  <si>
    <t>538-0053</t>
    <phoneticPr fontId="1"/>
  </si>
  <si>
    <t>大阪府大阪市鶴見区鶴見3-12-10</t>
    <rPh sb="0" eb="3">
      <t>オオサカフ</t>
    </rPh>
    <rPh sb="3" eb="6">
      <t>オオサカシ</t>
    </rPh>
    <rPh sb="6" eb="9">
      <t>ツルミク</t>
    </rPh>
    <rPh sb="9" eb="11">
      <t>ツルミ</t>
    </rPh>
    <phoneticPr fontId="1"/>
  </si>
  <si>
    <t>090-3161-8585</t>
    <phoneticPr fontId="1"/>
  </si>
  <si>
    <t>夫馬プロ紹介</t>
    <rPh sb="0" eb="1">
      <t>フ</t>
    </rPh>
    <rPh sb="1" eb="2">
      <t>ウマ</t>
    </rPh>
    <rPh sb="4" eb="6">
      <t>ショウカイ</t>
    </rPh>
    <phoneticPr fontId="1"/>
  </si>
  <si>
    <t>草深　悠佑</t>
    <rPh sb="0" eb="2">
      <t>クサフカ</t>
    </rPh>
    <rPh sb="3" eb="5">
      <t>ユウスケ</t>
    </rPh>
    <phoneticPr fontId="1"/>
  </si>
  <si>
    <t>大阪市中央区龍造寺町7-34-1002</t>
    <rPh sb="0" eb="2">
      <t>オオサカ</t>
    </rPh>
    <rPh sb="2" eb="3">
      <t>シ</t>
    </rPh>
    <rPh sb="3" eb="6">
      <t>チュウオウク</t>
    </rPh>
    <rPh sb="6" eb="10">
      <t>リュウゾウジチョウ</t>
    </rPh>
    <phoneticPr fontId="1"/>
  </si>
  <si>
    <t>24.1㎞</t>
    <phoneticPr fontId="1"/>
  </si>
  <si>
    <t>540-0014</t>
    <phoneticPr fontId="1"/>
  </si>
  <si>
    <t>kusafuka1108@bmail.com</t>
    <phoneticPr fontId="1"/>
  </si>
  <si>
    <t>090-6054-7181</t>
    <phoneticPr fontId="1"/>
  </si>
  <si>
    <t>会員葛井様ご紹介（-10%）</t>
    <rPh sb="0" eb="2">
      <t>カイイン</t>
    </rPh>
    <rPh sb="2" eb="5">
      <t>カツイサマ</t>
    </rPh>
    <rPh sb="6" eb="8">
      <t>ショウカイ</t>
    </rPh>
    <phoneticPr fontId="1"/>
  </si>
  <si>
    <t>080-6185-4510</t>
    <phoneticPr fontId="1"/>
  </si>
  <si>
    <t>k_yabuno@icloud.com</t>
    <phoneticPr fontId="1"/>
  </si>
  <si>
    <t>藪ノ　賢次</t>
    <rPh sb="0" eb="1">
      <t>ヤブ</t>
    </rPh>
    <rPh sb="3" eb="5">
      <t>ケンジ</t>
    </rPh>
    <phoneticPr fontId="1"/>
  </si>
  <si>
    <t>659-0082</t>
    <phoneticPr fontId="1"/>
  </si>
  <si>
    <t>芦屋市山芦屋町11-6-305</t>
    <rPh sb="0" eb="3">
      <t>アシヤシ</t>
    </rPh>
    <rPh sb="3" eb="7">
      <t>ヤマアシヤチョウ</t>
    </rPh>
    <phoneticPr fontId="1"/>
  </si>
  <si>
    <t>30.6㎞</t>
    <phoneticPr fontId="1"/>
  </si>
  <si>
    <t>近藤　みゆき</t>
    <rPh sb="0" eb="2">
      <t>コンドウ</t>
    </rPh>
    <phoneticPr fontId="1"/>
  </si>
  <si>
    <t>大阪府豊中市東豊中町4-11-16</t>
    <rPh sb="0" eb="3">
      <t>オオサカフ</t>
    </rPh>
    <rPh sb="3" eb="6">
      <t>トヨナカシ</t>
    </rPh>
    <rPh sb="6" eb="10">
      <t>ヒガシトヨナカチョウ</t>
    </rPh>
    <phoneticPr fontId="1"/>
  </si>
  <si>
    <t>11㎞</t>
    <phoneticPr fontId="1"/>
  </si>
  <si>
    <t>haruru1117@icloud.com</t>
    <phoneticPr fontId="1"/>
  </si>
  <si>
    <t>090-5967-9114</t>
    <phoneticPr fontId="1"/>
  </si>
  <si>
    <t>丁子谷様紹介</t>
    <rPh sb="0" eb="2">
      <t>チョウシ</t>
    </rPh>
    <rPh sb="2" eb="4">
      <t>タニサマ</t>
    </rPh>
    <rPh sb="4" eb="6">
      <t>ショウカイ</t>
    </rPh>
    <phoneticPr fontId="1"/>
  </si>
  <si>
    <t>森浦　豊</t>
    <rPh sb="0" eb="2">
      <t>モリウラ</t>
    </rPh>
    <rPh sb="3" eb="4">
      <t>ユタカ</t>
    </rPh>
    <phoneticPr fontId="1"/>
  </si>
  <si>
    <t>610-0101</t>
    <phoneticPr fontId="1"/>
  </si>
  <si>
    <t>城陽市平川茶屋裏29-1セントレジデンス大久保702</t>
    <rPh sb="0" eb="3">
      <t>ジョウヨウシ</t>
    </rPh>
    <rPh sb="3" eb="5">
      <t>ヒラカワ</t>
    </rPh>
    <rPh sb="5" eb="7">
      <t>チャヤ</t>
    </rPh>
    <rPh sb="7" eb="8">
      <t>ウラ</t>
    </rPh>
    <rPh sb="20" eb="23">
      <t>オオクボ</t>
    </rPh>
    <phoneticPr fontId="1"/>
  </si>
  <si>
    <t>49㎞</t>
    <phoneticPr fontId="1"/>
  </si>
  <si>
    <t>you.mo.dk@gmail.com</t>
    <phoneticPr fontId="1"/>
  </si>
  <si>
    <t>090-5966-2008</t>
    <phoneticPr fontId="1"/>
  </si>
  <si>
    <t>後藤　和夫</t>
    <rPh sb="0" eb="2">
      <t>ゴトウ</t>
    </rPh>
    <rPh sb="3" eb="5">
      <t>カズオ</t>
    </rPh>
    <phoneticPr fontId="1"/>
  </si>
  <si>
    <t>兵庫県西宮市甲子園口1-14-12-203</t>
    <rPh sb="0" eb="2">
      <t>ヒョウゴ</t>
    </rPh>
    <rPh sb="2" eb="3">
      <t>ケン</t>
    </rPh>
    <rPh sb="3" eb="5">
      <t>ニシノミヤ</t>
    </rPh>
    <rPh sb="5" eb="6">
      <t>シ</t>
    </rPh>
    <rPh sb="6" eb="10">
      <t>コウシエングチ</t>
    </rPh>
    <phoneticPr fontId="1"/>
  </si>
  <si>
    <t>10.7㎞</t>
    <phoneticPr fontId="1"/>
  </si>
  <si>
    <t>090-8718-7249</t>
    <phoneticPr fontId="1"/>
  </si>
  <si>
    <t>YouTube見てご来店</t>
    <rPh sb="7" eb="8">
      <t>ミ</t>
    </rPh>
    <rPh sb="10" eb="12">
      <t>ライテン</t>
    </rPh>
    <phoneticPr fontId="1"/>
  </si>
  <si>
    <t>竹田様お連れ様（2019/5/23 フィッティングでご来店済）</t>
    <rPh sb="0" eb="2">
      <t>タケダ</t>
    </rPh>
    <rPh sb="2" eb="3">
      <t>サマ</t>
    </rPh>
    <rPh sb="4" eb="5">
      <t>ツ</t>
    </rPh>
    <rPh sb="6" eb="7">
      <t>サマ</t>
    </rPh>
    <rPh sb="27" eb="29">
      <t>ライテン</t>
    </rPh>
    <rPh sb="29" eb="30">
      <t>スミ</t>
    </rPh>
    <phoneticPr fontId="1"/>
  </si>
  <si>
    <t>吉俣　依子</t>
    <rPh sb="0" eb="2">
      <t>ヨシマタ</t>
    </rPh>
    <rPh sb="3" eb="5">
      <t>ヨリコ</t>
    </rPh>
    <phoneticPr fontId="1"/>
  </si>
  <si>
    <t>吉俣　広陽</t>
    <rPh sb="0" eb="2">
      <t>ヨシマタ</t>
    </rPh>
    <rPh sb="3" eb="4">
      <t>ヒロ</t>
    </rPh>
    <rPh sb="4" eb="5">
      <t>ヨウ</t>
    </rPh>
    <phoneticPr fontId="1"/>
  </si>
  <si>
    <t>072-740-6626</t>
    <phoneticPr fontId="1"/>
  </si>
  <si>
    <t>8/13ご来店の吉俣茂様ご家族</t>
    <rPh sb="5" eb="7">
      <t>ライテン</t>
    </rPh>
    <rPh sb="8" eb="10">
      <t>ヨシマタ</t>
    </rPh>
    <rPh sb="10" eb="11">
      <t>シゲル</t>
    </rPh>
    <rPh sb="11" eb="12">
      <t>サマ</t>
    </rPh>
    <rPh sb="13" eb="15">
      <t>カゾク</t>
    </rPh>
    <phoneticPr fontId="1"/>
  </si>
  <si>
    <t>岩井　俊夫</t>
    <rPh sb="0" eb="2">
      <t>イワイ</t>
    </rPh>
    <rPh sb="3" eb="5">
      <t>トシオ</t>
    </rPh>
    <phoneticPr fontId="1"/>
  </si>
  <si>
    <t>565-0861</t>
    <phoneticPr fontId="1"/>
  </si>
  <si>
    <t>大阪府吹田市高野台2-11-1-2</t>
    <rPh sb="0" eb="3">
      <t>オオサカフ</t>
    </rPh>
    <rPh sb="3" eb="6">
      <t>スイタシ</t>
    </rPh>
    <rPh sb="6" eb="9">
      <t>コウヤダイ</t>
    </rPh>
    <phoneticPr fontId="1"/>
  </si>
  <si>
    <t>14.6㎞</t>
    <phoneticPr fontId="1"/>
  </si>
  <si>
    <t>iwai@dr-t-eam.com</t>
    <phoneticPr fontId="1"/>
  </si>
  <si>
    <t>080-3131-1056</t>
    <phoneticPr fontId="1"/>
  </si>
  <si>
    <t>藤田さん紹介10％OFF</t>
    <rPh sb="0" eb="2">
      <t>フジタ</t>
    </rPh>
    <rPh sb="4" eb="6">
      <t>ショウカイ</t>
    </rPh>
    <phoneticPr fontId="1"/>
  </si>
  <si>
    <t>田中　大樹</t>
    <rPh sb="0" eb="2">
      <t>タナカ</t>
    </rPh>
    <rPh sb="3" eb="4">
      <t>ダイ</t>
    </rPh>
    <phoneticPr fontId="1"/>
  </si>
  <si>
    <t>宝塚市安倉北2-7-1</t>
    <rPh sb="0" eb="3">
      <t>タカラヅカシ</t>
    </rPh>
    <rPh sb="3" eb="5">
      <t>アクラ</t>
    </rPh>
    <rPh sb="5" eb="6">
      <t>キタ</t>
    </rPh>
    <phoneticPr fontId="1"/>
  </si>
  <si>
    <t>080-6132-8568</t>
    <phoneticPr fontId="1"/>
  </si>
  <si>
    <t>2.6㎞</t>
    <phoneticPr fontId="1"/>
  </si>
  <si>
    <t>再来</t>
    <rPh sb="0" eb="2">
      <t>サイライ</t>
    </rPh>
    <phoneticPr fontId="1"/>
  </si>
  <si>
    <t>北村　真一</t>
    <rPh sb="0" eb="2">
      <t>キタムラ</t>
    </rPh>
    <rPh sb="3" eb="5">
      <t>シンイチ</t>
    </rPh>
    <phoneticPr fontId="1"/>
  </si>
  <si>
    <t>665-0844</t>
    <phoneticPr fontId="1"/>
  </si>
  <si>
    <t>兵庫県宝塚市武庫川町1-5-1504</t>
    <rPh sb="0" eb="3">
      <t>ヒョウゴケン</t>
    </rPh>
    <rPh sb="3" eb="6">
      <t>タカラヅカシ</t>
    </rPh>
    <rPh sb="6" eb="9">
      <t>ムコガワ</t>
    </rPh>
    <rPh sb="9" eb="10">
      <t>チョウ</t>
    </rPh>
    <phoneticPr fontId="1"/>
  </si>
  <si>
    <t>090-5363-7083</t>
    <phoneticPr fontId="1"/>
  </si>
  <si>
    <t>阪口　直人</t>
    <rPh sb="0" eb="2">
      <t>サカグチ</t>
    </rPh>
    <rPh sb="3" eb="5">
      <t>ナオト</t>
    </rPh>
    <phoneticPr fontId="1"/>
  </si>
  <si>
    <t>581-0084</t>
    <phoneticPr fontId="1"/>
  </si>
  <si>
    <t>大阪府八尾市植松町2-8-24</t>
    <rPh sb="0" eb="3">
      <t>オオサカフ</t>
    </rPh>
    <rPh sb="3" eb="6">
      <t>ヤオシ</t>
    </rPh>
    <rPh sb="6" eb="8">
      <t>ウエマツ</t>
    </rPh>
    <rPh sb="8" eb="9">
      <t>チョウ</t>
    </rPh>
    <phoneticPr fontId="1"/>
  </si>
  <si>
    <t>40.0㎞</t>
    <phoneticPr fontId="1"/>
  </si>
  <si>
    <t>080-7411-1990</t>
    <phoneticPr fontId="1"/>
  </si>
  <si>
    <t>山居　康裕</t>
    <rPh sb="0" eb="1">
      <t>ヤマ</t>
    </rPh>
    <rPh sb="1" eb="2">
      <t>キョ</t>
    </rPh>
    <rPh sb="3" eb="5">
      <t>コウユウ</t>
    </rPh>
    <phoneticPr fontId="1"/>
  </si>
  <si>
    <t>661-0979</t>
    <phoneticPr fontId="1"/>
  </si>
  <si>
    <t>兵庫県尼崎市上坂部2-36-1-404</t>
    <rPh sb="0" eb="3">
      <t>ヒョウゴケン</t>
    </rPh>
    <rPh sb="3" eb="6">
      <t>アマガサキシ</t>
    </rPh>
    <rPh sb="6" eb="7">
      <t>カミ</t>
    </rPh>
    <rPh sb="7" eb="9">
      <t>サカベ</t>
    </rPh>
    <phoneticPr fontId="1"/>
  </si>
  <si>
    <t>11.4㎞</t>
    <phoneticPr fontId="1"/>
  </si>
  <si>
    <t>090-9112-3870</t>
    <phoneticPr fontId="1"/>
  </si>
  <si>
    <t>渡部　啓子</t>
    <rPh sb="0" eb="2">
      <t>ワタナベ</t>
    </rPh>
    <rPh sb="3" eb="5">
      <t>ケイコ</t>
    </rPh>
    <phoneticPr fontId="1"/>
  </si>
  <si>
    <t>11.1㎞</t>
    <phoneticPr fontId="1"/>
  </si>
  <si>
    <t>兵庫県西宮市東山台１丁目１４−3-301</t>
    <phoneticPr fontId="1"/>
  </si>
  <si>
    <t>090-7093-9931</t>
    <phoneticPr fontId="1"/>
  </si>
  <si>
    <t>kei-w-pururun0315@docomo.ne.jp</t>
    <phoneticPr fontId="1"/>
  </si>
  <si>
    <t>看板を見てご来店</t>
    <rPh sb="0" eb="2">
      <t>カンバン</t>
    </rPh>
    <rPh sb="3" eb="4">
      <t>ミ</t>
    </rPh>
    <rPh sb="6" eb="8">
      <t>ライテン</t>
    </rPh>
    <phoneticPr fontId="1"/>
  </si>
  <si>
    <t>池田　晶保</t>
    <rPh sb="0" eb="2">
      <t>イケダ</t>
    </rPh>
    <rPh sb="3" eb="4">
      <t>アキラ</t>
    </rPh>
    <rPh sb="4" eb="5">
      <t>ホ</t>
    </rPh>
    <phoneticPr fontId="1"/>
  </si>
  <si>
    <t>663-8033</t>
    <phoneticPr fontId="1"/>
  </si>
  <si>
    <t>兵庫県西宮市高木東町24-10</t>
    <rPh sb="0" eb="3">
      <t>ヒョウゴケン</t>
    </rPh>
    <rPh sb="3" eb="5">
      <t>ニシノミヤ</t>
    </rPh>
    <rPh sb="5" eb="6">
      <t>シ</t>
    </rPh>
    <rPh sb="6" eb="10">
      <t>タカギヒガシマチ</t>
    </rPh>
    <phoneticPr fontId="1"/>
  </si>
  <si>
    <t>9.5㎞</t>
    <phoneticPr fontId="1"/>
  </si>
  <si>
    <t>ikeda@newing-inc.com</t>
    <phoneticPr fontId="1"/>
  </si>
  <si>
    <t>090-6964-7007</t>
    <phoneticPr fontId="1"/>
  </si>
  <si>
    <t>村上　義典</t>
    <rPh sb="0" eb="2">
      <t>ムラカミ</t>
    </rPh>
    <rPh sb="3" eb="5">
      <t>ヨシノリ</t>
    </rPh>
    <phoneticPr fontId="1"/>
  </si>
  <si>
    <t>兵庫県宝塚市中筋山手3-7-18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</si>
  <si>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2.2㎞</t>
    <phoneticPr fontId="1"/>
  </si>
  <si>
    <t>myoshin123@yahoo.co.jp</t>
    <phoneticPr fontId="1"/>
  </si>
  <si>
    <t>090-6608-5612</t>
    <phoneticPr fontId="1"/>
  </si>
  <si>
    <t>西谷　雄一郎</t>
    <rPh sb="0" eb="2">
      <t>ニシタニ</t>
    </rPh>
    <rPh sb="3" eb="6">
      <t>ユウイチロウ</t>
    </rPh>
    <phoneticPr fontId="1"/>
  </si>
  <si>
    <t>560-0055</t>
    <phoneticPr fontId="1"/>
  </si>
  <si>
    <t>大阪府豊中市柴原町3-1-34</t>
    <rPh sb="0" eb="3">
      <t>オオサカフ</t>
    </rPh>
    <rPh sb="3" eb="5">
      <t>トヨナカ</t>
    </rPh>
    <rPh sb="5" eb="6">
      <t>シ</t>
    </rPh>
    <rPh sb="6" eb="8">
      <t>シバハラ</t>
    </rPh>
    <rPh sb="8" eb="9">
      <t>チョウ</t>
    </rPh>
    <phoneticPr fontId="1"/>
  </si>
  <si>
    <t>8.0㎞</t>
    <phoneticPr fontId="1"/>
  </si>
  <si>
    <t>080-8529-4602</t>
    <phoneticPr fontId="1"/>
  </si>
  <si>
    <t>651-1351</t>
    <phoneticPr fontId="1"/>
  </si>
  <si>
    <t>兵庫県神戸市北区八多町中1130エクシエイト301</t>
    <rPh sb="0" eb="3">
      <t>ヒョウゴケン</t>
    </rPh>
    <rPh sb="6" eb="8">
      <t>キタク</t>
    </rPh>
    <rPh sb="8" eb="9">
      <t>ハチ</t>
    </rPh>
    <rPh sb="9" eb="10">
      <t>タ</t>
    </rPh>
    <rPh sb="10" eb="11">
      <t>チョウ</t>
    </rPh>
    <rPh sb="11" eb="12">
      <t>ナカ</t>
    </rPh>
    <phoneticPr fontId="1"/>
  </si>
  <si>
    <t>20.8㎞</t>
    <phoneticPr fontId="1"/>
  </si>
  <si>
    <t>nabe.19840302@gmail.com</t>
    <phoneticPr fontId="1"/>
  </si>
  <si>
    <t>090-7887-0835</t>
    <phoneticPr fontId="1"/>
  </si>
  <si>
    <t>渡邊　徳宜</t>
    <rPh sb="0" eb="2">
      <t>ワタナベ</t>
    </rPh>
    <rPh sb="3" eb="4">
      <t>ノリ</t>
    </rPh>
    <rPh sb="4" eb="5">
      <t>ヨロ</t>
    </rPh>
    <phoneticPr fontId="1"/>
  </si>
  <si>
    <t>引網　佐登司</t>
    <rPh sb="0" eb="2">
      <t>ヒキアミ</t>
    </rPh>
    <rPh sb="3" eb="4">
      <t>サ</t>
    </rPh>
    <rPh sb="4" eb="5">
      <t>ト</t>
    </rPh>
    <rPh sb="5" eb="6">
      <t>ツカサ</t>
    </rPh>
    <phoneticPr fontId="1"/>
  </si>
  <si>
    <t>兵庫県宝塚市川面5-16-2</t>
    <rPh sb="0" eb="3">
      <t>ヒョウゴケン</t>
    </rPh>
    <phoneticPr fontId="1"/>
  </si>
  <si>
    <t>hikiami3348@ezweb.ne.jp</t>
    <phoneticPr fontId="1"/>
  </si>
  <si>
    <t>090-1486-9630</t>
    <phoneticPr fontId="1"/>
  </si>
  <si>
    <t>平尾　悟</t>
    <rPh sb="0" eb="2">
      <t>ヒラオ</t>
    </rPh>
    <rPh sb="3" eb="4">
      <t>サトル</t>
    </rPh>
    <phoneticPr fontId="1"/>
  </si>
  <si>
    <t>兵庫県宝塚市安倉中4-5-14</t>
    <rPh sb="0" eb="8">
      <t>ヒョウゴケンタカラヅカシアクラ</t>
    </rPh>
    <rPh sb="8" eb="9">
      <t>ナカ</t>
    </rPh>
    <phoneticPr fontId="1"/>
  </si>
  <si>
    <t>2.9㎞</t>
    <phoneticPr fontId="1"/>
  </si>
  <si>
    <t>0797-86-6688</t>
    <phoneticPr fontId="1"/>
  </si>
  <si>
    <t>ビジター３回目</t>
    <rPh sb="5" eb="7">
      <t>カイメ</t>
    </rPh>
    <phoneticPr fontId="1"/>
  </si>
  <si>
    <t>平田　しのぶ</t>
    <rPh sb="0" eb="2">
      <t>ヒラタ</t>
    </rPh>
    <phoneticPr fontId="1"/>
  </si>
  <si>
    <t>659-0091</t>
    <phoneticPr fontId="1"/>
  </si>
  <si>
    <t>兵庫県芦屋市東山町7-7-109</t>
    <rPh sb="0" eb="3">
      <t>ヒョウゴケン</t>
    </rPh>
    <rPh sb="3" eb="6">
      <t>アシヤシ</t>
    </rPh>
    <rPh sb="6" eb="8">
      <t>ヒガシヤマ</t>
    </rPh>
    <rPh sb="8" eb="9">
      <t>チョウ</t>
    </rPh>
    <phoneticPr fontId="1"/>
  </si>
  <si>
    <t>30.7㎞</t>
    <phoneticPr fontId="1"/>
  </si>
  <si>
    <t>090-3976-3669</t>
    <phoneticPr fontId="1"/>
  </si>
  <si>
    <t>関路　秀和</t>
    <rPh sb="0" eb="1">
      <t>セキ</t>
    </rPh>
    <rPh sb="1" eb="2">
      <t>ミチ</t>
    </rPh>
    <rPh sb="3" eb="5">
      <t>ヒデカズ</t>
    </rPh>
    <phoneticPr fontId="1"/>
  </si>
  <si>
    <t>596-0827</t>
    <phoneticPr fontId="1"/>
  </si>
  <si>
    <t>大阪府岸和田市上松町610-60</t>
    <rPh sb="0" eb="2">
      <t>オオサカ</t>
    </rPh>
    <rPh sb="2" eb="3">
      <t>フ</t>
    </rPh>
    <rPh sb="3" eb="7">
      <t>キシワダシ</t>
    </rPh>
    <rPh sb="7" eb="8">
      <t>ウエ</t>
    </rPh>
    <rPh sb="8" eb="9">
      <t>マツ</t>
    </rPh>
    <rPh sb="9" eb="10">
      <t>チョウ</t>
    </rPh>
    <phoneticPr fontId="1"/>
  </si>
  <si>
    <t>090-2060-2525</t>
    <phoneticPr fontId="1"/>
  </si>
  <si>
    <t>積水社員　5,000オフ</t>
    <rPh sb="0" eb="2">
      <t>セキスイ</t>
    </rPh>
    <rPh sb="2" eb="4">
      <t>シャイン</t>
    </rPh>
    <phoneticPr fontId="1"/>
  </si>
  <si>
    <t>中川　浩司</t>
    <rPh sb="0" eb="2">
      <t>ナカガワ</t>
    </rPh>
    <rPh sb="3" eb="5">
      <t>コウジ</t>
    </rPh>
    <phoneticPr fontId="1"/>
  </si>
  <si>
    <t>兵庫県伊丹市荒牧4-1-6-207</t>
    <rPh sb="0" eb="3">
      <t>ヒョウゴケン</t>
    </rPh>
    <rPh sb="3" eb="6">
      <t>イタミシ</t>
    </rPh>
    <rPh sb="6" eb="8">
      <t>アラマキ</t>
    </rPh>
    <phoneticPr fontId="1"/>
  </si>
  <si>
    <t>noob.dabo3@gmail.com</t>
    <phoneticPr fontId="1"/>
  </si>
  <si>
    <t>090-5362-9780</t>
    <phoneticPr fontId="1"/>
  </si>
  <si>
    <t>金山　徳和</t>
    <rPh sb="0" eb="2">
      <t>カナヤマ</t>
    </rPh>
    <rPh sb="3" eb="5">
      <t>ノリカズ</t>
    </rPh>
    <phoneticPr fontId="1"/>
  </si>
  <si>
    <t>兵庫県宝塚市中山桜台2-20-10</t>
    <rPh sb="0" eb="3">
      <t>ヒョウゴケン</t>
    </rPh>
    <rPh sb="3" eb="6">
      <t>タカラヅカシ</t>
    </rPh>
    <rPh sb="6" eb="8">
      <t>ナカヤマ</t>
    </rPh>
    <rPh sb="8" eb="10">
      <t>サクラダイ</t>
    </rPh>
    <phoneticPr fontId="1"/>
  </si>
  <si>
    <t>coollovepeach@gmail.com</t>
    <phoneticPr fontId="1"/>
  </si>
  <si>
    <t>090-9053-7331</t>
    <phoneticPr fontId="1"/>
  </si>
  <si>
    <t>時田　崇</t>
    <rPh sb="0" eb="2">
      <t>トキダ</t>
    </rPh>
    <rPh sb="3" eb="4">
      <t>タカシ</t>
    </rPh>
    <phoneticPr fontId="1"/>
  </si>
  <si>
    <t>593-8327</t>
    <phoneticPr fontId="1"/>
  </si>
  <si>
    <t>大阪府堺市西区鳳中町9-353-5</t>
  </si>
  <si>
    <t>40.6㎞</t>
    <phoneticPr fontId="1"/>
  </si>
  <si>
    <t>080-5340-0088</t>
    <phoneticPr fontId="1"/>
  </si>
  <si>
    <t>山田　正樹</t>
    <rPh sb="0" eb="2">
      <t>ヤマダ</t>
    </rPh>
    <rPh sb="3" eb="5">
      <t>マサキ</t>
    </rPh>
    <phoneticPr fontId="1"/>
  </si>
  <si>
    <t>665-021</t>
    <phoneticPr fontId="1"/>
  </si>
  <si>
    <t>宝塚市安倉北1丁目2-4</t>
    <rPh sb="0" eb="3">
      <t>タカラヅカシ</t>
    </rPh>
    <rPh sb="3" eb="5">
      <t>アクラ</t>
    </rPh>
    <rPh sb="5" eb="6">
      <t>キタ</t>
    </rPh>
    <rPh sb="7" eb="9">
      <t>チョウメ</t>
    </rPh>
    <phoneticPr fontId="1"/>
  </si>
  <si>
    <t>rodments@yahoo.co.jp</t>
    <phoneticPr fontId="1"/>
  </si>
  <si>
    <t>080-1501-6209</t>
    <phoneticPr fontId="1"/>
  </si>
  <si>
    <t>檜田　崇博</t>
    <rPh sb="0" eb="1">
      <t>ヒノキ</t>
    </rPh>
    <rPh sb="1" eb="2">
      <t>タ</t>
    </rPh>
    <rPh sb="3" eb="4">
      <t>タカシ</t>
    </rPh>
    <rPh sb="4" eb="5">
      <t>ヒロシ</t>
    </rPh>
    <phoneticPr fontId="1"/>
  </si>
  <si>
    <t>尼崎市上坂部1-8-1-1532</t>
    <rPh sb="0" eb="3">
      <t>アマガサキシ</t>
    </rPh>
    <rPh sb="3" eb="4">
      <t>カミ</t>
    </rPh>
    <rPh sb="4" eb="6">
      <t>サカベ</t>
    </rPh>
    <phoneticPr fontId="1"/>
  </si>
  <si>
    <t>10.4km</t>
    <phoneticPr fontId="1"/>
  </si>
  <si>
    <t>hiwa0325@yahoo.co.jp</t>
    <phoneticPr fontId="1"/>
  </si>
  <si>
    <t>090-6600-0972</t>
    <phoneticPr fontId="1"/>
  </si>
  <si>
    <t>石井　靖二</t>
    <rPh sb="0" eb="2">
      <t>イシイ</t>
    </rPh>
    <rPh sb="3" eb="4">
      <t>ヤスシ</t>
    </rPh>
    <rPh sb="4" eb="5">
      <t>ニ</t>
    </rPh>
    <phoneticPr fontId="1"/>
  </si>
  <si>
    <t>654-0075</t>
    <phoneticPr fontId="1"/>
  </si>
  <si>
    <t>神戸市須磨区潮見台町2-2-61</t>
    <rPh sb="0" eb="3">
      <t>コウベシ</t>
    </rPh>
    <rPh sb="3" eb="6">
      <t>スマク</t>
    </rPh>
    <rPh sb="6" eb="9">
      <t>シオミダイ</t>
    </rPh>
    <rPh sb="9" eb="10">
      <t>チョウ</t>
    </rPh>
    <phoneticPr fontId="1"/>
  </si>
  <si>
    <t>50.1km</t>
    <phoneticPr fontId="1"/>
  </si>
  <si>
    <t>jiji.ishi@gmail.com</t>
    <phoneticPr fontId="1"/>
  </si>
  <si>
    <t>078-731-1789</t>
    <phoneticPr fontId="1"/>
  </si>
  <si>
    <t>試打5本、アンケート、日本シャフト様からのご紹介</t>
    <rPh sb="0" eb="2">
      <t>シダ</t>
    </rPh>
    <rPh sb="3" eb="4">
      <t>ホン</t>
    </rPh>
    <rPh sb="11" eb="13">
      <t>ニホン</t>
    </rPh>
    <rPh sb="17" eb="18">
      <t>サマ</t>
    </rPh>
    <rPh sb="22" eb="24">
      <t>ショウカイ</t>
    </rPh>
    <phoneticPr fontId="1"/>
  </si>
  <si>
    <t>仲泉　拓朗</t>
    <rPh sb="0" eb="1">
      <t>ナカ</t>
    </rPh>
    <rPh sb="1" eb="2">
      <t>イズミ</t>
    </rPh>
    <rPh sb="3" eb="5">
      <t>タクロウ</t>
    </rPh>
    <phoneticPr fontId="1"/>
  </si>
  <si>
    <t>中村　大樹</t>
    <rPh sb="0" eb="2">
      <t>ナカムラ</t>
    </rPh>
    <rPh sb="3" eb="5">
      <t>タイキ</t>
    </rPh>
    <phoneticPr fontId="1"/>
  </si>
  <si>
    <t>921-8013</t>
    <phoneticPr fontId="1"/>
  </si>
  <si>
    <t>921-8051</t>
    <phoneticPr fontId="1"/>
  </si>
  <si>
    <t>石川県金沢市新神田3-9-30</t>
    <rPh sb="0" eb="3">
      <t>イシカワケン</t>
    </rPh>
    <rPh sb="3" eb="6">
      <t>カナザワシ</t>
    </rPh>
    <rPh sb="6" eb="9">
      <t>シンカンダ</t>
    </rPh>
    <phoneticPr fontId="1"/>
  </si>
  <si>
    <t>石川県金沢市黒田1-206-8</t>
    <rPh sb="0" eb="3">
      <t>イシカワケン</t>
    </rPh>
    <rPh sb="3" eb="6">
      <t>カナザワシ</t>
    </rPh>
    <rPh sb="6" eb="8">
      <t>クロダ</t>
    </rPh>
    <phoneticPr fontId="1"/>
  </si>
  <si>
    <t>272km</t>
    <phoneticPr fontId="1"/>
  </si>
  <si>
    <t>270km</t>
    <phoneticPr fontId="1"/>
  </si>
  <si>
    <t>080-3741-4444</t>
    <phoneticPr fontId="1"/>
  </si>
  <si>
    <t>080-6350-0513</t>
    <phoneticPr fontId="1"/>
  </si>
  <si>
    <t>岩島　洋志</t>
    <rPh sb="0" eb="2">
      <t>イワシマ</t>
    </rPh>
    <rPh sb="3" eb="4">
      <t>ヒロシ</t>
    </rPh>
    <rPh sb="4" eb="5">
      <t>ココロザ</t>
    </rPh>
    <phoneticPr fontId="1"/>
  </si>
  <si>
    <t>兵庫県西宮市宝生ケ丘1-16-10-203</t>
    <rPh sb="0" eb="3">
      <t>ヒョウゴケン</t>
    </rPh>
    <rPh sb="3" eb="5">
      <t>ニシノミヤ</t>
    </rPh>
    <phoneticPr fontId="1"/>
  </si>
  <si>
    <t>7.0km</t>
    <phoneticPr fontId="1"/>
  </si>
  <si>
    <t>hiro.iwa.7@gmail.com</t>
    <phoneticPr fontId="1"/>
  </si>
  <si>
    <t>090-9544-1440</t>
    <phoneticPr fontId="1"/>
  </si>
  <si>
    <t>再来店　2019.11.3 DRﾌｨｯﾃｨﾝｸﾞ済</t>
    <rPh sb="0" eb="3">
      <t>サイライテン</t>
    </rPh>
    <rPh sb="24" eb="25">
      <t>スミ</t>
    </rPh>
    <phoneticPr fontId="1"/>
  </si>
  <si>
    <t>665-0852</t>
    <phoneticPr fontId="1"/>
  </si>
  <si>
    <t>兵庫県宝塚市売布2-14-15</t>
    <rPh sb="0" eb="3">
      <t>ヒョウゴケン</t>
    </rPh>
    <rPh sb="3" eb="6">
      <t>タカラヅカシ</t>
    </rPh>
    <rPh sb="6" eb="8">
      <t>メフ</t>
    </rPh>
    <phoneticPr fontId="1"/>
  </si>
  <si>
    <t>090-5658-3937</t>
    <phoneticPr fontId="1"/>
  </si>
  <si>
    <t>アンケート CM見てご来店</t>
    <rPh sb="8" eb="9">
      <t>ミ</t>
    </rPh>
    <rPh sb="11" eb="13">
      <t>ライテン</t>
    </rPh>
    <phoneticPr fontId="1"/>
  </si>
  <si>
    <t>山松　信裕</t>
    <rPh sb="0" eb="2">
      <t>ヤママツ</t>
    </rPh>
    <rPh sb="3" eb="4">
      <t>シン</t>
    </rPh>
    <rPh sb="4" eb="5">
      <t>ユウ</t>
    </rPh>
    <phoneticPr fontId="1"/>
  </si>
  <si>
    <t>627-0022</t>
    <phoneticPr fontId="1"/>
  </si>
  <si>
    <t>京都府京丹後市峰山町上22</t>
    <rPh sb="0" eb="3">
      <t>キョウトフ</t>
    </rPh>
    <rPh sb="3" eb="7">
      <t>キョウタンゴシ</t>
    </rPh>
    <rPh sb="7" eb="9">
      <t>ミネヤマ</t>
    </rPh>
    <rPh sb="9" eb="10">
      <t>チョウ</t>
    </rPh>
    <rPh sb="10" eb="11">
      <t>ウエ</t>
    </rPh>
    <phoneticPr fontId="1"/>
  </si>
  <si>
    <t>140㎞</t>
    <phoneticPr fontId="1"/>
  </si>
  <si>
    <t>0772-62-4095</t>
    <phoneticPr fontId="1"/>
  </si>
  <si>
    <t>高崎プロご紹介　10％オフ</t>
    <rPh sb="0" eb="2">
      <t>タカサキ</t>
    </rPh>
    <rPh sb="5" eb="7">
      <t>ショウカイ</t>
    </rPh>
    <phoneticPr fontId="1"/>
  </si>
  <si>
    <t>松村　秀行</t>
    <rPh sb="0" eb="2">
      <t>マツムラ</t>
    </rPh>
    <rPh sb="3" eb="5">
      <t>ヒデユキ</t>
    </rPh>
    <phoneticPr fontId="1"/>
  </si>
  <si>
    <t>江川　忠範</t>
    <rPh sb="0" eb="2">
      <t>エガワ</t>
    </rPh>
    <rPh sb="3" eb="4">
      <t>タダシ</t>
    </rPh>
    <rPh sb="4" eb="5">
      <t>ハン</t>
    </rPh>
    <phoneticPr fontId="1"/>
  </si>
  <si>
    <t>729-0106</t>
    <phoneticPr fontId="1"/>
  </si>
  <si>
    <t>広島県福山市高西町1丁目10-5-303</t>
    <rPh sb="0" eb="2">
      <t>ヒロシマ</t>
    </rPh>
    <rPh sb="2" eb="3">
      <t>ケン</t>
    </rPh>
    <rPh sb="3" eb="6">
      <t>フクヤマシ</t>
    </rPh>
    <rPh sb="6" eb="9">
      <t>タカニシチョウ</t>
    </rPh>
    <rPh sb="10" eb="12">
      <t>チョウメ</t>
    </rPh>
    <phoneticPr fontId="1"/>
  </si>
  <si>
    <t>562-0014</t>
    <phoneticPr fontId="1"/>
  </si>
  <si>
    <t>大阪府箕面市萱野5-12-3</t>
  </si>
  <si>
    <t>10.4㎞</t>
    <phoneticPr fontId="1"/>
  </si>
  <si>
    <t>230㎞</t>
    <phoneticPr fontId="1"/>
  </si>
  <si>
    <t>egawa0302@icloud.com</t>
    <phoneticPr fontId="1"/>
  </si>
  <si>
    <t>090-9505-2922</t>
    <phoneticPr fontId="1"/>
  </si>
  <si>
    <t>090-5254-0001</t>
    <phoneticPr fontId="1"/>
  </si>
  <si>
    <t>←中村様分もお支払い</t>
    <rPh sb="1" eb="3">
      <t>ナカムラ</t>
    </rPh>
    <rPh sb="3" eb="4">
      <t>サマ</t>
    </rPh>
    <rPh sb="4" eb="5">
      <t>ブン</t>
    </rPh>
    <rPh sb="7" eb="9">
      <t>シハラ</t>
    </rPh>
    <phoneticPr fontId="1"/>
  </si>
  <si>
    <t>←仲泉様がお支払い</t>
    <rPh sb="1" eb="3">
      <t>ナカイズミ</t>
    </rPh>
    <rPh sb="3" eb="4">
      <t>サマ</t>
    </rPh>
    <rPh sb="6" eb="8">
      <t>シハラ</t>
    </rPh>
    <phoneticPr fontId="1"/>
  </si>
  <si>
    <t>←江川様お支払い</t>
    <rPh sb="1" eb="3">
      <t>エガワ</t>
    </rPh>
    <rPh sb="3" eb="4">
      <t>サマ</t>
    </rPh>
    <rPh sb="5" eb="7">
      <t>シハラ</t>
    </rPh>
    <phoneticPr fontId="1"/>
  </si>
  <si>
    <t>←松村様分もお支払い</t>
    <rPh sb="1" eb="3">
      <t>マツムラ</t>
    </rPh>
    <rPh sb="3" eb="4">
      <t>サマ</t>
    </rPh>
    <rPh sb="4" eb="5">
      <t>ブン</t>
    </rPh>
    <rPh sb="7" eb="9">
      <t>シハラ</t>
    </rPh>
    <phoneticPr fontId="1"/>
  </si>
  <si>
    <t>住本　正志</t>
    <rPh sb="0" eb="2">
      <t>スミモト</t>
    </rPh>
    <rPh sb="3" eb="5">
      <t>マサシ</t>
    </rPh>
    <phoneticPr fontId="1"/>
  </si>
  <si>
    <t>兵庫県宝塚市南口1-9-13</t>
    <rPh sb="0" eb="3">
      <t>ヒョウゴケン</t>
    </rPh>
    <rPh sb="3" eb="6">
      <t>タカラヅカシ</t>
    </rPh>
    <rPh sb="6" eb="8">
      <t>ミナミグチ</t>
    </rPh>
    <phoneticPr fontId="1"/>
  </si>
  <si>
    <t>090-7884-5051</t>
    <phoneticPr fontId="1"/>
  </si>
  <si>
    <t>原田　淳史</t>
    <rPh sb="0" eb="2">
      <t>ハラダ</t>
    </rPh>
    <rPh sb="3" eb="5">
      <t>アツシ</t>
    </rPh>
    <phoneticPr fontId="1"/>
  </si>
  <si>
    <t>兵庫県宝塚市山手台東5-15-11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ヒガシ</t>
    </rPh>
    <phoneticPr fontId="1"/>
  </si>
  <si>
    <t>4.5㎞</t>
    <phoneticPr fontId="1"/>
  </si>
  <si>
    <t>090-6410-8000</t>
    <phoneticPr fontId="1"/>
  </si>
  <si>
    <t>藪野　優太</t>
    <rPh sb="0" eb="2">
      <t>ヤブノ</t>
    </rPh>
    <rPh sb="3" eb="5">
      <t>ユウタ</t>
    </rPh>
    <phoneticPr fontId="1"/>
  </si>
  <si>
    <t>兵庫県宝塚市南ひばりが丘3-11-12 U.J.ビル宝塚303</t>
    <rPh sb="0" eb="3">
      <t>ヒョウゴケン</t>
    </rPh>
    <rPh sb="3" eb="6">
      <t>タカラヅカシ</t>
    </rPh>
    <rPh sb="6" eb="7">
      <t>ミナミ</t>
    </rPh>
    <rPh sb="11" eb="12">
      <t>オカ</t>
    </rPh>
    <rPh sb="26" eb="28">
      <t>タカラヅカ</t>
    </rPh>
    <phoneticPr fontId="1"/>
  </si>
  <si>
    <t>090-8149-5672</t>
    <phoneticPr fontId="1"/>
  </si>
  <si>
    <t>丸岡　修一</t>
    <rPh sb="0" eb="2">
      <t>マルオカ</t>
    </rPh>
    <rPh sb="3" eb="5">
      <t>シュウイチ</t>
    </rPh>
    <phoneticPr fontId="1"/>
  </si>
  <si>
    <t>554-0024</t>
    <phoneticPr fontId="1"/>
  </si>
  <si>
    <t>大阪府大阪市此花区島屋3-4-16</t>
    <rPh sb="0" eb="3">
      <t>オオサカフ</t>
    </rPh>
    <rPh sb="3" eb="6">
      <t>オオサカシ</t>
    </rPh>
    <rPh sb="6" eb="9">
      <t>コノハナク</t>
    </rPh>
    <rPh sb="9" eb="11">
      <t>シマヤ</t>
    </rPh>
    <phoneticPr fontId="1"/>
  </si>
  <si>
    <t>s.maruoka@maruokatile.co.jp</t>
    <phoneticPr fontId="1"/>
  </si>
  <si>
    <t>090-1580-4977</t>
    <phoneticPr fontId="1"/>
  </si>
  <si>
    <t>堀渕　繁</t>
    <rPh sb="0" eb="1">
      <t>ホリ</t>
    </rPh>
    <rPh sb="1" eb="2">
      <t>フチ</t>
    </rPh>
    <rPh sb="3" eb="4">
      <t>シゲル</t>
    </rPh>
    <phoneticPr fontId="1"/>
  </si>
  <si>
    <t>兵庫県川西市花屋敷1-25-11-102</t>
    <rPh sb="0" eb="3">
      <t>ヒョウゴケン</t>
    </rPh>
    <rPh sb="3" eb="6">
      <t>カワニシシ</t>
    </rPh>
    <rPh sb="6" eb="9">
      <t>ハナヤシキ</t>
    </rPh>
    <phoneticPr fontId="1"/>
  </si>
  <si>
    <t>080-1524-6667</t>
    <phoneticPr fontId="1"/>
  </si>
  <si>
    <t>山口　浩治</t>
    <rPh sb="0" eb="2">
      <t>ヤマグチ</t>
    </rPh>
    <rPh sb="3" eb="4">
      <t>ヒロシ</t>
    </rPh>
    <rPh sb="4" eb="5">
      <t>チ</t>
    </rPh>
    <phoneticPr fontId="1"/>
  </si>
  <si>
    <t>664-0881</t>
    <phoneticPr fontId="1"/>
  </si>
  <si>
    <t>兵庫県伊丹市昆陽6-117-16</t>
    <rPh sb="0" eb="3">
      <t>ヒョウゴケン</t>
    </rPh>
    <rPh sb="3" eb="6">
      <t>イタミシ</t>
    </rPh>
    <rPh sb="6" eb="8">
      <t>コヤ</t>
    </rPh>
    <phoneticPr fontId="1"/>
  </si>
  <si>
    <t>k.yamaguchi@data-ystec.co.jp</t>
    <phoneticPr fontId="1"/>
  </si>
  <si>
    <t>090-1484-1048</t>
    <phoneticPr fontId="1"/>
  </si>
  <si>
    <t>田渕　一</t>
    <rPh sb="0" eb="2">
      <t>タブチ</t>
    </rPh>
    <rPh sb="3" eb="4">
      <t>ハジメ</t>
    </rPh>
    <phoneticPr fontId="1"/>
  </si>
  <si>
    <t>兵庫県伊丹市松ヶ丘4-54</t>
    <rPh sb="0" eb="3">
      <t>ヒョウゴケン</t>
    </rPh>
    <rPh sb="3" eb="6">
      <t>イタミシ</t>
    </rPh>
    <rPh sb="6" eb="7">
      <t>マツ</t>
    </rPh>
    <rPh sb="8" eb="9">
      <t>オカ</t>
    </rPh>
    <phoneticPr fontId="1"/>
  </si>
  <si>
    <t>664-0017</t>
    <phoneticPr fontId="1"/>
  </si>
  <si>
    <t>090-3285-2063</t>
    <phoneticPr fontId="1"/>
  </si>
  <si>
    <t>松岡　晋一郎</t>
    <rPh sb="0" eb="2">
      <t>マツオカ</t>
    </rPh>
    <rPh sb="3" eb="6">
      <t>シンイチロウ</t>
    </rPh>
    <phoneticPr fontId="1"/>
  </si>
  <si>
    <t>松岡　育子</t>
    <rPh sb="0" eb="2">
      <t>マツオカ</t>
    </rPh>
    <rPh sb="3" eb="5">
      <t>イクコ</t>
    </rPh>
    <phoneticPr fontId="1"/>
  </si>
  <si>
    <t>611-0013</t>
    <phoneticPr fontId="1"/>
  </si>
  <si>
    <t>京都府宇治市莵道車田15-8</t>
    <rPh sb="0" eb="3">
      <t>キョウトフ</t>
    </rPh>
    <rPh sb="3" eb="6">
      <t>ウジシ</t>
    </rPh>
    <rPh sb="8" eb="9">
      <t>クルマ</t>
    </rPh>
    <rPh sb="9" eb="10">
      <t>タ</t>
    </rPh>
    <phoneticPr fontId="1"/>
  </si>
  <si>
    <t>51.2㎞</t>
    <phoneticPr fontId="1"/>
  </si>
  <si>
    <t>matsuoka@switch-tiff.co.jp</t>
    <phoneticPr fontId="1"/>
  </si>
  <si>
    <t>195matsuoka@gmail.com</t>
    <phoneticPr fontId="1"/>
  </si>
  <si>
    <t>090-6238-5304</t>
    <phoneticPr fontId="1"/>
  </si>
  <si>
    <t>090-5907-0579</t>
    <phoneticPr fontId="1"/>
  </si>
  <si>
    <t>葛井様ご紹介　10％OFF</t>
    <rPh sb="0" eb="2">
      <t>カツイ</t>
    </rPh>
    <rPh sb="2" eb="3">
      <t>サマ</t>
    </rPh>
    <rPh sb="4" eb="6">
      <t>ショウカイ</t>
    </rPh>
    <phoneticPr fontId="1"/>
  </si>
  <si>
    <t>髙津　雅子</t>
    <rPh sb="0" eb="1">
      <t>コウ</t>
    </rPh>
    <rPh sb="1" eb="2">
      <t>ツ</t>
    </rPh>
    <rPh sb="3" eb="5">
      <t>マサコ</t>
    </rPh>
    <phoneticPr fontId="1"/>
  </si>
  <si>
    <t>661-0035</t>
    <phoneticPr fontId="1"/>
  </si>
  <si>
    <t>尼崎市武庫之荘2-19-8</t>
    <rPh sb="0" eb="3">
      <t>アマガサキシ</t>
    </rPh>
    <rPh sb="3" eb="7">
      <t>ムコノソウ</t>
    </rPh>
    <phoneticPr fontId="1"/>
  </si>
  <si>
    <t>8.6㎞</t>
    <phoneticPr fontId="1"/>
  </si>
  <si>
    <t>090-2101-5490</t>
    <phoneticPr fontId="1"/>
  </si>
  <si>
    <t>安保　和之</t>
    <rPh sb="0" eb="2">
      <t>アボ</t>
    </rPh>
    <rPh sb="3" eb="5">
      <t>カズユキ</t>
    </rPh>
    <phoneticPr fontId="1"/>
  </si>
  <si>
    <t>宝塚市中山桜台2-18-5</t>
    <rPh sb="0" eb="3">
      <t>タカラヅカシ</t>
    </rPh>
    <rPh sb="3" eb="5">
      <t>ナカヤマ</t>
    </rPh>
    <rPh sb="5" eb="7">
      <t>サクラダイ</t>
    </rPh>
    <phoneticPr fontId="1"/>
  </si>
  <si>
    <t>3.9㎞</t>
    <phoneticPr fontId="1"/>
  </si>
  <si>
    <t>090-3709-0131</t>
    <phoneticPr fontId="1"/>
  </si>
  <si>
    <t>金南プロご紹介</t>
    <rPh sb="0" eb="1">
      <t>キン</t>
    </rPh>
    <rPh sb="1" eb="2">
      <t>ミナミ</t>
    </rPh>
    <rPh sb="5" eb="7">
      <t>ショウカイ</t>
    </rPh>
    <phoneticPr fontId="1"/>
  </si>
  <si>
    <t>三澤　利穏</t>
    <rPh sb="0" eb="2">
      <t>ミサワ</t>
    </rPh>
    <rPh sb="3" eb="4">
      <t>リ</t>
    </rPh>
    <rPh sb="4" eb="5">
      <t>オン</t>
    </rPh>
    <phoneticPr fontId="1"/>
  </si>
  <si>
    <t>兵庫県宝塚市亀井町8-15</t>
    <rPh sb="0" eb="3">
      <t>ヒョウゴケン</t>
    </rPh>
    <rPh sb="3" eb="6">
      <t>タカラヅカシ</t>
    </rPh>
    <rPh sb="6" eb="9">
      <t>カメイチョウ</t>
    </rPh>
    <phoneticPr fontId="1"/>
  </si>
  <si>
    <t>5.5㎞</t>
    <phoneticPr fontId="1"/>
  </si>
  <si>
    <t>090-6754-2506</t>
    <phoneticPr fontId="1"/>
  </si>
  <si>
    <t>畑中　伸英</t>
    <rPh sb="0" eb="2">
      <t>ハタナカ</t>
    </rPh>
    <rPh sb="3" eb="5">
      <t>ノブヒデ</t>
    </rPh>
    <phoneticPr fontId="1"/>
  </si>
  <si>
    <t>670-6974</t>
    <phoneticPr fontId="1"/>
  </si>
  <si>
    <t>兵庫県姫路市飯田529クレセント手柄202</t>
    <rPh sb="0" eb="3">
      <t>ヒョウゴケン</t>
    </rPh>
    <rPh sb="3" eb="6">
      <t>ヒメジシ</t>
    </rPh>
    <rPh sb="6" eb="8">
      <t>イイダ</t>
    </rPh>
    <rPh sb="16" eb="18">
      <t>テガラ</t>
    </rPh>
    <phoneticPr fontId="1"/>
  </si>
  <si>
    <t>84㎞</t>
    <phoneticPr fontId="1"/>
  </si>
  <si>
    <t>090-9048-3384</t>
    <phoneticPr fontId="1"/>
  </si>
  <si>
    <t>北村　豊逸</t>
    <rPh sb="0" eb="2">
      <t>キタムラ</t>
    </rPh>
    <rPh sb="3" eb="4">
      <t>トヨ</t>
    </rPh>
    <rPh sb="4" eb="5">
      <t>イツ</t>
    </rPh>
    <phoneticPr fontId="1"/>
  </si>
  <si>
    <t>兵庫県宝塚市長尾町15-1</t>
    <rPh sb="0" eb="3">
      <t>ヒョウゴケン</t>
    </rPh>
    <rPh sb="3" eb="6">
      <t>タカラヅカシ</t>
    </rPh>
    <rPh sb="6" eb="8">
      <t>ナガオ</t>
    </rPh>
    <rPh sb="8" eb="9">
      <t>チョウ</t>
    </rPh>
    <phoneticPr fontId="1"/>
  </si>
  <si>
    <t>450ｍ</t>
    <phoneticPr fontId="1"/>
  </si>
  <si>
    <t>kitamura.t2.i0412@icloud.com</t>
    <phoneticPr fontId="1"/>
  </si>
  <si>
    <t>090-3167-6175</t>
    <phoneticPr fontId="1"/>
  </si>
  <si>
    <t>中井　由美子</t>
    <rPh sb="0" eb="2">
      <t>ナカイ</t>
    </rPh>
    <rPh sb="3" eb="6">
      <t>ユミコ</t>
    </rPh>
    <phoneticPr fontId="1"/>
  </si>
  <si>
    <t>宝塚市山手台東5丁目30-1</t>
    <rPh sb="0" eb="3">
      <t>タカラヅカシ</t>
    </rPh>
    <rPh sb="3" eb="5">
      <t>ヤマテ</t>
    </rPh>
    <rPh sb="5" eb="6">
      <t>ダイ</t>
    </rPh>
    <rPh sb="6" eb="7">
      <t>ヒガシ</t>
    </rPh>
    <rPh sb="8" eb="10">
      <t>チョウメ</t>
    </rPh>
    <phoneticPr fontId="1"/>
  </si>
  <si>
    <t>090-5361-4911</t>
    <phoneticPr fontId="1"/>
  </si>
  <si>
    <t>秋山　直毅</t>
    <rPh sb="0" eb="2">
      <t>アキヤマ</t>
    </rPh>
    <rPh sb="3" eb="4">
      <t>ジカ</t>
    </rPh>
    <rPh sb="4" eb="5">
      <t>ツヨシ</t>
    </rPh>
    <phoneticPr fontId="1"/>
  </si>
  <si>
    <t>兵庫県宝塚市山手台東5-17-4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ヒガシ</t>
    </rPh>
    <phoneticPr fontId="1"/>
  </si>
  <si>
    <t>naoki19861023@gmail.com</t>
    <phoneticPr fontId="1"/>
  </si>
  <si>
    <t>080-1481-1897</t>
    <phoneticPr fontId="1"/>
  </si>
  <si>
    <t>後藤　厚</t>
    <rPh sb="0" eb="2">
      <t>ゴトウ</t>
    </rPh>
    <rPh sb="3" eb="4">
      <t>アツシ</t>
    </rPh>
    <phoneticPr fontId="1"/>
  </si>
  <si>
    <t>兵庫県伊丹市野間7-12-7-103</t>
    <rPh sb="0" eb="3">
      <t>ヒョウゴケン</t>
    </rPh>
    <rPh sb="3" eb="6">
      <t>イタミシ</t>
    </rPh>
    <rPh sb="6" eb="8">
      <t>ノマ</t>
    </rPh>
    <phoneticPr fontId="1"/>
  </si>
  <si>
    <t>7.4㎞</t>
    <phoneticPr fontId="1"/>
  </si>
  <si>
    <t>090-5161-1835</t>
    <phoneticPr fontId="1"/>
  </si>
  <si>
    <t>矢倉　徳正</t>
    <rPh sb="0" eb="2">
      <t>ヤクラ</t>
    </rPh>
    <rPh sb="3" eb="4">
      <t>トク</t>
    </rPh>
    <rPh sb="4" eb="5">
      <t>マサ</t>
    </rPh>
    <phoneticPr fontId="1"/>
  </si>
  <si>
    <t>兵庫県宝塚市売布4-3-43 101号</t>
    <rPh sb="0" eb="3">
      <t>ヒョウゴケン</t>
    </rPh>
    <rPh sb="3" eb="6">
      <t>タカラヅカシ</t>
    </rPh>
    <rPh sb="6" eb="8">
      <t>メフ</t>
    </rPh>
    <rPh sb="18" eb="19">
      <t>ゴウ</t>
    </rPh>
    <phoneticPr fontId="1"/>
  </si>
  <si>
    <t>3.2㎞</t>
    <phoneticPr fontId="1"/>
  </si>
  <si>
    <t>090-1488-0296</t>
    <phoneticPr fontId="1"/>
  </si>
  <si>
    <t>松本　正樹</t>
    <rPh sb="0" eb="1">
      <t>マツ</t>
    </rPh>
    <rPh sb="1" eb="2">
      <t>モト</t>
    </rPh>
    <rPh sb="3" eb="5">
      <t>マサキ</t>
    </rPh>
    <phoneticPr fontId="1"/>
  </si>
  <si>
    <t>大阪府岸和田市上松町649</t>
    <rPh sb="0" eb="2">
      <t>オオサカ</t>
    </rPh>
    <rPh sb="2" eb="3">
      <t>フ</t>
    </rPh>
    <rPh sb="3" eb="7">
      <t>キシワダシ</t>
    </rPh>
    <rPh sb="7" eb="8">
      <t>ウエ</t>
    </rPh>
    <rPh sb="8" eb="9">
      <t>マツ</t>
    </rPh>
    <rPh sb="9" eb="10">
      <t>チョウ</t>
    </rPh>
    <phoneticPr fontId="1"/>
  </si>
  <si>
    <t>58.0㎞</t>
    <phoneticPr fontId="1"/>
  </si>
  <si>
    <t>080-5328-1854</t>
    <phoneticPr fontId="1"/>
  </si>
  <si>
    <t>道関　和宏</t>
    <rPh sb="0" eb="1">
      <t>ミチ</t>
    </rPh>
    <rPh sb="1" eb="2">
      <t>セキ</t>
    </rPh>
    <rPh sb="3" eb="5">
      <t>カズヒロ</t>
    </rPh>
    <phoneticPr fontId="1"/>
  </si>
  <si>
    <t>鈴木　一晃</t>
    <rPh sb="0" eb="2">
      <t>スズキ</t>
    </rPh>
    <rPh sb="3" eb="5">
      <t>カズアキ</t>
    </rPh>
    <phoneticPr fontId="1"/>
  </si>
  <si>
    <t>663-8175</t>
    <phoneticPr fontId="1"/>
  </si>
  <si>
    <t>兵庫県西宮市甲子園五番町13-27</t>
    <rPh sb="0" eb="3">
      <t>ヒョウゴケン</t>
    </rPh>
    <rPh sb="3" eb="6">
      <t>ニシノミヤシ</t>
    </rPh>
    <rPh sb="6" eb="9">
      <t>コウシエン</t>
    </rPh>
    <rPh sb="9" eb="12">
      <t>ゴバンチョウ</t>
    </rPh>
    <phoneticPr fontId="1"/>
  </si>
  <si>
    <t>26.1㎞</t>
    <phoneticPr fontId="1"/>
  </si>
  <si>
    <t>090-3287-6188</t>
    <phoneticPr fontId="1"/>
  </si>
  <si>
    <t>植田　絢子</t>
    <rPh sb="0" eb="2">
      <t>ウエダ</t>
    </rPh>
    <rPh sb="3" eb="5">
      <t>アヤコ</t>
    </rPh>
    <phoneticPr fontId="1"/>
  </si>
  <si>
    <t>662-0018</t>
    <phoneticPr fontId="1"/>
  </si>
  <si>
    <t>兵庫県西宮市甲陽園山王町1-89-203</t>
    <phoneticPr fontId="1"/>
  </si>
  <si>
    <t>11.0㎞</t>
    <phoneticPr fontId="1"/>
  </si>
  <si>
    <t>090-1150-6090</t>
    <phoneticPr fontId="1"/>
  </si>
  <si>
    <t>アンケート、山木様ご友人</t>
    <rPh sb="6" eb="8">
      <t>ヤマキ</t>
    </rPh>
    <rPh sb="8" eb="9">
      <t>サマ</t>
    </rPh>
    <rPh sb="10" eb="12">
      <t>ユウジン</t>
    </rPh>
    <phoneticPr fontId="1"/>
  </si>
  <si>
    <t>水野　克彦</t>
    <rPh sb="0" eb="2">
      <t>ミズノ</t>
    </rPh>
    <rPh sb="3" eb="5">
      <t>カツヒコ</t>
    </rPh>
    <phoneticPr fontId="1"/>
  </si>
  <si>
    <t>665-0004</t>
    <phoneticPr fontId="1"/>
  </si>
  <si>
    <t>兵庫県宝塚市梅野町4-2-902</t>
    <rPh sb="0" eb="3">
      <t>ヒョウゴケン</t>
    </rPh>
    <rPh sb="3" eb="6">
      <t>タカラヅカシ</t>
    </rPh>
    <rPh sb="6" eb="8">
      <t>ウメノ</t>
    </rPh>
    <rPh sb="8" eb="9">
      <t>チョウ</t>
    </rPh>
    <phoneticPr fontId="1"/>
  </si>
  <si>
    <t>5.6㎞</t>
    <phoneticPr fontId="1"/>
  </si>
  <si>
    <t>0797-97-0756</t>
    <phoneticPr fontId="1"/>
  </si>
  <si>
    <t>河村　秀樹</t>
    <rPh sb="0" eb="2">
      <t>カワムラ</t>
    </rPh>
    <rPh sb="3" eb="5">
      <t>ヒデキ</t>
    </rPh>
    <phoneticPr fontId="1"/>
  </si>
  <si>
    <t>580-0032</t>
    <phoneticPr fontId="1"/>
  </si>
  <si>
    <t>大阪府松原市天美東9-7-11</t>
    <rPh sb="0" eb="3">
      <t>オオサカフ</t>
    </rPh>
    <rPh sb="3" eb="6">
      <t>マツバラシ</t>
    </rPh>
    <rPh sb="6" eb="7">
      <t>テン</t>
    </rPh>
    <rPh sb="7" eb="8">
      <t>ミ</t>
    </rPh>
    <rPh sb="8" eb="9">
      <t>ヒガシ</t>
    </rPh>
    <phoneticPr fontId="1"/>
  </si>
  <si>
    <t>大阪府阿倍野区昭和町2-6-3</t>
    <rPh sb="0" eb="3">
      <t>オオサカフ</t>
    </rPh>
    <rPh sb="3" eb="7">
      <t>アベノク</t>
    </rPh>
    <rPh sb="7" eb="9">
      <t>ショウワ</t>
    </rPh>
    <rPh sb="9" eb="10">
      <t>チョウ</t>
    </rPh>
    <phoneticPr fontId="1"/>
  </si>
  <si>
    <t>37.0㎞</t>
    <phoneticPr fontId="1"/>
  </si>
  <si>
    <t>32.8㎞</t>
    <phoneticPr fontId="1"/>
  </si>
  <si>
    <t>545-0011</t>
    <phoneticPr fontId="1"/>
  </si>
  <si>
    <t>080-1170-3080</t>
    <phoneticPr fontId="1"/>
  </si>
  <si>
    <t>090-8215-3753</t>
    <phoneticPr fontId="1"/>
  </si>
  <si>
    <t>大西　広士</t>
    <rPh sb="0" eb="2">
      <t>オオニシ</t>
    </rPh>
    <rPh sb="3" eb="4">
      <t>ヒロシ</t>
    </rPh>
    <rPh sb="4" eb="5">
      <t>シ</t>
    </rPh>
    <phoneticPr fontId="1"/>
  </si>
  <si>
    <t>547-0048</t>
    <phoneticPr fontId="1"/>
  </si>
  <si>
    <t>大阪府大阪市平野区平野馬場1-15-9-20</t>
  </si>
  <si>
    <t>33.7㎞</t>
    <phoneticPr fontId="1"/>
  </si>
  <si>
    <t>080-3776-9184</t>
    <phoneticPr fontId="1"/>
  </si>
  <si>
    <t>長田　修一郎</t>
    <rPh sb="0" eb="2">
      <t>ナガタ</t>
    </rPh>
    <rPh sb="3" eb="6">
      <t>シュウイチロウ</t>
    </rPh>
    <phoneticPr fontId="1"/>
  </si>
  <si>
    <t>830-0028</t>
    <phoneticPr fontId="1"/>
  </si>
  <si>
    <t>福岡県久留米市京町171-1-406</t>
    <rPh sb="0" eb="3">
      <t>フクオカケン</t>
    </rPh>
    <rPh sb="3" eb="7">
      <t>クルメシ</t>
    </rPh>
    <rPh sb="7" eb="9">
      <t>キョウマチ</t>
    </rPh>
    <phoneticPr fontId="1"/>
  </si>
  <si>
    <t>623㎞</t>
    <phoneticPr fontId="1"/>
  </si>
  <si>
    <t>090-2718-5122</t>
    <phoneticPr fontId="1"/>
  </si>
  <si>
    <t>磯野　仁也</t>
    <rPh sb="0" eb="2">
      <t>イソノ</t>
    </rPh>
    <rPh sb="3" eb="4">
      <t>ジン</t>
    </rPh>
    <rPh sb="4" eb="5">
      <t>ナリ</t>
    </rPh>
    <phoneticPr fontId="1"/>
  </si>
  <si>
    <t>655-0013</t>
    <phoneticPr fontId="1"/>
  </si>
  <si>
    <t>兵庫県神戸市垂水区福田2丁目1-28　ビオレフクダA101</t>
    <rPh sb="12" eb="14">
      <t>チョウメ</t>
    </rPh>
    <phoneticPr fontId="1"/>
  </si>
  <si>
    <t>47.3㎞</t>
    <phoneticPr fontId="1"/>
  </si>
  <si>
    <t>080-6153-3579</t>
    <phoneticPr fontId="1"/>
  </si>
  <si>
    <t>久本　幸広</t>
    <rPh sb="0" eb="2">
      <t>ヒサモト</t>
    </rPh>
    <rPh sb="3" eb="5">
      <t>ユキヒロ</t>
    </rPh>
    <phoneticPr fontId="1"/>
  </si>
  <si>
    <t>689-1455</t>
    <phoneticPr fontId="1"/>
  </si>
  <si>
    <t>鳥取県八頭郡智頭町西宇塚219</t>
    <phoneticPr fontId="1"/>
  </si>
  <si>
    <t>145㎞</t>
    <phoneticPr fontId="1"/>
  </si>
  <si>
    <t>090-1688-0816</t>
    <phoneticPr fontId="1"/>
  </si>
  <si>
    <t>兵庫県宝塚市小浜5-9-11-3</t>
    <rPh sb="0" eb="3">
      <t>ヒョウゴケン</t>
    </rPh>
    <rPh sb="3" eb="6">
      <t>タカラヅカシ</t>
    </rPh>
    <rPh sb="6" eb="8">
      <t>コハマ</t>
    </rPh>
    <phoneticPr fontId="1"/>
  </si>
  <si>
    <t>2019年6月ﾌｨｯﾃｨﾝｸﾞでご来店</t>
    <rPh sb="4" eb="5">
      <t>ネン</t>
    </rPh>
    <rPh sb="6" eb="7">
      <t>ガツ</t>
    </rPh>
    <rPh sb="17" eb="19">
      <t>ライテン</t>
    </rPh>
    <phoneticPr fontId="1"/>
  </si>
  <si>
    <t>横田　竜成</t>
    <rPh sb="0" eb="2">
      <t>ヨコタ</t>
    </rPh>
    <rPh sb="3" eb="4">
      <t>リュウ</t>
    </rPh>
    <rPh sb="4" eb="5">
      <t>シゲル</t>
    </rPh>
    <phoneticPr fontId="1"/>
  </si>
  <si>
    <t>981-3623</t>
    <phoneticPr fontId="1"/>
  </si>
  <si>
    <t>宮城県黒川郡大和町小野字松沢14</t>
  </si>
  <si>
    <t>870㎞</t>
    <phoneticPr fontId="1"/>
  </si>
  <si>
    <t>080-5564-3636</t>
    <phoneticPr fontId="1"/>
  </si>
  <si>
    <t>プロ料金</t>
    <rPh sb="2" eb="4">
      <t>リョウキン</t>
    </rPh>
    <phoneticPr fontId="1"/>
  </si>
  <si>
    <t>中尾　正</t>
    <rPh sb="0" eb="2">
      <t>ナカオ</t>
    </rPh>
    <rPh sb="3" eb="4">
      <t>タダ</t>
    </rPh>
    <phoneticPr fontId="1"/>
  </si>
  <si>
    <t>661-0981</t>
    <phoneticPr fontId="1"/>
  </si>
  <si>
    <t>兵庫県尼崎市猪名寺2-3-13</t>
    <rPh sb="0" eb="3">
      <t>ヒョウゴケン</t>
    </rPh>
    <rPh sb="3" eb="6">
      <t>アマガサキシ</t>
    </rPh>
    <rPh sb="6" eb="9">
      <t>イナデラ</t>
    </rPh>
    <phoneticPr fontId="1"/>
  </si>
  <si>
    <t>8.3㎞</t>
    <phoneticPr fontId="1"/>
  </si>
  <si>
    <t>090-9882-6111</t>
    <phoneticPr fontId="1"/>
  </si>
  <si>
    <t>朝隈　章夫</t>
    <rPh sb="0" eb="2">
      <t>アサクマ</t>
    </rPh>
    <rPh sb="3" eb="5">
      <t>アキオ</t>
    </rPh>
    <phoneticPr fontId="1"/>
  </si>
  <si>
    <t>宝塚市旭町2-15-11</t>
    <rPh sb="0" eb="3">
      <t>タカラヅカシ</t>
    </rPh>
    <rPh sb="3" eb="5">
      <t>アサヒチョウ</t>
    </rPh>
    <phoneticPr fontId="1"/>
  </si>
  <si>
    <t>090-5165-7058</t>
    <phoneticPr fontId="1"/>
  </si>
  <si>
    <t>福本　潤一</t>
    <rPh sb="0" eb="2">
      <t>フクモト</t>
    </rPh>
    <rPh sb="3" eb="5">
      <t>ジュンイチ</t>
    </rPh>
    <phoneticPr fontId="1"/>
  </si>
  <si>
    <t>536-0011</t>
    <phoneticPr fontId="1"/>
  </si>
  <si>
    <t>大阪府大阪市城東区放出西3-2-1</t>
    <rPh sb="0" eb="3">
      <t>オオサカフ</t>
    </rPh>
    <rPh sb="3" eb="6">
      <t>オオサカシ</t>
    </rPh>
    <rPh sb="6" eb="9">
      <t>ジョウトウク</t>
    </rPh>
    <rPh sb="9" eb="12">
      <t>ハナテンニシ</t>
    </rPh>
    <phoneticPr fontId="1"/>
  </si>
  <si>
    <t>28㎞</t>
    <phoneticPr fontId="1"/>
  </si>
  <si>
    <t>090-3067-7975</t>
    <phoneticPr fontId="1"/>
  </si>
  <si>
    <t>向井　大地</t>
    <rPh sb="0" eb="2">
      <t>ムカイ</t>
    </rPh>
    <rPh sb="3" eb="5">
      <t>ダイチ</t>
    </rPh>
    <phoneticPr fontId="1"/>
  </si>
  <si>
    <t>669-1517</t>
    <phoneticPr fontId="1"/>
  </si>
  <si>
    <t>兵庫県三田市成谷104</t>
    <rPh sb="0" eb="3">
      <t>ヒョウゴケン</t>
    </rPh>
    <rPh sb="3" eb="6">
      <t>サンダシ</t>
    </rPh>
    <rPh sb="6" eb="8">
      <t>ナリヤ</t>
    </rPh>
    <phoneticPr fontId="1"/>
  </si>
  <si>
    <t>23.5㎞</t>
    <phoneticPr fontId="1"/>
  </si>
  <si>
    <t>090-7557-2885</t>
    <phoneticPr fontId="1"/>
  </si>
  <si>
    <t>森　雄平</t>
    <rPh sb="0" eb="1">
      <t>モリ</t>
    </rPh>
    <rPh sb="2" eb="3">
      <t>オス</t>
    </rPh>
    <rPh sb="3" eb="4">
      <t>タイラ</t>
    </rPh>
    <phoneticPr fontId="1"/>
  </si>
  <si>
    <t>兵庫県宝塚市平井5-9-11-1</t>
    <rPh sb="0" eb="3">
      <t>ヒョウゴケン</t>
    </rPh>
    <rPh sb="3" eb="8">
      <t>タカラヅカシヒライ</t>
    </rPh>
    <phoneticPr fontId="1"/>
  </si>
  <si>
    <t>1.3ｋｍ</t>
    <phoneticPr fontId="1"/>
  </si>
  <si>
    <t>080-6206-3368</t>
    <phoneticPr fontId="1"/>
  </si>
  <si>
    <t>ﾌﾟﾗｽ シャフト試打無制限￥5500</t>
    <phoneticPr fontId="1"/>
  </si>
  <si>
    <t>波戸　聡</t>
    <rPh sb="0" eb="1">
      <t>ナミ</t>
    </rPh>
    <rPh sb="3" eb="4">
      <t>サトシ</t>
    </rPh>
    <phoneticPr fontId="1"/>
  </si>
  <si>
    <t>656-0341</t>
    <phoneticPr fontId="1"/>
  </si>
  <si>
    <t>南あわじ市津井1532-3</t>
    <rPh sb="0" eb="1">
      <t>ミナミ</t>
    </rPh>
    <rPh sb="4" eb="5">
      <t>シ</t>
    </rPh>
    <rPh sb="5" eb="6">
      <t>ツ</t>
    </rPh>
    <rPh sb="6" eb="7">
      <t>イ</t>
    </rPh>
    <phoneticPr fontId="1"/>
  </si>
  <si>
    <t>109㎞</t>
    <phoneticPr fontId="1"/>
  </si>
  <si>
    <t>0799-36-4303</t>
    <phoneticPr fontId="1"/>
  </si>
  <si>
    <t>福田　裕司</t>
    <rPh sb="0" eb="2">
      <t>フクダ</t>
    </rPh>
    <rPh sb="3" eb="5">
      <t>ユウジ</t>
    </rPh>
    <phoneticPr fontId="1"/>
  </si>
  <si>
    <t>兵庫県西宮市上甲子園2-8-9</t>
    <rPh sb="0" eb="3">
      <t>ヒョウゴケン</t>
    </rPh>
    <rPh sb="3" eb="5">
      <t>ニシノミヤ</t>
    </rPh>
    <rPh sb="5" eb="6">
      <t>シ</t>
    </rPh>
    <rPh sb="6" eb="7">
      <t>カミ</t>
    </rPh>
    <rPh sb="7" eb="10">
      <t>コウシエン</t>
    </rPh>
    <phoneticPr fontId="1"/>
  </si>
  <si>
    <t>27.1㎞</t>
    <phoneticPr fontId="1"/>
  </si>
  <si>
    <t>090-7493-0704</t>
    <phoneticPr fontId="1"/>
  </si>
  <si>
    <t>東野　文也</t>
    <rPh sb="0" eb="1">
      <t>ヒガシ</t>
    </rPh>
    <rPh sb="1" eb="2">
      <t>ノ</t>
    </rPh>
    <rPh sb="3" eb="5">
      <t>フミヤ</t>
    </rPh>
    <phoneticPr fontId="1"/>
  </si>
  <si>
    <t>兵庫県芦屋市朝日ヶ丘町7-22-210</t>
    <rPh sb="0" eb="3">
      <t>ヒョウゴケン</t>
    </rPh>
    <rPh sb="3" eb="6">
      <t>アシヤシ</t>
    </rPh>
    <rPh sb="6" eb="10">
      <t>アサヒガオカ</t>
    </rPh>
    <rPh sb="10" eb="11">
      <t>チョウ</t>
    </rPh>
    <phoneticPr fontId="1"/>
  </si>
  <si>
    <t>31.0㎞</t>
    <phoneticPr fontId="1"/>
  </si>
  <si>
    <t>090-1145-0238</t>
    <phoneticPr fontId="1"/>
  </si>
  <si>
    <t>西村　聡宏</t>
    <rPh sb="0" eb="2">
      <t>ニシムラ</t>
    </rPh>
    <rPh sb="3" eb="4">
      <t>サトシ</t>
    </rPh>
    <rPh sb="4" eb="5">
      <t>ヒロ</t>
    </rPh>
    <phoneticPr fontId="1"/>
  </si>
  <si>
    <t>700-0034</t>
    <phoneticPr fontId="1"/>
  </si>
  <si>
    <t>岡山県岡山市北区高柳東町13-69フュアテラス102</t>
    <rPh sb="0" eb="3">
      <t>オカヤマケン</t>
    </rPh>
    <rPh sb="3" eb="6">
      <t>オカヤマシ</t>
    </rPh>
    <rPh sb="6" eb="8">
      <t>キタク</t>
    </rPh>
    <rPh sb="8" eb="10">
      <t>タカヤナギ</t>
    </rPh>
    <rPh sb="10" eb="11">
      <t>ヒガシ</t>
    </rPh>
    <rPh sb="11" eb="12">
      <t>チョウ</t>
    </rPh>
    <phoneticPr fontId="1"/>
  </si>
  <si>
    <t>162㎞</t>
    <phoneticPr fontId="1"/>
  </si>
  <si>
    <t>080-4111-1600</t>
    <phoneticPr fontId="1"/>
  </si>
  <si>
    <t>中村　敏也</t>
    <rPh sb="0" eb="2">
      <t>ナカムラ</t>
    </rPh>
    <rPh sb="3" eb="4">
      <t>トシ</t>
    </rPh>
    <rPh sb="4" eb="5">
      <t>ヤ</t>
    </rPh>
    <phoneticPr fontId="1"/>
  </si>
  <si>
    <t>岡山県倉敷市昭和1-1-35-603</t>
    <rPh sb="0" eb="3">
      <t>オカヤマケン</t>
    </rPh>
    <rPh sb="3" eb="5">
      <t>クラシキ</t>
    </rPh>
    <rPh sb="5" eb="6">
      <t>シ</t>
    </rPh>
    <rPh sb="6" eb="8">
      <t>ショウワ</t>
    </rPh>
    <phoneticPr fontId="1"/>
  </si>
  <si>
    <t>175㎞</t>
    <phoneticPr fontId="1"/>
  </si>
  <si>
    <t>700-0057</t>
    <phoneticPr fontId="1"/>
  </si>
  <si>
    <t>090-7893-4544</t>
    <phoneticPr fontId="1"/>
  </si>
  <si>
    <t>亀山　智儀</t>
    <rPh sb="0" eb="2">
      <t>カメヤマ</t>
    </rPh>
    <rPh sb="3" eb="4">
      <t>トモ</t>
    </rPh>
    <rPh sb="4" eb="5">
      <t>ノリ</t>
    </rPh>
    <phoneticPr fontId="1"/>
  </si>
  <si>
    <t>710-0057</t>
    <phoneticPr fontId="1"/>
  </si>
  <si>
    <t>岡山県倉敷市昭和1-3-35　1504号</t>
    <rPh sb="0" eb="3">
      <t>オカヤマケン</t>
    </rPh>
    <rPh sb="3" eb="6">
      <t>クラシキシ</t>
    </rPh>
    <rPh sb="6" eb="8">
      <t>ショウワ</t>
    </rPh>
    <rPh sb="19" eb="20">
      <t>ゴウ</t>
    </rPh>
    <phoneticPr fontId="1"/>
  </si>
  <si>
    <t>174㎞</t>
    <phoneticPr fontId="1"/>
  </si>
  <si>
    <t>080-9798-4833</t>
    <phoneticPr fontId="1"/>
  </si>
  <si>
    <t>岡本　和英</t>
    <rPh sb="0" eb="2">
      <t>オカモト</t>
    </rPh>
    <rPh sb="3" eb="5">
      <t>カズヒデ</t>
    </rPh>
    <phoneticPr fontId="1"/>
  </si>
  <si>
    <t>560-0054</t>
    <phoneticPr fontId="1"/>
  </si>
  <si>
    <t>豊中市桜の町7-2-26</t>
    <rPh sb="0" eb="3">
      <t>トヨナカシ</t>
    </rPh>
    <rPh sb="3" eb="4">
      <t>サクラ</t>
    </rPh>
    <rPh sb="5" eb="6">
      <t>チョウ</t>
    </rPh>
    <phoneticPr fontId="1"/>
  </si>
  <si>
    <t>9.2㎞</t>
    <phoneticPr fontId="1"/>
  </si>
  <si>
    <t>090-1118-8440</t>
    <phoneticPr fontId="1"/>
  </si>
  <si>
    <t>アンケート・TVのCM</t>
    <phoneticPr fontId="1"/>
  </si>
  <si>
    <t>大阪府大阪市港区南市岡3-6-59-3208</t>
    <rPh sb="0" eb="3">
      <t>オオサカフ</t>
    </rPh>
    <rPh sb="3" eb="5">
      <t>オオサカ</t>
    </rPh>
    <rPh sb="5" eb="6">
      <t>シ</t>
    </rPh>
    <rPh sb="6" eb="8">
      <t>ミナトク</t>
    </rPh>
    <rPh sb="8" eb="9">
      <t>ミナミ</t>
    </rPh>
    <rPh sb="9" eb="11">
      <t>イチオカ</t>
    </rPh>
    <phoneticPr fontId="1"/>
  </si>
  <si>
    <t>アンケート、3月ﾌｨｯﾃｨﾝｸﾞでご来店</t>
    <rPh sb="7" eb="8">
      <t>ガツ</t>
    </rPh>
    <rPh sb="18" eb="20">
      <t>ライテン</t>
    </rPh>
    <phoneticPr fontId="1"/>
  </si>
  <si>
    <t>西山　泰弘</t>
    <rPh sb="0" eb="2">
      <t>ニシヤマ</t>
    </rPh>
    <rPh sb="3" eb="4">
      <t>ヤス</t>
    </rPh>
    <rPh sb="4" eb="5">
      <t>ヒロ</t>
    </rPh>
    <phoneticPr fontId="1"/>
  </si>
  <si>
    <t>599-0303</t>
    <phoneticPr fontId="1"/>
  </si>
  <si>
    <t>大阪府泉南郡岬町深日994-133</t>
    <rPh sb="0" eb="3">
      <t>オオサカフ</t>
    </rPh>
    <rPh sb="3" eb="6">
      <t>センナングン</t>
    </rPh>
    <rPh sb="6" eb="8">
      <t>ミサキチョウ</t>
    </rPh>
    <rPh sb="8" eb="10">
      <t>フケ</t>
    </rPh>
    <phoneticPr fontId="1"/>
  </si>
  <si>
    <t>83.5㎞</t>
    <phoneticPr fontId="1"/>
  </si>
  <si>
    <t>080-5910-1877</t>
    <phoneticPr fontId="1"/>
  </si>
  <si>
    <t>木戸　麻吏江</t>
    <rPh sb="0" eb="2">
      <t>キド</t>
    </rPh>
    <rPh sb="3" eb="4">
      <t>マ</t>
    </rPh>
    <rPh sb="4" eb="5">
      <t>リ</t>
    </rPh>
    <rPh sb="5" eb="6">
      <t>エ</t>
    </rPh>
    <phoneticPr fontId="1"/>
  </si>
  <si>
    <t>080-1474-2696</t>
    <phoneticPr fontId="1"/>
  </si>
  <si>
    <t>550-0001</t>
    <phoneticPr fontId="1"/>
  </si>
  <si>
    <t>大阪府大阪市西区土佐堀3-3-2</t>
    <rPh sb="0" eb="3">
      <t>オオサカフ</t>
    </rPh>
    <rPh sb="3" eb="6">
      <t>オオサカシ</t>
    </rPh>
    <rPh sb="6" eb="8">
      <t>ニシク</t>
    </rPh>
    <rPh sb="8" eb="10">
      <t>トサ</t>
    </rPh>
    <rPh sb="10" eb="11">
      <t>ホリ</t>
    </rPh>
    <phoneticPr fontId="1"/>
  </si>
  <si>
    <t>21.1㎞</t>
    <phoneticPr fontId="1"/>
  </si>
  <si>
    <t>三野宮　秀男</t>
    <rPh sb="0" eb="3">
      <t>サンノミヤ</t>
    </rPh>
    <rPh sb="4" eb="6">
      <t>ヒデオ</t>
    </rPh>
    <phoneticPr fontId="1"/>
  </si>
  <si>
    <t>665-0075</t>
    <phoneticPr fontId="1"/>
  </si>
  <si>
    <t>兵庫県宝塚市仁川宮西町1-75</t>
    <rPh sb="0" eb="3">
      <t>ヒョウゴケン</t>
    </rPh>
    <rPh sb="3" eb="6">
      <t>タカラヅカシ</t>
    </rPh>
    <rPh sb="6" eb="8">
      <t>ニガワ</t>
    </rPh>
    <rPh sb="8" eb="9">
      <t>ミヤ</t>
    </rPh>
    <rPh sb="9" eb="10">
      <t>ニシ</t>
    </rPh>
    <rPh sb="10" eb="11">
      <t>マチ</t>
    </rPh>
    <phoneticPr fontId="1"/>
  </si>
  <si>
    <t>080-2445-0808</t>
    <phoneticPr fontId="1"/>
  </si>
  <si>
    <t>アンケート（戸井様の分もお支払い）</t>
    <rPh sb="6" eb="8">
      <t>トイ</t>
    </rPh>
    <rPh sb="8" eb="9">
      <t>サマ</t>
    </rPh>
    <rPh sb="10" eb="11">
      <t>ブン</t>
    </rPh>
    <rPh sb="13" eb="15">
      <t>シハラ</t>
    </rPh>
    <phoneticPr fontId="1"/>
  </si>
  <si>
    <t>戸井　美絵子</t>
    <rPh sb="0" eb="2">
      <t>トイ</t>
    </rPh>
    <rPh sb="3" eb="6">
      <t>ミエコ</t>
    </rPh>
    <phoneticPr fontId="1"/>
  </si>
  <si>
    <t>663-8163</t>
    <phoneticPr fontId="1"/>
  </si>
  <si>
    <t>兵庫県西宮市甲子園三保町9-26</t>
    <rPh sb="0" eb="3">
      <t>ヒョウゴケン</t>
    </rPh>
    <rPh sb="3" eb="6">
      <t>ニシノミヤシ</t>
    </rPh>
    <rPh sb="6" eb="9">
      <t>コウシエン</t>
    </rPh>
    <rPh sb="9" eb="10">
      <t>ミ</t>
    </rPh>
    <phoneticPr fontId="1"/>
  </si>
  <si>
    <t>13.3㎞</t>
    <phoneticPr fontId="1"/>
  </si>
  <si>
    <t>090-4765-8881</t>
    <phoneticPr fontId="1"/>
  </si>
  <si>
    <t>三野宮さまがお支払い</t>
    <rPh sb="0" eb="1">
      <t>サン</t>
    </rPh>
    <rPh sb="1" eb="2">
      <t>ノ</t>
    </rPh>
    <rPh sb="2" eb="3">
      <t>ミヤ</t>
    </rPh>
    <rPh sb="7" eb="9">
      <t>シハラ</t>
    </rPh>
    <phoneticPr fontId="1"/>
  </si>
  <si>
    <t>二川　英作</t>
    <rPh sb="0" eb="2">
      <t>ニカワ</t>
    </rPh>
    <rPh sb="3" eb="5">
      <t>エイサク</t>
    </rPh>
    <phoneticPr fontId="1"/>
  </si>
  <si>
    <t>080-9755-0078</t>
    <phoneticPr fontId="1"/>
  </si>
  <si>
    <t>大川　真一</t>
    <rPh sb="0" eb="2">
      <t>オオカワ</t>
    </rPh>
    <rPh sb="3" eb="5">
      <t>シンイチ</t>
    </rPh>
    <phoneticPr fontId="1"/>
  </si>
  <si>
    <t>090-2705-0406</t>
    <phoneticPr fontId="1"/>
  </si>
  <si>
    <t>665-0804</t>
    <phoneticPr fontId="1"/>
  </si>
  <si>
    <t>宝塚市雲雀丘山手一丁目1-7-502</t>
    <rPh sb="6" eb="8">
      <t>ヤマテ</t>
    </rPh>
    <rPh sb="8" eb="11">
      <t>イッチョウメ</t>
    </rPh>
    <phoneticPr fontId="1"/>
  </si>
  <si>
    <t>アンケート、会員の大川様ご子息</t>
    <rPh sb="6" eb="8">
      <t>カイイン</t>
    </rPh>
    <rPh sb="9" eb="12">
      <t>オオカワサマ</t>
    </rPh>
    <rPh sb="13" eb="15">
      <t>シソク</t>
    </rPh>
    <phoneticPr fontId="1"/>
  </si>
  <si>
    <t>山口　良太</t>
    <rPh sb="0" eb="2">
      <t>ヤマグチ</t>
    </rPh>
    <rPh sb="3" eb="5">
      <t>リョウタ</t>
    </rPh>
    <phoneticPr fontId="1"/>
  </si>
  <si>
    <t>451-0062</t>
    <phoneticPr fontId="1"/>
  </si>
  <si>
    <t>愛知県名古屋市西区花の木3-11-22</t>
    <rPh sb="0" eb="3">
      <t>アイチケン</t>
    </rPh>
    <rPh sb="3" eb="7">
      <t>ナゴヤシ</t>
    </rPh>
    <rPh sb="7" eb="9">
      <t>ニシク</t>
    </rPh>
    <rPh sb="9" eb="10">
      <t>ハナ</t>
    </rPh>
    <rPh sb="11" eb="12">
      <t>キ</t>
    </rPh>
    <phoneticPr fontId="1"/>
  </si>
  <si>
    <t>181㎞</t>
    <phoneticPr fontId="1"/>
  </si>
  <si>
    <t>080-1479-9578</t>
    <phoneticPr fontId="1"/>
  </si>
  <si>
    <t>アンケート、会員山口様ご子息</t>
    <rPh sb="6" eb="8">
      <t>カイイン</t>
    </rPh>
    <rPh sb="8" eb="10">
      <t>ヤマグチ</t>
    </rPh>
    <rPh sb="10" eb="11">
      <t>サマ</t>
    </rPh>
    <rPh sb="12" eb="13">
      <t>コ</t>
    </rPh>
    <phoneticPr fontId="1"/>
  </si>
  <si>
    <t>奧野　繫晴</t>
    <rPh sb="0" eb="2">
      <t>オクノ</t>
    </rPh>
    <rPh sb="3" eb="5">
      <t>シゲハル</t>
    </rPh>
    <phoneticPr fontId="1"/>
  </si>
  <si>
    <t>八木　末男</t>
    <rPh sb="0" eb="2">
      <t>ヤギ</t>
    </rPh>
    <rPh sb="3" eb="5">
      <t>スエオ</t>
    </rPh>
    <phoneticPr fontId="1"/>
  </si>
  <si>
    <t>629-3104</t>
    <phoneticPr fontId="1"/>
  </si>
  <si>
    <t>京都府京丹後市網野町浅茂川284</t>
    <rPh sb="0" eb="3">
      <t>キョウトフ</t>
    </rPh>
    <rPh sb="3" eb="6">
      <t>キョウタンゴ</t>
    </rPh>
    <rPh sb="6" eb="7">
      <t>シ</t>
    </rPh>
    <rPh sb="7" eb="9">
      <t>アミノ</t>
    </rPh>
    <rPh sb="9" eb="10">
      <t>チョウ</t>
    </rPh>
    <rPh sb="10" eb="13">
      <t>アサモガワ</t>
    </rPh>
    <phoneticPr fontId="1"/>
  </si>
  <si>
    <t>149㎞</t>
    <phoneticPr fontId="1"/>
  </si>
  <si>
    <t>0772-72-0423</t>
    <phoneticPr fontId="1"/>
  </si>
  <si>
    <t>京都府京丹後市峰山町杉谷937-8</t>
    <rPh sb="0" eb="3">
      <t>キョウトフ</t>
    </rPh>
    <rPh sb="3" eb="6">
      <t>キョウタンゴ</t>
    </rPh>
    <rPh sb="6" eb="7">
      <t>シ</t>
    </rPh>
    <rPh sb="7" eb="10">
      <t>ミネヤマチョウ</t>
    </rPh>
    <rPh sb="10" eb="12">
      <t>スギタニ</t>
    </rPh>
    <phoneticPr fontId="1"/>
  </si>
  <si>
    <t>139㎞</t>
    <phoneticPr fontId="1"/>
  </si>
  <si>
    <t>627-0012</t>
    <phoneticPr fontId="1"/>
  </si>
  <si>
    <t>090-3486-1660</t>
    <phoneticPr fontId="1"/>
  </si>
  <si>
    <t>高崎プロご紹介、八木様分お支払い</t>
    <rPh sb="0" eb="2">
      <t>タカサキ</t>
    </rPh>
    <rPh sb="5" eb="7">
      <t>ショウカイ</t>
    </rPh>
    <rPh sb="8" eb="11">
      <t>ヤギサマ</t>
    </rPh>
    <rPh sb="11" eb="12">
      <t>ブン</t>
    </rPh>
    <rPh sb="13" eb="15">
      <t>シハラ</t>
    </rPh>
    <phoneticPr fontId="1"/>
  </si>
  <si>
    <t>高崎プロご紹介</t>
    <rPh sb="0" eb="2">
      <t>タカサキ</t>
    </rPh>
    <rPh sb="5" eb="7">
      <t>ショウカイ</t>
    </rPh>
    <phoneticPr fontId="1"/>
  </si>
  <si>
    <t>日野　和嗣</t>
    <rPh sb="0" eb="2">
      <t>ヒノ</t>
    </rPh>
    <rPh sb="3" eb="4">
      <t>カズ</t>
    </rPh>
    <rPh sb="4" eb="5">
      <t>ヒデ</t>
    </rPh>
    <phoneticPr fontId="1"/>
  </si>
  <si>
    <t>兵庫県尼崎市武庫之荘1-13-2</t>
    <rPh sb="0" eb="3">
      <t>ヒョウゴケン</t>
    </rPh>
    <rPh sb="3" eb="6">
      <t>アマガサキシ</t>
    </rPh>
    <rPh sb="6" eb="10">
      <t>ムコノソウ</t>
    </rPh>
    <phoneticPr fontId="1"/>
  </si>
  <si>
    <t>090-8986-6473</t>
    <phoneticPr fontId="1"/>
  </si>
  <si>
    <t>元原　雅治</t>
    <rPh sb="0" eb="2">
      <t>モトハラ</t>
    </rPh>
    <rPh sb="3" eb="4">
      <t>マサ</t>
    </rPh>
    <rPh sb="4" eb="5">
      <t>ジ</t>
    </rPh>
    <phoneticPr fontId="1"/>
  </si>
  <si>
    <t>658-0016</t>
    <phoneticPr fontId="1"/>
  </si>
  <si>
    <t>兵庫県神戸市東灘区本山中町4-15-5-202</t>
    <rPh sb="0" eb="3">
      <t>ヒョウゴケン</t>
    </rPh>
    <rPh sb="3" eb="6">
      <t>コウベシ</t>
    </rPh>
    <rPh sb="6" eb="9">
      <t>ヒガシナダク</t>
    </rPh>
    <rPh sb="9" eb="11">
      <t>モトヤマ</t>
    </rPh>
    <rPh sb="11" eb="13">
      <t>ナカマチ</t>
    </rPh>
    <phoneticPr fontId="1"/>
  </si>
  <si>
    <t>31.9㎞</t>
    <phoneticPr fontId="1"/>
  </si>
  <si>
    <t>090-5095-4419</t>
    <phoneticPr fontId="1"/>
  </si>
  <si>
    <t>小林　健大</t>
    <rPh sb="0" eb="2">
      <t>コバヤシ</t>
    </rPh>
    <rPh sb="3" eb="4">
      <t>ケン</t>
    </rPh>
    <rPh sb="4" eb="5">
      <t>ダイ</t>
    </rPh>
    <phoneticPr fontId="1"/>
  </si>
  <si>
    <t>639-0266</t>
    <phoneticPr fontId="1"/>
  </si>
  <si>
    <t>奈良県香芝市旭ヶ丘5-30-4</t>
    <rPh sb="0" eb="3">
      <t>ナラケン</t>
    </rPh>
    <rPh sb="3" eb="5">
      <t>カシバ</t>
    </rPh>
    <rPh sb="5" eb="6">
      <t>シ</t>
    </rPh>
    <rPh sb="6" eb="9">
      <t>アサヒガオカ</t>
    </rPh>
    <phoneticPr fontId="1"/>
  </si>
  <si>
    <t>52.3㎞</t>
    <phoneticPr fontId="1"/>
  </si>
  <si>
    <t>070-1760-9827</t>
    <phoneticPr fontId="1"/>
  </si>
  <si>
    <t>水田　勝仁</t>
    <rPh sb="0" eb="2">
      <t>ミズタ</t>
    </rPh>
    <rPh sb="3" eb="5">
      <t>カツヒト</t>
    </rPh>
    <phoneticPr fontId="1"/>
  </si>
  <si>
    <t>665-0064</t>
    <phoneticPr fontId="1"/>
  </si>
  <si>
    <t>宝塚市仁川うぐいす台8-11</t>
    <rPh sb="0" eb="3">
      <t>タカラヅカシ</t>
    </rPh>
    <rPh sb="3" eb="5">
      <t>ニガワ</t>
    </rPh>
    <rPh sb="9" eb="10">
      <t>ダイ</t>
    </rPh>
    <phoneticPr fontId="1"/>
  </si>
  <si>
    <t>080-1427-4328</t>
    <phoneticPr fontId="1"/>
  </si>
  <si>
    <t>岡田　一晃</t>
    <rPh sb="0" eb="2">
      <t>オカダ</t>
    </rPh>
    <rPh sb="3" eb="5">
      <t>カズアキ</t>
    </rPh>
    <phoneticPr fontId="1"/>
  </si>
  <si>
    <t>八木　俊輔</t>
    <rPh sb="0" eb="2">
      <t>ヤギ</t>
    </rPh>
    <rPh sb="3" eb="5">
      <t>シュンスケ</t>
    </rPh>
    <phoneticPr fontId="1"/>
  </si>
  <si>
    <t>615-0041</t>
    <phoneticPr fontId="1"/>
  </si>
  <si>
    <t>京都府京都市右京区西院南高田町13　ﾊﾟｲﾝﾌｨｰﾙﾄﾞ五条605</t>
    <rPh sb="0" eb="3">
      <t>キョウトフ</t>
    </rPh>
    <rPh sb="3" eb="6">
      <t>キョウトシ</t>
    </rPh>
    <rPh sb="6" eb="9">
      <t>ウキョウク</t>
    </rPh>
    <rPh sb="9" eb="11">
      <t>サイイン</t>
    </rPh>
    <rPh sb="11" eb="12">
      <t>ミナミ</t>
    </rPh>
    <rPh sb="12" eb="13">
      <t>タカ</t>
    </rPh>
    <rPh sb="13" eb="14">
      <t>タ</t>
    </rPh>
    <rPh sb="14" eb="15">
      <t>マチ</t>
    </rPh>
    <rPh sb="28" eb="30">
      <t>ゴジョウ</t>
    </rPh>
    <phoneticPr fontId="1"/>
  </si>
  <si>
    <t>615-0005</t>
    <phoneticPr fontId="1"/>
  </si>
  <si>
    <t>京都府京都市右京区西院春栄町27番地</t>
    <rPh sb="0" eb="3">
      <t>キョウトフ</t>
    </rPh>
    <rPh sb="3" eb="6">
      <t>キョウトシ</t>
    </rPh>
    <rPh sb="6" eb="9">
      <t>ウキョウク</t>
    </rPh>
    <rPh sb="9" eb="11">
      <t>サイイン</t>
    </rPh>
    <rPh sb="11" eb="12">
      <t>ハル</t>
    </rPh>
    <rPh sb="12" eb="13">
      <t>サカエ</t>
    </rPh>
    <rPh sb="13" eb="14">
      <t>マチ</t>
    </rPh>
    <rPh sb="16" eb="18">
      <t>バンチ</t>
    </rPh>
    <phoneticPr fontId="1"/>
  </si>
  <si>
    <t>47.8㎞</t>
    <phoneticPr fontId="1"/>
  </si>
  <si>
    <t>48.3㎞</t>
    <phoneticPr fontId="1"/>
  </si>
  <si>
    <t>090-5127-5495</t>
    <phoneticPr fontId="1"/>
  </si>
  <si>
    <t>080-1493-6670</t>
    <phoneticPr fontId="1"/>
  </si>
  <si>
    <t>秋山　孝之</t>
    <rPh sb="0" eb="2">
      <t>アキヤマ</t>
    </rPh>
    <rPh sb="3" eb="5">
      <t>タカユキ</t>
    </rPh>
    <phoneticPr fontId="1"/>
  </si>
  <si>
    <t>665-0853</t>
    <phoneticPr fontId="1"/>
  </si>
  <si>
    <t>兵庫県宝塚市売布が丘1-8</t>
    <rPh sb="0" eb="3">
      <t>ヒョウゴケン</t>
    </rPh>
    <rPh sb="3" eb="6">
      <t>タカラヅカシ</t>
    </rPh>
    <rPh sb="6" eb="8">
      <t>メフ</t>
    </rPh>
    <rPh sb="9" eb="10">
      <t>オカ</t>
    </rPh>
    <phoneticPr fontId="1"/>
  </si>
  <si>
    <t>080-3265-7405</t>
    <phoneticPr fontId="1"/>
  </si>
  <si>
    <t>takayuki.akiyama86@gmail.com</t>
    <phoneticPr fontId="1"/>
  </si>
  <si>
    <t>頭司　雄介</t>
    <rPh sb="0" eb="1">
      <t>アタマ</t>
    </rPh>
    <rPh sb="1" eb="2">
      <t>ツカサ</t>
    </rPh>
    <rPh sb="3" eb="5">
      <t>ユウスケ</t>
    </rPh>
    <phoneticPr fontId="1"/>
  </si>
  <si>
    <t>666-0006</t>
    <phoneticPr fontId="1"/>
  </si>
  <si>
    <t>兵庫県川西市萩原台西1-53</t>
    <rPh sb="0" eb="3">
      <t>ヒョウゴケン</t>
    </rPh>
    <rPh sb="3" eb="6">
      <t>カワニシシ</t>
    </rPh>
    <rPh sb="6" eb="8">
      <t>ハギワラ</t>
    </rPh>
    <rPh sb="8" eb="9">
      <t>ダイ</t>
    </rPh>
    <rPh sb="9" eb="10">
      <t>ニシ</t>
    </rPh>
    <phoneticPr fontId="1"/>
  </si>
  <si>
    <t>zussyoral2016@gmail.com</t>
  </si>
  <si>
    <t>090-7967-4940</t>
    <phoneticPr fontId="1"/>
  </si>
  <si>
    <t>落合　凌</t>
    <rPh sb="0" eb="2">
      <t>オチアイ</t>
    </rPh>
    <rPh sb="3" eb="4">
      <t>リョウ</t>
    </rPh>
    <phoneticPr fontId="1"/>
  </si>
  <si>
    <t>665-0034</t>
    <phoneticPr fontId="1"/>
  </si>
  <si>
    <t>兵庫県宝塚市小林4-10-1-103</t>
    <rPh sb="0" eb="3">
      <t>ヒョウゴケン</t>
    </rPh>
    <rPh sb="3" eb="6">
      <t>タカラヅカシ</t>
    </rPh>
    <rPh sb="6" eb="8">
      <t>コバヤシ</t>
    </rPh>
    <phoneticPr fontId="1"/>
  </si>
  <si>
    <t>5.8㎞</t>
    <phoneticPr fontId="1"/>
  </si>
  <si>
    <t>090-1008-1854</t>
    <phoneticPr fontId="1"/>
  </si>
  <si>
    <t>那須　亮介</t>
    <rPh sb="0" eb="2">
      <t>ナス</t>
    </rPh>
    <rPh sb="3" eb="5">
      <t>リョウスケ</t>
    </rPh>
    <phoneticPr fontId="1"/>
  </si>
  <si>
    <t>兵庫県宝塚市雲雀丘2-3-13</t>
    <rPh sb="0" eb="3">
      <t>ヒョウゴケン</t>
    </rPh>
    <rPh sb="3" eb="6">
      <t>タカラヅカシ</t>
    </rPh>
    <rPh sb="6" eb="9">
      <t>ヒバリガオカ</t>
    </rPh>
    <phoneticPr fontId="1"/>
  </si>
  <si>
    <t>2.7㎞</t>
    <phoneticPr fontId="1"/>
  </si>
  <si>
    <t>072-744-3685</t>
    <phoneticPr fontId="1"/>
  </si>
  <si>
    <t>鍋井　宏文</t>
    <rPh sb="0" eb="2">
      <t>ナベイ</t>
    </rPh>
    <rPh sb="3" eb="5">
      <t>ヒロフミ</t>
    </rPh>
    <phoneticPr fontId="1"/>
  </si>
  <si>
    <t>444-0906</t>
  </si>
  <si>
    <t>愛知県岡崎市宇頭北町2-2-2</t>
    <rPh sb="0" eb="3">
      <t>アイチケン</t>
    </rPh>
    <rPh sb="3" eb="6">
      <t>オカザキシ</t>
    </rPh>
    <rPh sb="6" eb="7">
      <t>ウ</t>
    </rPh>
    <rPh sb="7" eb="8">
      <t>アタマ</t>
    </rPh>
    <rPh sb="8" eb="10">
      <t>キタマチ</t>
    </rPh>
    <phoneticPr fontId="1"/>
  </si>
  <si>
    <t>190㎞</t>
    <phoneticPr fontId="1"/>
  </si>
  <si>
    <t>090-7401-8085</t>
    <phoneticPr fontId="1"/>
  </si>
  <si>
    <t>頭司　皓世</t>
    <rPh sb="0" eb="1">
      <t>アタマ</t>
    </rPh>
    <rPh sb="1" eb="2">
      <t>ツカサ</t>
    </rPh>
    <rPh sb="3" eb="4">
      <t>シロイ</t>
    </rPh>
    <rPh sb="4" eb="5">
      <t>ヨ</t>
    </rPh>
    <phoneticPr fontId="1"/>
  </si>
  <si>
    <t>前回ご来店頭司雄介様息子様</t>
    <rPh sb="0" eb="2">
      <t>ゼンカイ</t>
    </rPh>
    <rPh sb="3" eb="5">
      <t>ライテン</t>
    </rPh>
    <rPh sb="5" eb="6">
      <t>アタマ</t>
    </rPh>
    <rPh sb="6" eb="7">
      <t>ツカサ</t>
    </rPh>
    <rPh sb="7" eb="9">
      <t>ユウスケ</t>
    </rPh>
    <rPh sb="9" eb="10">
      <t>サマ</t>
    </rPh>
    <rPh sb="10" eb="12">
      <t>ムスコ</t>
    </rPh>
    <rPh sb="12" eb="13">
      <t>サマ</t>
    </rPh>
    <phoneticPr fontId="1"/>
  </si>
  <si>
    <t>福長　英二</t>
    <rPh sb="0" eb="2">
      <t>フクナガ</t>
    </rPh>
    <rPh sb="3" eb="5">
      <t>エイジ</t>
    </rPh>
    <phoneticPr fontId="1"/>
  </si>
  <si>
    <t>福長　千鶴</t>
    <rPh sb="0" eb="2">
      <t>フクナガ</t>
    </rPh>
    <rPh sb="3" eb="5">
      <t>チヅル</t>
    </rPh>
    <phoneticPr fontId="1"/>
  </si>
  <si>
    <t>664-0031</t>
    <phoneticPr fontId="1"/>
  </si>
  <si>
    <t>兵庫県伊丹市荻野西2-2-23-307</t>
    <rPh sb="0" eb="3">
      <t>ヒョウゴケン</t>
    </rPh>
    <rPh sb="3" eb="6">
      <t>イタミシ</t>
    </rPh>
    <rPh sb="6" eb="8">
      <t>オギノ</t>
    </rPh>
    <rPh sb="8" eb="9">
      <t>ニシ</t>
    </rPh>
    <phoneticPr fontId="1"/>
  </si>
  <si>
    <t>1.9㎞</t>
    <phoneticPr fontId="1"/>
  </si>
  <si>
    <t>090-3824-3602</t>
    <phoneticPr fontId="1"/>
  </si>
  <si>
    <t>090-8149-2851</t>
    <phoneticPr fontId="1"/>
  </si>
  <si>
    <t>丸尾　羚水</t>
    <rPh sb="0" eb="2">
      <t>マルオ</t>
    </rPh>
    <rPh sb="3" eb="4">
      <t>レイ</t>
    </rPh>
    <rPh sb="4" eb="5">
      <t>ミズ</t>
    </rPh>
    <phoneticPr fontId="1"/>
  </si>
  <si>
    <t>丸尾　怜央</t>
    <rPh sb="0" eb="2">
      <t>マルオ</t>
    </rPh>
    <rPh sb="3" eb="5">
      <t>レオ</t>
    </rPh>
    <phoneticPr fontId="1"/>
  </si>
  <si>
    <t>丸尾　海七</t>
    <rPh sb="0" eb="2">
      <t>マルオ</t>
    </rPh>
    <rPh sb="3" eb="4">
      <t>ウミ</t>
    </rPh>
    <rPh sb="4" eb="5">
      <t>ナナ</t>
    </rPh>
    <phoneticPr fontId="1"/>
  </si>
  <si>
    <t>880-0916</t>
    <phoneticPr fontId="1"/>
  </si>
  <si>
    <t>宮崎県宮崎市大字恒久1251-1</t>
    <rPh sb="0" eb="3">
      <t>ミヤザキケン</t>
    </rPh>
    <rPh sb="3" eb="6">
      <t>ミヤザキシ</t>
    </rPh>
    <rPh sb="6" eb="8">
      <t>オオアザ</t>
    </rPh>
    <rPh sb="8" eb="10">
      <t>コウキュウ</t>
    </rPh>
    <phoneticPr fontId="1"/>
  </si>
  <si>
    <t>643㎞</t>
    <phoneticPr fontId="1"/>
  </si>
  <si>
    <t>070-2414-0007</t>
    <phoneticPr fontId="1"/>
  </si>
  <si>
    <t>080-6414-3636</t>
    <phoneticPr fontId="1"/>
  </si>
  <si>
    <t>080-6427-5471</t>
    <phoneticPr fontId="1"/>
  </si>
  <si>
    <t>090-8355-3659（父親）</t>
    <rPh sb="14" eb="16">
      <t>チチオヤ</t>
    </rPh>
    <phoneticPr fontId="1"/>
  </si>
  <si>
    <t>1971/12/14（父親）</t>
    <rPh sb="11" eb="13">
      <t>チチオヤ</t>
    </rPh>
    <phoneticPr fontId="1"/>
  </si>
  <si>
    <t>丸尾高範（タカノリ）父親</t>
    <rPh sb="0" eb="2">
      <t>マルオ</t>
    </rPh>
    <rPh sb="2" eb="3">
      <t>コウ</t>
    </rPh>
    <rPh sb="3" eb="4">
      <t>ハン</t>
    </rPh>
    <rPh sb="10" eb="12">
      <t>チチオヤ</t>
    </rPh>
    <phoneticPr fontId="1"/>
  </si>
  <si>
    <t>福森　千明</t>
    <rPh sb="0" eb="2">
      <t>フクモリ</t>
    </rPh>
    <rPh sb="3" eb="5">
      <t>チアキ</t>
    </rPh>
    <phoneticPr fontId="1"/>
  </si>
  <si>
    <t>655-0034</t>
    <phoneticPr fontId="1"/>
  </si>
  <si>
    <t>兵庫県神戸市垂水区仲田3-4-16</t>
    <rPh sb="0" eb="3">
      <t>ヒョウゴケン</t>
    </rPh>
    <rPh sb="3" eb="6">
      <t>コウベシ</t>
    </rPh>
    <rPh sb="6" eb="9">
      <t>タルミク</t>
    </rPh>
    <rPh sb="9" eb="11">
      <t>ナカタ</t>
    </rPh>
    <phoneticPr fontId="1"/>
  </si>
  <si>
    <t>48.1㎞</t>
    <phoneticPr fontId="1"/>
  </si>
  <si>
    <t>090-8797-0479</t>
    <phoneticPr fontId="1"/>
  </si>
  <si>
    <t>アンケート　博くん紹介¥2750で頂きました</t>
    <rPh sb="6" eb="7">
      <t>ヒロ</t>
    </rPh>
    <rPh sb="9" eb="11">
      <t>ショウカイ</t>
    </rPh>
    <rPh sb="17" eb="18">
      <t>イタダ</t>
    </rPh>
    <phoneticPr fontId="1"/>
  </si>
  <si>
    <t>兵庫県宝塚市亀井町10-63-110</t>
    <rPh sb="0" eb="3">
      <t>ヒョウゴケン</t>
    </rPh>
    <rPh sb="3" eb="6">
      <t>タカラヅカシ</t>
    </rPh>
    <rPh sb="6" eb="9">
      <t>カメイチョウ</t>
    </rPh>
    <phoneticPr fontId="1"/>
  </si>
  <si>
    <t>松田　年正</t>
    <rPh sb="0" eb="2">
      <t>マツダ</t>
    </rPh>
    <rPh sb="3" eb="4">
      <t>トシ</t>
    </rPh>
    <rPh sb="4" eb="5">
      <t>タダシ</t>
    </rPh>
    <phoneticPr fontId="1"/>
  </si>
  <si>
    <t>663-8102</t>
    <phoneticPr fontId="1"/>
  </si>
  <si>
    <t>兵庫県西宮市松並町5-4-204</t>
    <rPh sb="0" eb="3">
      <t>ヒョウゴケン</t>
    </rPh>
    <rPh sb="3" eb="6">
      <t>ニシノミヤシ</t>
    </rPh>
    <rPh sb="6" eb="9">
      <t>マツナミチョウ</t>
    </rPh>
    <phoneticPr fontId="1"/>
  </si>
  <si>
    <t>9.9㎞</t>
    <phoneticPr fontId="1"/>
  </si>
  <si>
    <t>080-6583-1043</t>
    <phoneticPr fontId="1"/>
  </si>
  <si>
    <t>m.nensei@ezweb.ne.jp</t>
    <phoneticPr fontId="1"/>
  </si>
  <si>
    <t>吉川　法生</t>
    <rPh sb="0" eb="2">
      <t>キッカワ</t>
    </rPh>
    <rPh sb="3" eb="4">
      <t>ノリ</t>
    </rPh>
    <rPh sb="4" eb="5">
      <t>セイ</t>
    </rPh>
    <phoneticPr fontId="1"/>
  </si>
  <si>
    <t>kikkawa@ohtemae-low.jp</t>
    <phoneticPr fontId="1"/>
  </si>
  <si>
    <t>090-5012-9295</t>
    <phoneticPr fontId="1"/>
  </si>
  <si>
    <t>藤井　純子</t>
    <rPh sb="0" eb="2">
      <t>フジイ</t>
    </rPh>
    <rPh sb="3" eb="5">
      <t>ジュンコ</t>
    </rPh>
    <phoneticPr fontId="1"/>
  </si>
  <si>
    <t>1699/3/3</t>
    <phoneticPr fontId="1"/>
  </si>
  <si>
    <t>兵庫県宝塚市山手台西2-21-1</t>
    <rPh sb="0" eb="3">
      <t>ヒョウゴケン</t>
    </rPh>
    <rPh sb="3" eb="6">
      <t>タカラヅカシ</t>
    </rPh>
    <rPh sb="6" eb="8">
      <t>ヤマテ</t>
    </rPh>
    <rPh sb="8" eb="9">
      <t>ダイ</t>
    </rPh>
    <rPh sb="9" eb="10">
      <t>ニシ</t>
    </rPh>
    <phoneticPr fontId="1"/>
  </si>
  <si>
    <t>兵庫県川西市南花屋敷1-10-19</t>
    <rPh sb="0" eb="3">
      <t>ヒョウゴケン</t>
    </rPh>
    <rPh sb="3" eb="6">
      <t>カワニシシ</t>
    </rPh>
    <rPh sb="6" eb="10">
      <t>ミナミハナヤシキ</t>
    </rPh>
    <phoneticPr fontId="1"/>
  </si>
  <si>
    <t>syunko_mi_ma@yshoo.co.jp</t>
    <phoneticPr fontId="1"/>
  </si>
  <si>
    <t>090-3720-5303</t>
    <phoneticPr fontId="1"/>
  </si>
  <si>
    <t>ヒロ君ご紹介　10％OFF</t>
    <rPh sb="2" eb="3">
      <t>クン</t>
    </rPh>
    <rPh sb="4" eb="6">
      <t>ショウカイ</t>
    </rPh>
    <phoneticPr fontId="1"/>
  </si>
  <si>
    <t>11/11ﾌｨｯﾃｨﾝｸﾞご利用</t>
    <rPh sb="14" eb="16">
      <t>リヨウ</t>
    </rPh>
    <phoneticPr fontId="1"/>
  </si>
  <si>
    <t>御見積書FAX078-707-1575</t>
    <rPh sb="0" eb="4">
      <t>オミツモリショ</t>
    </rPh>
    <phoneticPr fontId="1"/>
  </si>
  <si>
    <t>junne0702@gmail.com</t>
    <phoneticPr fontId="1"/>
  </si>
  <si>
    <t>中野　耕治</t>
    <rPh sb="0" eb="2">
      <t>ナカノ</t>
    </rPh>
    <rPh sb="3" eb="4">
      <t>コウ</t>
    </rPh>
    <rPh sb="4" eb="5">
      <t>ジ</t>
    </rPh>
    <phoneticPr fontId="1"/>
  </si>
  <si>
    <t>090-3703-3568</t>
    <phoneticPr fontId="1"/>
  </si>
  <si>
    <t>アンケート・会員三野宮様ご紹介</t>
    <rPh sb="6" eb="8">
      <t>カイイン</t>
    </rPh>
    <rPh sb="8" eb="11">
      <t>サンノミヤ</t>
    </rPh>
    <rPh sb="11" eb="12">
      <t>サマ</t>
    </rPh>
    <rPh sb="13" eb="15">
      <t>ショウカイ</t>
    </rPh>
    <phoneticPr fontId="1"/>
  </si>
  <si>
    <t>清水　聡一郎</t>
    <rPh sb="0" eb="2">
      <t>シミズ</t>
    </rPh>
    <rPh sb="3" eb="4">
      <t>サトシ</t>
    </rPh>
    <rPh sb="4" eb="5">
      <t>イチ</t>
    </rPh>
    <rPh sb="5" eb="6">
      <t>ロウ</t>
    </rPh>
    <phoneticPr fontId="1"/>
  </si>
  <si>
    <t>652-0800</t>
    <phoneticPr fontId="1"/>
  </si>
  <si>
    <t>兵庫県神戸市兵庫区羽坂通4-2-26</t>
    <rPh sb="0" eb="3">
      <t>ヒョウゴケン</t>
    </rPh>
    <rPh sb="3" eb="6">
      <t>コウベシ</t>
    </rPh>
    <rPh sb="6" eb="9">
      <t>ヒョウゴク</t>
    </rPh>
    <rPh sb="9" eb="12">
      <t>ハサカドオリ</t>
    </rPh>
    <phoneticPr fontId="1"/>
  </si>
  <si>
    <t>46.8㎞</t>
    <phoneticPr fontId="1"/>
  </si>
  <si>
    <t>souichimisa@me.com</t>
    <phoneticPr fontId="1"/>
  </si>
  <si>
    <t>090-7342-8880</t>
    <phoneticPr fontId="1"/>
  </si>
  <si>
    <t>特別ご招待券</t>
    <rPh sb="0" eb="2">
      <t>トクベツ</t>
    </rPh>
    <rPh sb="3" eb="6">
      <t>ショウタイケン</t>
    </rPh>
    <phoneticPr fontId="1"/>
  </si>
  <si>
    <t>松田　伊吹</t>
    <rPh sb="0" eb="2">
      <t>マツダ</t>
    </rPh>
    <rPh sb="3" eb="5">
      <t>イブキ</t>
    </rPh>
    <phoneticPr fontId="1"/>
  </si>
  <si>
    <t>611-0031</t>
    <phoneticPr fontId="1"/>
  </si>
  <si>
    <t>京都府宇治市広野町中島61-1-206</t>
    <rPh sb="0" eb="3">
      <t>キョウトフ</t>
    </rPh>
    <rPh sb="3" eb="6">
      <t>ウジシ</t>
    </rPh>
    <rPh sb="6" eb="9">
      <t>ヒロノマチ</t>
    </rPh>
    <rPh sb="9" eb="11">
      <t>ナカジマ</t>
    </rPh>
    <phoneticPr fontId="1"/>
  </si>
  <si>
    <t>49.6㎞</t>
    <phoneticPr fontId="1"/>
  </si>
  <si>
    <t>090-9216-6203</t>
    <phoneticPr fontId="1"/>
  </si>
  <si>
    <t>藤田　健太</t>
    <rPh sb="0" eb="2">
      <t>フジタ</t>
    </rPh>
    <rPh sb="3" eb="5">
      <t>ケンタ</t>
    </rPh>
    <phoneticPr fontId="1"/>
  </si>
  <si>
    <t>612-8487</t>
    <phoneticPr fontId="1"/>
  </si>
  <si>
    <t>京都府伏見区羽束師菱川町262-26</t>
    <rPh sb="0" eb="3">
      <t>キョウトフ</t>
    </rPh>
    <rPh sb="3" eb="6">
      <t>フシミク</t>
    </rPh>
    <rPh sb="6" eb="7">
      <t>ハネ</t>
    </rPh>
    <rPh sb="7" eb="8">
      <t>タバ</t>
    </rPh>
    <rPh sb="8" eb="9">
      <t>シ</t>
    </rPh>
    <rPh sb="9" eb="11">
      <t>ヒシカワ</t>
    </rPh>
    <rPh sb="11" eb="12">
      <t>マチ</t>
    </rPh>
    <phoneticPr fontId="1"/>
  </si>
  <si>
    <t>39.7㎞</t>
    <phoneticPr fontId="1"/>
  </si>
  <si>
    <t>080-1509-0227</t>
    <phoneticPr fontId="1"/>
  </si>
  <si>
    <t>大村　初美</t>
    <rPh sb="0" eb="2">
      <t>オオムラ</t>
    </rPh>
    <rPh sb="3" eb="4">
      <t>ハツ</t>
    </rPh>
    <rPh sb="4" eb="5">
      <t>ミ</t>
    </rPh>
    <phoneticPr fontId="1"/>
  </si>
  <si>
    <t>090-7872-4508</t>
    <phoneticPr fontId="1"/>
  </si>
  <si>
    <t>大村様分お支払い</t>
    <rPh sb="0" eb="3">
      <t>オオムラサマ</t>
    </rPh>
    <rPh sb="3" eb="4">
      <t>ブン</t>
    </rPh>
    <rPh sb="5" eb="7">
      <t>シハラ</t>
    </rPh>
    <phoneticPr fontId="1"/>
  </si>
  <si>
    <t>中野さまお支払い</t>
    <rPh sb="0" eb="2">
      <t>ナカノ</t>
    </rPh>
    <rPh sb="5" eb="7">
      <t>シハラ</t>
    </rPh>
    <phoneticPr fontId="1"/>
  </si>
  <si>
    <t>古川　万里子</t>
    <rPh sb="0" eb="2">
      <t>フルカワ</t>
    </rPh>
    <rPh sb="3" eb="6">
      <t>マリコ</t>
    </rPh>
    <phoneticPr fontId="1"/>
  </si>
  <si>
    <t>654-0074</t>
    <phoneticPr fontId="1"/>
  </si>
  <si>
    <t>兵庫県神戸市須磨区高倉町2-1-15-108</t>
    <rPh sb="0" eb="3">
      <t>ヒョウゴケン</t>
    </rPh>
    <rPh sb="3" eb="6">
      <t>コウベシ</t>
    </rPh>
    <rPh sb="6" eb="9">
      <t>スマク</t>
    </rPh>
    <rPh sb="9" eb="12">
      <t>タカクラチョウ</t>
    </rPh>
    <phoneticPr fontId="1"/>
  </si>
  <si>
    <t>090-2730-8538</t>
    <phoneticPr fontId="1"/>
  </si>
  <si>
    <t>山本プロご紹介</t>
    <rPh sb="0" eb="2">
      <t>ヤマモト</t>
    </rPh>
    <rPh sb="5" eb="7">
      <t>ショウカイ</t>
    </rPh>
    <phoneticPr fontId="1"/>
  </si>
  <si>
    <t>野木　樹絵</t>
    <rPh sb="0" eb="2">
      <t>ノギ</t>
    </rPh>
    <rPh sb="3" eb="4">
      <t>ジュ</t>
    </rPh>
    <rPh sb="4" eb="5">
      <t>エ</t>
    </rPh>
    <phoneticPr fontId="1"/>
  </si>
  <si>
    <t>？/8/27</t>
    <phoneticPr fontId="1"/>
  </si>
  <si>
    <t>662-0053</t>
    <phoneticPr fontId="1"/>
  </si>
  <si>
    <t>西宮市松園町9-10-304</t>
    <rPh sb="0" eb="2">
      <t>ニシノミヤ</t>
    </rPh>
    <rPh sb="2" eb="3">
      <t>シ</t>
    </rPh>
    <rPh sb="3" eb="6">
      <t>マツゾノチョウ</t>
    </rPh>
    <phoneticPr fontId="1"/>
  </si>
  <si>
    <t>090-7358-0338</t>
    <phoneticPr fontId="1"/>
  </si>
  <si>
    <t>47.0㎞</t>
    <phoneticPr fontId="1"/>
  </si>
  <si>
    <t>13.1㎞</t>
    <phoneticPr fontId="1"/>
  </si>
  <si>
    <t>mariko930@gmail.com</t>
    <phoneticPr fontId="1"/>
  </si>
  <si>
    <t>試打3本+打席使用料(アンケート)</t>
    <rPh sb="0" eb="2">
      <t>シダ</t>
    </rPh>
    <rPh sb="3" eb="4">
      <t>ボン</t>
    </rPh>
    <rPh sb="5" eb="10">
      <t>ダセキシヨウリョウ</t>
    </rPh>
    <phoneticPr fontId="1"/>
  </si>
  <si>
    <t>石橋　雅信</t>
    <rPh sb="0" eb="2">
      <t>イシバシ</t>
    </rPh>
    <rPh sb="3" eb="5">
      <t>マサノブ</t>
    </rPh>
    <phoneticPr fontId="1"/>
  </si>
  <si>
    <t>兵庫県宝塚市山手台西1-7-7</t>
    <rPh sb="0" eb="3">
      <t>ヒョウゴケン</t>
    </rPh>
    <rPh sb="3" eb="6">
      <t>タカラヅカシ</t>
    </rPh>
    <rPh sb="6" eb="10">
      <t>ヤマテダイニシ</t>
    </rPh>
    <phoneticPr fontId="1"/>
  </si>
  <si>
    <t>2.5㎞</t>
    <phoneticPr fontId="1"/>
  </si>
  <si>
    <t>masanobu177@gmail.com</t>
    <phoneticPr fontId="1"/>
  </si>
  <si>
    <t>090-4030-5586</t>
    <phoneticPr fontId="1"/>
  </si>
  <si>
    <t>田中　博之</t>
    <rPh sb="0" eb="2">
      <t>タナカ</t>
    </rPh>
    <rPh sb="3" eb="5">
      <t>ヒロユキ</t>
    </rPh>
    <phoneticPr fontId="1"/>
  </si>
  <si>
    <t>669-1132</t>
    <phoneticPr fontId="1"/>
  </si>
  <si>
    <t>西宮市名塩南台4-8-1</t>
    <rPh sb="0" eb="2">
      <t>ニシノミヤ</t>
    </rPh>
    <rPh sb="2" eb="3">
      <t>シ</t>
    </rPh>
    <rPh sb="3" eb="5">
      <t>ナジオ</t>
    </rPh>
    <rPh sb="5" eb="7">
      <t>ミナミダイ</t>
    </rPh>
    <phoneticPr fontId="1"/>
  </si>
  <si>
    <t>hirotee@hcc5.bai.ne.jp</t>
    <phoneticPr fontId="1"/>
  </si>
  <si>
    <t>090-9696-7031</t>
    <phoneticPr fontId="1"/>
  </si>
  <si>
    <t>tsuchida.kazuya@takenaka.co.jp</t>
    <phoneticPr fontId="1"/>
  </si>
  <si>
    <t>080-8343-3675</t>
    <phoneticPr fontId="1"/>
  </si>
  <si>
    <t>土田　和也</t>
    <rPh sb="0" eb="2">
      <t>ツチタ</t>
    </rPh>
    <rPh sb="3" eb="5">
      <t>カズヤ</t>
    </rPh>
    <phoneticPr fontId="1"/>
  </si>
  <si>
    <t>664-0008</t>
    <phoneticPr fontId="1"/>
  </si>
  <si>
    <t>伊丹市荒牧南2-14-6</t>
    <rPh sb="0" eb="3">
      <t>イタミシ</t>
    </rPh>
    <phoneticPr fontId="1"/>
  </si>
  <si>
    <t>アンケート、染谷様ご紹介</t>
    <rPh sb="6" eb="8">
      <t>ソメヤ</t>
    </rPh>
    <rPh sb="8" eb="9">
      <t>サマ</t>
    </rPh>
    <rPh sb="10" eb="12">
      <t>ショウカイ</t>
    </rPh>
    <phoneticPr fontId="1"/>
  </si>
  <si>
    <t>古川　恵史</t>
    <rPh sb="0" eb="2">
      <t>フルカワ</t>
    </rPh>
    <rPh sb="3" eb="4">
      <t>メグミ</t>
    </rPh>
    <rPh sb="4" eb="5">
      <t>シ</t>
    </rPh>
    <phoneticPr fontId="1"/>
  </si>
  <si>
    <t>宝塚市小浜3丁目1-27</t>
    <rPh sb="0" eb="2">
      <t>タカラヅカ</t>
    </rPh>
    <rPh sb="2" eb="3">
      <t>シ</t>
    </rPh>
    <rPh sb="3" eb="5">
      <t>コハマ</t>
    </rPh>
    <rPh sb="6" eb="8">
      <t>チョウメ</t>
    </rPh>
    <phoneticPr fontId="1"/>
  </si>
  <si>
    <t>090-3726-9733</t>
    <phoneticPr fontId="1"/>
  </si>
  <si>
    <t>アンケート、三野宮様ご紹介</t>
    <rPh sb="6" eb="9">
      <t>サンノミヤ</t>
    </rPh>
    <rPh sb="9" eb="10">
      <t>サマ</t>
    </rPh>
    <rPh sb="11" eb="13">
      <t>ショウカイ</t>
    </rPh>
    <phoneticPr fontId="1"/>
  </si>
  <si>
    <t>岡本　郁也</t>
    <rPh sb="0" eb="2">
      <t>オカモト</t>
    </rPh>
    <rPh sb="3" eb="5">
      <t>イクヤ</t>
    </rPh>
    <phoneticPr fontId="1"/>
  </si>
  <si>
    <t>宝塚市小林3-5-28</t>
    <rPh sb="3" eb="5">
      <t>コバヤシ</t>
    </rPh>
    <phoneticPr fontId="1"/>
  </si>
  <si>
    <t>5.1㎞</t>
    <phoneticPr fontId="1"/>
  </si>
  <si>
    <t>ikuya_ok@nike.eonet.ne.jp</t>
    <phoneticPr fontId="1"/>
  </si>
  <si>
    <t>090-2104-6669</t>
    <phoneticPr fontId="1"/>
  </si>
  <si>
    <t>山本　真悟</t>
    <rPh sb="0" eb="2">
      <t>ヤマモト</t>
    </rPh>
    <rPh sb="3" eb="5">
      <t>シンゴ</t>
    </rPh>
    <phoneticPr fontId="1"/>
  </si>
  <si>
    <t>763-0085</t>
    <phoneticPr fontId="1"/>
  </si>
  <si>
    <t>香川県丸亀市飯野町東分2752-44</t>
    <rPh sb="0" eb="3">
      <t>カガワケン</t>
    </rPh>
    <rPh sb="3" eb="6">
      <t>マルガメシ</t>
    </rPh>
    <rPh sb="6" eb="9">
      <t>イイノマチ</t>
    </rPh>
    <rPh sb="9" eb="10">
      <t>ヒガシ</t>
    </rPh>
    <rPh sb="10" eb="11">
      <t>ブン</t>
    </rPh>
    <phoneticPr fontId="1"/>
  </si>
  <si>
    <t>214㎞</t>
    <phoneticPr fontId="1"/>
  </si>
  <si>
    <t>090-8973-4955</t>
    <phoneticPr fontId="1"/>
  </si>
  <si>
    <t>渡邊様分もお支払い</t>
    <rPh sb="0" eb="2">
      <t>ワタナベ</t>
    </rPh>
    <rPh sb="2" eb="3">
      <t>サマ</t>
    </rPh>
    <rPh sb="3" eb="4">
      <t>ブン</t>
    </rPh>
    <rPh sb="6" eb="8">
      <t>シハラ</t>
    </rPh>
    <phoneticPr fontId="1"/>
  </si>
  <si>
    <t>渡邊　大輔</t>
    <rPh sb="0" eb="2">
      <t>ワタナベ</t>
    </rPh>
    <rPh sb="3" eb="5">
      <t>ダイスケ</t>
    </rPh>
    <phoneticPr fontId="1"/>
  </si>
  <si>
    <t>764-0026</t>
    <phoneticPr fontId="1"/>
  </si>
  <si>
    <t>香川県多度郡多度津町南鴨624-2</t>
    <rPh sb="0" eb="3">
      <t>カガワケン</t>
    </rPh>
    <rPh sb="3" eb="5">
      <t>タド</t>
    </rPh>
    <rPh sb="5" eb="6">
      <t>グン</t>
    </rPh>
    <rPh sb="6" eb="8">
      <t>タド</t>
    </rPh>
    <rPh sb="8" eb="9">
      <t>ツ</t>
    </rPh>
    <rPh sb="9" eb="10">
      <t>チョウ</t>
    </rPh>
    <rPh sb="10" eb="11">
      <t>ミナミ</t>
    </rPh>
    <rPh sb="11" eb="12">
      <t>カモ</t>
    </rPh>
    <phoneticPr fontId="1"/>
  </si>
  <si>
    <t>224㎞</t>
    <phoneticPr fontId="1"/>
  </si>
  <si>
    <t>090-4976-1093</t>
    <phoneticPr fontId="1"/>
  </si>
  <si>
    <t>山本様お支払い</t>
    <rPh sb="0" eb="2">
      <t>ヤマモト</t>
    </rPh>
    <rPh sb="2" eb="3">
      <t>サマ</t>
    </rPh>
    <rPh sb="4" eb="6">
      <t>シハラ</t>
    </rPh>
    <phoneticPr fontId="1"/>
  </si>
  <si>
    <t>カクエイ</t>
    <phoneticPr fontId="1"/>
  </si>
  <si>
    <t>茶尾様息子様</t>
    <rPh sb="0" eb="1">
      <t>チャ</t>
    </rPh>
    <rPh sb="1" eb="2">
      <t>オ</t>
    </rPh>
    <rPh sb="2" eb="3">
      <t>サマ</t>
    </rPh>
    <rPh sb="3" eb="5">
      <t>ムスコ</t>
    </rPh>
    <rPh sb="5" eb="6">
      <t>サマ</t>
    </rPh>
    <phoneticPr fontId="1"/>
  </si>
  <si>
    <t>2020/7/20　2020/11/12 来店済み</t>
    <rPh sb="21" eb="23">
      <t>ライテン</t>
    </rPh>
    <rPh sb="23" eb="24">
      <t>ズ</t>
    </rPh>
    <phoneticPr fontId="1"/>
  </si>
  <si>
    <t>畑中　敦子</t>
    <rPh sb="0" eb="2">
      <t>ハタナカ</t>
    </rPh>
    <rPh sb="3" eb="5">
      <t>アツコ</t>
    </rPh>
    <phoneticPr fontId="1"/>
  </si>
  <si>
    <t>兵庫県宝塚市山本丸橋3-2-41</t>
    <rPh sb="0" eb="3">
      <t>ヒョウゴケン</t>
    </rPh>
    <rPh sb="3" eb="6">
      <t>タカラヅカシ</t>
    </rPh>
    <rPh sb="8" eb="10">
      <t>マルハシ</t>
    </rPh>
    <phoneticPr fontId="1"/>
  </si>
  <si>
    <t>700ｍ</t>
    <phoneticPr fontId="1"/>
  </si>
  <si>
    <t>0797-080-1821</t>
    <phoneticPr fontId="1"/>
  </si>
  <si>
    <t>蟹江　俊郎</t>
    <rPh sb="0" eb="2">
      <t>カニエ</t>
    </rPh>
    <rPh sb="3" eb="5">
      <t>トシロウ</t>
    </rPh>
    <phoneticPr fontId="1"/>
  </si>
  <si>
    <t>445-0082</t>
    <phoneticPr fontId="1"/>
  </si>
  <si>
    <t>愛知県西尾市八ッ面町貸売2-2</t>
    <rPh sb="0" eb="3">
      <t>アイチケン</t>
    </rPh>
    <rPh sb="3" eb="6">
      <t>ニシオシ</t>
    </rPh>
    <rPh sb="6" eb="7">
      <t>ハチ</t>
    </rPh>
    <rPh sb="8" eb="9">
      <t>メン</t>
    </rPh>
    <rPh sb="9" eb="10">
      <t>チョウ</t>
    </rPh>
    <rPh sb="10" eb="12">
      <t>カシウリ</t>
    </rPh>
    <phoneticPr fontId="1"/>
  </si>
  <si>
    <t>233㎞</t>
    <phoneticPr fontId="1"/>
  </si>
  <si>
    <t>0563-55-7171</t>
    <phoneticPr fontId="1"/>
  </si>
  <si>
    <t>博くん紹介　10％オフ</t>
    <rPh sb="0" eb="1">
      <t>ヒロ</t>
    </rPh>
    <rPh sb="3" eb="5">
      <t>ショウカイ</t>
    </rPh>
    <phoneticPr fontId="1"/>
  </si>
  <si>
    <t>上野　大介</t>
    <rPh sb="0" eb="2">
      <t>ウエノ</t>
    </rPh>
    <rPh sb="3" eb="5">
      <t>ダイスケ</t>
    </rPh>
    <phoneticPr fontId="1"/>
  </si>
  <si>
    <t>664-0855</t>
    <phoneticPr fontId="1"/>
  </si>
  <si>
    <t>兵庫県伊丹市御願塚6-8-36-1</t>
    <rPh sb="0" eb="3">
      <t>ヒョウゴケン</t>
    </rPh>
    <rPh sb="3" eb="6">
      <t>イタミシ</t>
    </rPh>
    <phoneticPr fontId="1"/>
  </si>
  <si>
    <t>6.4㎞</t>
    <phoneticPr fontId="1"/>
  </si>
  <si>
    <t>090-4952-1394</t>
    <phoneticPr fontId="1"/>
  </si>
  <si>
    <t>宮沢　見治</t>
    <rPh sb="0" eb="2">
      <t>ミヤザワ</t>
    </rPh>
    <rPh sb="3" eb="4">
      <t>ケン</t>
    </rPh>
    <rPh sb="4" eb="5">
      <t>オサム</t>
    </rPh>
    <phoneticPr fontId="1"/>
  </si>
  <si>
    <t>212-0057</t>
    <phoneticPr fontId="1"/>
  </si>
  <si>
    <t>神奈川県幸区北加瀬3-6-12</t>
    <rPh sb="0" eb="4">
      <t>カナガワケン</t>
    </rPh>
    <rPh sb="4" eb="5">
      <t>シアワ</t>
    </rPh>
    <rPh sb="5" eb="6">
      <t>ク</t>
    </rPh>
    <rPh sb="6" eb="7">
      <t>キタ</t>
    </rPh>
    <rPh sb="7" eb="9">
      <t>カセ</t>
    </rPh>
    <phoneticPr fontId="1"/>
  </si>
  <si>
    <t>499㎞</t>
    <phoneticPr fontId="1"/>
  </si>
  <si>
    <t>080-5529-3303</t>
    <phoneticPr fontId="1"/>
  </si>
  <si>
    <t>兵庫県西宮市宮前町8-38　プレジオ西宮507</t>
    <rPh sb="0" eb="3">
      <t>ヒョウゴケン</t>
    </rPh>
    <rPh sb="3" eb="5">
      <t>ニシノミヤ</t>
    </rPh>
    <rPh sb="5" eb="6">
      <t>シ</t>
    </rPh>
    <rPh sb="6" eb="8">
      <t>ミヤマエ</t>
    </rPh>
    <rPh sb="8" eb="9">
      <t>チョウ</t>
    </rPh>
    <rPh sb="18" eb="20">
      <t>ニシノミヤ</t>
    </rPh>
    <phoneticPr fontId="1"/>
  </si>
  <si>
    <t>662-0947</t>
    <phoneticPr fontId="1"/>
  </si>
  <si>
    <t>白浜　栄郎</t>
    <rPh sb="0" eb="2">
      <t>シラハマ</t>
    </rPh>
    <rPh sb="3" eb="5">
      <t>エイロウ</t>
    </rPh>
    <phoneticPr fontId="1"/>
  </si>
  <si>
    <t>兵庫県宝塚市山本南1-7-2</t>
    <rPh sb="0" eb="3">
      <t>ヒョウゴケン</t>
    </rPh>
    <rPh sb="3" eb="6">
      <t>タカラヅカシ</t>
    </rPh>
    <rPh sb="8" eb="9">
      <t>ミナミ</t>
    </rPh>
    <phoneticPr fontId="1"/>
  </si>
  <si>
    <t>090-5243-9049</t>
    <phoneticPr fontId="1"/>
  </si>
  <si>
    <t>村上　雅泰</t>
    <rPh sb="0" eb="2">
      <t>ムラカミ</t>
    </rPh>
    <rPh sb="3" eb="4">
      <t>ミヤビ</t>
    </rPh>
    <rPh sb="4" eb="5">
      <t>ヤス</t>
    </rPh>
    <phoneticPr fontId="1"/>
  </si>
  <si>
    <t>兵庫県神戸市東灘区御影中町2-3-2-312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ミカゲ</t>
    </rPh>
    <rPh sb="11" eb="13">
      <t>ナカマチ</t>
    </rPh>
    <phoneticPr fontId="1"/>
  </si>
  <si>
    <t>34.9㎞</t>
    <phoneticPr fontId="1"/>
  </si>
  <si>
    <t>658-0054</t>
    <phoneticPr fontId="1"/>
  </si>
  <si>
    <t>090-1131-8660</t>
    <phoneticPr fontId="1"/>
  </si>
  <si>
    <t>会員東野様ご友人</t>
    <rPh sb="0" eb="2">
      <t>カイイン</t>
    </rPh>
    <rPh sb="2" eb="4">
      <t>ヒガシノ</t>
    </rPh>
    <rPh sb="4" eb="5">
      <t>サマ</t>
    </rPh>
    <rPh sb="6" eb="8">
      <t>ユウジン</t>
    </rPh>
    <phoneticPr fontId="1"/>
  </si>
  <si>
    <t>山内　舞</t>
    <rPh sb="0" eb="2">
      <t>ヤマウチ</t>
    </rPh>
    <rPh sb="3" eb="4">
      <t>マイ</t>
    </rPh>
    <phoneticPr fontId="1"/>
  </si>
  <si>
    <t>兵庫県伊丹市行基町2-68-1-102</t>
    <rPh sb="0" eb="3">
      <t>ヒョウゴケン</t>
    </rPh>
    <rPh sb="3" eb="6">
      <t>イタミシ</t>
    </rPh>
    <rPh sb="6" eb="9">
      <t>ギョウキチョウ</t>
    </rPh>
    <phoneticPr fontId="1"/>
  </si>
  <si>
    <t>090-3059-9072</t>
    <phoneticPr fontId="1"/>
  </si>
  <si>
    <t>大西　正人</t>
    <rPh sb="0" eb="2">
      <t>オオニシ</t>
    </rPh>
    <rPh sb="3" eb="5">
      <t>マサト</t>
    </rPh>
    <phoneticPr fontId="1"/>
  </si>
  <si>
    <t>666-0226</t>
    <phoneticPr fontId="1"/>
  </si>
  <si>
    <t>兵庫県川辺郡猪名川町林田字家廻9</t>
    <rPh sb="0" eb="3">
      <t>ヒョウゴケン</t>
    </rPh>
    <rPh sb="3" eb="6">
      <t>カワベグン</t>
    </rPh>
    <rPh sb="6" eb="9">
      <t>イナガワ</t>
    </rPh>
    <rPh sb="9" eb="10">
      <t>チョウ</t>
    </rPh>
    <rPh sb="10" eb="11">
      <t>ハヤシ</t>
    </rPh>
    <rPh sb="11" eb="12">
      <t>タ</t>
    </rPh>
    <rPh sb="12" eb="13">
      <t>アザ</t>
    </rPh>
    <rPh sb="13" eb="14">
      <t>イエ</t>
    </rPh>
    <rPh sb="14" eb="15">
      <t>カイ</t>
    </rPh>
    <phoneticPr fontId="1"/>
  </si>
  <si>
    <t>22㎞</t>
    <phoneticPr fontId="1"/>
  </si>
  <si>
    <t>080-5364-2537</t>
    <phoneticPr fontId="1"/>
  </si>
  <si>
    <t>高田屋　孝洋</t>
    <rPh sb="0" eb="3">
      <t>タカダヤ</t>
    </rPh>
    <rPh sb="4" eb="5">
      <t>タカシ</t>
    </rPh>
    <rPh sb="5" eb="6">
      <t>ヨウ</t>
    </rPh>
    <phoneticPr fontId="1"/>
  </si>
  <si>
    <t>川西市南花屋敷1-5-8-405</t>
    <rPh sb="0" eb="3">
      <t>カワニシシ</t>
    </rPh>
    <rPh sb="3" eb="4">
      <t>ミナミ</t>
    </rPh>
    <rPh sb="4" eb="7">
      <t>ハナヤシキ</t>
    </rPh>
    <phoneticPr fontId="1"/>
  </si>
  <si>
    <t>072-767-1067</t>
    <phoneticPr fontId="1"/>
  </si>
  <si>
    <t>安富　幸治</t>
    <rPh sb="0" eb="2">
      <t>ヤストミ</t>
    </rPh>
    <rPh sb="3" eb="5">
      <t>コウジ</t>
    </rPh>
    <phoneticPr fontId="1"/>
  </si>
  <si>
    <t>宮﨑　俊和</t>
    <rPh sb="0" eb="2">
      <t>ミヤザキ</t>
    </rPh>
    <rPh sb="3" eb="5">
      <t>トシカズ</t>
    </rPh>
    <phoneticPr fontId="1"/>
  </si>
  <si>
    <t>池田市城南3-1-15-A403</t>
    <rPh sb="0" eb="3">
      <t>イケダシ</t>
    </rPh>
    <rPh sb="3" eb="5">
      <t>ジョウナン</t>
    </rPh>
    <phoneticPr fontId="1"/>
  </si>
  <si>
    <t>sweet_rikuchin@yahoo.co.jp</t>
    <phoneticPr fontId="1"/>
  </si>
  <si>
    <t>080-2454-5527</t>
    <phoneticPr fontId="1"/>
  </si>
  <si>
    <t>666-0023</t>
    <phoneticPr fontId="1"/>
  </si>
  <si>
    <t>川西市東久代2-17-12-1</t>
    <rPh sb="0" eb="3">
      <t>カワニシシ</t>
    </rPh>
    <rPh sb="3" eb="4">
      <t>ヒガシ</t>
    </rPh>
    <rPh sb="4" eb="5">
      <t>ヒサシ</t>
    </rPh>
    <rPh sb="5" eb="6">
      <t>ダイ</t>
    </rPh>
    <phoneticPr fontId="1"/>
  </si>
  <si>
    <t>090-3288-0312</t>
    <phoneticPr fontId="1"/>
  </si>
  <si>
    <t>伊藤　令陽</t>
  </si>
  <si>
    <t>伊藤　和子</t>
    <rPh sb="3" eb="4">
      <t>カズ</t>
    </rPh>
    <rPh sb="4" eb="5">
      <t>コ</t>
    </rPh>
    <phoneticPr fontId="1"/>
  </si>
  <si>
    <t>兵庫県宝塚市泉町34-4</t>
    <rPh sb="0" eb="3">
      <t>ヒョウゴケン</t>
    </rPh>
    <rPh sb="3" eb="6">
      <t>タカラヅカシ</t>
    </rPh>
    <rPh sb="6" eb="7">
      <t>イズミ</t>
    </rPh>
    <rPh sb="7" eb="8">
      <t>チョウ</t>
    </rPh>
    <phoneticPr fontId="1"/>
  </si>
  <si>
    <t>1.7㎞</t>
    <phoneticPr fontId="1"/>
  </si>
  <si>
    <t>miumiu-haruharu.110@ezweb.ne.jp</t>
    <phoneticPr fontId="1"/>
  </si>
  <si>
    <t>080-6144-9652</t>
    <phoneticPr fontId="1"/>
  </si>
  <si>
    <t>090-2283-9414</t>
    <phoneticPr fontId="1"/>
  </si>
  <si>
    <t>金山　暖</t>
    <rPh sb="0" eb="2">
      <t>カナヤマ</t>
    </rPh>
    <rPh sb="3" eb="4">
      <t>ダン</t>
    </rPh>
    <phoneticPr fontId="1"/>
  </si>
  <si>
    <t>会員金山様ご子息</t>
    <rPh sb="0" eb="2">
      <t>カイイン</t>
    </rPh>
    <rPh sb="2" eb="4">
      <t>カナヤマ</t>
    </rPh>
    <rPh sb="4" eb="5">
      <t>サマ</t>
    </rPh>
    <rPh sb="6" eb="7">
      <t>コ</t>
    </rPh>
    <rPh sb="7" eb="8">
      <t>ソク</t>
    </rPh>
    <phoneticPr fontId="1"/>
  </si>
  <si>
    <t>金山　尚巳</t>
    <rPh sb="0" eb="2">
      <t>カナヤマ</t>
    </rPh>
    <rPh sb="3" eb="4">
      <t>ナオ</t>
    </rPh>
    <rPh sb="4" eb="5">
      <t>ミ</t>
    </rPh>
    <phoneticPr fontId="1"/>
  </si>
  <si>
    <t>090-5161-0552</t>
    <phoneticPr fontId="1"/>
  </si>
  <si>
    <t>福田　直希</t>
    <rPh sb="0" eb="2">
      <t>フクダ</t>
    </rPh>
    <rPh sb="3" eb="4">
      <t>ナオ</t>
    </rPh>
    <rPh sb="4" eb="5">
      <t>キ</t>
    </rPh>
    <phoneticPr fontId="1"/>
  </si>
  <si>
    <t>兵庫県伊丹市北野2-113-5-701</t>
    <rPh sb="0" eb="3">
      <t>ヒョウゴケン</t>
    </rPh>
    <rPh sb="3" eb="6">
      <t>イタミシ</t>
    </rPh>
    <rPh sb="6" eb="8">
      <t>キタノ</t>
    </rPh>
    <phoneticPr fontId="1"/>
  </si>
  <si>
    <t>1.8㎞</t>
    <phoneticPr fontId="1"/>
  </si>
  <si>
    <t>080-3031-9084</t>
    <phoneticPr fontId="1"/>
  </si>
  <si>
    <t>会員金山様奥様</t>
    <rPh sb="0" eb="2">
      <t>カイイン</t>
    </rPh>
    <rPh sb="2" eb="4">
      <t>カナヤマ</t>
    </rPh>
    <rPh sb="4" eb="5">
      <t>サマ</t>
    </rPh>
    <rPh sb="5" eb="7">
      <t>オクサマ</t>
    </rPh>
    <phoneticPr fontId="1"/>
  </si>
  <si>
    <t>河口　郎丈</t>
    <rPh sb="0" eb="2">
      <t>カワグチ</t>
    </rPh>
    <rPh sb="3" eb="4">
      <t>ロウ</t>
    </rPh>
    <rPh sb="4" eb="5">
      <t>タケ</t>
    </rPh>
    <phoneticPr fontId="1"/>
  </si>
  <si>
    <t>669-1545</t>
    <phoneticPr fontId="1"/>
  </si>
  <si>
    <t>兵庫県三田市狭間が丘5-5-2-311</t>
    <rPh sb="0" eb="3">
      <t>ヒョウゴケン</t>
    </rPh>
    <rPh sb="3" eb="6">
      <t>サンダシ</t>
    </rPh>
    <rPh sb="6" eb="8">
      <t>ハザマ</t>
    </rPh>
    <rPh sb="9" eb="10">
      <t>オカ</t>
    </rPh>
    <phoneticPr fontId="1"/>
  </si>
  <si>
    <t>26.5㎞</t>
    <phoneticPr fontId="1"/>
  </si>
  <si>
    <t>090-5047-7889</t>
    <phoneticPr fontId="1"/>
  </si>
  <si>
    <t>akitake.k@gmail.com</t>
    <phoneticPr fontId="1"/>
  </si>
  <si>
    <t>島田　秀樹</t>
    <rPh sb="0" eb="2">
      <t>シマダ</t>
    </rPh>
    <rPh sb="3" eb="5">
      <t>ヒデキ</t>
    </rPh>
    <phoneticPr fontId="1"/>
  </si>
  <si>
    <t>563-0048</t>
    <phoneticPr fontId="1"/>
  </si>
  <si>
    <t>大阪府池田市呉服町10-5</t>
    <rPh sb="0" eb="3">
      <t>オオサカフ</t>
    </rPh>
    <rPh sb="3" eb="6">
      <t>イケダシ</t>
    </rPh>
    <phoneticPr fontId="1"/>
  </si>
  <si>
    <t>090-1027-1237</t>
    <phoneticPr fontId="1"/>
  </si>
  <si>
    <t>皆川　昌也</t>
    <rPh sb="0" eb="2">
      <t>ミナガワ</t>
    </rPh>
    <rPh sb="3" eb="5">
      <t>マサヤ</t>
    </rPh>
    <phoneticPr fontId="1"/>
  </si>
  <si>
    <t>665-0884</t>
    <phoneticPr fontId="1"/>
  </si>
  <si>
    <t>兵庫県宝塚市山本西1-12-8</t>
    <rPh sb="0" eb="3">
      <t>ヒョウゴケン</t>
    </rPh>
    <rPh sb="3" eb="6">
      <t>タカラヅカシ</t>
    </rPh>
    <rPh sb="6" eb="8">
      <t>ヤマモト</t>
    </rPh>
    <rPh sb="8" eb="9">
      <t>ニシ</t>
    </rPh>
    <phoneticPr fontId="1"/>
  </si>
  <si>
    <t>080-6126-0453</t>
    <phoneticPr fontId="1"/>
  </si>
  <si>
    <t>体験￥2750+試打5本￥3300</t>
    <rPh sb="0" eb="2">
      <t>タイケン</t>
    </rPh>
    <rPh sb="8" eb="10">
      <t>シダ</t>
    </rPh>
    <rPh sb="11" eb="12">
      <t>ホン</t>
    </rPh>
    <phoneticPr fontId="1"/>
  </si>
  <si>
    <t>安達　慎哉</t>
    <rPh sb="0" eb="2">
      <t>アダチ</t>
    </rPh>
    <rPh sb="3" eb="4">
      <t>シン</t>
    </rPh>
    <rPh sb="4" eb="5">
      <t>ヤ</t>
    </rPh>
    <phoneticPr fontId="1"/>
  </si>
  <si>
    <t>531-0075</t>
    <phoneticPr fontId="1"/>
  </si>
  <si>
    <t>大阪府大阪市北区大淀南2-1-1-2103</t>
  </si>
  <si>
    <t>19.4㎞</t>
    <phoneticPr fontId="1"/>
  </si>
  <si>
    <t>080-3587-4630</t>
    <phoneticPr fontId="1"/>
  </si>
  <si>
    <t>登録プロ 森杉大地プロ紹介</t>
    <rPh sb="0" eb="2">
      <t>トウロク</t>
    </rPh>
    <rPh sb="5" eb="7">
      <t>モリスギ</t>
    </rPh>
    <rPh sb="7" eb="9">
      <t>ダイチ</t>
    </rPh>
    <rPh sb="11" eb="13">
      <t>ショウカイ</t>
    </rPh>
    <phoneticPr fontId="1"/>
  </si>
  <si>
    <t>月田　裕晃</t>
    <rPh sb="0" eb="2">
      <t>ツキタ</t>
    </rPh>
    <rPh sb="3" eb="4">
      <t>ヒロ</t>
    </rPh>
    <rPh sb="4" eb="5">
      <t>アキ</t>
    </rPh>
    <phoneticPr fontId="1"/>
  </si>
  <si>
    <t>夏井　祐一</t>
    <rPh sb="0" eb="2">
      <t>ナツイ</t>
    </rPh>
    <rPh sb="3" eb="5">
      <t>ユウイチ</t>
    </rPh>
    <phoneticPr fontId="1"/>
  </si>
  <si>
    <t>664-0026</t>
    <phoneticPr fontId="1"/>
  </si>
  <si>
    <t>兵庫県伊丹市寺本5-383-1-203</t>
    <rPh sb="0" eb="3">
      <t>ヒョウゴケン</t>
    </rPh>
    <rPh sb="3" eb="6">
      <t>イタミシ</t>
    </rPh>
    <rPh sb="6" eb="8">
      <t>テラモト</t>
    </rPh>
    <phoneticPr fontId="1"/>
  </si>
  <si>
    <t>y.n.19870807@icloud.com</t>
    <phoneticPr fontId="1"/>
  </si>
  <si>
    <t>080-2535-9114</t>
    <phoneticPr fontId="1"/>
  </si>
  <si>
    <t>530-0055</t>
    <phoneticPr fontId="1"/>
  </si>
  <si>
    <t>大阪府大阪市北区野崎町1-30-2012</t>
    <rPh sb="0" eb="3">
      <t>オオサカフ</t>
    </rPh>
    <rPh sb="3" eb="8">
      <t>オオサカシキタク</t>
    </rPh>
    <rPh sb="8" eb="10">
      <t>ノザキ</t>
    </rPh>
    <rPh sb="10" eb="11">
      <t>チョウ</t>
    </rPh>
    <phoneticPr fontId="1"/>
  </si>
  <si>
    <t>24.7㎞</t>
    <phoneticPr fontId="1"/>
  </si>
  <si>
    <t>090-5040-5607</t>
    <phoneticPr fontId="1"/>
  </si>
  <si>
    <t>葛井様紹介</t>
    <rPh sb="0" eb="2">
      <t>カツイ</t>
    </rPh>
    <rPh sb="2" eb="3">
      <t>サマ</t>
    </rPh>
    <rPh sb="3" eb="5">
      <t>ショウカイ</t>
    </rPh>
    <phoneticPr fontId="1"/>
  </si>
  <si>
    <t>奥　健太</t>
    <rPh sb="0" eb="1">
      <t>オク</t>
    </rPh>
    <rPh sb="2" eb="4">
      <t>ケンタ</t>
    </rPh>
    <phoneticPr fontId="1"/>
  </si>
  <si>
    <t>兵庫県宝塚市川面5-7-5-403</t>
    <rPh sb="0" eb="3">
      <t>ヒョウゴケン</t>
    </rPh>
    <rPh sb="3" eb="6">
      <t>タカラヅカシ</t>
    </rPh>
    <rPh sb="6" eb="8">
      <t>カワツラ</t>
    </rPh>
    <phoneticPr fontId="1"/>
  </si>
  <si>
    <t>090-6406-1769</t>
    <phoneticPr fontId="1"/>
  </si>
  <si>
    <t>福井　章義</t>
    <rPh sb="0" eb="2">
      <t>フクイ</t>
    </rPh>
    <rPh sb="3" eb="5">
      <t>アキヨシ</t>
    </rPh>
    <phoneticPr fontId="1"/>
  </si>
  <si>
    <t>兵庫県伊丹市昆陽東1丁目2-3-902</t>
    <rPh sb="0" eb="3">
      <t>ヒョウゴケン</t>
    </rPh>
    <rPh sb="3" eb="6">
      <t>イタミシ</t>
    </rPh>
    <rPh sb="6" eb="8">
      <t>コヤ</t>
    </rPh>
    <rPh sb="8" eb="9">
      <t>ヒガシ</t>
    </rPh>
    <rPh sb="10" eb="12">
      <t>チョウメ</t>
    </rPh>
    <phoneticPr fontId="1"/>
  </si>
  <si>
    <t>664-0886</t>
    <phoneticPr fontId="1"/>
  </si>
  <si>
    <t>080-3885-9377</t>
    <phoneticPr fontId="1"/>
  </si>
  <si>
    <t>akiyoshi-f@ezweb.ne.jp</t>
    <phoneticPr fontId="1"/>
  </si>
  <si>
    <t>多田　和樹</t>
    <rPh sb="0" eb="2">
      <t>タダ</t>
    </rPh>
    <rPh sb="3" eb="4">
      <t>カズ</t>
    </rPh>
    <rPh sb="4" eb="5">
      <t>キ</t>
    </rPh>
    <phoneticPr fontId="1"/>
  </si>
  <si>
    <t>655-0051</t>
    <phoneticPr fontId="1"/>
  </si>
  <si>
    <t>兵庫県神戸市垂水区舞多聞西1-14-13</t>
  </si>
  <si>
    <t>47.6㎞</t>
    <phoneticPr fontId="1"/>
  </si>
  <si>
    <t>090-7758-441</t>
    <phoneticPr fontId="1"/>
  </si>
  <si>
    <t>村松　宏一</t>
    <rPh sb="0" eb="2">
      <t>ムラマツ</t>
    </rPh>
    <rPh sb="3" eb="5">
      <t>コウイチ</t>
    </rPh>
    <phoneticPr fontId="1"/>
  </si>
  <si>
    <t>大阪府池田市石橋3-2-6-102</t>
    <rPh sb="0" eb="3">
      <t>オオサカフ</t>
    </rPh>
    <rPh sb="3" eb="6">
      <t>イケダシ</t>
    </rPh>
    <rPh sb="6" eb="8">
      <t>イシバシ</t>
    </rPh>
    <phoneticPr fontId="1"/>
  </si>
  <si>
    <t>563-0032</t>
    <phoneticPr fontId="1"/>
  </si>
  <si>
    <t>6.7㎞</t>
    <phoneticPr fontId="1"/>
  </si>
  <si>
    <t>080-5725-4089</t>
    <phoneticPr fontId="1"/>
  </si>
  <si>
    <t>662-0092</t>
    <phoneticPr fontId="1"/>
  </si>
  <si>
    <t>兵庫県西宮市甑岩町3-21-302</t>
    <phoneticPr fontId="1"/>
  </si>
  <si>
    <t>13㎞</t>
    <phoneticPr fontId="1"/>
  </si>
  <si>
    <t>090-9541-1646</t>
    <phoneticPr fontId="1"/>
  </si>
  <si>
    <t>荒井　知子</t>
    <rPh sb="0" eb="2">
      <t>アライ</t>
    </rPh>
    <rPh sb="3" eb="5">
      <t>トモコ</t>
    </rPh>
    <phoneticPr fontId="1"/>
  </si>
  <si>
    <t>兵庫県宝塚市中山桜台2-16-4</t>
    <rPh sb="0" eb="3">
      <t>ヒョウゴケン</t>
    </rPh>
    <rPh sb="3" eb="6">
      <t>タカラヅカシ</t>
    </rPh>
    <rPh sb="6" eb="8">
      <t>ナカヤマ</t>
    </rPh>
    <rPh sb="8" eb="10">
      <t>サクラダイ</t>
    </rPh>
    <phoneticPr fontId="1"/>
  </si>
  <si>
    <t>3.8km</t>
    <phoneticPr fontId="1"/>
  </si>
  <si>
    <t>0797-89-6763</t>
    <phoneticPr fontId="1"/>
  </si>
  <si>
    <t>中井　敏雅</t>
    <rPh sb="0" eb="2">
      <t>ナカイ</t>
    </rPh>
    <rPh sb="3" eb="4">
      <t>トシ</t>
    </rPh>
    <rPh sb="4" eb="5">
      <t>ガ</t>
    </rPh>
    <phoneticPr fontId="1"/>
  </si>
  <si>
    <t>toshi09040317242@gmail.com</t>
    <phoneticPr fontId="1"/>
  </si>
  <si>
    <t>090-4031-7242</t>
    <phoneticPr fontId="1"/>
  </si>
  <si>
    <t>アンケート・会員前田様のお父様</t>
    <rPh sb="6" eb="8">
      <t>カイイン</t>
    </rPh>
    <rPh sb="8" eb="10">
      <t>マエダ</t>
    </rPh>
    <rPh sb="10" eb="11">
      <t>サマ</t>
    </rPh>
    <rPh sb="13" eb="15">
      <t>トウサマ</t>
    </rPh>
    <phoneticPr fontId="1"/>
  </si>
  <si>
    <t>090-2106-7631</t>
    <phoneticPr fontId="1"/>
  </si>
  <si>
    <t>前田　實</t>
    <rPh sb="0" eb="2">
      <t>マエダ</t>
    </rPh>
    <rPh sb="3" eb="4">
      <t>ミノル</t>
    </rPh>
    <phoneticPr fontId="1"/>
  </si>
  <si>
    <t>4.2㎞</t>
    <phoneticPr fontId="1"/>
  </si>
  <si>
    <t>岡野　行雄</t>
    <rPh sb="0" eb="2">
      <t>オカノ</t>
    </rPh>
    <rPh sb="3" eb="4">
      <t>イ</t>
    </rPh>
    <rPh sb="4" eb="5">
      <t>オ</t>
    </rPh>
    <phoneticPr fontId="1"/>
  </si>
  <si>
    <t>兵庫県川西市小戸2-15-19</t>
    <rPh sb="0" eb="3">
      <t>ヒョウゴケン</t>
    </rPh>
    <rPh sb="3" eb="6">
      <t>カワニシシ</t>
    </rPh>
    <rPh sb="6" eb="7">
      <t>ショウ</t>
    </rPh>
    <rPh sb="7" eb="8">
      <t>ト</t>
    </rPh>
    <phoneticPr fontId="1"/>
  </si>
  <si>
    <t>兵庫県宝塚市中山台1-23-46</t>
    <rPh sb="0" eb="3">
      <t>ヒョウゴケン</t>
    </rPh>
    <rPh sb="3" eb="6">
      <t>タカラヅカシ</t>
    </rPh>
    <rPh sb="6" eb="8">
      <t>ナカヤマ</t>
    </rPh>
    <rPh sb="8" eb="9">
      <t>ダイ</t>
    </rPh>
    <phoneticPr fontId="1"/>
  </si>
  <si>
    <t>兵庫県宝塚市雲雀丘山手1-14-4-212</t>
    <rPh sb="0" eb="6">
      <t>ヒョウゴケンタカラヅカシ</t>
    </rPh>
    <rPh sb="6" eb="9">
      <t>ヒバリガオカ</t>
    </rPh>
    <rPh sb="9" eb="11">
      <t>ヤマテ</t>
    </rPh>
    <phoneticPr fontId="1"/>
  </si>
  <si>
    <t>090-8163-0630</t>
    <phoneticPr fontId="1"/>
  </si>
  <si>
    <t>アンケート・会員岡野陽子様ご主人</t>
    <rPh sb="6" eb="8">
      <t>カイイン</t>
    </rPh>
    <rPh sb="8" eb="10">
      <t>オカノ</t>
    </rPh>
    <rPh sb="10" eb="12">
      <t>ヨウコ</t>
    </rPh>
    <rPh sb="12" eb="13">
      <t>サマ</t>
    </rPh>
    <rPh sb="14" eb="16">
      <t>シュジン</t>
    </rPh>
    <phoneticPr fontId="1"/>
  </si>
  <si>
    <t>太古前　佑樹</t>
    <rPh sb="0" eb="1">
      <t>フトイ</t>
    </rPh>
    <rPh sb="1" eb="2">
      <t>フル</t>
    </rPh>
    <rPh sb="2" eb="3">
      <t>マエ</t>
    </rPh>
    <rPh sb="4" eb="6">
      <t>ユウキ</t>
    </rPh>
    <phoneticPr fontId="1"/>
  </si>
  <si>
    <t>兵庫県宝塚市山本丸橋481-1 シャルマンロード202</t>
    <rPh sb="0" eb="3">
      <t>ヒョウゴケン</t>
    </rPh>
    <rPh sb="3" eb="6">
      <t>タカラヅカシ</t>
    </rPh>
    <rPh sb="6" eb="8">
      <t>ヤマモト</t>
    </rPh>
    <rPh sb="8" eb="10">
      <t>マルハシ</t>
    </rPh>
    <phoneticPr fontId="1"/>
  </si>
  <si>
    <t>080-6216-6346</t>
    <phoneticPr fontId="1"/>
  </si>
  <si>
    <t>末次　翼</t>
    <rPh sb="0" eb="2">
      <t>スエツグ</t>
    </rPh>
    <rPh sb="3" eb="4">
      <t>ツバサ</t>
    </rPh>
    <phoneticPr fontId="1"/>
  </si>
  <si>
    <t>兵庫県宝塚市山本丸橋2-1-15-303</t>
    <rPh sb="0" eb="3">
      <t>ヒョウゴケン</t>
    </rPh>
    <rPh sb="3" eb="6">
      <t>タカラヅカシ</t>
    </rPh>
    <rPh sb="6" eb="8">
      <t>ヤマモト</t>
    </rPh>
    <rPh sb="8" eb="10">
      <t>マルハシ</t>
    </rPh>
    <phoneticPr fontId="1"/>
  </si>
  <si>
    <t>600m</t>
    <phoneticPr fontId="1"/>
  </si>
  <si>
    <t>600ｍ</t>
    <phoneticPr fontId="1"/>
  </si>
  <si>
    <t>090-5084-9735</t>
    <phoneticPr fontId="1"/>
  </si>
  <si>
    <t>堂丸　康一</t>
    <rPh sb="0" eb="1">
      <t>ドウ</t>
    </rPh>
    <rPh sb="1" eb="2">
      <t>マル</t>
    </rPh>
    <rPh sb="3" eb="4">
      <t>ヤス</t>
    </rPh>
    <rPh sb="4" eb="5">
      <t>イチ</t>
    </rPh>
    <phoneticPr fontId="1"/>
  </si>
  <si>
    <t>665-0833</t>
    <phoneticPr fontId="1"/>
  </si>
  <si>
    <t>兵庫県宝塚市山本中2-29-302</t>
    <rPh sb="0" eb="6">
      <t>ヒョウゴケンタカラヅカシ</t>
    </rPh>
    <rPh sb="6" eb="8">
      <t>ヤマモト</t>
    </rPh>
    <rPh sb="8" eb="9">
      <t>ナカ</t>
    </rPh>
    <phoneticPr fontId="1"/>
  </si>
  <si>
    <t>1.1㎞</t>
    <phoneticPr fontId="1"/>
  </si>
  <si>
    <t>090-4769-8759</t>
    <phoneticPr fontId="1"/>
  </si>
  <si>
    <t>乾　克彦</t>
    <rPh sb="0" eb="1">
      <t>イヌイ</t>
    </rPh>
    <rPh sb="2" eb="4">
      <t>カツヒコ</t>
    </rPh>
    <phoneticPr fontId="1"/>
  </si>
  <si>
    <t>兵庫県宝塚市平井3-3-29</t>
    <rPh sb="0" eb="3">
      <t>ヒョウゴケン</t>
    </rPh>
    <rPh sb="3" eb="6">
      <t>タカラヅカシ</t>
    </rPh>
    <rPh sb="6" eb="8">
      <t>ヒライ</t>
    </rPh>
    <phoneticPr fontId="1"/>
  </si>
  <si>
    <t>2.1㎞</t>
    <phoneticPr fontId="1"/>
  </si>
  <si>
    <t>080-5339-6613</t>
    <phoneticPr fontId="1"/>
  </si>
  <si>
    <t>前川　英一</t>
    <rPh sb="0" eb="2">
      <t>マエカワ</t>
    </rPh>
    <rPh sb="3" eb="5">
      <t>エイイチ</t>
    </rPh>
    <phoneticPr fontId="1"/>
  </si>
  <si>
    <t>大阪府茨木市白川2-11-7</t>
    <rPh sb="0" eb="3">
      <t>オオサカフ</t>
    </rPh>
    <rPh sb="3" eb="5">
      <t>イバラキ</t>
    </rPh>
    <rPh sb="5" eb="6">
      <t>シ</t>
    </rPh>
    <rPh sb="6" eb="8">
      <t>シラカワ</t>
    </rPh>
    <phoneticPr fontId="1"/>
  </si>
  <si>
    <t>567-0832</t>
    <phoneticPr fontId="1"/>
  </si>
  <si>
    <t>090-8933-4871</t>
    <phoneticPr fontId="1"/>
  </si>
  <si>
    <t>坂口　真二郎</t>
    <rPh sb="0" eb="2">
      <t>サカグチ</t>
    </rPh>
    <rPh sb="3" eb="4">
      <t>シン</t>
    </rPh>
    <rPh sb="4" eb="5">
      <t>ニ</t>
    </rPh>
    <rPh sb="5" eb="6">
      <t>ロウ</t>
    </rPh>
    <phoneticPr fontId="1"/>
  </si>
  <si>
    <t>濱田　由香</t>
    <rPh sb="0" eb="2">
      <t>ハマダ</t>
    </rPh>
    <rPh sb="3" eb="5">
      <t>ユカ</t>
    </rPh>
    <phoneticPr fontId="1"/>
  </si>
  <si>
    <t>563-0021</t>
    <phoneticPr fontId="1"/>
  </si>
  <si>
    <t>大阪府池田市畑3-15-22-302</t>
    <rPh sb="0" eb="3">
      <t>オオサカフ</t>
    </rPh>
    <rPh sb="3" eb="6">
      <t>イケダシ</t>
    </rPh>
    <rPh sb="6" eb="7">
      <t>ハタ</t>
    </rPh>
    <phoneticPr fontId="1"/>
  </si>
  <si>
    <t>7.5㎞</t>
    <phoneticPr fontId="1"/>
  </si>
  <si>
    <t>090-6910-0746</t>
    <phoneticPr fontId="1"/>
  </si>
  <si>
    <t>土井　謙一</t>
    <rPh sb="0" eb="2">
      <t>ドイ</t>
    </rPh>
    <rPh sb="3" eb="5">
      <t>ケンイチ</t>
    </rPh>
    <phoneticPr fontId="1"/>
  </si>
  <si>
    <t>宝塚市山本南3丁目11-15-413</t>
    <rPh sb="0" eb="5">
      <t>タカラヅカシヤマモト</t>
    </rPh>
    <rPh sb="5" eb="6">
      <t>ミナミ</t>
    </rPh>
    <rPh sb="7" eb="9">
      <t>チョウメ</t>
    </rPh>
    <phoneticPr fontId="1"/>
  </si>
  <si>
    <t>1㎞</t>
    <phoneticPr fontId="1"/>
  </si>
  <si>
    <t>knchance@gmail.com</t>
    <phoneticPr fontId="1"/>
  </si>
  <si>
    <t>090-3711-8966</t>
    <phoneticPr fontId="1"/>
  </si>
  <si>
    <t>光法　慶</t>
    <rPh sb="0" eb="2">
      <t>ミツノリ</t>
    </rPh>
    <rPh sb="3" eb="4">
      <t>ケイ</t>
    </rPh>
    <phoneticPr fontId="1"/>
  </si>
  <si>
    <t>577-0024</t>
    <phoneticPr fontId="1"/>
  </si>
  <si>
    <t>大阪府東大阪市荒本西4-3-23-1002</t>
    <rPh sb="0" eb="3">
      <t>オオサカフ</t>
    </rPh>
    <rPh sb="3" eb="4">
      <t>ヒガシ</t>
    </rPh>
    <rPh sb="4" eb="7">
      <t>オオサカシ</t>
    </rPh>
    <rPh sb="7" eb="10">
      <t>アラモトニシ</t>
    </rPh>
    <phoneticPr fontId="1"/>
  </si>
  <si>
    <t>31㎞</t>
    <phoneticPr fontId="1"/>
  </si>
  <si>
    <t>080-6327-3824</t>
    <phoneticPr fontId="1"/>
  </si>
  <si>
    <t>YouTube マイゴルフ見てご来店</t>
    <rPh sb="13" eb="14">
      <t>ミ</t>
    </rPh>
    <rPh sb="16" eb="18">
      <t>ライテン</t>
    </rPh>
    <phoneticPr fontId="1"/>
  </si>
  <si>
    <t>アンケート、YouTube マイゴルフ見てご来店</t>
    <rPh sb="19" eb="20">
      <t>ミ</t>
    </rPh>
    <rPh sb="22" eb="24">
      <t>ライテン</t>
    </rPh>
    <phoneticPr fontId="1"/>
  </si>
  <si>
    <t>090-7963-3152</t>
    <phoneticPr fontId="1"/>
  </si>
  <si>
    <t>桃井　健太</t>
    <rPh sb="0" eb="2">
      <t>モモイ</t>
    </rPh>
    <rPh sb="3" eb="5">
      <t>ケンタ</t>
    </rPh>
    <phoneticPr fontId="1"/>
  </si>
  <si>
    <t>589-0014</t>
    <phoneticPr fontId="1"/>
  </si>
  <si>
    <t>大阪府大阪府大阪狭山市大野東2028-13</t>
    <phoneticPr fontId="1"/>
  </si>
  <si>
    <t>52.2㎞</t>
    <phoneticPr fontId="1"/>
  </si>
  <si>
    <t>2回目　1/23体験利用</t>
    <rPh sb="1" eb="3">
      <t>カイメ</t>
    </rPh>
    <rPh sb="8" eb="12">
      <t>タイケンリヨウ</t>
    </rPh>
    <phoneticPr fontId="1"/>
  </si>
  <si>
    <t>井上　智広</t>
    <rPh sb="0" eb="2">
      <t>イノウエ</t>
    </rPh>
    <rPh sb="3" eb="4">
      <t>チ</t>
    </rPh>
    <rPh sb="4" eb="5">
      <t>ヒロシ</t>
    </rPh>
    <phoneticPr fontId="1"/>
  </si>
  <si>
    <t>544-0012</t>
    <phoneticPr fontId="1"/>
  </si>
  <si>
    <t>大阪市生野区巽西3-19-17</t>
    <rPh sb="0" eb="3">
      <t>オオサカシ</t>
    </rPh>
    <rPh sb="3" eb="6">
      <t>イクノク</t>
    </rPh>
    <rPh sb="6" eb="7">
      <t>タツミ</t>
    </rPh>
    <rPh sb="7" eb="8">
      <t>ニシ</t>
    </rPh>
    <phoneticPr fontId="1"/>
  </si>
  <si>
    <t>090-1480-5592</t>
    <phoneticPr fontId="1"/>
  </si>
  <si>
    <t>中窪　亮博</t>
    <rPh sb="0" eb="1">
      <t>ナカ</t>
    </rPh>
    <rPh sb="1" eb="2">
      <t>クボ</t>
    </rPh>
    <rPh sb="3" eb="4">
      <t>リョウ</t>
    </rPh>
    <rPh sb="4" eb="5">
      <t>ヒロ</t>
    </rPh>
    <phoneticPr fontId="1"/>
  </si>
  <si>
    <t>520-0026</t>
    <phoneticPr fontId="1"/>
  </si>
  <si>
    <t>滋賀県大津市桜野町1-4-15</t>
    <rPh sb="0" eb="3">
      <t>シガケン</t>
    </rPh>
    <rPh sb="3" eb="6">
      <t>オオツシ</t>
    </rPh>
    <rPh sb="6" eb="7">
      <t>サクラ</t>
    </rPh>
    <rPh sb="7" eb="8">
      <t>ノ</t>
    </rPh>
    <rPh sb="8" eb="9">
      <t>チョウ</t>
    </rPh>
    <phoneticPr fontId="1"/>
  </si>
  <si>
    <t>63.5㎞</t>
    <phoneticPr fontId="1"/>
  </si>
  <si>
    <t>090-4907-8260</t>
    <phoneticPr fontId="1"/>
  </si>
  <si>
    <t>賀島　崇史</t>
    <rPh sb="0" eb="2">
      <t>カシマ</t>
    </rPh>
    <rPh sb="3" eb="4">
      <t>タカシ</t>
    </rPh>
    <rPh sb="4" eb="5">
      <t>シ</t>
    </rPh>
    <phoneticPr fontId="1"/>
  </si>
  <si>
    <t>651-1514</t>
    <phoneticPr fontId="1"/>
  </si>
  <si>
    <t>兵庫県神戸市北区鹿の子台南町4-47-6</t>
    <rPh sb="0" eb="3">
      <t>ヒョウゴケン</t>
    </rPh>
    <rPh sb="3" eb="6">
      <t>コウベシ</t>
    </rPh>
    <rPh sb="6" eb="8">
      <t>キタク</t>
    </rPh>
    <rPh sb="8" eb="9">
      <t>カ</t>
    </rPh>
    <rPh sb="10" eb="11">
      <t>コ</t>
    </rPh>
    <rPh sb="11" eb="12">
      <t>ダイ</t>
    </rPh>
    <rPh sb="12" eb="13">
      <t>ミナミ</t>
    </rPh>
    <rPh sb="13" eb="14">
      <t>マチ</t>
    </rPh>
    <phoneticPr fontId="1"/>
  </si>
  <si>
    <t>090-6901-8848</t>
    <phoneticPr fontId="1"/>
  </si>
  <si>
    <t>金清　明良</t>
    <rPh sb="0" eb="2">
      <t>カネキヨ</t>
    </rPh>
    <rPh sb="3" eb="4">
      <t>アキラ</t>
    </rPh>
    <rPh sb="4" eb="5">
      <t>ヨ</t>
    </rPh>
    <phoneticPr fontId="1"/>
  </si>
  <si>
    <t>547-0003</t>
    <phoneticPr fontId="1"/>
  </si>
  <si>
    <t>大阪市平野区加美南4-2-25-201</t>
    <rPh sb="0" eb="3">
      <t>オオサカシ</t>
    </rPh>
    <rPh sb="3" eb="6">
      <t>ヒラノク</t>
    </rPh>
    <rPh sb="6" eb="9">
      <t>カミミナミ</t>
    </rPh>
    <phoneticPr fontId="1"/>
  </si>
  <si>
    <t>37.8㎞</t>
    <phoneticPr fontId="1"/>
  </si>
  <si>
    <t>090-7755-3418</t>
    <phoneticPr fontId="1"/>
  </si>
  <si>
    <t>倉西　英次</t>
    <rPh sb="0" eb="2">
      <t>クラニシ</t>
    </rPh>
    <rPh sb="3" eb="5">
      <t>ヒデツグ</t>
    </rPh>
    <phoneticPr fontId="1"/>
  </si>
  <si>
    <t>兵庫県伊丹市荒牧南2-22-7</t>
    <rPh sb="0" eb="3">
      <t>ヒョウゴケン</t>
    </rPh>
    <rPh sb="3" eb="6">
      <t>イタミシ</t>
    </rPh>
    <rPh sb="6" eb="8">
      <t>アラマキ</t>
    </rPh>
    <rPh sb="8" eb="9">
      <t>ミナミ</t>
    </rPh>
    <phoneticPr fontId="1"/>
  </si>
  <si>
    <t>090-8934-1908</t>
    <phoneticPr fontId="1"/>
  </si>
  <si>
    <t>小川紹介</t>
    <rPh sb="0" eb="2">
      <t>オガワ</t>
    </rPh>
    <rPh sb="2" eb="4">
      <t>ショウカイ</t>
    </rPh>
    <phoneticPr fontId="1"/>
  </si>
  <si>
    <t>近藤　智恵子</t>
    <rPh sb="0" eb="2">
      <t>コンドウ</t>
    </rPh>
    <rPh sb="3" eb="6">
      <t>チエコ</t>
    </rPh>
    <phoneticPr fontId="1"/>
  </si>
  <si>
    <t>561-0874</t>
    <phoneticPr fontId="1"/>
  </si>
  <si>
    <t>大阪府豊中市長興寺南1-4-14-209</t>
    <rPh sb="0" eb="3">
      <t>オオサカフ</t>
    </rPh>
    <rPh sb="3" eb="6">
      <t>トヨナカシ</t>
    </rPh>
    <rPh sb="6" eb="7">
      <t>ナガ</t>
    </rPh>
    <rPh sb="7" eb="8">
      <t>キョウ</t>
    </rPh>
    <rPh sb="8" eb="9">
      <t>テラ</t>
    </rPh>
    <rPh sb="9" eb="10">
      <t>ミナミ</t>
    </rPh>
    <phoneticPr fontId="1"/>
  </si>
  <si>
    <t>11.3㎞</t>
    <phoneticPr fontId="1"/>
  </si>
  <si>
    <t>090-6966-9725</t>
    <phoneticPr fontId="1"/>
  </si>
  <si>
    <t>橋本　真季</t>
    <rPh sb="0" eb="2">
      <t>ハシモト</t>
    </rPh>
    <rPh sb="3" eb="4">
      <t>マ</t>
    </rPh>
    <rPh sb="4" eb="5">
      <t>キ</t>
    </rPh>
    <phoneticPr fontId="1"/>
  </si>
  <si>
    <t>大阪府池田市神田1-21-10</t>
    <rPh sb="0" eb="3">
      <t>オオサカフ</t>
    </rPh>
    <rPh sb="3" eb="6">
      <t>イケダシ</t>
    </rPh>
    <rPh sb="6" eb="8">
      <t>カンダ</t>
    </rPh>
    <phoneticPr fontId="1"/>
  </si>
  <si>
    <t>大阪府池田市石橋1-1-11</t>
    <rPh sb="0" eb="3">
      <t>オオサカフ</t>
    </rPh>
    <rPh sb="3" eb="6">
      <t>イケダシ</t>
    </rPh>
    <rPh sb="6" eb="8">
      <t>イシバシ</t>
    </rPh>
    <phoneticPr fontId="1"/>
  </si>
  <si>
    <t>6.1㎞</t>
    <phoneticPr fontId="1"/>
  </si>
  <si>
    <t>090-9879-9855</t>
    <phoneticPr fontId="1"/>
  </si>
  <si>
    <t>080-2434-1109</t>
    <phoneticPr fontId="1"/>
  </si>
  <si>
    <t>アンケート　橋本様の分のお支払い　</t>
    <rPh sb="6" eb="8">
      <t>ハシモト</t>
    </rPh>
    <rPh sb="8" eb="9">
      <t>サマ</t>
    </rPh>
    <rPh sb="10" eb="11">
      <t>ブン</t>
    </rPh>
    <rPh sb="13" eb="15">
      <t>シハラ</t>
    </rPh>
    <phoneticPr fontId="1"/>
  </si>
  <si>
    <t>永易　徹也</t>
    <rPh sb="0" eb="1">
      <t>ナガ</t>
    </rPh>
    <rPh sb="1" eb="2">
      <t>ヤス</t>
    </rPh>
    <rPh sb="3" eb="4">
      <t>テツ</t>
    </rPh>
    <rPh sb="4" eb="5">
      <t>ヤ</t>
    </rPh>
    <phoneticPr fontId="1"/>
  </si>
  <si>
    <t>2回目　2/11体験利用</t>
    <rPh sb="1" eb="3">
      <t>カイメ</t>
    </rPh>
    <rPh sb="8" eb="12">
      <t>タイケンリヨウ</t>
    </rPh>
    <phoneticPr fontId="1"/>
  </si>
  <si>
    <t>635-0022</t>
    <phoneticPr fontId="1"/>
  </si>
  <si>
    <t>大阪府旭区新森1-6-18-1404</t>
    <rPh sb="0" eb="3">
      <t>オオサカフ</t>
    </rPh>
    <rPh sb="3" eb="5">
      <t>アサヒク</t>
    </rPh>
    <rPh sb="5" eb="6">
      <t>シン</t>
    </rPh>
    <rPh sb="6" eb="7">
      <t>モリ</t>
    </rPh>
    <phoneticPr fontId="1"/>
  </si>
  <si>
    <t>31.2㎞</t>
    <phoneticPr fontId="1"/>
  </si>
  <si>
    <t>080-3814-1193</t>
    <phoneticPr fontId="1"/>
  </si>
  <si>
    <t>近藤　瑛斗</t>
    <rPh sb="0" eb="2">
      <t>コンドウ</t>
    </rPh>
    <rPh sb="3" eb="4">
      <t>エイ</t>
    </rPh>
    <rPh sb="4" eb="5">
      <t>ト</t>
    </rPh>
    <phoneticPr fontId="1"/>
  </si>
  <si>
    <t>06-6862-3622</t>
    <phoneticPr fontId="1"/>
  </si>
  <si>
    <t>社長お知り合いご子息</t>
    <rPh sb="0" eb="2">
      <t>シャチョウ</t>
    </rPh>
    <rPh sb="3" eb="4">
      <t>シ</t>
    </rPh>
    <rPh sb="5" eb="6">
      <t>ア</t>
    </rPh>
    <rPh sb="8" eb="9">
      <t>コ</t>
    </rPh>
    <phoneticPr fontId="1"/>
  </si>
  <si>
    <t>姜　昌勲</t>
    <rPh sb="0" eb="1">
      <t>キョウ</t>
    </rPh>
    <rPh sb="2" eb="3">
      <t>マサ</t>
    </rPh>
    <rPh sb="3" eb="4">
      <t>クン</t>
    </rPh>
    <phoneticPr fontId="1"/>
  </si>
  <si>
    <t>537-0024</t>
    <phoneticPr fontId="1"/>
  </si>
  <si>
    <t>大阪府大阪市東成区東小橋3-13-28-708</t>
    <rPh sb="0" eb="2">
      <t>オオサカ</t>
    </rPh>
    <rPh sb="2" eb="3">
      <t>フ</t>
    </rPh>
    <rPh sb="3" eb="6">
      <t>オオサカシ</t>
    </rPh>
    <rPh sb="6" eb="8">
      <t>ヒガシナリ</t>
    </rPh>
    <rPh sb="8" eb="9">
      <t>ク</t>
    </rPh>
    <rPh sb="9" eb="10">
      <t>ヒガシ</t>
    </rPh>
    <rPh sb="10" eb="12">
      <t>コバシ</t>
    </rPh>
    <phoneticPr fontId="1"/>
  </si>
  <si>
    <t>26.3㎞</t>
    <phoneticPr fontId="1"/>
  </si>
  <si>
    <t>080-6122-4940</t>
    <phoneticPr fontId="1"/>
  </si>
  <si>
    <t>藤本　清美</t>
    <rPh sb="0" eb="2">
      <t>フジモト</t>
    </rPh>
    <rPh sb="3" eb="5">
      <t>キヨミ</t>
    </rPh>
    <phoneticPr fontId="1"/>
  </si>
  <si>
    <t>兵庫県宝塚市安倉北2-7-2</t>
    <rPh sb="0" eb="6">
      <t>ヒョウゴケンタカラヅカシ</t>
    </rPh>
    <rPh sb="6" eb="8">
      <t>アクラ</t>
    </rPh>
    <rPh sb="8" eb="9">
      <t>キタ</t>
    </rPh>
    <phoneticPr fontId="1"/>
  </si>
  <si>
    <t>090-4039-8627</t>
    <phoneticPr fontId="1"/>
  </si>
  <si>
    <t>会員田中大樹様 義理父</t>
    <rPh sb="0" eb="2">
      <t>カイイン</t>
    </rPh>
    <rPh sb="2" eb="4">
      <t>タナカ</t>
    </rPh>
    <rPh sb="4" eb="6">
      <t>ダイキ</t>
    </rPh>
    <rPh sb="6" eb="7">
      <t>サマ</t>
    </rPh>
    <rPh sb="8" eb="10">
      <t>ギリ</t>
    </rPh>
    <rPh sb="10" eb="11">
      <t>チチ</t>
    </rPh>
    <phoneticPr fontId="1"/>
  </si>
  <si>
    <t>砂金　興一郎</t>
    <rPh sb="0" eb="2">
      <t>スナガネ</t>
    </rPh>
    <rPh sb="3" eb="4">
      <t>コウ</t>
    </rPh>
    <rPh sb="4" eb="6">
      <t>イチロウ</t>
    </rPh>
    <phoneticPr fontId="1"/>
  </si>
  <si>
    <t>川西市南花屋敷4-12-1</t>
    <rPh sb="0" eb="3">
      <t>カワニシシ</t>
    </rPh>
    <rPh sb="3" eb="4">
      <t>ミナミ</t>
    </rPh>
    <rPh sb="4" eb="7">
      <t>ハナヤシキ</t>
    </rPh>
    <phoneticPr fontId="1"/>
  </si>
  <si>
    <t>090-3288-1414</t>
    <phoneticPr fontId="1"/>
  </si>
  <si>
    <t>岩切　丈典</t>
    <rPh sb="0" eb="1">
      <t>イワ</t>
    </rPh>
    <rPh sb="1" eb="2">
      <t>キ</t>
    </rPh>
    <rPh sb="3" eb="4">
      <t>タケ</t>
    </rPh>
    <rPh sb="4" eb="5">
      <t>ノリ</t>
    </rPh>
    <phoneticPr fontId="1"/>
  </si>
  <si>
    <t>兵庫県宝塚市長尾町8-13コスモ宝塚609</t>
    <rPh sb="0" eb="6">
      <t>ヒョウゴケンタカラヅカシ</t>
    </rPh>
    <rPh sb="6" eb="8">
      <t>ナガオ</t>
    </rPh>
    <rPh sb="8" eb="9">
      <t>チョウ</t>
    </rPh>
    <rPh sb="16" eb="18">
      <t>タカラヅカ</t>
    </rPh>
    <phoneticPr fontId="1"/>
  </si>
  <si>
    <t>080-4763-2499</t>
    <phoneticPr fontId="1"/>
  </si>
  <si>
    <t>中川　健太郎</t>
    <rPh sb="0" eb="2">
      <t>ナカガワ</t>
    </rPh>
    <rPh sb="3" eb="6">
      <t>ケンタロ</t>
    </rPh>
    <phoneticPr fontId="1"/>
  </si>
  <si>
    <t>532-0001</t>
    <phoneticPr fontId="1"/>
  </si>
  <si>
    <t>大阪市淀川区東三国3-9-21-221</t>
    <rPh sb="0" eb="3">
      <t>オオサカシ</t>
    </rPh>
    <rPh sb="3" eb="6">
      <t>ヨドガワク</t>
    </rPh>
    <rPh sb="6" eb="7">
      <t>ヒガシ</t>
    </rPh>
    <rPh sb="7" eb="9">
      <t>ミクニ</t>
    </rPh>
    <phoneticPr fontId="1"/>
  </si>
  <si>
    <t>15.5㎞</t>
    <phoneticPr fontId="1"/>
  </si>
  <si>
    <t>090-6824-7801</t>
    <phoneticPr fontId="1"/>
  </si>
  <si>
    <t>3回目　1/23　2/6</t>
    <rPh sb="1" eb="3">
      <t>カイメ</t>
    </rPh>
    <phoneticPr fontId="1"/>
  </si>
  <si>
    <t>吉俣　憲</t>
    <rPh sb="0" eb="2">
      <t>ヨシマタ</t>
    </rPh>
    <rPh sb="3" eb="4">
      <t>ケン</t>
    </rPh>
    <phoneticPr fontId="1"/>
  </si>
  <si>
    <t>兵庫県宝塚市花屋敷松が丘8-11</t>
    <rPh sb="0" eb="3">
      <t>ヒョウゴケン</t>
    </rPh>
    <rPh sb="3" eb="6">
      <t>タカラヅカシ</t>
    </rPh>
    <rPh sb="6" eb="9">
      <t>ハナヤシキ</t>
    </rPh>
    <rPh sb="9" eb="10">
      <t>マツ</t>
    </rPh>
    <rPh sb="11" eb="12">
      <t>オカ</t>
    </rPh>
    <phoneticPr fontId="1"/>
  </si>
  <si>
    <t>090-5671-5426</t>
    <phoneticPr fontId="1"/>
  </si>
  <si>
    <t>trex1024kendy@icloud.com</t>
    <phoneticPr fontId="1"/>
  </si>
  <si>
    <t>アンケート　2020/8/13 吉俣茂様ご子息</t>
    <rPh sb="16" eb="18">
      <t>ヨシマタ</t>
    </rPh>
    <rPh sb="18" eb="19">
      <t>シゲル</t>
    </rPh>
    <rPh sb="19" eb="20">
      <t>サマ</t>
    </rPh>
    <rPh sb="21" eb="23">
      <t>シソク</t>
    </rPh>
    <phoneticPr fontId="1"/>
  </si>
  <si>
    <t>近藤　省一郎</t>
    <rPh sb="0" eb="2">
      <t>コンドウ</t>
    </rPh>
    <rPh sb="3" eb="4">
      <t>ショウ</t>
    </rPh>
    <rPh sb="4" eb="6">
      <t>イチロウ</t>
    </rPh>
    <phoneticPr fontId="1"/>
  </si>
  <si>
    <t>兵庫県神戸市東灘区箕岡通3-1-10</t>
    <rPh sb="0" eb="3">
      <t>ヒョウゴケン</t>
    </rPh>
    <rPh sb="3" eb="5">
      <t>コウベ</t>
    </rPh>
    <rPh sb="5" eb="6">
      <t>シ</t>
    </rPh>
    <rPh sb="6" eb="9">
      <t>ヒガシナダク</t>
    </rPh>
    <rPh sb="9" eb="11">
      <t>ミノオカ</t>
    </rPh>
    <rPh sb="11" eb="12">
      <t>トオ</t>
    </rPh>
    <phoneticPr fontId="1"/>
  </si>
  <si>
    <t>32.7㎞</t>
    <phoneticPr fontId="1"/>
  </si>
  <si>
    <t>657-0812</t>
    <phoneticPr fontId="1"/>
  </si>
  <si>
    <t>090-1138-0736</t>
    <phoneticPr fontId="1"/>
  </si>
  <si>
    <t>中原　裕二</t>
    <rPh sb="0" eb="2">
      <t>ナカハラ</t>
    </rPh>
    <rPh sb="3" eb="5">
      <t>ユウジ</t>
    </rPh>
    <phoneticPr fontId="1"/>
  </si>
  <si>
    <t>651-0073</t>
    <phoneticPr fontId="1"/>
  </si>
  <si>
    <t>兵庫県神戸市中央区脇浜海岸通3-1-3-105</t>
    <rPh sb="0" eb="3">
      <t>ヒョウゴケン</t>
    </rPh>
    <rPh sb="3" eb="6">
      <t>コウベシ</t>
    </rPh>
    <rPh sb="6" eb="9">
      <t>チュウオウク</t>
    </rPh>
    <rPh sb="9" eb="11">
      <t>ワキハマ</t>
    </rPh>
    <rPh sb="11" eb="13">
      <t>カイガン</t>
    </rPh>
    <rPh sb="13" eb="14">
      <t>トオ</t>
    </rPh>
    <phoneticPr fontId="1"/>
  </si>
  <si>
    <t>39.3㎞</t>
    <phoneticPr fontId="1"/>
  </si>
  <si>
    <t>090-5961-9981</t>
    <phoneticPr fontId="1"/>
  </si>
  <si>
    <t>金沢　孝晃</t>
    <rPh sb="0" eb="2">
      <t>カナザワ</t>
    </rPh>
    <rPh sb="3" eb="4">
      <t>タカ</t>
    </rPh>
    <rPh sb="4" eb="5">
      <t>アキ</t>
    </rPh>
    <phoneticPr fontId="1"/>
  </si>
  <si>
    <t>金沢　昌代</t>
    <rPh sb="0" eb="2">
      <t>カナザワ</t>
    </rPh>
    <rPh sb="3" eb="5">
      <t>マサヨ</t>
    </rPh>
    <phoneticPr fontId="1"/>
  </si>
  <si>
    <t>541-0043</t>
    <phoneticPr fontId="1"/>
  </si>
  <si>
    <t>大阪府大阪市中央区高麗橋1-7-7-4902</t>
    <rPh sb="0" eb="3">
      <t>オオサカフ</t>
    </rPh>
    <rPh sb="3" eb="6">
      <t>オオサカシ</t>
    </rPh>
    <rPh sb="6" eb="9">
      <t>チュウオウク</t>
    </rPh>
    <rPh sb="9" eb="12">
      <t>コウレイバシ</t>
    </rPh>
    <phoneticPr fontId="1"/>
  </si>
  <si>
    <t>090-3057-1700</t>
    <phoneticPr fontId="1"/>
  </si>
  <si>
    <t>080-5327-5823</t>
    <phoneticPr fontId="1"/>
  </si>
  <si>
    <t>TVCMを見てご来店</t>
    <rPh sb="5" eb="6">
      <t>ミ</t>
    </rPh>
    <rPh sb="8" eb="10">
      <t>ライテン</t>
    </rPh>
    <phoneticPr fontId="1"/>
  </si>
  <si>
    <t>宮井　洋</t>
    <rPh sb="0" eb="2">
      <t>ミヤイ</t>
    </rPh>
    <rPh sb="3" eb="4">
      <t>ヒロシ</t>
    </rPh>
    <phoneticPr fontId="1"/>
  </si>
  <si>
    <t>661-0973</t>
    <phoneticPr fontId="1"/>
  </si>
  <si>
    <t>兵庫県尼崎市善法寺町24-5-201</t>
    <rPh sb="0" eb="3">
      <t>ヒョウゴケン</t>
    </rPh>
    <rPh sb="3" eb="6">
      <t>アマガサキシ</t>
    </rPh>
    <rPh sb="6" eb="10">
      <t>ゼンポウジチョウ</t>
    </rPh>
    <phoneticPr fontId="1"/>
  </si>
  <si>
    <t>13.6㎞</t>
    <phoneticPr fontId="1"/>
  </si>
  <si>
    <t>06-7494-1822</t>
    <phoneticPr fontId="1"/>
  </si>
  <si>
    <t>YouTube MY GOLFのチャンネルを見てご来店</t>
    <rPh sb="22" eb="23">
      <t>ミ</t>
    </rPh>
    <rPh sb="25" eb="27">
      <t>ライテン</t>
    </rPh>
    <phoneticPr fontId="1"/>
  </si>
  <si>
    <t>浅田　裕美子</t>
    <rPh sb="0" eb="2">
      <t>アサダ</t>
    </rPh>
    <rPh sb="3" eb="6">
      <t>ユミコ</t>
    </rPh>
    <phoneticPr fontId="1"/>
  </si>
  <si>
    <t>2019/10/12　12/13 ﾌｨｯﾃｨﾝｸﾞでご来店済み</t>
    <rPh sb="27" eb="29">
      <t>ライテン</t>
    </rPh>
    <rPh sb="29" eb="30">
      <t>ズ</t>
    </rPh>
    <phoneticPr fontId="1"/>
  </si>
  <si>
    <t>080-9723-5847</t>
    <phoneticPr fontId="1"/>
  </si>
  <si>
    <t>二階堂　裕基</t>
    <rPh sb="0" eb="3">
      <t>ニカイドウ</t>
    </rPh>
    <rPh sb="4" eb="5">
      <t>ヒロ</t>
    </rPh>
    <rPh sb="5" eb="6">
      <t>モトイ</t>
    </rPh>
    <phoneticPr fontId="1"/>
  </si>
  <si>
    <t>大阪府豊中市刀根山6-5-12</t>
    <rPh sb="0" eb="3">
      <t>オオサカフ</t>
    </rPh>
    <rPh sb="3" eb="6">
      <t>トヨナカシ</t>
    </rPh>
    <phoneticPr fontId="1"/>
  </si>
  <si>
    <t>080-5361-7059</t>
    <phoneticPr fontId="1"/>
  </si>
  <si>
    <t>上田 泰司</t>
    <rPh sb="0" eb="2">
      <t>ウエダ</t>
    </rPh>
    <rPh sb="3" eb="4">
      <t>ヤス</t>
    </rPh>
    <rPh sb="4" eb="5">
      <t>ツカサ</t>
    </rPh>
    <phoneticPr fontId="1"/>
  </si>
  <si>
    <t>兵庫県宝塚市雲雀丘山手2-6-33</t>
    <rPh sb="0" eb="3">
      <t>ヒョウゴケン</t>
    </rPh>
    <rPh sb="3" eb="6">
      <t>タカラヅカシ</t>
    </rPh>
    <rPh sb="6" eb="9">
      <t>ヒバリガオカ</t>
    </rPh>
    <rPh sb="9" eb="11">
      <t>ヤマテ</t>
    </rPh>
    <phoneticPr fontId="1"/>
  </si>
  <si>
    <t>090-3488-1818</t>
    <phoneticPr fontId="1"/>
  </si>
  <si>
    <t>アンケート　チラシ見てご来店</t>
    <rPh sb="9" eb="10">
      <t>ミ</t>
    </rPh>
    <rPh sb="12" eb="14">
      <t>ライテン</t>
    </rPh>
    <phoneticPr fontId="1"/>
  </si>
  <si>
    <t>ウエダ　ヤスジ</t>
    <phoneticPr fontId="1"/>
  </si>
  <si>
    <t>槻田　健</t>
    <rPh sb="0" eb="2">
      <t>ツキタ</t>
    </rPh>
    <rPh sb="3" eb="4">
      <t>ケン</t>
    </rPh>
    <phoneticPr fontId="1"/>
  </si>
  <si>
    <t>宝塚市雲雀丘2-7-3</t>
    <rPh sb="0" eb="2">
      <t>タカラヅカ</t>
    </rPh>
    <rPh sb="2" eb="3">
      <t>シ</t>
    </rPh>
    <rPh sb="3" eb="6">
      <t>ヒバリガオカ</t>
    </rPh>
    <phoneticPr fontId="1"/>
  </si>
  <si>
    <t>090-1020-9404</t>
    <phoneticPr fontId="1"/>
  </si>
  <si>
    <t>2020/11/20 体験来店済 会員大川様ご子息</t>
    <rPh sb="11" eb="13">
      <t>タイケン</t>
    </rPh>
    <rPh sb="13" eb="15">
      <t>ライテン</t>
    </rPh>
    <rPh sb="15" eb="16">
      <t>スミ</t>
    </rPh>
    <rPh sb="17" eb="19">
      <t>カイイン</t>
    </rPh>
    <rPh sb="19" eb="21">
      <t>オオカワ</t>
    </rPh>
    <rPh sb="21" eb="22">
      <t>サマ</t>
    </rPh>
    <rPh sb="23" eb="25">
      <t>シソク</t>
    </rPh>
    <phoneticPr fontId="1"/>
  </si>
  <si>
    <t>渡辺　泰弥</t>
    <rPh sb="0" eb="2">
      <t>ワタナベ</t>
    </rPh>
    <rPh sb="3" eb="4">
      <t>ヤス</t>
    </rPh>
    <rPh sb="4" eb="5">
      <t>ヤ</t>
    </rPh>
    <phoneticPr fontId="1"/>
  </si>
  <si>
    <t>兵庫県宝塚市川面4-11-17-13-102</t>
    <rPh sb="0" eb="3">
      <t>ヒョウゴケン</t>
    </rPh>
    <rPh sb="3" eb="5">
      <t>タカラヅカ</t>
    </rPh>
    <rPh sb="5" eb="6">
      <t>シ</t>
    </rPh>
    <rPh sb="6" eb="8">
      <t>カワツラ</t>
    </rPh>
    <phoneticPr fontId="1"/>
  </si>
  <si>
    <t>080-5139-7508</t>
    <phoneticPr fontId="1"/>
  </si>
  <si>
    <t>南　順也</t>
    <rPh sb="0" eb="1">
      <t>ミナミ</t>
    </rPh>
    <rPh sb="2" eb="4">
      <t>ジュンヤ</t>
    </rPh>
    <phoneticPr fontId="1"/>
  </si>
  <si>
    <t>655-0014</t>
    <phoneticPr fontId="1"/>
  </si>
  <si>
    <t>兵庫県神戸市垂水区大町4-4-12-202</t>
    <rPh sb="0" eb="3">
      <t>ヒョウゴケン</t>
    </rPh>
    <rPh sb="3" eb="6">
      <t>コウベシ</t>
    </rPh>
    <rPh sb="6" eb="9">
      <t>タルミク</t>
    </rPh>
    <rPh sb="9" eb="11">
      <t>オオマチ</t>
    </rPh>
    <phoneticPr fontId="1"/>
  </si>
  <si>
    <t>090-5365-1907</t>
    <phoneticPr fontId="1"/>
  </si>
  <si>
    <t>木下　卓哉</t>
    <rPh sb="0" eb="2">
      <t>キノシタ</t>
    </rPh>
    <rPh sb="3" eb="4">
      <t>タク</t>
    </rPh>
    <rPh sb="4" eb="5">
      <t>ヤ</t>
    </rPh>
    <phoneticPr fontId="1"/>
  </si>
  <si>
    <t>533-0022</t>
    <phoneticPr fontId="1"/>
  </si>
  <si>
    <t>大阪府大阪市東淀川区菅原3-14-28-401</t>
    <rPh sb="0" eb="3">
      <t>オオサカフ</t>
    </rPh>
    <rPh sb="3" eb="6">
      <t>オオサカシ</t>
    </rPh>
    <rPh sb="6" eb="7">
      <t>ヒガシ</t>
    </rPh>
    <rPh sb="7" eb="9">
      <t>ヨドガワ</t>
    </rPh>
    <rPh sb="9" eb="10">
      <t>ク</t>
    </rPh>
    <rPh sb="10" eb="12">
      <t>スガハラ</t>
    </rPh>
    <phoneticPr fontId="1"/>
  </si>
  <si>
    <t>18.9㎞</t>
    <phoneticPr fontId="1"/>
  </si>
  <si>
    <t>090-2104-5345</t>
    <phoneticPr fontId="1"/>
  </si>
  <si>
    <t>info@kinoshitahome.com</t>
    <phoneticPr fontId="1"/>
  </si>
  <si>
    <t>会員三野宮様のご紹介</t>
    <rPh sb="0" eb="2">
      <t>カイイン</t>
    </rPh>
    <rPh sb="2" eb="5">
      <t>サンノミヤ</t>
    </rPh>
    <rPh sb="5" eb="6">
      <t>サマ</t>
    </rPh>
    <rPh sb="8" eb="10">
      <t>ショウカイ</t>
    </rPh>
    <phoneticPr fontId="1"/>
  </si>
  <si>
    <t>若林　省吾</t>
    <rPh sb="0" eb="2">
      <t>ワカバヤシ</t>
    </rPh>
    <rPh sb="3" eb="5">
      <t>ショウゴ</t>
    </rPh>
    <phoneticPr fontId="1"/>
  </si>
  <si>
    <t>兵庫県宝塚市売布4-3-30-3214</t>
    <rPh sb="0" eb="3">
      <t>ヒョウゴケン</t>
    </rPh>
    <rPh sb="3" eb="5">
      <t>タカラヅカ</t>
    </rPh>
    <rPh sb="5" eb="6">
      <t>シ</t>
    </rPh>
    <rPh sb="6" eb="8">
      <t>メフ</t>
    </rPh>
    <phoneticPr fontId="1"/>
  </si>
  <si>
    <t>090-4904-2154</t>
    <phoneticPr fontId="1"/>
  </si>
  <si>
    <t>会員金山様ご子息</t>
    <rPh sb="0" eb="2">
      <t>カイイン</t>
    </rPh>
    <rPh sb="2" eb="4">
      <t>カナヤマ</t>
    </rPh>
    <rPh sb="4" eb="5">
      <t>サマ</t>
    </rPh>
    <rPh sb="6" eb="8">
      <t>シソク</t>
    </rPh>
    <phoneticPr fontId="1"/>
  </si>
  <si>
    <t>今井　孝明</t>
    <rPh sb="0" eb="2">
      <t>イマイ</t>
    </rPh>
    <rPh sb="3" eb="4">
      <t>タカ</t>
    </rPh>
    <rPh sb="4" eb="5">
      <t>アキ</t>
    </rPh>
    <phoneticPr fontId="1"/>
  </si>
  <si>
    <t>大阪府大東市新田本町2-2</t>
    <rPh sb="0" eb="3">
      <t>オオサカフ</t>
    </rPh>
    <rPh sb="3" eb="6">
      <t>ダイトウシ</t>
    </rPh>
    <rPh sb="6" eb="8">
      <t>ニッタ</t>
    </rPh>
    <rPh sb="8" eb="10">
      <t>ホンマチ</t>
    </rPh>
    <phoneticPr fontId="1"/>
  </si>
  <si>
    <t>574-0055</t>
    <phoneticPr fontId="1"/>
  </si>
  <si>
    <t>090-7363-0522</t>
    <phoneticPr fontId="1"/>
  </si>
  <si>
    <t>博くん紹介　スタッフ紹介料金適用</t>
    <rPh sb="0" eb="1">
      <t>ヒロ</t>
    </rPh>
    <rPh sb="3" eb="5">
      <t>ショウカイ</t>
    </rPh>
    <rPh sb="10" eb="12">
      <t>ショウカイ</t>
    </rPh>
    <rPh sb="12" eb="14">
      <t>リョウキン</t>
    </rPh>
    <rPh sb="14" eb="16">
      <t>テキヨウ</t>
    </rPh>
    <phoneticPr fontId="1"/>
  </si>
  <si>
    <t>西村　尚芳</t>
    <rPh sb="0" eb="2">
      <t>ニシムラ</t>
    </rPh>
    <rPh sb="3" eb="5">
      <t>ナオヨシ</t>
    </rPh>
    <phoneticPr fontId="1"/>
  </si>
  <si>
    <t>561-0846</t>
    <phoneticPr fontId="1"/>
  </si>
  <si>
    <t>大阪府豊中市利倉東1-5-1</t>
    <rPh sb="0" eb="3">
      <t>オオサカフ</t>
    </rPh>
    <rPh sb="3" eb="6">
      <t>トヨナカシ</t>
    </rPh>
    <rPh sb="6" eb="8">
      <t>リクラ</t>
    </rPh>
    <rPh sb="8" eb="9">
      <t>ヒガシ</t>
    </rPh>
    <phoneticPr fontId="1"/>
  </si>
  <si>
    <t>11.6㎞</t>
    <phoneticPr fontId="1"/>
  </si>
  <si>
    <t>nishi1@mwc.biglobe.ne.jp</t>
    <phoneticPr fontId="1"/>
  </si>
  <si>
    <t>06-6863-6616</t>
    <phoneticPr fontId="1"/>
  </si>
  <si>
    <t>田邉　雄大</t>
    <rPh sb="0" eb="2">
      <t>タナベ</t>
    </rPh>
    <rPh sb="3" eb="5">
      <t>ユウダイ</t>
    </rPh>
    <phoneticPr fontId="1"/>
  </si>
  <si>
    <t>兵庫県川辺郡猪名川町白金2-18-2</t>
    <rPh sb="0" eb="3">
      <t>ヒョウゴケン</t>
    </rPh>
    <rPh sb="3" eb="6">
      <t>カワベグン</t>
    </rPh>
    <rPh sb="6" eb="10">
      <t>イナガワチョウ</t>
    </rPh>
    <rPh sb="10" eb="12">
      <t>シラカネ</t>
    </rPh>
    <phoneticPr fontId="1"/>
  </si>
  <si>
    <t>yuyu123hiro813@softbank.ne.jp</t>
    <phoneticPr fontId="1"/>
  </si>
  <si>
    <t>090-2101-8499</t>
    <phoneticPr fontId="1"/>
  </si>
  <si>
    <t>守内　庸介</t>
    <rPh sb="0" eb="1">
      <t>モリ</t>
    </rPh>
    <rPh sb="1" eb="2">
      <t>ウチ</t>
    </rPh>
    <rPh sb="3" eb="4">
      <t>ヨウ</t>
    </rPh>
    <rPh sb="4" eb="5">
      <t>スケ</t>
    </rPh>
    <phoneticPr fontId="1"/>
  </si>
  <si>
    <t>673-0845</t>
    <phoneticPr fontId="1"/>
  </si>
  <si>
    <t>兵庫県明石市太寺3-3-32</t>
    <rPh sb="0" eb="3">
      <t>ヒョウゴケン</t>
    </rPh>
    <rPh sb="3" eb="5">
      <t>アカシ</t>
    </rPh>
    <rPh sb="5" eb="6">
      <t>シ</t>
    </rPh>
    <rPh sb="6" eb="7">
      <t>フト</t>
    </rPh>
    <rPh sb="7" eb="8">
      <t>テラ</t>
    </rPh>
    <phoneticPr fontId="1"/>
  </si>
  <si>
    <t>50.6㎞</t>
    <phoneticPr fontId="1"/>
  </si>
  <si>
    <t>wm-inte1011@ezweb.ne.jp</t>
    <phoneticPr fontId="1"/>
  </si>
  <si>
    <t>090-8219-1983</t>
    <phoneticPr fontId="1"/>
  </si>
  <si>
    <t>バシレウスの人に聞いてご来店</t>
    <rPh sb="6" eb="7">
      <t>ヒト</t>
    </rPh>
    <rPh sb="8" eb="9">
      <t>キ</t>
    </rPh>
    <rPh sb="12" eb="14">
      <t>ライテン</t>
    </rPh>
    <phoneticPr fontId="1"/>
  </si>
  <si>
    <t>野澤　剛</t>
    <rPh sb="0" eb="2">
      <t>ノザワ</t>
    </rPh>
    <rPh sb="3" eb="4">
      <t>ゴウ</t>
    </rPh>
    <phoneticPr fontId="1"/>
  </si>
  <si>
    <t>662-0072</t>
    <phoneticPr fontId="1"/>
  </si>
  <si>
    <t>0798-70-7027</t>
    <phoneticPr fontId="1"/>
  </si>
  <si>
    <t>山戸さん紹介　10％オフ</t>
    <rPh sb="0" eb="2">
      <t>ヤマト</t>
    </rPh>
    <rPh sb="4" eb="6">
      <t>ショウカイ</t>
    </rPh>
    <phoneticPr fontId="1"/>
  </si>
  <si>
    <t>寺西　飛香留</t>
    <rPh sb="0" eb="2">
      <t>テラニシ</t>
    </rPh>
    <rPh sb="3" eb="4">
      <t>ト</t>
    </rPh>
    <rPh sb="4" eb="5">
      <t>カオ</t>
    </rPh>
    <rPh sb="5" eb="6">
      <t>リュウ</t>
    </rPh>
    <phoneticPr fontId="1"/>
  </si>
  <si>
    <t>兵庫県西宮市豊楽町15-8</t>
    <rPh sb="3" eb="6">
      <t>ニシノミヤシ</t>
    </rPh>
    <rPh sb="6" eb="8">
      <t>ホウラク</t>
    </rPh>
    <rPh sb="8" eb="9">
      <t>チョウ</t>
    </rPh>
    <phoneticPr fontId="1"/>
  </si>
  <si>
    <t>兵庫県西宮市甑岩町7-25-406</t>
    <phoneticPr fontId="1"/>
  </si>
  <si>
    <t>12.9㎞</t>
    <phoneticPr fontId="1"/>
  </si>
  <si>
    <t>090-6554-3330</t>
    <phoneticPr fontId="1"/>
  </si>
  <si>
    <t>2020/9/6 フィッテイング来店済み</t>
    <rPh sb="16" eb="18">
      <t>ライテン</t>
    </rPh>
    <rPh sb="18" eb="19">
      <t>ズ</t>
    </rPh>
    <phoneticPr fontId="1"/>
  </si>
  <si>
    <t>兵庫県神戸市東灘区住吉山手5-18-14</t>
    <rPh sb="0" eb="3">
      <t>ヒョウゴケン</t>
    </rPh>
    <rPh sb="3" eb="6">
      <t>コウベシ</t>
    </rPh>
    <rPh sb="6" eb="9">
      <t>ヒガシナダク</t>
    </rPh>
    <rPh sb="9" eb="11">
      <t>スミヨシ</t>
    </rPh>
    <rPh sb="11" eb="13">
      <t>ヤマテ</t>
    </rPh>
    <phoneticPr fontId="1"/>
  </si>
  <si>
    <t>080-6131-0590</t>
    <phoneticPr fontId="1"/>
  </si>
  <si>
    <t>長原　誠和</t>
    <rPh sb="0" eb="2">
      <t>ナガハラ</t>
    </rPh>
    <rPh sb="3" eb="4">
      <t>マコト</t>
    </rPh>
    <rPh sb="4" eb="5">
      <t>カズ</t>
    </rPh>
    <phoneticPr fontId="1"/>
  </si>
  <si>
    <t>兵庫県川西市花屋敷2-8-3-6</t>
    <rPh sb="0" eb="3">
      <t>ヒョウゴケン</t>
    </rPh>
    <rPh sb="3" eb="6">
      <t>カワニシシ</t>
    </rPh>
    <rPh sb="6" eb="9">
      <t>ハナヤシキ</t>
    </rPh>
    <phoneticPr fontId="1"/>
  </si>
  <si>
    <t>12.2㎞</t>
    <phoneticPr fontId="1"/>
  </si>
  <si>
    <t>090-5162-8782</t>
    <phoneticPr fontId="1"/>
  </si>
  <si>
    <t>チラシ</t>
    <phoneticPr fontId="1"/>
  </si>
  <si>
    <t>御簾　裕生</t>
    <rPh sb="0" eb="2">
      <t>ミス</t>
    </rPh>
    <rPh sb="3" eb="4">
      <t>ヒロ</t>
    </rPh>
    <rPh sb="4" eb="5">
      <t>イキル</t>
    </rPh>
    <phoneticPr fontId="1"/>
  </si>
  <si>
    <t>602-0871</t>
    <phoneticPr fontId="1"/>
  </si>
  <si>
    <t>兵庫県神戸市兵庫区浜中町1-5-1-402</t>
    <rPh sb="0" eb="3">
      <t>ヒョウゴケン</t>
    </rPh>
    <rPh sb="3" eb="6">
      <t>コウベシ</t>
    </rPh>
    <rPh sb="6" eb="9">
      <t>ヒョウゴク</t>
    </rPh>
    <rPh sb="9" eb="11">
      <t>ハマナカ</t>
    </rPh>
    <rPh sb="11" eb="12">
      <t>マチ</t>
    </rPh>
    <phoneticPr fontId="1"/>
  </si>
  <si>
    <t>27.5㎞</t>
    <phoneticPr fontId="1"/>
  </si>
  <si>
    <t>090-5652-6851</t>
    <phoneticPr fontId="1"/>
  </si>
  <si>
    <t>3/3 DRフィッテイング来店済み</t>
    <rPh sb="13" eb="15">
      <t>ライテン</t>
    </rPh>
    <rPh sb="15" eb="16">
      <t>スミ</t>
    </rPh>
    <phoneticPr fontId="1"/>
  </si>
  <si>
    <t>プロの方と判明したので前回（3/3）分と今回分で相殺</t>
    <rPh sb="3" eb="4">
      <t>カタ</t>
    </rPh>
    <rPh sb="5" eb="7">
      <t>ハンメイ</t>
    </rPh>
    <rPh sb="11" eb="13">
      <t>ゼンカイ</t>
    </rPh>
    <rPh sb="18" eb="19">
      <t>ブン</t>
    </rPh>
    <rPh sb="20" eb="22">
      <t>コンカイ</t>
    </rPh>
    <rPh sb="22" eb="23">
      <t>ブン</t>
    </rPh>
    <rPh sb="24" eb="26">
      <t>ソウサイ</t>
    </rPh>
    <phoneticPr fontId="1"/>
  </si>
  <si>
    <t>西田　和代</t>
    <rPh sb="0" eb="2">
      <t>ニシダ</t>
    </rPh>
    <rPh sb="3" eb="5">
      <t>カズヨ</t>
    </rPh>
    <phoneticPr fontId="1"/>
  </si>
  <si>
    <t>666-0024</t>
    <phoneticPr fontId="1"/>
  </si>
  <si>
    <t>兵庫県川西市久代5-7-5-2</t>
    <rPh sb="0" eb="3">
      <t>ヒョウゴケン</t>
    </rPh>
    <rPh sb="3" eb="6">
      <t>カワニシシ</t>
    </rPh>
    <rPh sb="6" eb="8">
      <t>クシロ</t>
    </rPh>
    <phoneticPr fontId="1"/>
  </si>
  <si>
    <t>kazu.nissy727@ezweb.ne.jp</t>
    <phoneticPr fontId="1"/>
  </si>
  <si>
    <t>090-5097-9207</t>
    <phoneticPr fontId="1"/>
  </si>
  <si>
    <t>須川　忠司</t>
    <rPh sb="0" eb="2">
      <t>スガワ</t>
    </rPh>
    <rPh sb="3" eb="4">
      <t>タダシ</t>
    </rPh>
    <rPh sb="4" eb="5">
      <t>シ</t>
    </rPh>
    <phoneticPr fontId="1"/>
  </si>
  <si>
    <t>579-8003</t>
    <phoneticPr fontId="1"/>
  </si>
  <si>
    <t>大阪府東大阪市日下町3-8-15</t>
    <rPh sb="0" eb="3">
      <t>オオサカフ</t>
    </rPh>
    <rPh sb="3" eb="4">
      <t>ヒガシ</t>
    </rPh>
    <rPh sb="4" eb="7">
      <t>オオサカシ</t>
    </rPh>
    <rPh sb="7" eb="8">
      <t>ヒ</t>
    </rPh>
    <rPh sb="8" eb="9">
      <t>シタ</t>
    </rPh>
    <rPh sb="9" eb="10">
      <t>マチ</t>
    </rPh>
    <phoneticPr fontId="1"/>
  </si>
  <si>
    <t>36.4㎞</t>
    <phoneticPr fontId="1"/>
  </si>
  <si>
    <t>090-1894-2388</t>
    <phoneticPr fontId="1"/>
  </si>
  <si>
    <t>佐尾　貴規</t>
    <rPh sb="0" eb="2">
      <t>サオ</t>
    </rPh>
    <rPh sb="3" eb="4">
      <t>タカ</t>
    </rPh>
    <rPh sb="4" eb="5">
      <t>キ</t>
    </rPh>
    <phoneticPr fontId="1"/>
  </si>
  <si>
    <t>565-0862</t>
    <phoneticPr fontId="1"/>
  </si>
  <si>
    <t>大阪府吹田市津雲台5-1-5-3</t>
    <rPh sb="0" eb="3">
      <t>オオサカフ</t>
    </rPh>
    <rPh sb="3" eb="6">
      <t>スイタシ</t>
    </rPh>
    <rPh sb="6" eb="7">
      <t>ツ</t>
    </rPh>
    <rPh sb="7" eb="8">
      <t>グモ</t>
    </rPh>
    <rPh sb="8" eb="9">
      <t>ダイ</t>
    </rPh>
    <phoneticPr fontId="1"/>
  </si>
  <si>
    <t>090-1130-0880</t>
    <phoneticPr fontId="1"/>
  </si>
  <si>
    <t>榮倉　拓真</t>
    <rPh sb="0" eb="2">
      <t>エイクラ</t>
    </rPh>
    <rPh sb="3" eb="5">
      <t>タクマ</t>
    </rPh>
    <phoneticPr fontId="1"/>
  </si>
  <si>
    <t>090-6962-4316</t>
    <phoneticPr fontId="1"/>
  </si>
  <si>
    <t>松江　智也</t>
    <rPh sb="0" eb="2">
      <t>マツエ</t>
    </rPh>
    <rPh sb="3" eb="5">
      <t>トモヤ</t>
    </rPh>
    <phoneticPr fontId="1"/>
  </si>
  <si>
    <t>665-0836</t>
    <phoneticPr fontId="1"/>
  </si>
  <si>
    <t>兵庫県宝塚市清荒神4-3-3</t>
    <rPh sb="0" eb="3">
      <t>ヒョウゴケン</t>
    </rPh>
    <rPh sb="3" eb="6">
      <t>タカラヅカシ</t>
    </rPh>
    <rPh sb="6" eb="9">
      <t>キヨシコウジン</t>
    </rPh>
    <phoneticPr fontId="1"/>
  </si>
  <si>
    <t>090-5091-1266</t>
    <phoneticPr fontId="1"/>
  </si>
  <si>
    <t>松村　宣夫</t>
    <rPh sb="0" eb="2">
      <t>マツムラ</t>
    </rPh>
    <rPh sb="3" eb="5">
      <t>ノリオ</t>
    </rPh>
    <phoneticPr fontId="1"/>
  </si>
  <si>
    <t>大阪府高槻市南平台5-34-14</t>
    <rPh sb="0" eb="3">
      <t>オオサカフ</t>
    </rPh>
    <rPh sb="3" eb="6">
      <t>タカツキシ</t>
    </rPh>
    <rPh sb="6" eb="7">
      <t>ミナミ</t>
    </rPh>
    <rPh sb="7" eb="9">
      <t>ヒラダイ</t>
    </rPh>
    <phoneticPr fontId="1"/>
  </si>
  <si>
    <t>29.1㎞</t>
    <phoneticPr fontId="1"/>
  </si>
  <si>
    <t>569-1042</t>
    <phoneticPr fontId="1"/>
  </si>
  <si>
    <t>090-8575-1794</t>
    <phoneticPr fontId="1"/>
  </si>
  <si>
    <t>社長紹介50％オフ</t>
    <rPh sb="0" eb="2">
      <t>シャチョウ</t>
    </rPh>
    <rPh sb="2" eb="4">
      <t>ショウカイ</t>
    </rPh>
    <phoneticPr fontId="1"/>
  </si>
  <si>
    <t>今井　敏貢</t>
    <rPh sb="0" eb="2">
      <t>イマイ</t>
    </rPh>
    <rPh sb="3" eb="4">
      <t>トシ</t>
    </rPh>
    <rPh sb="4" eb="5">
      <t>ミツグ</t>
    </rPh>
    <phoneticPr fontId="1"/>
  </si>
  <si>
    <t>兵庫県宝塚市梅野町4-29-1102</t>
    <rPh sb="0" eb="3">
      <t>ヒョウゴケン</t>
    </rPh>
    <rPh sb="3" eb="6">
      <t>タカラヅカシ</t>
    </rPh>
    <rPh sb="6" eb="8">
      <t>ウメノ</t>
    </rPh>
    <rPh sb="8" eb="9">
      <t>マチ</t>
    </rPh>
    <phoneticPr fontId="1"/>
  </si>
  <si>
    <t>080-5355-0014</t>
    <phoneticPr fontId="1"/>
  </si>
  <si>
    <t>村田　真哉</t>
    <rPh sb="0" eb="2">
      <t>ムラタ</t>
    </rPh>
    <rPh sb="3" eb="4">
      <t>シン</t>
    </rPh>
    <rPh sb="4" eb="5">
      <t>ヤ</t>
    </rPh>
    <phoneticPr fontId="1"/>
  </si>
  <si>
    <t>兵庫県宝塚市山手台東2-12-4</t>
    <rPh sb="0" eb="3">
      <t>ヒョウゴケン</t>
    </rPh>
    <rPh sb="3" eb="5">
      <t>タカラヅカ</t>
    </rPh>
    <rPh sb="5" eb="6">
      <t>シ</t>
    </rPh>
    <rPh sb="6" eb="8">
      <t>ヤマテ</t>
    </rPh>
    <rPh sb="8" eb="9">
      <t>ダイ</t>
    </rPh>
    <rPh sb="9" eb="10">
      <t>ヒガシ</t>
    </rPh>
    <phoneticPr fontId="1"/>
  </si>
  <si>
    <t>090-3629-2319</t>
    <phoneticPr fontId="1"/>
  </si>
  <si>
    <t>竹山　聡洋</t>
    <rPh sb="0" eb="2">
      <t>タケヤマ</t>
    </rPh>
    <rPh sb="3" eb="4">
      <t>サトシ</t>
    </rPh>
    <rPh sb="4" eb="5">
      <t>ヨウ</t>
    </rPh>
    <phoneticPr fontId="1"/>
  </si>
  <si>
    <t>兵庫県神戸市兵庫区下沢通3-3-5</t>
    <rPh sb="0" eb="3">
      <t>ヒョウゴケン</t>
    </rPh>
    <rPh sb="3" eb="6">
      <t>コウベシ</t>
    </rPh>
    <rPh sb="6" eb="9">
      <t>ヒョウゴク</t>
    </rPh>
    <rPh sb="9" eb="11">
      <t>シモサワ</t>
    </rPh>
    <rPh sb="11" eb="12">
      <t>トオ</t>
    </rPh>
    <phoneticPr fontId="1"/>
  </si>
  <si>
    <t>47.1㎞</t>
    <phoneticPr fontId="1"/>
  </si>
  <si>
    <t>652-0047</t>
    <phoneticPr fontId="1"/>
  </si>
  <si>
    <t>080-1435-9621</t>
    <phoneticPr fontId="1"/>
  </si>
  <si>
    <t>元ファイン従業員、永間様ご紹介</t>
    <rPh sb="0" eb="1">
      <t>モト</t>
    </rPh>
    <rPh sb="5" eb="8">
      <t>ジュウギョウイン</t>
    </rPh>
    <rPh sb="9" eb="10">
      <t>ナガ</t>
    </rPh>
    <rPh sb="10" eb="11">
      <t>アイダ</t>
    </rPh>
    <rPh sb="11" eb="12">
      <t>サマ</t>
    </rPh>
    <rPh sb="13" eb="15">
      <t>ショウカイ</t>
    </rPh>
    <phoneticPr fontId="1"/>
  </si>
  <si>
    <t>永間　裕介</t>
    <rPh sb="0" eb="1">
      <t>ナガ</t>
    </rPh>
    <rPh sb="1" eb="2">
      <t>マ</t>
    </rPh>
    <rPh sb="3" eb="5">
      <t>ユウスケ</t>
    </rPh>
    <phoneticPr fontId="1"/>
  </si>
  <si>
    <t>651-0077</t>
    <phoneticPr fontId="1"/>
  </si>
  <si>
    <t>兵庫県神戸市中央区日暮通6-4-10</t>
    <rPh sb="0" eb="3">
      <t>ヒョウゴケン</t>
    </rPh>
    <rPh sb="3" eb="6">
      <t>コウベシ</t>
    </rPh>
    <rPh sb="6" eb="9">
      <t>チュウオウク</t>
    </rPh>
    <phoneticPr fontId="1"/>
  </si>
  <si>
    <t>37.5㎞</t>
    <phoneticPr fontId="1"/>
  </si>
  <si>
    <t>080-7961-4374</t>
    <phoneticPr fontId="1"/>
  </si>
  <si>
    <t>元ファイン従業員</t>
    <rPh sb="0" eb="1">
      <t>モト</t>
    </rPh>
    <rPh sb="5" eb="8">
      <t>ジュウギョウイン</t>
    </rPh>
    <phoneticPr fontId="1"/>
  </si>
  <si>
    <t>佐藤　靖之</t>
    <rPh sb="0" eb="2">
      <t>サトウ</t>
    </rPh>
    <rPh sb="3" eb="4">
      <t>ヤス</t>
    </rPh>
    <rPh sb="4" eb="5">
      <t>ユキ</t>
    </rPh>
    <phoneticPr fontId="1"/>
  </si>
  <si>
    <t>665-0867</t>
    <phoneticPr fontId="1"/>
  </si>
  <si>
    <t>兵庫県宝塚市売布東の町3-1-408</t>
    <rPh sb="3" eb="6">
      <t>タカラヅカシ</t>
    </rPh>
    <rPh sb="6" eb="8">
      <t>メフ</t>
    </rPh>
    <rPh sb="8" eb="9">
      <t>ヒガシ</t>
    </rPh>
    <rPh sb="10" eb="11">
      <t>マチ</t>
    </rPh>
    <phoneticPr fontId="1"/>
  </si>
  <si>
    <t>090-6674-9944</t>
    <phoneticPr fontId="1"/>
  </si>
  <si>
    <t>アンケート　TVCM見てご来店</t>
    <rPh sb="10" eb="11">
      <t>ミ</t>
    </rPh>
    <rPh sb="13" eb="15">
      <t>ライテン</t>
    </rPh>
    <phoneticPr fontId="1"/>
  </si>
  <si>
    <t>西川　康雄</t>
    <rPh sb="0" eb="2">
      <t>ニシカワ</t>
    </rPh>
    <rPh sb="3" eb="5">
      <t>ヤスオ</t>
    </rPh>
    <phoneticPr fontId="1"/>
  </si>
  <si>
    <t>565-0824</t>
    <phoneticPr fontId="1"/>
  </si>
  <si>
    <t>大阪府吹田市山田西3-43-4</t>
    <rPh sb="0" eb="3">
      <t>オオサカフ</t>
    </rPh>
    <rPh sb="3" eb="6">
      <t>スイタシ</t>
    </rPh>
    <rPh sb="6" eb="8">
      <t>ヤマダ</t>
    </rPh>
    <rPh sb="8" eb="9">
      <t>ニシ</t>
    </rPh>
    <phoneticPr fontId="1"/>
  </si>
  <si>
    <t>14㎞</t>
    <phoneticPr fontId="1"/>
  </si>
  <si>
    <t>090-3354-7444</t>
    <phoneticPr fontId="1"/>
  </si>
  <si>
    <t>土山　珠季</t>
    <rPh sb="0" eb="2">
      <t>ツチヤマ</t>
    </rPh>
    <rPh sb="3" eb="4">
      <t>タマ</t>
    </rPh>
    <rPh sb="4" eb="5">
      <t>キ</t>
    </rPh>
    <phoneticPr fontId="1"/>
  </si>
  <si>
    <t>2020/3/25来店済</t>
    <rPh sb="9" eb="11">
      <t>ライテン</t>
    </rPh>
    <rPh sb="11" eb="12">
      <t>スミ</t>
    </rPh>
    <phoneticPr fontId="1"/>
  </si>
  <si>
    <t>松山　達泳</t>
    <rPh sb="0" eb="2">
      <t>マツヤマ</t>
    </rPh>
    <rPh sb="3" eb="4">
      <t>タツ</t>
    </rPh>
    <rPh sb="4" eb="5">
      <t>エイ</t>
    </rPh>
    <phoneticPr fontId="1"/>
  </si>
  <si>
    <t>大阪府吹田市佐竹台1-3-6</t>
    <rPh sb="0" eb="3">
      <t>オオサカフ</t>
    </rPh>
    <rPh sb="3" eb="6">
      <t>スイタシ</t>
    </rPh>
    <rPh sb="6" eb="8">
      <t>サタケ</t>
    </rPh>
    <rPh sb="8" eb="9">
      <t>ダイ</t>
    </rPh>
    <phoneticPr fontId="1"/>
  </si>
  <si>
    <t>14.0㎞</t>
    <phoneticPr fontId="1"/>
  </si>
  <si>
    <t>090-3356-5502</t>
    <phoneticPr fontId="1"/>
  </si>
  <si>
    <t>藤井　宣行</t>
    <rPh sb="0" eb="2">
      <t>フジイ</t>
    </rPh>
    <rPh sb="3" eb="5">
      <t>ノブユキ</t>
    </rPh>
    <phoneticPr fontId="1"/>
  </si>
  <si>
    <t>兵庫県宝塚市仁川高丸3-4-17</t>
    <rPh sb="0" eb="3">
      <t>ヒョウゴケン</t>
    </rPh>
    <rPh sb="3" eb="6">
      <t>タカラヅカシ</t>
    </rPh>
    <rPh sb="6" eb="8">
      <t>ニガワ</t>
    </rPh>
    <rPh sb="8" eb="10">
      <t>タカマル</t>
    </rPh>
    <phoneticPr fontId="1"/>
  </si>
  <si>
    <t>665-0063</t>
    <phoneticPr fontId="1"/>
  </si>
  <si>
    <t>090-2215-7277</t>
    <phoneticPr fontId="1"/>
  </si>
  <si>
    <t>金崎　光治</t>
    <rPh sb="0" eb="2">
      <t>カナザキ</t>
    </rPh>
    <rPh sb="3" eb="4">
      <t>ヒカリ</t>
    </rPh>
    <rPh sb="4" eb="5">
      <t>ジ</t>
    </rPh>
    <phoneticPr fontId="1"/>
  </si>
  <si>
    <t>増岡　敬子</t>
    <rPh sb="0" eb="2">
      <t>マスオカ</t>
    </rPh>
    <rPh sb="3" eb="5">
      <t>ケイコ</t>
    </rPh>
    <phoneticPr fontId="1"/>
  </si>
  <si>
    <t>兵庫県神戸市東灘区御影山手4-24-36</t>
    <rPh sb="0" eb="3">
      <t>ヒョウゴケン</t>
    </rPh>
    <rPh sb="3" eb="6">
      <t>コウベシ</t>
    </rPh>
    <rPh sb="6" eb="7">
      <t>ヒガシ</t>
    </rPh>
    <rPh sb="7" eb="9">
      <t>ナダク</t>
    </rPh>
    <rPh sb="9" eb="13">
      <t>ミカゲヤマテ</t>
    </rPh>
    <phoneticPr fontId="1"/>
  </si>
  <si>
    <t>090-1157-4803</t>
    <phoneticPr fontId="1"/>
  </si>
  <si>
    <t>山田　雅大</t>
    <rPh sb="0" eb="2">
      <t>ヤマダ</t>
    </rPh>
    <rPh sb="3" eb="5">
      <t>マサダイ</t>
    </rPh>
    <phoneticPr fontId="1"/>
  </si>
  <si>
    <t>兵庫県宝塚市山本南1-34-45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</si>
  <si>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210ｍ</t>
    <phoneticPr fontId="1"/>
  </si>
  <si>
    <t>090-5139-7241</t>
    <phoneticPr fontId="1"/>
  </si>
  <si>
    <t>貝田　由章</t>
    <rPh sb="0" eb="2">
      <t>カイダ</t>
    </rPh>
    <rPh sb="3" eb="5">
      <t>ヨシアキ</t>
    </rPh>
    <phoneticPr fontId="1"/>
  </si>
  <si>
    <t>665-0005</t>
    <phoneticPr fontId="1"/>
  </si>
  <si>
    <t>兵庫県宝塚市武庫山1-14-8</t>
    <rPh sb="0" eb="3">
      <t>ヒョウゴケン</t>
    </rPh>
    <rPh sb="3" eb="6">
      <t>タカラヅカシ</t>
    </rPh>
    <phoneticPr fontId="1"/>
  </si>
  <si>
    <t>090-6679-3076</t>
    <phoneticPr fontId="1"/>
  </si>
  <si>
    <t>山縣　栄治</t>
    <rPh sb="0" eb="2">
      <t>ヤマガタ</t>
    </rPh>
    <rPh sb="3" eb="5">
      <t>エイジ</t>
    </rPh>
    <phoneticPr fontId="1"/>
  </si>
  <si>
    <t>657-0835</t>
    <phoneticPr fontId="1"/>
  </si>
  <si>
    <t>兵庫県神戸市灘区灘北通4-4-12</t>
    <rPh sb="0" eb="3">
      <t>ヒョウゴケン</t>
    </rPh>
    <rPh sb="3" eb="5">
      <t>コウベ</t>
    </rPh>
    <rPh sb="5" eb="6">
      <t>シ</t>
    </rPh>
    <rPh sb="6" eb="7">
      <t>ナダ</t>
    </rPh>
    <rPh sb="7" eb="8">
      <t>ク</t>
    </rPh>
    <rPh sb="8" eb="9">
      <t>ナダ</t>
    </rPh>
    <rPh sb="9" eb="10">
      <t>キタ</t>
    </rPh>
    <rPh sb="10" eb="11">
      <t>ドオリ</t>
    </rPh>
    <phoneticPr fontId="1"/>
  </si>
  <si>
    <t>34.5㎞</t>
    <phoneticPr fontId="1"/>
  </si>
  <si>
    <t>090-6550-7641</t>
    <phoneticPr fontId="1"/>
  </si>
  <si>
    <t>林　義典</t>
    <rPh sb="0" eb="1">
      <t>ハヤシ</t>
    </rPh>
    <rPh sb="2" eb="4">
      <t>ヨシノリ</t>
    </rPh>
    <phoneticPr fontId="1"/>
  </si>
  <si>
    <t>770-8012</t>
    <phoneticPr fontId="1"/>
  </si>
  <si>
    <t>徳島市大原町長尾38-40</t>
    <rPh sb="0" eb="3">
      <t>トクシマシ</t>
    </rPh>
    <rPh sb="3" eb="5">
      <t>オオハラ</t>
    </rPh>
    <rPh sb="5" eb="6">
      <t>チョウ</t>
    </rPh>
    <rPh sb="6" eb="8">
      <t>ナガオ</t>
    </rPh>
    <phoneticPr fontId="1"/>
  </si>
  <si>
    <t>090-4332-3000</t>
    <phoneticPr fontId="1"/>
  </si>
  <si>
    <t>yossy@pikana.ne.jp</t>
    <phoneticPr fontId="1"/>
  </si>
  <si>
    <t>小谷　伸</t>
    <rPh sb="0" eb="2">
      <t>コタニ</t>
    </rPh>
    <rPh sb="3" eb="4">
      <t>ノボル</t>
    </rPh>
    <phoneticPr fontId="1"/>
  </si>
  <si>
    <t>ビジター(3回目）¥5500　試打3本¥2200</t>
    <rPh sb="6" eb="7">
      <t>カイ</t>
    </rPh>
    <rPh sb="7" eb="8">
      <t>メ</t>
    </rPh>
    <rPh sb="15" eb="17">
      <t>シダ</t>
    </rPh>
    <rPh sb="18" eb="19">
      <t>ボン</t>
    </rPh>
    <phoneticPr fontId="1"/>
  </si>
  <si>
    <t>山口　和久</t>
    <rPh sb="0" eb="2">
      <t>ヤマグチ</t>
    </rPh>
    <rPh sb="3" eb="5">
      <t>カズヒサ</t>
    </rPh>
    <phoneticPr fontId="1"/>
  </si>
  <si>
    <t>大阪府阪南市尾崎町5-36-16</t>
    <rPh sb="0" eb="3">
      <t>オオサカフ</t>
    </rPh>
    <rPh sb="3" eb="6">
      <t>ハンナンシ</t>
    </rPh>
    <rPh sb="6" eb="9">
      <t>オザキチョウ</t>
    </rPh>
    <phoneticPr fontId="1"/>
  </si>
  <si>
    <t>73.1㎞</t>
    <phoneticPr fontId="1"/>
  </si>
  <si>
    <t>599-0201</t>
    <phoneticPr fontId="1"/>
  </si>
  <si>
    <t>090-7488-9109</t>
    <phoneticPr fontId="1"/>
  </si>
  <si>
    <t>石川　正樹</t>
    <rPh sb="0" eb="2">
      <t>イシカワ</t>
    </rPh>
    <rPh sb="3" eb="5">
      <t>マサキ</t>
    </rPh>
    <phoneticPr fontId="1"/>
  </si>
  <si>
    <t>兵庫県川辺郡猪名川町若葉1-137-89</t>
    <rPh sb="0" eb="3">
      <t>ヒョウゴケン</t>
    </rPh>
    <rPh sb="3" eb="6">
      <t>カワベグン</t>
    </rPh>
    <rPh sb="6" eb="9">
      <t>イナガワ</t>
    </rPh>
    <rPh sb="9" eb="10">
      <t>チョウ</t>
    </rPh>
    <rPh sb="10" eb="12">
      <t>ワカバ</t>
    </rPh>
    <phoneticPr fontId="1"/>
  </si>
  <si>
    <t>090-5881-6385</t>
    <phoneticPr fontId="1"/>
  </si>
  <si>
    <t>小笠原　邦子</t>
    <rPh sb="0" eb="3">
      <t>オガサワラ</t>
    </rPh>
    <rPh sb="4" eb="6">
      <t>クニコ</t>
    </rPh>
    <phoneticPr fontId="1"/>
  </si>
  <si>
    <t>562-0032</t>
    <phoneticPr fontId="1"/>
  </si>
  <si>
    <t>大阪府箕面市船場西1丁目10-8-305</t>
    <rPh sb="0" eb="3">
      <t>オオサカフ</t>
    </rPh>
    <rPh sb="3" eb="6">
      <t>ミノオシ</t>
    </rPh>
    <rPh sb="6" eb="9">
      <t>センバニシ</t>
    </rPh>
    <rPh sb="10" eb="12">
      <t>チョウメ</t>
    </rPh>
    <phoneticPr fontId="1"/>
  </si>
  <si>
    <t>10.5㎞</t>
    <phoneticPr fontId="1"/>
  </si>
  <si>
    <t>090-7365-9551</t>
    <phoneticPr fontId="1"/>
  </si>
  <si>
    <t>パーソナルレッスン</t>
    <phoneticPr fontId="1"/>
  </si>
  <si>
    <t>山口　幸子</t>
    <rPh sb="0" eb="2">
      <t>ヤマグチ</t>
    </rPh>
    <rPh sb="3" eb="5">
      <t>サチコ</t>
    </rPh>
    <phoneticPr fontId="1"/>
  </si>
  <si>
    <t>567-0032</t>
    <phoneticPr fontId="1"/>
  </si>
  <si>
    <t>大阪府茨木市西駅前町5-5-801</t>
    <rPh sb="0" eb="3">
      <t>オオサカフ</t>
    </rPh>
    <rPh sb="3" eb="6">
      <t>イバラキシ</t>
    </rPh>
    <rPh sb="6" eb="10">
      <t>ニシエキマエチョウ</t>
    </rPh>
    <phoneticPr fontId="1"/>
  </si>
  <si>
    <t>25.8㎞</t>
    <phoneticPr fontId="1"/>
  </si>
  <si>
    <t>090-3354-8519</t>
    <phoneticPr fontId="1"/>
  </si>
  <si>
    <t>ゴルフランドさんのご紹介？</t>
    <rPh sb="10" eb="12">
      <t>ショウカイ</t>
    </rPh>
    <phoneticPr fontId="1"/>
  </si>
  <si>
    <t>牧野　佑司</t>
    <rPh sb="0" eb="2">
      <t>マキノ</t>
    </rPh>
    <rPh sb="3" eb="5">
      <t>ユウジ</t>
    </rPh>
    <phoneticPr fontId="1"/>
  </si>
  <si>
    <t>669-1528</t>
    <phoneticPr fontId="1"/>
  </si>
  <si>
    <t>兵庫県三田市駅前町6-10-902</t>
    <rPh sb="0" eb="3">
      <t>ヒョウゴケン</t>
    </rPh>
    <rPh sb="3" eb="6">
      <t>サンダシ</t>
    </rPh>
    <rPh sb="6" eb="9">
      <t>エキマエチョウ</t>
    </rPh>
    <phoneticPr fontId="1"/>
  </si>
  <si>
    <t>26.8㎞</t>
    <phoneticPr fontId="1"/>
  </si>
  <si>
    <t>090-1582-5074</t>
    <phoneticPr fontId="1"/>
  </si>
  <si>
    <t>塚本　晴樹</t>
    <rPh sb="0" eb="2">
      <t>ツカモト</t>
    </rPh>
    <rPh sb="3" eb="5">
      <t>ハルキ</t>
    </rPh>
    <phoneticPr fontId="1"/>
  </si>
  <si>
    <t>665-0035</t>
    <phoneticPr fontId="1"/>
  </si>
  <si>
    <t>兵庫県神戸市垂水区五色山4-20-5</t>
    <rPh sb="0" eb="3">
      <t>ヒョウゴケン</t>
    </rPh>
    <rPh sb="3" eb="5">
      <t>コウベ</t>
    </rPh>
    <rPh sb="5" eb="6">
      <t>シ</t>
    </rPh>
    <rPh sb="6" eb="8">
      <t>タルミ</t>
    </rPh>
    <rPh sb="8" eb="9">
      <t>ク</t>
    </rPh>
    <rPh sb="9" eb="11">
      <t>ゴシキ</t>
    </rPh>
    <rPh sb="11" eb="12">
      <t>ヤマ</t>
    </rPh>
    <phoneticPr fontId="1"/>
  </si>
  <si>
    <t>50.9㎞</t>
    <phoneticPr fontId="1"/>
  </si>
  <si>
    <t>090-2113-5146</t>
    <phoneticPr fontId="1"/>
  </si>
  <si>
    <t>森　祐紀</t>
    <rPh sb="0" eb="1">
      <t>モリ</t>
    </rPh>
    <rPh sb="2" eb="3">
      <t>ユウ</t>
    </rPh>
    <rPh sb="3" eb="4">
      <t>キ</t>
    </rPh>
    <phoneticPr fontId="1"/>
  </si>
  <si>
    <t>兵庫県小野市神明町674ローズガーデン3-302</t>
    <rPh sb="0" eb="3">
      <t>ヒョウゴケン</t>
    </rPh>
    <rPh sb="3" eb="6">
      <t>オノシ</t>
    </rPh>
    <rPh sb="6" eb="7">
      <t>カミ</t>
    </rPh>
    <rPh sb="7" eb="8">
      <t>メイ</t>
    </rPh>
    <rPh sb="8" eb="9">
      <t>チョウ</t>
    </rPh>
    <phoneticPr fontId="1"/>
  </si>
  <si>
    <t>51.8㎞</t>
    <phoneticPr fontId="1"/>
  </si>
  <si>
    <t>080-6144-6167</t>
    <phoneticPr fontId="1"/>
  </si>
  <si>
    <t>PGAプロ　榎本紹介</t>
    <rPh sb="6" eb="8">
      <t>エノモト</t>
    </rPh>
    <rPh sb="8" eb="10">
      <t>ショウカイ</t>
    </rPh>
    <phoneticPr fontId="1"/>
  </si>
  <si>
    <t>仁科　悦子</t>
    <rPh sb="0" eb="2">
      <t>ニシナ</t>
    </rPh>
    <rPh sb="3" eb="5">
      <t>エツコ</t>
    </rPh>
    <phoneticPr fontId="1"/>
  </si>
  <si>
    <t>662-0062</t>
    <phoneticPr fontId="1"/>
  </si>
  <si>
    <t>西宮市木津山町2-15</t>
    <rPh sb="0" eb="3">
      <t>ニシノミヤシ</t>
    </rPh>
    <rPh sb="3" eb="6">
      <t>キヅヤマ</t>
    </rPh>
    <rPh sb="6" eb="7">
      <t>チョウ</t>
    </rPh>
    <phoneticPr fontId="1"/>
  </si>
  <si>
    <t>13.9㎞</t>
    <phoneticPr fontId="1"/>
  </si>
  <si>
    <t>090-5161-6705</t>
    <phoneticPr fontId="1"/>
  </si>
  <si>
    <t>フルフィッティング　志野さん知人　¥5000オフ</t>
    <rPh sb="10" eb="12">
      <t>シノ</t>
    </rPh>
    <rPh sb="14" eb="16">
      <t>チジン</t>
    </rPh>
    <phoneticPr fontId="1"/>
  </si>
  <si>
    <t>安慶名　俊彦</t>
    <rPh sb="0" eb="3">
      <t>アケナ</t>
    </rPh>
    <rPh sb="4" eb="6">
      <t>トシヒコ</t>
    </rPh>
    <phoneticPr fontId="1"/>
  </si>
  <si>
    <t>586-0093</t>
    <phoneticPr fontId="1"/>
  </si>
  <si>
    <t>大阪府河内長野市荘園町38-9</t>
    <rPh sb="0" eb="3">
      <t>オオサカフ</t>
    </rPh>
    <rPh sb="3" eb="4">
      <t>カワ</t>
    </rPh>
    <rPh sb="4" eb="5">
      <t>ウチ</t>
    </rPh>
    <rPh sb="5" eb="7">
      <t>ナガノ</t>
    </rPh>
    <rPh sb="7" eb="8">
      <t>シ</t>
    </rPh>
    <rPh sb="8" eb="9">
      <t>ソウ</t>
    </rPh>
    <rPh sb="9" eb="10">
      <t>エン</t>
    </rPh>
    <rPh sb="10" eb="11">
      <t>チョウ</t>
    </rPh>
    <phoneticPr fontId="1"/>
  </si>
  <si>
    <t>090-1445-6067</t>
    <phoneticPr fontId="1"/>
  </si>
  <si>
    <t>58.5㎞</t>
    <phoneticPr fontId="1"/>
  </si>
  <si>
    <t>会員葛井様ご紹介</t>
    <rPh sb="0" eb="2">
      <t>カイイン</t>
    </rPh>
    <rPh sb="2" eb="4">
      <t>カツイ</t>
    </rPh>
    <rPh sb="4" eb="5">
      <t>サマ</t>
    </rPh>
    <rPh sb="6" eb="8">
      <t>ショウカイ</t>
    </rPh>
    <phoneticPr fontId="1"/>
  </si>
  <si>
    <t>2021.3.6 フィッティング来店済</t>
    <rPh sb="16" eb="18">
      <t>ライテン</t>
    </rPh>
    <rPh sb="18" eb="19">
      <t>スミ</t>
    </rPh>
    <phoneticPr fontId="1"/>
  </si>
  <si>
    <t>34.4㎞</t>
    <phoneticPr fontId="1"/>
  </si>
  <si>
    <t>松田　隆宏</t>
    <rPh sb="0" eb="2">
      <t>マツダ</t>
    </rPh>
    <rPh sb="3" eb="4">
      <t>タカシ</t>
    </rPh>
    <rPh sb="4" eb="5">
      <t>ヒロ</t>
    </rPh>
    <phoneticPr fontId="1"/>
  </si>
  <si>
    <t>658-0063</t>
    <phoneticPr fontId="1"/>
  </si>
  <si>
    <t>石賀　謙一</t>
    <rPh sb="0" eb="2">
      <t>イシガ</t>
    </rPh>
    <rPh sb="3" eb="5">
      <t>ケンイチ</t>
    </rPh>
    <phoneticPr fontId="1"/>
  </si>
  <si>
    <t>宝塚市山本中2-7-11-204</t>
    <rPh sb="0" eb="3">
      <t>タカラヅカシ</t>
    </rPh>
    <rPh sb="3" eb="5">
      <t>ヤマモト</t>
    </rPh>
    <rPh sb="5" eb="6">
      <t>ナカ</t>
    </rPh>
    <phoneticPr fontId="1"/>
  </si>
  <si>
    <t>090-5641-1777</t>
    <phoneticPr fontId="1"/>
  </si>
  <si>
    <t>1.4㎞</t>
    <phoneticPr fontId="1"/>
  </si>
  <si>
    <t>田渕　美紀</t>
    <rPh sb="0" eb="2">
      <t>タブチ</t>
    </rPh>
    <rPh sb="3" eb="5">
      <t>ミキ</t>
    </rPh>
    <phoneticPr fontId="1"/>
  </si>
  <si>
    <t>664-0024</t>
    <phoneticPr fontId="1"/>
  </si>
  <si>
    <t>兵庫県伊丹市松ヶ丘4-54-2F</t>
    <rPh sb="0" eb="3">
      <t>ヒョウゴケン</t>
    </rPh>
    <rPh sb="3" eb="6">
      <t>イタミシ</t>
    </rPh>
    <rPh sb="6" eb="9">
      <t>マツガオカ</t>
    </rPh>
    <phoneticPr fontId="1"/>
  </si>
  <si>
    <t>080-1490-5266</t>
    <phoneticPr fontId="1"/>
  </si>
  <si>
    <t>会員田渕一様　奥様</t>
    <rPh sb="0" eb="2">
      <t>カイイン</t>
    </rPh>
    <rPh sb="2" eb="4">
      <t>タブチ</t>
    </rPh>
    <rPh sb="4" eb="5">
      <t>ハジメ</t>
    </rPh>
    <rPh sb="5" eb="6">
      <t>サマ</t>
    </rPh>
    <rPh sb="7" eb="9">
      <t>オクサマ</t>
    </rPh>
    <phoneticPr fontId="1"/>
  </si>
  <si>
    <t>北井　雄大</t>
    <rPh sb="0" eb="2">
      <t>キタイ</t>
    </rPh>
    <rPh sb="3" eb="5">
      <t>ユウダイ</t>
    </rPh>
    <phoneticPr fontId="1"/>
  </si>
  <si>
    <t>葛井様ご紹介　¥5000オフ</t>
    <rPh sb="0" eb="2">
      <t>カツイ</t>
    </rPh>
    <rPh sb="2" eb="3">
      <t>サマ</t>
    </rPh>
    <rPh sb="4" eb="6">
      <t>ショウカイ</t>
    </rPh>
    <phoneticPr fontId="1"/>
  </si>
  <si>
    <t>横山　元是</t>
    <rPh sb="0" eb="2">
      <t>ヨコヤマ</t>
    </rPh>
    <rPh sb="3" eb="4">
      <t>モト</t>
    </rPh>
    <rPh sb="4" eb="5">
      <t>ゼ</t>
    </rPh>
    <phoneticPr fontId="1"/>
  </si>
  <si>
    <t>564-0052</t>
    <phoneticPr fontId="1"/>
  </si>
  <si>
    <t>大阪府吹田市広芝町10-14-1005</t>
    <rPh sb="0" eb="3">
      <t>オオサカフ</t>
    </rPh>
    <rPh sb="3" eb="6">
      <t>スイタシ</t>
    </rPh>
    <rPh sb="6" eb="8">
      <t>ヒロシバ</t>
    </rPh>
    <rPh sb="8" eb="9">
      <t>チョウ</t>
    </rPh>
    <phoneticPr fontId="1"/>
  </si>
  <si>
    <t>14.2㎞</t>
    <phoneticPr fontId="1"/>
  </si>
  <si>
    <t>080-5615-3056</t>
    <phoneticPr fontId="1"/>
  </si>
  <si>
    <t>4/11ﾌｨｯﾃｨﾝｸﾞ来店の松田様ご友人</t>
    <rPh sb="12" eb="14">
      <t>ライテン</t>
    </rPh>
    <rPh sb="15" eb="17">
      <t>マツダ</t>
    </rPh>
    <rPh sb="17" eb="18">
      <t>サマ</t>
    </rPh>
    <rPh sb="19" eb="21">
      <t>ユウジン</t>
    </rPh>
    <phoneticPr fontId="1"/>
  </si>
  <si>
    <t>井関　裕一郎</t>
    <rPh sb="0" eb="2">
      <t>イセキ</t>
    </rPh>
    <rPh sb="3" eb="6">
      <t>ユウイチロウ</t>
    </rPh>
    <phoneticPr fontId="1"/>
  </si>
  <si>
    <t>665-0003</t>
    <phoneticPr fontId="1"/>
  </si>
  <si>
    <t>兵庫県宝塚市湯本町9-5-708</t>
    <rPh sb="0" eb="3">
      <t>ヒョウゴケン</t>
    </rPh>
    <rPh sb="3" eb="6">
      <t>タカラヅカシ</t>
    </rPh>
    <rPh sb="6" eb="8">
      <t>ユモト</t>
    </rPh>
    <rPh sb="8" eb="9">
      <t>チョウ</t>
    </rPh>
    <phoneticPr fontId="1"/>
  </si>
  <si>
    <t>090-2116-4074</t>
    <phoneticPr fontId="1"/>
  </si>
  <si>
    <t>アンケート+試打3本</t>
    <rPh sb="6" eb="8">
      <t>シダ</t>
    </rPh>
    <rPh sb="9" eb="10">
      <t>ホン</t>
    </rPh>
    <phoneticPr fontId="1"/>
  </si>
  <si>
    <t>頭司　麻紀子</t>
    <rPh sb="0" eb="2">
      <t>ズシ</t>
    </rPh>
    <rPh sb="3" eb="4">
      <t>マ</t>
    </rPh>
    <rPh sb="4" eb="5">
      <t>キ</t>
    </rPh>
    <rPh sb="5" eb="6">
      <t>コ</t>
    </rPh>
    <phoneticPr fontId="1"/>
  </si>
  <si>
    <t>090-1910-7534</t>
    <phoneticPr fontId="1"/>
  </si>
  <si>
    <t>会員頭司様の奥様</t>
    <rPh sb="0" eb="2">
      <t>カイイン</t>
    </rPh>
    <rPh sb="2" eb="4">
      <t>ズシ</t>
    </rPh>
    <rPh sb="4" eb="5">
      <t>サマ</t>
    </rPh>
    <rPh sb="6" eb="8">
      <t>オクサマ</t>
    </rPh>
    <phoneticPr fontId="1"/>
  </si>
  <si>
    <t>090-1599-7481</t>
    <phoneticPr fontId="1"/>
  </si>
  <si>
    <t>080-6175-7589</t>
    <phoneticPr fontId="1"/>
  </si>
  <si>
    <t>675-1331</t>
    <phoneticPr fontId="1"/>
  </si>
  <si>
    <t>北川 修</t>
    <rPh sb="0" eb="2">
      <t>キタガワ</t>
    </rPh>
    <rPh sb="3" eb="4">
      <t>オサム</t>
    </rPh>
    <phoneticPr fontId="1"/>
  </si>
  <si>
    <t>兵庫県伊丹市荒牧2-4-18</t>
    <rPh sb="0" eb="3">
      <t>ヒョウゴケン</t>
    </rPh>
    <rPh sb="3" eb="6">
      <t>イタミシ</t>
    </rPh>
    <rPh sb="6" eb="8">
      <t>アラマキ</t>
    </rPh>
    <phoneticPr fontId="1"/>
  </si>
  <si>
    <t>芝野　和弘</t>
    <rPh sb="0" eb="2">
      <t>シバノ</t>
    </rPh>
    <rPh sb="3" eb="4">
      <t>カズ</t>
    </rPh>
    <rPh sb="4" eb="5">
      <t>ヒロ</t>
    </rPh>
    <phoneticPr fontId="1"/>
  </si>
  <si>
    <t>兵庫県宝塚市中山五月台2-3-2</t>
    <rPh sb="0" eb="3">
      <t>ヒョウゴケン</t>
    </rPh>
    <rPh sb="3" eb="6">
      <t>タカラヅカシ</t>
    </rPh>
    <rPh sb="6" eb="8">
      <t>ナカヤマ</t>
    </rPh>
    <rPh sb="8" eb="11">
      <t>サツキダイ</t>
    </rPh>
    <phoneticPr fontId="1"/>
  </si>
  <si>
    <t>隼田　好敏</t>
    <rPh sb="0" eb="2">
      <t>ハヤタ</t>
    </rPh>
    <rPh sb="3" eb="4">
      <t>ヨシ</t>
    </rPh>
    <rPh sb="4" eb="5">
      <t>トシ</t>
    </rPh>
    <phoneticPr fontId="1"/>
  </si>
  <si>
    <t>兵庫県宝塚市仁川台639-5</t>
    <rPh sb="0" eb="3">
      <t>ヒョウゴケン</t>
    </rPh>
    <rPh sb="3" eb="6">
      <t>タカラヅカシ</t>
    </rPh>
    <rPh sb="6" eb="8">
      <t>ニガワ</t>
    </rPh>
    <rPh sb="8" eb="9">
      <t>ダイ</t>
    </rPh>
    <phoneticPr fontId="1"/>
  </si>
  <si>
    <t>3.7㎞</t>
    <phoneticPr fontId="1"/>
  </si>
  <si>
    <t>7.7㎞</t>
    <phoneticPr fontId="1"/>
  </si>
  <si>
    <t>0798-54-0393</t>
    <phoneticPr fontId="1"/>
  </si>
  <si>
    <t>綿引　秀憲</t>
    <rPh sb="0" eb="2">
      <t>ワタビキ</t>
    </rPh>
    <rPh sb="3" eb="4">
      <t>ヒデ</t>
    </rPh>
    <rPh sb="4" eb="5">
      <t>ノリ</t>
    </rPh>
    <phoneticPr fontId="1"/>
  </si>
  <si>
    <t>新宝オーナー　¥3000対応</t>
    <rPh sb="0" eb="1">
      <t>シン</t>
    </rPh>
    <rPh sb="1" eb="2">
      <t>タカラ</t>
    </rPh>
    <rPh sb="12" eb="14">
      <t>タイオウ</t>
    </rPh>
    <phoneticPr fontId="1"/>
  </si>
  <si>
    <t>田中　正治</t>
    <rPh sb="0" eb="2">
      <t>タナカ</t>
    </rPh>
    <rPh sb="3" eb="5">
      <t>マサハル</t>
    </rPh>
    <phoneticPr fontId="1"/>
  </si>
  <si>
    <t>神戸市北区藤原台中町7-8-2</t>
    <rPh sb="0" eb="3">
      <t>コウベシ</t>
    </rPh>
    <rPh sb="3" eb="5">
      <t>キタク</t>
    </rPh>
    <phoneticPr fontId="1"/>
  </si>
  <si>
    <t>078-984-326</t>
    <phoneticPr fontId="1"/>
  </si>
  <si>
    <t>oitoso@gmail.com</t>
    <phoneticPr fontId="1"/>
  </si>
  <si>
    <t>加藤　時彦</t>
    <rPh sb="0" eb="2">
      <t>カトウ</t>
    </rPh>
    <rPh sb="3" eb="5">
      <t>トキヒコ</t>
    </rPh>
    <phoneticPr fontId="1"/>
  </si>
  <si>
    <t>652-0046</t>
    <phoneticPr fontId="1"/>
  </si>
  <si>
    <t>兵庫県神戸市兵庫区上沢通4-1-17-203</t>
    <rPh sb="0" eb="3">
      <t>ヒョウゴケン</t>
    </rPh>
    <rPh sb="3" eb="6">
      <t>コウベシ</t>
    </rPh>
    <rPh sb="6" eb="9">
      <t>ヒョウゴク</t>
    </rPh>
    <rPh sb="9" eb="11">
      <t>カミザワ</t>
    </rPh>
    <rPh sb="11" eb="12">
      <t>ドオリ</t>
    </rPh>
    <phoneticPr fontId="1"/>
  </si>
  <si>
    <t>41.8㎞</t>
    <phoneticPr fontId="1"/>
  </si>
  <si>
    <t>at.lite.kata@gmail.com</t>
    <phoneticPr fontId="1"/>
  </si>
  <si>
    <t>080-5339-1791</t>
    <phoneticPr fontId="1"/>
  </si>
  <si>
    <t>会員の三野宮様の紹介</t>
    <rPh sb="0" eb="2">
      <t>カイイン</t>
    </rPh>
    <rPh sb="3" eb="6">
      <t>サンノミヤ</t>
    </rPh>
    <rPh sb="6" eb="7">
      <t>サマ</t>
    </rPh>
    <rPh sb="8" eb="10">
      <t>ショウカイ</t>
    </rPh>
    <phoneticPr fontId="1"/>
  </si>
  <si>
    <t>庄村　絹代</t>
    <rPh sb="0" eb="2">
      <t>ショウムラ</t>
    </rPh>
    <rPh sb="3" eb="5">
      <t>キヌヨ</t>
    </rPh>
    <phoneticPr fontId="1"/>
  </si>
  <si>
    <t>庄村　綾</t>
    <rPh sb="0" eb="2">
      <t>ショウムラ</t>
    </rPh>
    <rPh sb="3" eb="4">
      <t>アヤ</t>
    </rPh>
    <phoneticPr fontId="1"/>
  </si>
  <si>
    <t>662-0011</t>
    <phoneticPr fontId="1"/>
  </si>
  <si>
    <t>662-0001</t>
    <phoneticPr fontId="1"/>
  </si>
  <si>
    <t>兵庫県西宮市甲陽園目神山18-19</t>
    <rPh sb="0" eb="3">
      <t>ヒョウゴケン</t>
    </rPh>
    <rPh sb="3" eb="6">
      <t>ニシノミヤシ</t>
    </rPh>
    <rPh sb="6" eb="9">
      <t>コウヨウエン</t>
    </rPh>
    <rPh sb="9" eb="10">
      <t>メ</t>
    </rPh>
    <rPh sb="10" eb="11">
      <t>カミ</t>
    </rPh>
    <rPh sb="11" eb="12">
      <t>ヤマ</t>
    </rPh>
    <phoneticPr fontId="1"/>
  </si>
  <si>
    <t>12.7㎞</t>
    <phoneticPr fontId="1"/>
  </si>
  <si>
    <t>0798-72-5523</t>
    <phoneticPr fontId="1"/>
  </si>
  <si>
    <t>山本大介様ご紹介</t>
    <rPh sb="0" eb="2">
      <t>ヤマモト</t>
    </rPh>
    <rPh sb="2" eb="4">
      <t>ダイスケ</t>
    </rPh>
    <rPh sb="4" eb="5">
      <t>サマ</t>
    </rPh>
    <rPh sb="6" eb="8">
      <t>ショウカイ</t>
    </rPh>
    <phoneticPr fontId="1"/>
  </si>
  <si>
    <t>豊川　尚司</t>
    <rPh sb="0" eb="2">
      <t>トヨカワ</t>
    </rPh>
    <rPh sb="3" eb="4">
      <t>ナオ</t>
    </rPh>
    <rPh sb="4" eb="5">
      <t>ツカサ</t>
    </rPh>
    <phoneticPr fontId="1"/>
  </si>
  <si>
    <t>19855/8</t>
    <phoneticPr fontId="1"/>
  </si>
  <si>
    <t>兵庫県宝塚市中筋山手4-13-12-101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</si>
  <si>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090-2198-2006</t>
    <phoneticPr fontId="1"/>
  </si>
  <si>
    <t>4/30ご予約の為旧料金でご案内</t>
    <rPh sb="5" eb="7">
      <t>ヨヤク</t>
    </rPh>
    <rPh sb="8" eb="9">
      <t>タメ</t>
    </rPh>
    <rPh sb="9" eb="12">
      <t>キュウリョウキン</t>
    </rPh>
    <rPh sb="14" eb="16">
      <t>アンナイ</t>
    </rPh>
    <phoneticPr fontId="1"/>
  </si>
  <si>
    <t>竹田　ゆうな</t>
    <rPh sb="0" eb="2">
      <t>タケダ</t>
    </rPh>
    <phoneticPr fontId="1"/>
  </si>
  <si>
    <t>宝塚市中山寺1-15-8</t>
    <rPh sb="0" eb="3">
      <t>タカラヅカシ</t>
    </rPh>
    <rPh sb="3" eb="6">
      <t>ナカヤマテラ</t>
    </rPh>
    <phoneticPr fontId="1"/>
  </si>
  <si>
    <t>090-1802-0389</t>
    <phoneticPr fontId="1"/>
  </si>
  <si>
    <t>会員北畠様のご息女（東京在住との事）</t>
    <rPh sb="0" eb="2">
      <t>カイイン</t>
    </rPh>
    <rPh sb="2" eb="4">
      <t>キタバタケ</t>
    </rPh>
    <rPh sb="4" eb="5">
      <t>サマ</t>
    </rPh>
    <rPh sb="7" eb="9">
      <t>ソクジョ</t>
    </rPh>
    <rPh sb="10" eb="12">
      <t>トウキョウ</t>
    </rPh>
    <rPh sb="12" eb="14">
      <t>ザイジュウ</t>
    </rPh>
    <rPh sb="16" eb="17">
      <t>コト</t>
    </rPh>
    <phoneticPr fontId="1"/>
  </si>
  <si>
    <t>魚崎　拓磨</t>
    <rPh sb="0" eb="2">
      <t>ウオザキ</t>
    </rPh>
    <rPh sb="3" eb="5">
      <t>タクマ</t>
    </rPh>
    <phoneticPr fontId="1"/>
  </si>
  <si>
    <t>654-0103</t>
    <phoneticPr fontId="1"/>
  </si>
  <si>
    <t>兵庫県神戸市須磨区白川台2丁目45-2-12-501</t>
    <rPh sb="0" eb="3">
      <t>ヒョウゴケン</t>
    </rPh>
    <rPh sb="3" eb="6">
      <t>コウベシ</t>
    </rPh>
    <rPh sb="6" eb="9">
      <t>スマク</t>
    </rPh>
    <rPh sb="9" eb="12">
      <t>シラカワダイ</t>
    </rPh>
    <rPh sb="13" eb="15">
      <t>チョウメ</t>
    </rPh>
    <phoneticPr fontId="1"/>
  </si>
  <si>
    <t>080-4767-2580</t>
    <phoneticPr fontId="1"/>
  </si>
  <si>
    <t>石橋　義己</t>
    <rPh sb="0" eb="2">
      <t>イシバシ</t>
    </rPh>
    <rPh sb="3" eb="4">
      <t>ヨシ</t>
    </rPh>
    <rPh sb="4" eb="5">
      <t>オノレ</t>
    </rPh>
    <phoneticPr fontId="1"/>
  </si>
  <si>
    <t>兵庫県宝塚市山手台西1-7-7</t>
    <rPh sb="0" eb="3">
      <t>ヒョウゴケン</t>
    </rPh>
    <rPh sb="3" eb="5">
      <t>タカラヅカ</t>
    </rPh>
    <rPh sb="5" eb="6">
      <t>シ</t>
    </rPh>
    <rPh sb="6" eb="8">
      <t>ヤマテ</t>
    </rPh>
    <rPh sb="8" eb="9">
      <t>ダイ</t>
    </rPh>
    <rPh sb="9" eb="10">
      <t>ニシ</t>
    </rPh>
    <phoneticPr fontId="1"/>
  </si>
  <si>
    <t>080-3444-7864</t>
    <phoneticPr fontId="1"/>
  </si>
  <si>
    <t>会員石橋様ご子息</t>
    <rPh sb="0" eb="2">
      <t>カイイン</t>
    </rPh>
    <rPh sb="2" eb="5">
      <t>イシバシサマ</t>
    </rPh>
    <rPh sb="6" eb="8">
      <t>コソク</t>
    </rPh>
    <phoneticPr fontId="1"/>
  </si>
  <si>
    <t>２回目　会員頭司様奥様</t>
    <rPh sb="1" eb="3">
      <t>カイメ</t>
    </rPh>
    <rPh sb="4" eb="6">
      <t>カイイン</t>
    </rPh>
    <rPh sb="6" eb="8">
      <t>ズシ</t>
    </rPh>
    <rPh sb="8" eb="9">
      <t>サマ</t>
    </rPh>
    <rPh sb="9" eb="11">
      <t>オクサマ</t>
    </rPh>
    <phoneticPr fontId="1"/>
  </si>
  <si>
    <t>城野　肇</t>
    <rPh sb="0" eb="2">
      <t>シロノ</t>
    </rPh>
    <rPh sb="3" eb="4">
      <t>ハジメ</t>
    </rPh>
    <phoneticPr fontId="1"/>
  </si>
  <si>
    <t>650-0011</t>
    <phoneticPr fontId="1"/>
  </si>
  <si>
    <t>兵庫県神戸市中央区下山手通5-6-16-1005</t>
    <rPh sb="0" eb="3">
      <t>ヒョウゴケン</t>
    </rPh>
    <rPh sb="3" eb="6">
      <t>コウベシ</t>
    </rPh>
    <rPh sb="6" eb="9">
      <t>チュウオウク</t>
    </rPh>
    <rPh sb="9" eb="12">
      <t>シモヤマテ</t>
    </rPh>
    <rPh sb="12" eb="13">
      <t>トオ</t>
    </rPh>
    <phoneticPr fontId="1"/>
  </si>
  <si>
    <t>39.2㎞</t>
    <phoneticPr fontId="1"/>
  </si>
  <si>
    <t>090-5884-2776</t>
    <phoneticPr fontId="1"/>
  </si>
  <si>
    <t>安田　寛</t>
    <rPh sb="0" eb="2">
      <t>ヤスダ</t>
    </rPh>
    <rPh sb="3" eb="4">
      <t>ユタカ</t>
    </rPh>
    <phoneticPr fontId="1"/>
  </si>
  <si>
    <t>599-8242</t>
    <phoneticPr fontId="1"/>
  </si>
  <si>
    <t>大阪府堺市中区陶器北849-9</t>
    <rPh sb="0" eb="3">
      <t>オオサカフ</t>
    </rPh>
    <rPh sb="3" eb="5">
      <t>サカイシ</t>
    </rPh>
    <rPh sb="5" eb="7">
      <t>ナカク</t>
    </rPh>
    <rPh sb="7" eb="9">
      <t>トウキ</t>
    </rPh>
    <rPh sb="9" eb="10">
      <t>キタ</t>
    </rPh>
    <phoneticPr fontId="1"/>
  </si>
  <si>
    <t>080-6104-4742</t>
    <phoneticPr fontId="1"/>
  </si>
  <si>
    <t>藤本　文也</t>
    <rPh sb="0" eb="2">
      <t>フジモト</t>
    </rPh>
    <rPh sb="3" eb="5">
      <t>ブンヤ</t>
    </rPh>
    <phoneticPr fontId="1"/>
  </si>
  <si>
    <t>兵庫県神戸市東灘区御影中町14-5-302</t>
    <rPh sb="0" eb="3">
      <t>ヒョウゴケン</t>
    </rPh>
    <rPh sb="3" eb="6">
      <t>コウベシ</t>
    </rPh>
    <rPh sb="6" eb="9">
      <t>ヒガシナダク</t>
    </rPh>
    <phoneticPr fontId="1"/>
  </si>
  <si>
    <t>090-2774-3670</t>
    <phoneticPr fontId="1"/>
  </si>
  <si>
    <t>bunnyafujimoto@gmail.com</t>
    <phoneticPr fontId="1"/>
  </si>
  <si>
    <t>細川　純平</t>
    <rPh sb="0" eb="2">
      <t>ホソカワ</t>
    </rPh>
    <rPh sb="3" eb="4">
      <t>ジュン</t>
    </rPh>
    <rPh sb="4" eb="5">
      <t>ヘイ</t>
    </rPh>
    <phoneticPr fontId="1"/>
  </si>
  <si>
    <t>464-0083</t>
    <phoneticPr fontId="1"/>
  </si>
  <si>
    <t>愛知県名古屋市千種区北千種1-2-35</t>
    <rPh sb="0" eb="3">
      <t>アイチケン</t>
    </rPh>
    <rPh sb="3" eb="7">
      <t>ナゴヤシ</t>
    </rPh>
    <rPh sb="7" eb="9">
      <t>チクサ</t>
    </rPh>
    <rPh sb="9" eb="10">
      <t>ク</t>
    </rPh>
    <rPh sb="10" eb="11">
      <t>キタ</t>
    </rPh>
    <rPh sb="11" eb="13">
      <t>チクサ</t>
    </rPh>
    <phoneticPr fontId="1"/>
  </si>
  <si>
    <t>090-9195-0985</t>
    <phoneticPr fontId="1"/>
  </si>
  <si>
    <t>JPDAプロ</t>
    <phoneticPr fontId="1"/>
  </si>
  <si>
    <t>渡部　憲一</t>
    <rPh sb="0" eb="2">
      <t>ワタナベ</t>
    </rPh>
    <rPh sb="3" eb="5">
      <t>ケンイチ</t>
    </rPh>
    <phoneticPr fontId="1"/>
  </si>
  <si>
    <t>550-0025</t>
    <phoneticPr fontId="1"/>
  </si>
  <si>
    <t>大阪市西区九条南4-28-1</t>
    <rPh sb="0" eb="3">
      <t>オオサカシ</t>
    </rPh>
    <rPh sb="3" eb="5">
      <t>ニシク</t>
    </rPh>
    <rPh sb="5" eb="8">
      <t>クジョウミナミ</t>
    </rPh>
    <phoneticPr fontId="1"/>
  </si>
  <si>
    <t>26.9㎞</t>
    <phoneticPr fontId="1"/>
  </si>
  <si>
    <t>090-3493-1023</t>
    <phoneticPr fontId="1"/>
  </si>
  <si>
    <t>社長知人</t>
    <rPh sb="0" eb="2">
      <t>シャチョウ</t>
    </rPh>
    <rPh sb="2" eb="4">
      <t>チジン</t>
    </rPh>
    <phoneticPr fontId="1"/>
  </si>
  <si>
    <t>杉村　峻志</t>
    <rPh sb="0" eb="2">
      <t>スギムラ</t>
    </rPh>
    <rPh sb="3" eb="5">
      <t>シュンシ</t>
    </rPh>
    <phoneticPr fontId="1"/>
  </si>
  <si>
    <t>井手　幹文</t>
    <rPh sb="0" eb="2">
      <t>イデ</t>
    </rPh>
    <rPh sb="3" eb="4">
      <t>ミキ</t>
    </rPh>
    <rPh sb="4" eb="5">
      <t>アヤ</t>
    </rPh>
    <phoneticPr fontId="1"/>
  </si>
  <si>
    <t>581-0069</t>
    <phoneticPr fontId="1"/>
  </si>
  <si>
    <t>八尾市龍華町1丁目4-2-3401</t>
    <rPh sb="0" eb="3">
      <t>ヤオシ</t>
    </rPh>
    <rPh sb="3" eb="5">
      <t>リュウゲ</t>
    </rPh>
    <rPh sb="5" eb="6">
      <t>チョウ</t>
    </rPh>
    <rPh sb="7" eb="9">
      <t>チョウメ</t>
    </rPh>
    <phoneticPr fontId="1"/>
  </si>
  <si>
    <t>654-0053</t>
    <phoneticPr fontId="1"/>
  </si>
  <si>
    <t>神戸市須磨区天神町1-3-28</t>
    <rPh sb="0" eb="3">
      <t>コウベシ</t>
    </rPh>
    <rPh sb="3" eb="6">
      <t>スマク</t>
    </rPh>
    <rPh sb="6" eb="9">
      <t>テンジンチョウ</t>
    </rPh>
    <phoneticPr fontId="1"/>
  </si>
  <si>
    <t>38.4㎞</t>
    <phoneticPr fontId="1"/>
  </si>
  <si>
    <t>49.1㎞</t>
    <phoneticPr fontId="1"/>
  </si>
  <si>
    <t>remi7261030yoroshiku@yahoo.co.jp</t>
    <phoneticPr fontId="1"/>
  </si>
  <si>
    <t>080-5357-3162</t>
    <phoneticPr fontId="1"/>
  </si>
  <si>
    <t>090-3264-8728</t>
    <phoneticPr fontId="1"/>
  </si>
  <si>
    <t>鷲尾　学</t>
    <rPh sb="0" eb="2">
      <t>ワシオ</t>
    </rPh>
    <rPh sb="3" eb="4">
      <t>マナブ</t>
    </rPh>
    <phoneticPr fontId="1"/>
  </si>
  <si>
    <t>兵庫県宝塚市武庫山2-15-10</t>
    <rPh sb="0" eb="3">
      <t>ヒョウゴケン</t>
    </rPh>
    <rPh sb="3" eb="6">
      <t>タカラヅカシ</t>
    </rPh>
    <rPh sb="6" eb="9">
      <t>ムコヤマ</t>
    </rPh>
    <phoneticPr fontId="1"/>
  </si>
  <si>
    <t>8.9㎞</t>
    <phoneticPr fontId="1"/>
  </si>
  <si>
    <t>090-8206-1743</t>
    <phoneticPr fontId="1"/>
  </si>
  <si>
    <t>廣濵　匠</t>
    <rPh sb="0" eb="2">
      <t>ヒロハマ</t>
    </rPh>
    <rPh sb="3" eb="4">
      <t>タクミ</t>
    </rPh>
    <phoneticPr fontId="1"/>
  </si>
  <si>
    <t>664-0005</t>
    <phoneticPr fontId="1"/>
  </si>
  <si>
    <t>兵庫県伊丹市瑞原3-26-5</t>
    <rPh sb="0" eb="3">
      <t>ヒョウゴケン</t>
    </rPh>
    <rPh sb="3" eb="6">
      <t>イタミシ</t>
    </rPh>
    <rPh sb="6" eb="8">
      <t>ミズハラ</t>
    </rPh>
    <phoneticPr fontId="1"/>
  </si>
  <si>
    <t>takumi.1225.11@gmail.com</t>
    <phoneticPr fontId="1"/>
  </si>
  <si>
    <t>090-5970-3782</t>
    <phoneticPr fontId="1"/>
  </si>
  <si>
    <t>会員廣濵様ご子息</t>
    <rPh sb="0" eb="2">
      <t>カイイン</t>
    </rPh>
    <rPh sb="2" eb="4">
      <t>ヒロハマ</t>
    </rPh>
    <rPh sb="4" eb="5">
      <t>サマ</t>
    </rPh>
    <rPh sb="6" eb="8">
      <t>コソク</t>
    </rPh>
    <phoneticPr fontId="1"/>
  </si>
  <si>
    <t>山本　龍之介</t>
    <rPh sb="0" eb="2">
      <t>ヤマモト</t>
    </rPh>
    <rPh sb="3" eb="6">
      <t>リュウノスケ</t>
    </rPh>
    <phoneticPr fontId="1"/>
  </si>
  <si>
    <t>662-0043</t>
    <phoneticPr fontId="1"/>
  </si>
  <si>
    <t>兵庫県西宮市常盤町1-16-203</t>
    <rPh sb="0" eb="3">
      <t>ヒョウゴケン</t>
    </rPh>
    <rPh sb="3" eb="6">
      <t>ニシノミヤシ</t>
    </rPh>
    <rPh sb="6" eb="8">
      <t>トキワ</t>
    </rPh>
    <rPh sb="8" eb="9">
      <t>マチ</t>
    </rPh>
    <phoneticPr fontId="1"/>
  </si>
  <si>
    <t>12.4㎞</t>
    <phoneticPr fontId="1"/>
  </si>
  <si>
    <t>080-6206-5100</t>
    <phoneticPr fontId="1"/>
  </si>
  <si>
    <t>井殿プロお知り合い</t>
    <rPh sb="0" eb="2">
      <t>イドノ</t>
    </rPh>
    <rPh sb="5" eb="6">
      <t>シ</t>
    </rPh>
    <rPh sb="7" eb="8">
      <t>ア</t>
    </rPh>
    <phoneticPr fontId="1"/>
  </si>
  <si>
    <t>ryuk.hunter.7776@ezweb.ne.jp</t>
    <phoneticPr fontId="1"/>
  </si>
  <si>
    <t>北原　俊也</t>
    <rPh sb="0" eb="2">
      <t>キタハラ</t>
    </rPh>
    <rPh sb="3" eb="5">
      <t>トシヤ</t>
    </rPh>
    <phoneticPr fontId="1"/>
  </si>
  <si>
    <t>兵庫県川西市萩原2-11-12</t>
    <rPh sb="0" eb="3">
      <t>ヒョウゴケン</t>
    </rPh>
    <rPh sb="3" eb="6">
      <t>カワニシシ</t>
    </rPh>
    <rPh sb="6" eb="8">
      <t>ハギハラ</t>
    </rPh>
    <phoneticPr fontId="1"/>
  </si>
  <si>
    <t>090-1140-5158</t>
    <phoneticPr fontId="1"/>
  </si>
  <si>
    <t>渡部　隼太</t>
    <rPh sb="0" eb="2">
      <t>ワタナベ</t>
    </rPh>
    <rPh sb="3" eb="5">
      <t>シュンタ</t>
    </rPh>
    <phoneticPr fontId="1"/>
  </si>
  <si>
    <t>兵庫県宝塚市山手台東2-5-1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</si>
  <si>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0797-89-2438</t>
    <phoneticPr fontId="1"/>
  </si>
  <si>
    <t>レギュラー入会</t>
    <rPh sb="5" eb="7">
      <t>ニュウカイ</t>
    </rPh>
    <phoneticPr fontId="1"/>
  </si>
  <si>
    <t>長岡　真穂</t>
    <rPh sb="0" eb="2">
      <t>ナガオカ</t>
    </rPh>
    <rPh sb="3" eb="4">
      <t>シン</t>
    </rPh>
    <rPh sb="4" eb="5">
      <t>ホ</t>
    </rPh>
    <phoneticPr fontId="1"/>
  </si>
  <si>
    <t>595-0804</t>
    <phoneticPr fontId="1"/>
  </si>
  <si>
    <t>大阪府泉北郡忠岡町馬瀬2-4-8</t>
    <rPh sb="0" eb="3">
      <t>オオサカフ</t>
    </rPh>
    <rPh sb="3" eb="6">
      <t>イズミキタグン</t>
    </rPh>
    <rPh sb="6" eb="8">
      <t>タダシオカ</t>
    </rPh>
    <rPh sb="8" eb="9">
      <t>チョウ</t>
    </rPh>
    <rPh sb="9" eb="10">
      <t>ウマ</t>
    </rPh>
    <rPh sb="10" eb="11">
      <t>セ</t>
    </rPh>
    <phoneticPr fontId="1"/>
  </si>
  <si>
    <t>37.9㎞</t>
    <phoneticPr fontId="1"/>
  </si>
  <si>
    <t>090-1711-6477</t>
    <phoneticPr fontId="1"/>
  </si>
  <si>
    <t>連絡方法</t>
    <rPh sb="0" eb="4">
      <t>レンラクホウホウ</t>
    </rPh>
    <phoneticPr fontId="1"/>
  </si>
  <si>
    <t>岩瀬　文香</t>
    <rPh sb="0" eb="2">
      <t>イワセ</t>
    </rPh>
    <rPh sb="3" eb="4">
      <t>ブン</t>
    </rPh>
    <rPh sb="4" eb="5">
      <t>カオ</t>
    </rPh>
    <phoneticPr fontId="1"/>
  </si>
  <si>
    <t>兵庫県宝塚市雲雀丘1-6-18</t>
    <rPh sb="0" eb="3">
      <t>ヒョウゴケン</t>
    </rPh>
    <rPh sb="3" eb="6">
      <t>タカラヅカシ</t>
    </rPh>
    <rPh sb="6" eb="9">
      <t>ヒバリガオカ</t>
    </rPh>
    <phoneticPr fontId="1"/>
  </si>
  <si>
    <t>665-0806</t>
  </si>
  <si>
    <t>080-6112-6120</t>
    <phoneticPr fontId="1"/>
  </si>
  <si>
    <t>090-3612-1160</t>
    <phoneticPr fontId="1"/>
  </si>
  <si>
    <t>岩瀬　潔子</t>
    <rPh sb="0" eb="2">
      <t>イワセ</t>
    </rPh>
    <rPh sb="3" eb="4">
      <t>ケツ</t>
    </rPh>
    <rPh sb="4" eb="5">
      <t>コ</t>
    </rPh>
    <phoneticPr fontId="1"/>
  </si>
  <si>
    <t>ショートメール</t>
    <phoneticPr fontId="1"/>
  </si>
  <si>
    <t>電話</t>
    <rPh sb="0" eb="2">
      <t>デンワ</t>
    </rPh>
    <phoneticPr fontId="1"/>
  </si>
  <si>
    <t>丸山　政則</t>
    <rPh sb="0" eb="2">
      <t>マルヤマ</t>
    </rPh>
    <rPh sb="3" eb="5">
      <t>マサノリ</t>
    </rPh>
    <phoneticPr fontId="1"/>
  </si>
  <si>
    <t>390-0875</t>
    <phoneticPr fontId="1"/>
  </si>
  <si>
    <t>長野県松本市城西1-1-27</t>
    <rPh sb="0" eb="3">
      <t>ナガノケン</t>
    </rPh>
    <rPh sb="3" eb="6">
      <t>マツモトシ</t>
    </rPh>
    <rPh sb="6" eb="8">
      <t>ジョウサイ</t>
    </rPh>
    <phoneticPr fontId="1"/>
  </si>
  <si>
    <t>390㎞</t>
    <phoneticPr fontId="1"/>
  </si>
  <si>
    <t>forumone.mm@gmail.com</t>
    <phoneticPr fontId="1"/>
  </si>
  <si>
    <t>090-2674-8885</t>
    <phoneticPr fontId="1"/>
  </si>
  <si>
    <t>email</t>
  </si>
  <si>
    <t>林　七枝</t>
    <rPh sb="0" eb="1">
      <t>ハヤシ</t>
    </rPh>
    <rPh sb="2" eb="4">
      <t>ナナエ</t>
    </rPh>
    <phoneticPr fontId="1"/>
  </si>
  <si>
    <t>兵庫県宝塚市雲雀丘3-1-32</t>
    <rPh sb="0" eb="3">
      <t>ヒョウゴケン</t>
    </rPh>
    <rPh sb="3" eb="9">
      <t>タカラヅカシヒバリガオカ</t>
    </rPh>
    <phoneticPr fontId="1"/>
  </si>
  <si>
    <t>072-758-4607</t>
    <phoneticPr fontId="1"/>
  </si>
  <si>
    <t>花原　秀樹</t>
    <rPh sb="0" eb="2">
      <t>ハナハラ</t>
    </rPh>
    <rPh sb="3" eb="5">
      <t>ヒデキ</t>
    </rPh>
    <phoneticPr fontId="1"/>
  </si>
  <si>
    <t>兵庫県西宮市東山台4-13-14</t>
    <rPh sb="0" eb="2">
      <t>ヒョウゴ</t>
    </rPh>
    <rPh sb="2" eb="3">
      <t>ケン</t>
    </rPh>
    <rPh sb="3" eb="5">
      <t>ニシノミヤ</t>
    </rPh>
    <rPh sb="5" eb="6">
      <t>シ</t>
    </rPh>
    <rPh sb="6" eb="8">
      <t>ヒガシヤマ</t>
    </rPh>
    <rPh sb="8" eb="9">
      <t>ダイ</t>
    </rPh>
    <phoneticPr fontId="1"/>
  </si>
  <si>
    <t>12.6㎞</t>
    <phoneticPr fontId="1"/>
  </si>
  <si>
    <t>hanachan0091@softbank.ne.jp</t>
    <phoneticPr fontId="1"/>
  </si>
  <si>
    <t>080-5359-0091</t>
    <phoneticPr fontId="1"/>
  </si>
  <si>
    <t>チケット会員入会</t>
    <rPh sb="4" eb="6">
      <t>カイイン</t>
    </rPh>
    <rPh sb="6" eb="8">
      <t>ニュウカイ</t>
    </rPh>
    <phoneticPr fontId="1"/>
  </si>
  <si>
    <t>藤井睦様　奥様</t>
    <rPh sb="0" eb="2">
      <t>フジイ</t>
    </rPh>
    <rPh sb="2" eb="3">
      <t>マコト</t>
    </rPh>
    <rPh sb="3" eb="4">
      <t>サマ</t>
    </rPh>
    <rPh sb="5" eb="7">
      <t>オクサマ</t>
    </rPh>
    <phoneticPr fontId="1"/>
  </si>
  <si>
    <t>榮倉　舞</t>
    <rPh sb="0" eb="2">
      <t>エイクラ</t>
    </rPh>
    <rPh sb="3" eb="4">
      <t>マイ</t>
    </rPh>
    <phoneticPr fontId="1"/>
  </si>
  <si>
    <t>661-0024</t>
    <phoneticPr fontId="1"/>
  </si>
  <si>
    <t>兵庫県尼崎市三反田町2-12-28-205</t>
    <rPh sb="0" eb="3">
      <t>ヒョウゴケン</t>
    </rPh>
    <rPh sb="3" eb="6">
      <t>アマガサキシ</t>
    </rPh>
    <rPh sb="6" eb="7">
      <t>サン</t>
    </rPh>
    <rPh sb="7" eb="8">
      <t>ハン</t>
    </rPh>
    <rPh sb="8" eb="9">
      <t>ダ</t>
    </rPh>
    <rPh sb="9" eb="10">
      <t>チョウ</t>
    </rPh>
    <phoneticPr fontId="1"/>
  </si>
  <si>
    <t>090-6827-3668</t>
    <phoneticPr fontId="1"/>
  </si>
  <si>
    <t>電話</t>
  </si>
  <si>
    <t>榮倉舞様分もお支払い</t>
    <rPh sb="0" eb="3">
      <t>エイクラマイ</t>
    </rPh>
    <rPh sb="3" eb="5">
      <t>サマブン</t>
    </rPh>
    <rPh sb="7" eb="9">
      <t>シハラ</t>
    </rPh>
    <phoneticPr fontId="1"/>
  </si>
  <si>
    <t>鶴野　茂</t>
    <rPh sb="0" eb="2">
      <t>ツルノ</t>
    </rPh>
    <rPh sb="3" eb="4">
      <t>シゲル</t>
    </rPh>
    <phoneticPr fontId="1"/>
  </si>
  <si>
    <t>大阪府東成区大今里南3-15-17</t>
    <rPh sb="0" eb="3">
      <t>オオサカフ</t>
    </rPh>
    <rPh sb="3" eb="6">
      <t>ヒガシナリク</t>
    </rPh>
    <rPh sb="6" eb="7">
      <t>オオ</t>
    </rPh>
    <rPh sb="7" eb="8">
      <t>イマ</t>
    </rPh>
    <rPh sb="8" eb="9">
      <t>サト</t>
    </rPh>
    <rPh sb="9" eb="10">
      <t>ミナミ</t>
    </rPh>
    <phoneticPr fontId="1"/>
  </si>
  <si>
    <t>23.7㎞</t>
    <phoneticPr fontId="1"/>
  </si>
  <si>
    <t xml:space="preserve">537-0013 </t>
    <phoneticPr fontId="1"/>
  </si>
  <si>
    <t>090-1440-0043</t>
    <phoneticPr fontId="1"/>
  </si>
  <si>
    <t>谷添　剛士</t>
    <rPh sb="0" eb="2">
      <t>タニゾエ</t>
    </rPh>
    <rPh sb="3" eb="4">
      <t>ツヨシ</t>
    </rPh>
    <rPh sb="4" eb="5">
      <t>シ</t>
    </rPh>
    <phoneticPr fontId="1"/>
  </si>
  <si>
    <t>tanitsuyo0214@gmail.com</t>
    <phoneticPr fontId="1"/>
  </si>
  <si>
    <t>中谷　庄司朗</t>
    <rPh sb="0" eb="2">
      <t>ナカタニ</t>
    </rPh>
    <rPh sb="3" eb="4">
      <t>ショウ</t>
    </rPh>
    <rPh sb="4" eb="5">
      <t>ツカサ</t>
    </rPh>
    <rPh sb="5" eb="6">
      <t>ロウ</t>
    </rPh>
    <phoneticPr fontId="1"/>
  </si>
  <si>
    <t>658-0048</t>
    <phoneticPr fontId="1"/>
  </si>
  <si>
    <t>兵庫県神戸市東灘区御影郡家2-13-1</t>
    <rPh sb="0" eb="3">
      <t>ヒョウゴケン</t>
    </rPh>
    <rPh sb="3" eb="6">
      <t>コウベシ</t>
    </rPh>
    <rPh sb="6" eb="9">
      <t>ヒガシナダク</t>
    </rPh>
    <rPh sb="9" eb="11">
      <t>ミカゲ</t>
    </rPh>
    <rPh sb="11" eb="12">
      <t>グン</t>
    </rPh>
    <rPh sb="12" eb="13">
      <t>イエ</t>
    </rPh>
    <phoneticPr fontId="1"/>
  </si>
  <si>
    <t>090-7751-0930</t>
    <phoneticPr fontId="1"/>
  </si>
  <si>
    <t>n.shoshiro@gmail.com</t>
    <phoneticPr fontId="1"/>
  </si>
  <si>
    <t>日坂　稔</t>
    <rPh sb="0" eb="1">
      <t>ヒ</t>
    </rPh>
    <rPh sb="1" eb="2">
      <t>サカ</t>
    </rPh>
    <rPh sb="3" eb="4">
      <t>ミノル</t>
    </rPh>
    <phoneticPr fontId="1"/>
  </si>
  <si>
    <t>兵庫県宝塚市中山五月台3-21-17</t>
    <rPh sb="0" eb="6">
      <t>ヒョウゴケンタカラヅカシ</t>
    </rPh>
    <rPh sb="6" eb="8">
      <t>ナカヤマ</t>
    </rPh>
    <rPh sb="8" eb="11">
      <t>サツキダイ</t>
    </rPh>
    <phoneticPr fontId="1"/>
  </si>
  <si>
    <t>0797-88-7693</t>
    <phoneticPr fontId="1"/>
  </si>
  <si>
    <t>来店動機（レッスン）</t>
    <rPh sb="0" eb="4">
      <t>ライテンドウキ</t>
    </rPh>
    <phoneticPr fontId="1"/>
  </si>
  <si>
    <t>森田　剛</t>
    <rPh sb="0" eb="2">
      <t>モリタ</t>
    </rPh>
    <rPh sb="3" eb="4">
      <t>タケシ</t>
    </rPh>
    <phoneticPr fontId="1"/>
  </si>
  <si>
    <t>兵庫県神戸市東灘区西岡本2丁目7-4-411</t>
    <rPh sb="0" eb="3">
      <t>ヒョウゴケン</t>
    </rPh>
    <rPh sb="3" eb="6">
      <t>コウベシ</t>
    </rPh>
    <rPh sb="6" eb="9">
      <t>ヒガシナダク</t>
    </rPh>
    <rPh sb="9" eb="12">
      <t>ニシオカモト</t>
    </rPh>
    <rPh sb="13" eb="15">
      <t>チョウメ</t>
    </rPh>
    <phoneticPr fontId="1"/>
  </si>
  <si>
    <t>10.6㎞</t>
    <phoneticPr fontId="1"/>
  </si>
  <si>
    <t>morita@nextage-kobe.com</t>
    <phoneticPr fontId="1"/>
  </si>
  <si>
    <t>080-4018-4573</t>
    <phoneticPr fontId="1"/>
  </si>
  <si>
    <t>体験利用+フルフィッティング（山本大介様紹介）</t>
    <rPh sb="0" eb="4">
      <t>タイケンリヨウ</t>
    </rPh>
    <rPh sb="15" eb="22">
      <t>ヤマモトダイスケサマショウカイ</t>
    </rPh>
    <phoneticPr fontId="1"/>
  </si>
  <si>
    <t>林　亜紀</t>
    <rPh sb="0" eb="1">
      <t>ハヤシ</t>
    </rPh>
    <rPh sb="2" eb="4">
      <t>アキ</t>
    </rPh>
    <phoneticPr fontId="1"/>
  </si>
  <si>
    <t>林　ゆりえ</t>
    <rPh sb="0" eb="1">
      <t>ハヤシ</t>
    </rPh>
    <phoneticPr fontId="1"/>
  </si>
  <si>
    <t>560-0025</t>
    <phoneticPr fontId="1"/>
  </si>
  <si>
    <t>豊中市立花町3-2-1-908</t>
    <rPh sb="0" eb="3">
      <t>トヨナカシ</t>
    </rPh>
    <rPh sb="3" eb="5">
      <t>タチバナ</t>
    </rPh>
    <rPh sb="5" eb="6">
      <t>チョウ</t>
    </rPh>
    <phoneticPr fontId="1"/>
  </si>
  <si>
    <t>080-5105-7747</t>
    <phoneticPr fontId="1"/>
  </si>
  <si>
    <t>080-1441-0178</t>
    <phoneticPr fontId="1"/>
  </si>
  <si>
    <t>ショートメール</t>
  </si>
  <si>
    <t>林七枝様</t>
    <rPh sb="0" eb="1">
      <t>ハヤシ</t>
    </rPh>
    <rPh sb="1" eb="3">
      <t>ナナエ</t>
    </rPh>
    <rPh sb="3" eb="4">
      <t>サマ</t>
    </rPh>
    <phoneticPr fontId="1"/>
  </si>
  <si>
    <t>緒方　直人</t>
    <rPh sb="0" eb="2">
      <t>オガタ</t>
    </rPh>
    <rPh sb="3" eb="5">
      <t>ナオト</t>
    </rPh>
    <phoneticPr fontId="1"/>
  </si>
  <si>
    <t>567-6085</t>
    <phoneticPr fontId="1"/>
  </si>
  <si>
    <t>大阪府茨木市彩都あさぎ4-9-24</t>
    <rPh sb="0" eb="3">
      <t>オオサカフ</t>
    </rPh>
    <rPh sb="3" eb="6">
      <t>イバラキシ</t>
    </rPh>
    <rPh sb="6" eb="7">
      <t>イロドリ</t>
    </rPh>
    <rPh sb="7" eb="8">
      <t>ミヤコ</t>
    </rPh>
    <phoneticPr fontId="1"/>
  </si>
  <si>
    <t>080-2345-0007</t>
    <phoneticPr fontId="1"/>
  </si>
  <si>
    <t>19.5㎞</t>
    <phoneticPr fontId="1"/>
  </si>
  <si>
    <t>佐渡島　康平</t>
    <rPh sb="0" eb="3">
      <t>サドガシマ</t>
    </rPh>
    <rPh sb="4" eb="6">
      <t>コウヘイ</t>
    </rPh>
    <phoneticPr fontId="1"/>
  </si>
  <si>
    <t>丹野　航</t>
    <rPh sb="0" eb="2">
      <t>タンノ</t>
    </rPh>
    <rPh sb="3" eb="4">
      <t>ワタル</t>
    </rPh>
    <phoneticPr fontId="1"/>
  </si>
  <si>
    <t>665-0023</t>
    <phoneticPr fontId="1"/>
  </si>
  <si>
    <t>西宮市北名次町9-13-502</t>
    <rPh sb="0" eb="2">
      <t>ニシノミヤ</t>
    </rPh>
    <rPh sb="2" eb="3">
      <t>シ</t>
    </rPh>
    <rPh sb="3" eb="4">
      <t>キタ</t>
    </rPh>
    <rPh sb="4" eb="6">
      <t>ナツギ</t>
    </rPh>
    <rPh sb="6" eb="7">
      <t>チョウ</t>
    </rPh>
    <phoneticPr fontId="1"/>
  </si>
  <si>
    <t>宝塚市湯本町9-5-1206</t>
    <rPh sb="0" eb="3">
      <t>タカラヅカシ</t>
    </rPh>
    <rPh sb="3" eb="6">
      <t>ユモトチョウ</t>
    </rPh>
    <phoneticPr fontId="1"/>
  </si>
  <si>
    <t>080-1436-0968</t>
    <phoneticPr fontId="1"/>
  </si>
  <si>
    <t>090-7997-4709</t>
    <phoneticPr fontId="1"/>
  </si>
  <si>
    <t>¥500OFFチケット　通りすがり</t>
    <rPh sb="12" eb="13">
      <t>トオ</t>
    </rPh>
    <phoneticPr fontId="1"/>
  </si>
  <si>
    <t>sadoci@docomo.ne.jp</t>
    <phoneticPr fontId="1"/>
  </si>
  <si>
    <t>松原　文基</t>
    <rPh sb="0" eb="2">
      <t>マツバラ</t>
    </rPh>
    <rPh sb="3" eb="4">
      <t>フミ</t>
    </rPh>
    <rPh sb="4" eb="5">
      <t>モト</t>
    </rPh>
    <phoneticPr fontId="1"/>
  </si>
  <si>
    <t>松原　明浩</t>
    <rPh sb="0" eb="2">
      <t>マツバラ</t>
    </rPh>
    <rPh sb="3" eb="4">
      <t>アキ</t>
    </rPh>
    <rPh sb="4" eb="5">
      <t>ヒロ</t>
    </rPh>
    <phoneticPr fontId="1"/>
  </si>
  <si>
    <t>657-0037</t>
    <phoneticPr fontId="1"/>
  </si>
  <si>
    <t>兵庫県神戸市灘区備後町3-2-3-1504</t>
    <rPh sb="0" eb="3">
      <t>ヒョウゴケン</t>
    </rPh>
    <rPh sb="3" eb="6">
      <t>コウベシ</t>
    </rPh>
    <phoneticPr fontId="1"/>
  </si>
  <si>
    <t>兵庫県神戸市中央区磯辺通2-1-21-1701</t>
    <rPh sb="0" eb="3">
      <t>ヒョウゴケン</t>
    </rPh>
    <rPh sb="3" eb="6">
      <t>コウベシ</t>
    </rPh>
    <rPh sb="6" eb="9">
      <t>チュウオウク</t>
    </rPh>
    <rPh sb="9" eb="11">
      <t>イソベ</t>
    </rPh>
    <rPh sb="11" eb="12">
      <t>トオ</t>
    </rPh>
    <phoneticPr fontId="1"/>
  </si>
  <si>
    <t>33.0㎞</t>
    <phoneticPr fontId="1"/>
  </si>
  <si>
    <t>38.6㎞</t>
    <phoneticPr fontId="1"/>
  </si>
  <si>
    <t>090-3713-8470</t>
    <phoneticPr fontId="1"/>
  </si>
  <si>
    <t>080-1618-7791</t>
    <phoneticPr fontId="1"/>
  </si>
  <si>
    <t>林　豊</t>
    <rPh sb="0" eb="1">
      <t>ハヤシ</t>
    </rPh>
    <rPh sb="2" eb="3">
      <t>ユタカ</t>
    </rPh>
    <phoneticPr fontId="1"/>
  </si>
  <si>
    <t>兵庫県宝塚市雲雀丘3-1-32</t>
    <rPh sb="0" eb="3">
      <t>ヒョウゴケン</t>
    </rPh>
    <rPh sb="3" eb="6">
      <t>タカラヅカシ</t>
    </rPh>
    <rPh sb="6" eb="9">
      <t>ヒバリガオカ</t>
    </rPh>
    <phoneticPr fontId="1"/>
  </si>
  <si>
    <t>090-3284-1486</t>
    <phoneticPr fontId="1"/>
  </si>
  <si>
    <t>会員林七枝様 ご主人</t>
    <rPh sb="0" eb="2">
      <t>カイイン</t>
    </rPh>
    <rPh sb="2" eb="3">
      <t>ハヤシ</t>
    </rPh>
    <rPh sb="3" eb="5">
      <t>ナナエ</t>
    </rPh>
    <rPh sb="5" eb="6">
      <t>サマ</t>
    </rPh>
    <rPh sb="8" eb="10">
      <t>シュジン</t>
    </rPh>
    <phoneticPr fontId="1"/>
  </si>
  <si>
    <t>川崎　雄太</t>
    <rPh sb="0" eb="2">
      <t>カワサキ</t>
    </rPh>
    <rPh sb="3" eb="5">
      <t>ユウタ</t>
    </rPh>
    <phoneticPr fontId="1"/>
  </si>
  <si>
    <t>兵庫県神戸市中央区山手通8-1-3</t>
    <rPh sb="0" eb="3">
      <t>ヒョウゴケン</t>
    </rPh>
    <rPh sb="3" eb="6">
      <t>コウベシ</t>
    </rPh>
    <rPh sb="6" eb="8">
      <t>チュウオウ</t>
    </rPh>
    <rPh sb="8" eb="9">
      <t>ク</t>
    </rPh>
    <rPh sb="9" eb="11">
      <t>ヤマテ</t>
    </rPh>
    <rPh sb="11" eb="12">
      <t>トオ</t>
    </rPh>
    <phoneticPr fontId="1"/>
  </si>
  <si>
    <t>39.8㎞</t>
    <phoneticPr fontId="1"/>
  </si>
  <si>
    <t>090-7556-0213</t>
    <phoneticPr fontId="1"/>
  </si>
  <si>
    <t>久保　浩寿</t>
    <rPh sb="0" eb="2">
      <t>クボ</t>
    </rPh>
    <rPh sb="3" eb="4">
      <t>ヒロ</t>
    </rPh>
    <rPh sb="4" eb="5">
      <t>コトブキ</t>
    </rPh>
    <phoneticPr fontId="1"/>
  </si>
  <si>
    <t>543-0045</t>
    <phoneticPr fontId="1"/>
  </si>
  <si>
    <t>大阪市天王寺区寺田町1-1-2</t>
    <rPh sb="0" eb="3">
      <t>オオサカシ</t>
    </rPh>
    <rPh sb="3" eb="6">
      <t>テンノウジ</t>
    </rPh>
    <rPh sb="6" eb="7">
      <t>ク</t>
    </rPh>
    <rPh sb="7" eb="10">
      <t>テラダマチ</t>
    </rPh>
    <phoneticPr fontId="1"/>
  </si>
  <si>
    <t>080-5321-6847</t>
    <phoneticPr fontId="1"/>
  </si>
  <si>
    <t>中野　格</t>
    <rPh sb="0" eb="2">
      <t>ナカノ</t>
    </rPh>
    <rPh sb="3" eb="4">
      <t>カク</t>
    </rPh>
    <phoneticPr fontId="1"/>
  </si>
  <si>
    <t>大阪市天王寺区寺田町1-1-2　TCビル5F</t>
    <rPh sb="0" eb="3">
      <t>オオサカシ</t>
    </rPh>
    <rPh sb="3" eb="6">
      <t>テンノウジ</t>
    </rPh>
    <rPh sb="6" eb="7">
      <t>ク</t>
    </rPh>
    <rPh sb="7" eb="10">
      <t>テラダマチ</t>
    </rPh>
    <phoneticPr fontId="1"/>
  </si>
  <si>
    <t>090-3267-6171</t>
    <phoneticPr fontId="1"/>
  </si>
  <si>
    <t>28.1㎞</t>
    <phoneticPr fontId="1"/>
  </si>
  <si>
    <t>shizaika@osa-taiki.co.jp</t>
    <phoneticPr fontId="1"/>
  </si>
  <si>
    <t>兵庫県尼崎市三反田町2-12-28-205</t>
    <rPh sb="0" eb="3">
      <t>ヒョウゴケン</t>
    </rPh>
    <rPh sb="3" eb="5">
      <t>アマガサキ</t>
    </rPh>
    <rPh sb="5" eb="6">
      <t>シ</t>
    </rPh>
    <phoneticPr fontId="1"/>
  </si>
  <si>
    <t>中間　秀悟</t>
    <rPh sb="0" eb="2">
      <t>ナカマ</t>
    </rPh>
    <rPh sb="3" eb="5">
      <t>シュウゴ</t>
    </rPh>
    <phoneticPr fontId="1"/>
  </si>
  <si>
    <t>大阪府豊中市立花町1-4-9</t>
    <rPh sb="0" eb="3">
      <t>オオサカフ</t>
    </rPh>
    <rPh sb="3" eb="6">
      <t>トヨナカシ</t>
    </rPh>
    <rPh sb="6" eb="8">
      <t>タチバナ</t>
    </rPh>
    <rPh sb="8" eb="9">
      <t>チョウ</t>
    </rPh>
    <phoneticPr fontId="1"/>
  </si>
  <si>
    <t>shugo.blue1224@docomo.ne.jp</t>
    <phoneticPr fontId="1"/>
  </si>
  <si>
    <t>080-3805-1155</t>
    <phoneticPr fontId="1"/>
  </si>
  <si>
    <t>野原　正法</t>
    <rPh sb="0" eb="2">
      <t>ノハラ</t>
    </rPh>
    <rPh sb="3" eb="4">
      <t>マサ</t>
    </rPh>
    <rPh sb="4" eb="5">
      <t>ホウ</t>
    </rPh>
    <phoneticPr fontId="1"/>
  </si>
  <si>
    <t>大阪府河内長野市荘園町14-5</t>
    <rPh sb="0" eb="3">
      <t>オオサカフ</t>
    </rPh>
    <rPh sb="3" eb="5">
      <t>カワウチ</t>
    </rPh>
    <rPh sb="5" eb="7">
      <t>ナガノ</t>
    </rPh>
    <rPh sb="7" eb="8">
      <t>シ</t>
    </rPh>
    <rPh sb="8" eb="9">
      <t>ソウ</t>
    </rPh>
    <rPh sb="9" eb="10">
      <t>ソノ</t>
    </rPh>
    <rPh sb="10" eb="11">
      <t>チョウ</t>
    </rPh>
    <phoneticPr fontId="1"/>
  </si>
  <si>
    <t>56.5㎞</t>
    <phoneticPr fontId="1"/>
  </si>
  <si>
    <t>090-2062-7371</t>
    <phoneticPr fontId="1"/>
  </si>
  <si>
    <t>郵送</t>
  </si>
  <si>
    <t>SNSを見てご来店</t>
    <rPh sb="4" eb="5">
      <t>ミ</t>
    </rPh>
    <rPh sb="7" eb="9">
      <t>ライテン</t>
    </rPh>
    <phoneticPr fontId="1"/>
  </si>
  <si>
    <t>香川　あゆみ</t>
    <rPh sb="0" eb="2">
      <t>カガワ</t>
    </rPh>
    <phoneticPr fontId="1"/>
  </si>
  <si>
    <t>大阪府大阪市東成区深江南2-3-26-501</t>
    <rPh sb="0" eb="3">
      <t>オオサカフ</t>
    </rPh>
    <rPh sb="3" eb="6">
      <t>オオサカシ</t>
    </rPh>
    <phoneticPr fontId="1"/>
  </si>
  <si>
    <t>090-5642-5230</t>
    <phoneticPr fontId="1"/>
  </si>
  <si>
    <t>井殿プロ紹介</t>
    <rPh sb="0" eb="2">
      <t>イドノ</t>
    </rPh>
    <rPh sb="4" eb="6">
      <t>ショウカイ</t>
    </rPh>
    <phoneticPr fontId="1"/>
  </si>
  <si>
    <t>佐々木　宏</t>
    <rPh sb="0" eb="3">
      <t>ササキ</t>
    </rPh>
    <rPh sb="4" eb="5">
      <t>ヒロシ</t>
    </rPh>
    <phoneticPr fontId="1"/>
  </si>
  <si>
    <t>兵庫県西宮市甲子園五番町13-33-104</t>
    <rPh sb="0" eb="3">
      <t>ヒョウゴケン</t>
    </rPh>
    <rPh sb="3" eb="6">
      <t>ニシノミヤシ</t>
    </rPh>
    <rPh sb="6" eb="9">
      <t>コウシエン</t>
    </rPh>
    <rPh sb="9" eb="10">
      <t>5</t>
    </rPh>
    <rPh sb="11" eb="12">
      <t>チョウ</t>
    </rPh>
    <phoneticPr fontId="1"/>
  </si>
  <si>
    <t>080-4970-5715</t>
    <phoneticPr fontId="1"/>
  </si>
  <si>
    <t>sasaki@sk-wp.jp</t>
    <phoneticPr fontId="1"/>
  </si>
  <si>
    <t>平井　雅俊</t>
    <rPh sb="0" eb="2">
      <t>ヒライ</t>
    </rPh>
    <rPh sb="3" eb="4">
      <t>マサ</t>
    </rPh>
    <rPh sb="4" eb="5">
      <t>トシ</t>
    </rPh>
    <phoneticPr fontId="1"/>
  </si>
  <si>
    <t>兵庫県宝塚市谷口西3-16-8</t>
    <rPh sb="0" eb="3">
      <t>ヒョウゴケン</t>
    </rPh>
    <rPh sb="3" eb="6">
      <t>タカラヅカシ</t>
    </rPh>
    <rPh sb="6" eb="9">
      <t>タニクチニシ</t>
    </rPh>
    <phoneticPr fontId="1"/>
  </si>
  <si>
    <t>excellent@bk2.so-net.ne.jp</t>
    <phoneticPr fontId="1"/>
  </si>
  <si>
    <t>0903970-3958</t>
    <phoneticPr fontId="1"/>
  </si>
  <si>
    <t>上木　真乃介</t>
    <rPh sb="0" eb="2">
      <t>ウエキ</t>
    </rPh>
    <rPh sb="3" eb="4">
      <t>シン</t>
    </rPh>
    <rPh sb="4" eb="5">
      <t>ノ</t>
    </rPh>
    <rPh sb="5" eb="6">
      <t>スケ</t>
    </rPh>
    <phoneticPr fontId="1"/>
  </si>
  <si>
    <t>金山　洋平</t>
    <rPh sb="0" eb="2">
      <t>カナヤマ</t>
    </rPh>
    <rPh sb="3" eb="5">
      <t>ヨウヘイ</t>
    </rPh>
    <phoneticPr fontId="1"/>
  </si>
  <si>
    <t>671-2543</t>
    <phoneticPr fontId="1"/>
  </si>
  <si>
    <t>671-2534</t>
    <phoneticPr fontId="1"/>
  </si>
  <si>
    <t>兵庫県宍粟市千本屋43-10</t>
    <rPh sb="0" eb="3">
      <t>ヒョウゴケン</t>
    </rPh>
    <rPh sb="6" eb="9">
      <t>センボンヤ</t>
    </rPh>
    <phoneticPr fontId="1"/>
  </si>
  <si>
    <t>88.3㎞</t>
    <phoneticPr fontId="1"/>
  </si>
  <si>
    <t>90.1㎞</t>
    <phoneticPr fontId="1"/>
  </si>
  <si>
    <t>兵庫県宍粟市山崎町(川戸)730-3</t>
    <rPh sb="0" eb="3">
      <t>ヒョウゴケン</t>
    </rPh>
    <rPh sb="10" eb="11">
      <t>カワ</t>
    </rPh>
    <rPh sb="11" eb="12">
      <t>ト</t>
    </rPh>
    <phoneticPr fontId="1"/>
  </si>
  <si>
    <t>090-5162-8412</t>
    <phoneticPr fontId="1"/>
  </si>
  <si>
    <t>080-1445-9028</t>
    <phoneticPr fontId="1"/>
  </si>
  <si>
    <t>岩尾　直人</t>
    <rPh sb="0" eb="2">
      <t>イワオ</t>
    </rPh>
    <rPh sb="3" eb="5">
      <t>ナオト</t>
    </rPh>
    <phoneticPr fontId="1"/>
  </si>
  <si>
    <t>大阪府泉大津市東助松町3-3-11</t>
    <rPh sb="0" eb="3">
      <t>オオサカフ</t>
    </rPh>
    <rPh sb="3" eb="4">
      <t>イズミ</t>
    </rPh>
    <rPh sb="4" eb="7">
      <t>オオツシ</t>
    </rPh>
    <rPh sb="7" eb="8">
      <t>ヒガシ</t>
    </rPh>
    <rPh sb="8" eb="9">
      <t>スケ</t>
    </rPh>
    <rPh sb="9" eb="11">
      <t>マツチョウ</t>
    </rPh>
    <phoneticPr fontId="1"/>
  </si>
  <si>
    <t>090-3286-3292</t>
    <phoneticPr fontId="1"/>
  </si>
  <si>
    <t>48.0㎞</t>
    <phoneticPr fontId="1"/>
  </si>
  <si>
    <t>595-0006</t>
    <phoneticPr fontId="1"/>
  </si>
  <si>
    <t>仁木　明美</t>
    <rPh sb="0" eb="2">
      <t>ニキ</t>
    </rPh>
    <rPh sb="3" eb="5">
      <t>アケミ</t>
    </rPh>
    <phoneticPr fontId="1"/>
  </si>
  <si>
    <t>666-0034</t>
    <phoneticPr fontId="1"/>
  </si>
  <si>
    <t>兵庫県川西市寺畑1-1-3-319</t>
    <rPh sb="0" eb="3">
      <t>ヒョウゴケン</t>
    </rPh>
    <rPh sb="3" eb="6">
      <t>カワニシシ</t>
    </rPh>
    <rPh sb="6" eb="8">
      <t>テラハタ</t>
    </rPh>
    <phoneticPr fontId="1"/>
  </si>
  <si>
    <t>090-9707-8081</t>
    <phoneticPr fontId="1"/>
  </si>
  <si>
    <t>中島　圭吾</t>
    <rPh sb="0" eb="2">
      <t>ナカジマ</t>
    </rPh>
    <rPh sb="3" eb="5">
      <t>ケイゴ</t>
    </rPh>
    <phoneticPr fontId="1"/>
  </si>
  <si>
    <t>兵庫県伊丹市東野7-72</t>
    <rPh sb="0" eb="3">
      <t>ヒョウゴケン</t>
    </rPh>
    <rPh sb="3" eb="6">
      <t>イタミシ</t>
    </rPh>
    <rPh sb="6" eb="8">
      <t>ヒガシノ</t>
    </rPh>
    <phoneticPr fontId="1"/>
  </si>
  <si>
    <t>k5.nak.001@gmail.com</t>
    <phoneticPr fontId="1"/>
  </si>
  <si>
    <t>080-1132-8374</t>
    <phoneticPr fontId="1"/>
  </si>
  <si>
    <t>津田　克郎</t>
    <rPh sb="0" eb="2">
      <t>ツダ</t>
    </rPh>
    <rPh sb="3" eb="5">
      <t>カツロウ</t>
    </rPh>
    <phoneticPr fontId="1"/>
  </si>
  <si>
    <t>尼崎市東園田町2-41-5</t>
    <rPh sb="0" eb="3">
      <t>アマガサキシ</t>
    </rPh>
    <rPh sb="3" eb="4">
      <t>ヒガシ</t>
    </rPh>
    <rPh sb="4" eb="6">
      <t>ソノダ</t>
    </rPh>
    <rPh sb="6" eb="7">
      <t>チョウ</t>
    </rPh>
    <phoneticPr fontId="1"/>
  </si>
  <si>
    <t>661-0953</t>
    <phoneticPr fontId="1"/>
  </si>
  <si>
    <t>090-8981-3180</t>
    <phoneticPr fontId="1"/>
  </si>
  <si>
    <t>090-5092-9093</t>
    <phoneticPr fontId="1"/>
  </si>
  <si>
    <t>石橋　司也</t>
    <rPh sb="0" eb="2">
      <t>イシバシ</t>
    </rPh>
    <rPh sb="3" eb="4">
      <t>ツカサ</t>
    </rPh>
    <rPh sb="4" eb="5">
      <t>ヤ</t>
    </rPh>
    <phoneticPr fontId="1"/>
  </si>
  <si>
    <t>吹田市山田東3-23-14</t>
    <rPh sb="0" eb="3">
      <t>スイタシ</t>
    </rPh>
    <rPh sb="3" eb="5">
      <t>ヤマダ</t>
    </rPh>
    <rPh sb="5" eb="6">
      <t>ヒガシ</t>
    </rPh>
    <phoneticPr fontId="1"/>
  </si>
  <si>
    <t>16.2㎞</t>
    <phoneticPr fontId="1"/>
  </si>
  <si>
    <t>ilovemiyumikuru@ezweb.ne.jp</t>
    <phoneticPr fontId="1"/>
  </si>
  <si>
    <t>会員木下様ご友人</t>
    <rPh sb="0" eb="2">
      <t>カイイン</t>
    </rPh>
    <rPh sb="2" eb="4">
      <t>キノシタ</t>
    </rPh>
    <rPh sb="4" eb="5">
      <t>サマ</t>
    </rPh>
    <rPh sb="6" eb="8">
      <t>ユウジン</t>
    </rPh>
    <phoneticPr fontId="1"/>
  </si>
  <si>
    <t>森　早苗</t>
    <rPh sb="0" eb="1">
      <t>モリ</t>
    </rPh>
    <rPh sb="2" eb="4">
      <t>サナエ</t>
    </rPh>
    <phoneticPr fontId="1"/>
  </si>
  <si>
    <t>448-0847</t>
    <phoneticPr fontId="1"/>
  </si>
  <si>
    <t>愛知県刈谷市宝町1-3-2</t>
    <rPh sb="0" eb="3">
      <t>アイチケン</t>
    </rPh>
    <rPh sb="3" eb="6">
      <t>カリヤシ</t>
    </rPh>
    <rPh sb="6" eb="8">
      <t>タカラマチ</t>
    </rPh>
    <phoneticPr fontId="1"/>
  </si>
  <si>
    <t>185㎞</t>
    <phoneticPr fontId="1"/>
  </si>
  <si>
    <t>osaru1998@hotmail.com</t>
    <phoneticPr fontId="1"/>
  </si>
  <si>
    <t>080-6946-0331</t>
    <phoneticPr fontId="1"/>
  </si>
  <si>
    <t>植村　優子</t>
    <rPh sb="0" eb="2">
      <t>ウエムラ</t>
    </rPh>
    <rPh sb="3" eb="5">
      <t>ユウコ</t>
    </rPh>
    <phoneticPr fontId="1"/>
  </si>
  <si>
    <t>515-2602</t>
    <phoneticPr fontId="1"/>
  </si>
  <si>
    <t>三重県津市白山町二本木1001-399</t>
    <rPh sb="0" eb="3">
      <t>ミエケン</t>
    </rPh>
    <rPh sb="3" eb="5">
      <t>ツシ</t>
    </rPh>
    <rPh sb="5" eb="8">
      <t>シラヤマチョウ</t>
    </rPh>
    <rPh sb="8" eb="11">
      <t>ニホンキ</t>
    </rPh>
    <phoneticPr fontId="1"/>
  </si>
  <si>
    <t>133㎞</t>
    <phoneticPr fontId="1"/>
  </si>
  <si>
    <t>090-7028-8912</t>
    <phoneticPr fontId="1"/>
  </si>
  <si>
    <t>小林　英樹</t>
    <rPh sb="0" eb="2">
      <t>コバヤシ</t>
    </rPh>
    <rPh sb="3" eb="5">
      <t>ヒデキ</t>
    </rPh>
    <phoneticPr fontId="1"/>
  </si>
  <si>
    <t>三重県津市稲葉町1859</t>
    <rPh sb="0" eb="3">
      <t>ミエケン</t>
    </rPh>
    <rPh sb="3" eb="5">
      <t>ツシ</t>
    </rPh>
    <rPh sb="5" eb="7">
      <t>イナバ</t>
    </rPh>
    <rPh sb="7" eb="8">
      <t>チョウ</t>
    </rPh>
    <phoneticPr fontId="1"/>
  </si>
  <si>
    <t>151㎞</t>
    <phoneticPr fontId="1"/>
  </si>
  <si>
    <t>514-1252</t>
    <phoneticPr fontId="1"/>
  </si>
  <si>
    <t>059-261-9977</t>
    <phoneticPr fontId="1"/>
  </si>
  <si>
    <t>中園　友和</t>
    <rPh sb="0" eb="2">
      <t>ナカゾノ</t>
    </rPh>
    <rPh sb="3" eb="4">
      <t>トモ</t>
    </rPh>
    <rPh sb="4" eb="5">
      <t>カズ</t>
    </rPh>
    <phoneticPr fontId="1"/>
  </si>
  <si>
    <t>594-0022</t>
    <phoneticPr fontId="1"/>
  </si>
  <si>
    <t>大阪府和泉市黒鳥町1-18-27</t>
    <rPh sb="0" eb="2">
      <t>オオサカ</t>
    </rPh>
    <rPh sb="2" eb="3">
      <t>フ</t>
    </rPh>
    <rPh sb="3" eb="6">
      <t>イズミシ</t>
    </rPh>
    <rPh sb="6" eb="7">
      <t>クロ</t>
    </rPh>
    <rPh sb="7" eb="8">
      <t>トリ</t>
    </rPh>
    <rPh sb="8" eb="9">
      <t>チョウ</t>
    </rPh>
    <phoneticPr fontId="1"/>
  </si>
  <si>
    <t>090-4309-4602</t>
    <phoneticPr fontId="1"/>
  </si>
  <si>
    <t>佐藤　吉成</t>
    <rPh sb="0" eb="2">
      <t>サトウ</t>
    </rPh>
    <rPh sb="3" eb="4">
      <t>ヨシ</t>
    </rPh>
    <rPh sb="4" eb="5">
      <t>ナリ</t>
    </rPh>
    <phoneticPr fontId="1"/>
  </si>
  <si>
    <t>639-2122</t>
    <phoneticPr fontId="1"/>
  </si>
  <si>
    <t>奈良県葛城市薑115-6</t>
    <rPh sb="0" eb="2">
      <t>ナラ</t>
    </rPh>
    <rPh sb="2" eb="3">
      <t>ケン</t>
    </rPh>
    <phoneticPr fontId="1"/>
  </si>
  <si>
    <t>48.8㎞</t>
    <phoneticPr fontId="1"/>
  </si>
  <si>
    <t>0745-64-0338</t>
    <phoneticPr fontId="1"/>
  </si>
  <si>
    <t>k8cgx492@ybb.ne.jp</t>
    <phoneticPr fontId="1"/>
  </si>
  <si>
    <t>宮下　隆司</t>
    <rPh sb="0" eb="2">
      <t>ミヤシタ</t>
    </rPh>
    <rPh sb="3" eb="5">
      <t>タカシ</t>
    </rPh>
    <phoneticPr fontId="1"/>
  </si>
  <si>
    <t>神奈川県川崎市高津区久末1775-7</t>
    <rPh sb="0" eb="3">
      <t>カナガワ</t>
    </rPh>
    <rPh sb="3" eb="4">
      <t>ケン</t>
    </rPh>
    <rPh sb="4" eb="7">
      <t>カワサキシ</t>
    </rPh>
    <rPh sb="7" eb="10">
      <t>タカツク</t>
    </rPh>
    <rPh sb="10" eb="12">
      <t>ヒサスエ</t>
    </rPh>
    <phoneticPr fontId="1"/>
  </si>
  <si>
    <t>491㎞</t>
    <phoneticPr fontId="1"/>
  </si>
  <si>
    <t>090-1998-6261</t>
    <phoneticPr fontId="1"/>
  </si>
  <si>
    <t>櫻井常務お連れ様</t>
    <rPh sb="0" eb="2">
      <t>サクライ</t>
    </rPh>
    <rPh sb="2" eb="4">
      <t>ジョウム</t>
    </rPh>
    <rPh sb="5" eb="6">
      <t>ツ</t>
    </rPh>
    <rPh sb="7" eb="8">
      <t>サマ</t>
    </rPh>
    <phoneticPr fontId="1"/>
  </si>
  <si>
    <t>道地　勝行</t>
    <rPh sb="0" eb="2">
      <t>ドウチ</t>
    </rPh>
    <rPh sb="3" eb="5">
      <t>カツユキ</t>
    </rPh>
    <phoneticPr fontId="1"/>
  </si>
  <si>
    <t>東京都中央区勝どき6-3-1-2503</t>
    <rPh sb="0" eb="3">
      <t>トウキョウト</t>
    </rPh>
    <rPh sb="3" eb="6">
      <t>チュウオウク</t>
    </rPh>
    <rPh sb="6" eb="7">
      <t>カチ</t>
    </rPh>
    <phoneticPr fontId="1"/>
  </si>
  <si>
    <t>104-0054</t>
    <phoneticPr fontId="1"/>
  </si>
  <si>
    <t>505㎞</t>
    <phoneticPr fontId="1"/>
  </si>
  <si>
    <t>090-2953-9795</t>
    <phoneticPr fontId="1"/>
  </si>
  <si>
    <t>的場　靖典</t>
    <rPh sb="0" eb="2">
      <t>マトバ</t>
    </rPh>
    <rPh sb="3" eb="4">
      <t>ヤスシ</t>
    </rPh>
    <rPh sb="4" eb="5">
      <t>ノリ</t>
    </rPh>
    <phoneticPr fontId="1"/>
  </si>
  <si>
    <t>15.9㎞</t>
    <phoneticPr fontId="1"/>
  </si>
  <si>
    <t>090-1718-6363</t>
    <phoneticPr fontId="1"/>
  </si>
  <si>
    <t>和田　将秀</t>
    <rPh sb="0" eb="2">
      <t>ワダ</t>
    </rPh>
    <rPh sb="3" eb="4">
      <t>ショウ</t>
    </rPh>
    <rPh sb="4" eb="5">
      <t>ヒデ</t>
    </rPh>
    <phoneticPr fontId="1"/>
  </si>
  <si>
    <t>兵庫県西宮市西宮浜4丁目12-6-112</t>
    <rPh sb="0" eb="3">
      <t>ヒョウゴケン</t>
    </rPh>
    <rPh sb="3" eb="6">
      <t>ニシノミヤシ</t>
    </rPh>
    <rPh sb="6" eb="9">
      <t>ニシノミヤハマ</t>
    </rPh>
    <rPh sb="10" eb="12">
      <t>チョウメ</t>
    </rPh>
    <phoneticPr fontId="1"/>
  </si>
  <si>
    <t>兵庫県宝塚市山本南1-37-12-203</t>
    <rPh sb="0" eb="3">
      <t>ヒョウゴケン</t>
    </rPh>
    <rPh sb="3" eb="6">
      <t>タカラヅカシ</t>
    </rPh>
    <rPh sb="6" eb="9">
      <t>ヤマモトミナミ</t>
    </rPh>
    <phoneticPr fontId="1"/>
  </si>
  <si>
    <t>0.6㎞</t>
    <phoneticPr fontId="1"/>
  </si>
  <si>
    <t>090-4765-7059</t>
    <phoneticPr fontId="1"/>
  </si>
  <si>
    <t>俣野　徹</t>
    <rPh sb="0" eb="1">
      <t>マタ</t>
    </rPh>
    <rPh sb="1" eb="2">
      <t>ノ</t>
    </rPh>
    <rPh sb="3" eb="4">
      <t>トオル</t>
    </rPh>
    <phoneticPr fontId="1"/>
  </si>
  <si>
    <t>665-0851</t>
    <phoneticPr fontId="1"/>
  </si>
  <si>
    <t>兵庫県宝塚市泉が丘12-7</t>
    <rPh sb="0" eb="3">
      <t>ヒョウゴケン</t>
    </rPh>
    <rPh sb="3" eb="6">
      <t>タカラヅカシ</t>
    </rPh>
    <rPh sb="6" eb="7">
      <t>イズミ</t>
    </rPh>
    <rPh sb="8" eb="9">
      <t>オカ</t>
    </rPh>
    <phoneticPr fontId="1"/>
  </si>
  <si>
    <t>090-6238-8828</t>
    <phoneticPr fontId="1"/>
  </si>
  <si>
    <t>tochan-4653-55par72@ezweb.ne.jp</t>
    <phoneticPr fontId="1"/>
  </si>
  <si>
    <t>611-0043</t>
    <phoneticPr fontId="1"/>
  </si>
  <si>
    <t>杉本　雅子</t>
    <rPh sb="0" eb="2">
      <t>スギモト</t>
    </rPh>
    <rPh sb="3" eb="5">
      <t>マサコ</t>
    </rPh>
    <phoneticPr fontId="1"/>
  </si>
  <si>
    <t>京都市宇治市伊勢田町若林17-17</t>
    <rPh sb="0" eb="3">
      <t>キョウトシ</t>
    </rPh>
    <rPh sb="3" eb="6">
      <t>ウジシ</t>
    </rPh>
    <rPh sb="6" eb="10">
      <t>イセダチョウ</t>
    </rPh>
    <rPh sb="10" eb="12">
      <t>ワカバヤシ</t>
    </rPh>
    <phoneticPr fontId="1"/>
  </si>
  <si>
    <t>48.9㎞</t>
    <phoneticPr fontId="1"/>
  </si>
  <si>
    <t>080-6764-8317</t>
    <phoneticPr fontId="1"/>
  </si>
  <si>
    <t>三觜喜一プロのすすめ　DR・FW</t>
    <rPh sb="0" eb="2">
      <t>ミツハシ</t>
    </rPh>
    <rPh sb="2" eb="4">
      <t>キイチ</t>
    </rPh>
    <phoneticPr fontId="1"/>
  </si>
  <si>
    <t>戸田　こずえ</t>
    <rPh sb="0" eb="2">
      <t>トダ</t>
    </rPh>
    <phoneticPr fontId="1"/>
  </si>
  <si>
    <t>宝塚市売布ガ丘13-3</t>
    <rPh sb="0" eb="2">
      <t>タカラヅカ</t>
    </rPh>
    <rPh sb="2" eb="3">
      <t>シ</t>
    </rPh>
    <rPh sb="3" eb="5">
      <t>メフ</t>
    </rPh>
    <rPh sb="6" eb="7">
      <t>オカ</t>
    </rPh>
    <phoneticPr fontId="1"/>
  </si>
  <si>
    <t>4.0㎞</t>
    <phoneticPr fontId="1"/>
  </si>
  <si>
    <t>090-8368-4111</t>
    <phoneticPr fontId="1"/>
  </si>
  <si>
    <t>2019/6/3 フィッティングでご来店済</t>
    <rPh sb="18" eb="20">
      <t>ライテン</t>
    </rPh>
    <rPh sb="20" eb="21">
      <t>スミ</t>
    </rPh>
    <phoneticPr fontId="1"/>
  </si>
  <si>
    <t>takaaki.maysuda124@icloud.com</t>
    <phoneticPr fontId="1"/>
  </si>
  <si>
    <t>芦田　一憲</t>
    <rPh sb="0" eb="2">
      <t>アシダ</t>
    </rPh>
    <rPh sb="3" eb="4">
      <t>カズ</t>
    </rPh>
    <rPh sb="4" eb="5">
      <t>ノリ</t>
    </rPh>
    <phoneticPr fontId="1"/>
  </si>
  <si>
    <t>659-0013</t>
    <phoneticPr fontId="1"/>
  </si>
  <si>
    <t>兵庫県芦屋市岩園町38-2</t>
    <rPh sb="0" eb="3">
      <t>ヒョウゴケン</t>
    </rPh>
    <rPh sb="3" eb="6">
      <t>アシヤシ</t>
    </rPh>
    <rPh sb="6" eb="8">
      <t>イワゾノ</t>
    </rPh>
    <rPh sb="8" eb="9">
      <t>チョウ</t>
    </rPh>
    <phoneticPr fontId="1"/>
  </si>
  <si>
    <t>15.4㎞</t>
    <phoneticPr fontId="1"/>
  </si>
  <si>
    <t>090-8792-7334</t>
    <phoneticPr fontId="1"/>
  </si>
  <si>
    <t>菅原　吉康</t>
    <rPh sb="0" eb="2">
      <t>スガハラ</t>
    </rPh>
    <rPh sb="3" eb="4">
      <t>ヨシ</t>
    </rPh>
    <rPh sb="4" eb="5">
      <t>ヤス</t>
    </rPh>
    <phoneticPr fontId="1"/>
  </si>
  <si>
    <t>兵庫県尼崎市東難波町4-2-37</t>
    <rPh sb="0" eb="3">
      <t>ヒョウゴケン</t>
    </rPh>
    <rPh sb="3" eb="6">
      <t>アマガサキシ</t>
    </rPh>
    <rPh sb="6" eb="7">
      <t>ヒガシ</t>
    </rPh>
    <rPh sb="7" eb="9">
      <t>ナンバ</t>
    </rPh>
    <rPh sb="9" eb="10">
      <t>チョウ</t>
    </rPh>
    <phoneticPr fontId="1"/>
  </si>
  <si>
    <t>20.2㎞</t>
    <phoneticPr fontId="1"/>
  </si>
  <si>
    <t>666-0892</t>
    <phoneticPr fontId="1"/>
  </si>
  <si>
    <t>090-2383-2146</t>
    <phoneticPr fontId="1"/>
  </si>
  <si>
    <t>木田　昌美</t>
    <rPh sb="0" eb="2">
      <t>キダ</t>
    </rPh>
    <rPh sb="3" eb="5">
      <t>マサミ</t>
    </rPh>
    <phoneticPr fontId="1"/>
  </si>
  <si>
    <t>663-8022</t>
    <phoneticPr fontId="1"/>
  </si>
  <si>
    <t>兵庫県西宮市日野町4-24</t>
    <rPh sb="0" eb="3">
      <t>ヒョウゴケン</t>
    </rPh>
    <rPh sb="3" eb="6">
      <t>ニシノミヤシ</t>
    </rPh>
    <rPh sb="6" eb="8">
      <t>ヒノ</t>
    </rPh>
    <rPh sb="8" eb="9">
      <t>チョウ</t>
    </rPh>
    <phoneticPr fontId="1"/>
  </si>
  <si>
    <t>10.2㎞</t>
    <phoneticPr fontId="1"/>
  </si>
  <si>
    <t>0798-66-4642</t>
    <phoneticPr fontId="1"/>
  </si>
  <si>
    <t>7/7フィッティング来店済み</t>
    <rPh sb="10" eb="13">
      <t>ライテンズ</t>
    </rPh>
    <phoneticPr fontId="1"/>
  </si>
  <si>
    <t>金津　法行</t>
    <rPh sb="0" eb="2">
      <t>カナヅ</t>
    </rPh>
    <rPh sb="3" eb="5">
      <t>ノリユキ</t>
    </rPh>
    <phoneticPr fontId="1"/>
  </si>
  <si>
    <t>兵庫県宝塚市武庫山2-17-8</t>
    <rPh sb="0" eb="3">
      <t>ヒョウゴケン</t>
    </rPh>
    <rPh sb="3" eb="6">
      <t>タカラヅカシ</t>
    </rPh>
    <rPh sb="6" eb="9">
      <t>ムコヤマ</t>
    </rPh>
    <phoneticPr fontId="1"/>
  </si>
  <si>
    <t>kanazu325@docomo.ne.jp</t>
    <phoneticPr fontId="1"/>
  </si>
  <si>
    <t>090-3283-3665</t>
    <phoneticPr fontId="1"/>
  </si>
  <si>
    <t>佐々木　秀文</t>
    <rPh sb="0" eb="3">
      <t>ササキ</t>
    </rPh>
    <rPh sb="4" eb="6">
      <t>ヒデフミ</t>
    </rPh>
    <phoneticPr fontId="1"/>
  </si>
  <si>
    <t>661-0002</t>
    <phoneticPr fontId="1"/>
  </si>
  <si>
    <t>尼崎市塚口町5-37-7</t>
    <rPh sb="0" eb="3">
      <t>アマガサキシ</t>
    </rPh>
    <rPh sb="3" eb="6">
      <t>ツカグチチョウ</t>
    </rPh>
    <phoneticPr fontId="1"/>
  </si>
  <si>
    <t>090-1078-1166</t>
    <phoneticPr fontId="1"/>
  </si>
  <si>
    <t>8.1㎞</t>
    <phoneticPr fontId="1"/>
  </si>
  <si>
    <t>牧　孝次郎</t>
    <rPh sb="0" eb="1">
      <t>マキ</t>
    </rPh>
    <rPh sb="2" eb="3">
      <t>タカ</t>
    </rPh>
    <rPh sb="3" eb="5">
      <t>ジロウ</t>
    </rPh>
    <phoneticPr fontId="1"/>
  </si>
  <si>
    <t>665-0834</t>
    <phoneticPr fontId="1"/>
  </si>
  <si>
    <t>宝塚市美座2丁目19-10-607</t>
    <rPh sb="0" eb="3">
      <t>タカラヅカシ</t>
    </rPh>
    <rPh sb="3" eb="4">
      <t>ミ</t>
    </rPh>
    <rPh sb="4" eb="5">
      <t>ザ</t>
    </rPh>
    <rPh sb="6" eb="8">
      <t>チョウメ</t>
    </rPh>
    <phoneticPr fontId="1"/>
  </si>
  <si>
    <t>maki.corporation@hotmail.com</t>
    <phoneticPr fontId="1"/>
  </si>
  <si>
    <t>090-7883-0077</t>
    <phoneticPr fontId="1"/>
  </si>
  <si>
    <t>岡元　貞昭</t>
    <rPh sb="0" eb="2">
      <t>オカモト</t>
    </rPh>
    <rPh sb="3" eb="5">
      <t>サダアキ</t>
    </rPh>
    <phoneticPr fontId="1"/>
  </si>
  <si>
    <t>555-0031</t>
    <phoneticPr fontId="1"/>
  </si>
  <si>
    <t>大阪府大阪市西淀川区出来島1-8-27</t>
    <rPh sb="0" eb="3">
      <t>オオサカフ</t>
    </rPh>
    <rPh sb="3" eb="6">
      <t>オオサカシ</t>
    </rPh>
    <rPh sb="6" eb="9">
      <t>ニシヨドガワ</t>
    </rPh>
    <rPh sb="9" eb="10">
      <t>ク</t>
    </rPh>
    <rPh sb="10" eb="13">
      <t>デキジマ</t>
    </rPh>
    <phoneticPr fontId="1"/>
  </si>
  <si>
    <t>28.3㎞</t>
    <phoneticPr fontId="1"/>
  </si>
  <si>
    <t>080-3771-8403</t>
    <phoneticPr fontId="1"/>
  </si>
  <si>
    <t>山田　眞吾</t>
    <rPh sb="0" eb="2">
      <t>ヤマダ</t>
    </rPh>
    <rPh sb="3" eb="5">
      <t>シンゴ</t>
    </rPh>
    <phoneticPr fontId="1"/>
  </si>
  <si>
    <t>651-1515</t>
    <phoneticPr fontId="1"/>
  </si>
  <si>
    <t>兵庫県神戸市北区上津台6-9-2</t>
    <rPh sb="0" eb="3">
      <t>ヒョウゴケン</t>
    </rPh>
    <rPh sb="3" eb="6">
      <t>コウベシ</t>
    </rPh>
    <rPh sb="6" eb="8">
      <t>キタク</t>
    </rPh>
    <rPh sb="8" eb="11">
      <t>ウエツダイ</t>
    </rPh>
    <phoneticPr fontId="1"/>
  </si>
  <si>
    <t>25.3㎞</t>
    <phoneticPr fontId="1"/>
  </si>
  <si>
    <t>090-8142-7420</t>
    <phoneticPr fontId="1"/>
  </si>
  <si>
    <t>長谷川　剛</t>
    <rPh sb="0" eb="3">
      <t>ハセガワ</t>
    </rPh>
    <rPh sb="4" eb="5">
      <t>ツヨシ</t>
    </rPh>
    <phoneticPr fontId="1"/>
  </si>
  <si>
    <t>569-0003</t>
    <phoneticPr fontId="1"/>
  </si>
  <si>
    <t>大阪府高槻市上牧町2-9-3</t>
    <rPh sb="0" eb="3">
      <t>オオサカフ</t>
    </rPh>
    <rPh sb="3" eb="6">
      <t>タカツキシ</t>
    </rPh>
    <rPh sb="6" eb="9">
      <t>ウエマキチョウ</t>
    </rPh>
    <phoneticPr fontId="1"/>
  </si>
  <si>
    <t>32.2㎞</t>
    <phoneticPr fontId="1"/>
  </si>
  <si>
    <t>080-1449-1541</t>
    <phoneticPr fontId="1"/>
  </si>
  <si>
    <t>松本　重</t>
    <rPh sb="0" eb="2">
      <t>マツモト</t>
    </rPh>
    <rPh sb="3" eb="4">
      <t>ジュウ</t>
    </rPh>
    <phoneticPr fontId="1"/>
  </si>
  <si>
    <t>松本　宥佑</t>
    <rPh sb="0" eb="2">
      <t>マツモト</t>
    </rPh>
    <rPh sb="3" eb="4">
      <t>ナダ</t>
    </rPh>
    <rPh sb="4" eb="5">
      <t>スケ</t>
    </rPh>
    <phoneticPr fontId="1"/>
  </si>
  <si>
    <t>669-1231</t>
    <phoneticPr fontId="1"/>
  </si>
  <si>
    <t>560-0032</t>
    <phoneticPr fontId="1"/>
  </si>
  <si>
    <t>兵庫県宝塚市玉瀬字下池垣内28</t>
    <rPh sb="0" eb="3">
      <t>ヒョウゴケン</t>
    </rPh>
    <rPh sb="3" eb="6">
      <t>タカラヅカシ</t>
    </rPh>
    <rPh sb="6" eb="8">
      <t>タマセ</t>
    </rPh>
    <rPh sb="8" eb="9">
      <t>アザ</t>
    </rPh>
    <rPh sb="9" eb="11">
      <t>シモイケ</t>
    </rPh>
    <rPh sb="11" eb="12">
      <t>ガキ</t>
    </rPh>
    <rPh sb="12" eb="13">
      <t>ウチ</t>
    </rPh>
    <phoneticPr fontId="1"/>
  </si>
  <si>
    <t>大阪府豊中市蛍池東町1-13-10-103</t>
    <rPh sb="0" eb="3">
      <t>オオサカフ</t>
    </rPh>
    <rPh sb="3" eb="6">
      <t>トヨナカシ</t>
    </rPh>
    <rPh sb="6" eb="8">
      <t>ホタルガイケ</t>
    </rPh>
    <rPh sb="8" eb="9">
      <t>ヒガシ</t>
    </rPh>
    <rPh sb="9" eb="10">
      <t>チョウ</t>
    </rPh>
    <phoneticPr fontId="1"/>
  </si>
  <si>
    <t>7.9㎞</t>
    <phoneticPr fontId="1"/>
  </si>
  <si>
    <t>080-1528-5519</t>
    <phoneticPr fontId="1"/>
  </si>
  <si>
    <t>090-8368-4599</t>
    <phoneticPr fontId="1"/>
  </si>
  <si>
    <t>辻紹介</t>
    <rPh sb="0" eb="1">
      <t>ツジ</t>
    </rPh>
    <rPh sb="1" eb="3">
      <t>ショウカイ</t>
    </rPh>
    <phoneticPr fontId="1"/>
  </si>
  <si>
    <t>坂井　将敬</t>
    <rPh sb="0" eb="2">
      <t>サカイ</t>
    </rPh>
    <rPh sb="3" eb="5">
      <t>ショウケイ</t>
    </rPh>
    <phoneticPr fontId="1"/>
  </si>
  <si>
    <t>665-0006</t>
    <phoneticPr fontId="1"/>
  </si>
  <si>
    <t>兵庫県神戸市垂水区本多聞1-14-6</t>
    <rPh sb="0" eb="3">
      <t>ヒョウゴケン</t>
    </rPh>
    <rPh sb="3" eb="5">
      <t>コウベ</t>
    </rPh>
    <rPh sb="5" eb="6">
      <t>シ</t>
    </rPh>
    <rPh sb="6" eb="8">
      <t>タルミ</t>
    </rPh>
    <rPh sb="8" eb="9">
      <t>ク</t>
    </rPh>
    <rPh sb="9" eb="10">
      <t>ホン</t>
    </rPh>
    <rPh sb="10" eb="11">
      <t>タ</t>
    </rPh>
    <rPh sb="11" eb="12">
      <t>モン</t>
    </rPh>
    <phoneticPr fontId="1"/>
  </si>
  <si>
    <t>090-5166-8839</t>
    <phoneticPr fontId="1"/>
  </si>
  <si>
    <t>SNS</t>
  </si>
  <si>
    <t>SNS</t>
    <phoneticPr fontId="1"/>
  </si>
  <si>
    <t>TVのCM</t>
    <phoneticPr fontId="1"/>
  </si>
  <si>
    <t>47.6km</t>
    <phoneticPr fontId="1"/>
  </si>
  <si>
    <t>下司　裕子</t>
    <rPh sb="0" eb="2">
      <t>ゲシ</t>
    </rPh>
    <rPh sb="3" eb="5">
      <t>ユウコ</t>
    </rPh>
    <phoneticPr fontId="1"/>
  </si>
  <si>
    <t>下司　麻衣</t>
    <rPh sb="0" eb="2">
      <t>ゲシ</t>
    </rPh>
    <rPh sb="3" eb="5">
      <t>マイ</t>
    </rPh>
    <phoneticPr fontId="1"/>
  </si>
  <si>
    <t>兵庫県宝塚市中筋8-4-11</t>
    <rPh sb="0" eb="3">
      <t>ヒョウゴケン</t>
    </rPh>
    <rPh sb="3" eb="6">
      <t>タカラヅカシ</t>
    </rPh>
    <rPh sb="6" eb="8">
      <t>ナカスジ</t>
    </rPh>
    <phoneticPr fontId="1"/>
  </si>
  <si>
    <t>兵庫県宝塚市雲雀丘2-4-57</t>
    <rPh sb="0" eb="3">
      <t>ヒョウゴケン</t>
    </rPh>
    <rPh sb="3" eb="6">
      <t>タカラヅカシ</t>
    </rPh>
    <rPh sb="6" eb="9">
      <t>ヒバリガオカ</t>
    </rPh>
    <phoneticPr fontId="1"/>
  </si>
  <si>
    <t>1.6㎞</t>
    <phoneticPr fontId="1"/>
  </si>
  <si>
    <t>0797-88-2000</t>
    <phoneticPr fontId="1"/>
  </si>
  <si>
    <t>080-4824-0025</t>
    <phoneticPr fontId="1"/>
  </si>
  <si>
    <t>吉田　修次</t>
    <rPh sb="0" eb="2">
      <t>ヨシダ</t>
    </rPh>
    <rPh sb="3" eb="4">
      <t>シュウ</t>
    </rPh>
    <rPh sb="4" eb="5">
      <t>ツギ</t>
    </rPh>
    <phoneticPr fontId="1"/>
  </si>
  <si>
    <t>632-0046</t>
    <phoneticPr fontId="1"/>
  </si>
  <si>
    <t>奈良県天理市三昧田町471-2</t>
    <rPh sb="0" eb="3">
      <t>ナラケン</t>
    </rPh>
    <rPh sb="3" eb="6">
      <t>テンリシ</t>
    </rPh>
    <phoneticPr fontId="1"/>
  </si>
  <si>
    <t>71.6㎞</t>
    <phoneticPr fontId="1"/>
  </si>
  <si>
    <t>090-8366-7346</t>
    <phoneticPr fontId="1"/>
  </si>
  <si>
    <t>川瀧　将暉</t>
    <rPh sb="0" eb="1">
      <t>カワ</t>
    </rPh>
    <rPh sb="1" eb="2">
      <t>タキ</t>
    </rPh>
    <rPh sb="3" eb="5">
      <t>マサキ</t>
    </rPh>
    <phoneticPr fontId="1"/>
  </si>
  <si>
    <t>673-0017</t>
    <phoneticPr fontId="1"/>
  </si>
  <si>
    <t>兵庫県明石市野々上3-16-11-603</t>
    <rPh sb="0" eb="3">
      <t>ヒョウゴケン</t>
    </rPh>
    <rPh sb="3" eb="6">
      <t>アカシシ</t>
    </rPh>
    <rPh sb="6" eb="9">
      <t>ノノウエ</t>
    </rPh>
    <phoneticPr fontId="1"/>
  </si>
  <si>
    <t>richskysalt@gmail.com</t>
    <phoneticPr fontId="1"/>
  </si>
  <si>
    <t>54.4㎞</t>
    <phoneticPr fontId="1"/>
  </si>
  <si>
    <t>080-3039-2694</t>
    <phoneticPr fontId="1"/>
  </si>
  <si>
    <t>6/11　体験利用+フルフィッティング（山本大介様紹介）・購入</t>
    <rPh sb="5" eb="9">
      <t>タイケンリヨウ</t>
    </rPh>
    <rPh sb="20" eb="27">
      <t>ヤマモトダイスケサマショウカイ</t>
    </rPh>
    <rPh sb="29" eb="31">
      <t>コウニュウ</t>
    </rPh>
    <phoneticPr fontId="1"/>
  </si>
  <si>
    <t>2021/4/18フィッティング　再来店　</t>
    <rPh sb="17" eb="20">
      <t>サイライテン</t>
    </rPh>
    <phoneticPr fontId="1"/>
  </si>
  <si>
    <t>2020.3/5、11/18 フィッティング来店済</t>
    <rPh sb="22" eb="24">
      <t>ライテン</t>
    </rPh>
    <rPh sb="24" eb="25">
      <t>スミ</t>
    </rPh>
    <phoneticPr fontId="1"/>
  </si>
  <si>
    <t>中西　修司</t>
    <rPh sb="0" eb="2">
      <t>ナカニシ</t>
    </rPh>
    <rPh sb="3" eb="5">
      <t>シュウジ</t>
    </rPh>
    <phoneticPr fontId="1"/>
  </si>
  <si>
    <t>640-0413</t>
    <phoneticPr fontId="1"/>
  </si>
  <si>
    <t>和歌山県紀の川市貴志川町神戸139-6</t>
    <rPh sb="0" eb="4">
      <t>ワカヤマケン</t>
    </rPh>
    <rPh sb="4" eb="5">
      <t>キ</t>
    </rPh>
    <rPh sb="6" eb="7">
      <t>カワ</t>
    </rPh>
    <rPh sb="7" eb="8">
      <t>シ</t>
    </rPh>
    <rPh sb="8" eb="11">
      <t>キシカワ</t>
    </rPh>
    <rPh sb="11" eb="12">
      <t>チョウ</t>
    </rPh>
    <rPh sb="12" eb="14">
      <t>カンベ</t>
    </rPh>
    <phoneticPr fontId="1"/>
  </si>
  <si>
    <t>106㎞</t>
    <phoneticPr fontId="1"/>
  </si>
  <si>
    <t>mdfwq001@yahoo.co.jp</t>
    <phoneticPr fontId="1"/>
  </si>
  <si>
    <t>080-1473-5025</t>
    <phoneticPr fontId="1"/>
  </si>
  <si>
    <t>宇多　哲也</t>
    <rPh sb="0" eb="2">
      <t>ウダ</t>
    </rPh>
    <rPh sb="3" eb="5">
      <t>テツヤ</t>
    </rPh>
    <phoneticPr fontId="1"/>
  </si>
  <si>
    <t>562-0031</t>
    <phoneticPr fontId="1"/>
  </si>
  <si>
    <t>大阪府箕面市小野原東6-25-8-308</t>
    <rPh sb="0" eb="3">
      <t>オオサカフ</t>
    </rPh>
    <rPh sb="3" eb="5">
      <t>ミノオ</t>
    </rPh>
    <rPh sb="5" eb="6">
      <t>シ</t>
    </rPh>
    <rPh sb="6" eb="9">
      <t>オノハラ</t>
    </rPh>
    <rPh sb="9" eb="10">
      <t>ヒガシ</t>
    </rPh>
    <phoneticPr fontId="1"/>
  </si>
  <si>
    <t>23.1㎞</t>
    <phoneticPr fontId="1"/>
  </si>
  <si>
    <t>matty4248@ezweb.ne.jp</t>
    <phoneticPr fontId="1"/>
  </si>
  <si>
    <t>080-6159-0408</t>
    <phoneticPr fontId="1"/>
  </si>
  <si>
    <t>会員松田年正様からの紹介・小川さんお知り合い</t>
    <rPh sb="0" eb="2">
      <t>カイイン</t>
    </rPh>
    <rPh sb="2" eb="4">
      <t>マツダ</t>
    </rPh>
    <rPh sb="4" eb="5">
      <t>ネン</t>
    </rPh>
    <rPh sb="5" eb="6">
      <t>セイ</t>
    </rPh>
    <rPh sb="6" eb="7">
      <t>サマ</t>
    </rPh>
    <rPh sb="10" eb="12">
      <t>ショウカイ</t>
    </rPh>
    <rPh sb="13" eb="15">
      <t>オガワ</t>
    </rPh>
    <rPh sb="18" eb="19">
      <t>シ</t>
    </rPh>
    <rPh sb="20" eb="21">
      <t>ア</t>
    </rPh>
    <phoneticPr fontId="1"/>
  </si>
  <si>
    <t>柏原　義之</t>
    <rPh sb="0" eb="2">
      <t>カシハラ</t>
    </rPh>
    <rPh sb="3" eb="5">
      <t>ヨシユキ</t>
    </rPh>
    <phoneticPr fontId="1"/>
  </si>
  <si>
    <t>南澤　優子</t>
    <rPh sb="0" eb="2">
      <t>ミナミサワ</t>
    </rPh>
    <rPh sb="3" eb="5">
      <t>ユウコ</t>
    </rPh>
    <phoneticPr fontId="1"/>
  </si>
  <si>
    <t>京都府長岡京市今里3-6-16</t>
    <rPh sb="0" eb="3">
      <t>キョウトフ</t>
    </rPh>
    <rPh sb="3" eb="6">
      <t>ナガオカキョウ</t>
    </rPh>
    <rPh sb="6" eb="7">
      <t>シ</t>
    </rPh>
    <rPh sb="7" eb="9">
      <t>イマサト</t>
    </rPh>
    <phoneticPr fontId="1"/>
  </si>
  <si>
    <t>大阪府大阪市中央区南船場1-4-14-1503</t>
    <rPh sb="0" eb="2">
      <t>オオサカ</t>
    </rPh>
    <rPh sb="2" eb="3">
      <t>フ</t>
    </rPh>
    <rPh sb="3" eb="6">
      <t>オオサカシ</t>
    </rPh>
    <rPh sb="6" eb="9">
      <t>チュウオウク</t>
    </rPh>
    <rPh sb="9" eb="10">
      <t>ミナミ</t>
    </rPh>
    <rPh sb="10" eb="12">
      <t>センバ</t>
    </rPh>
    <phoneticPr fontId="1"/>
  </si>
  <si>
    <t>542-0081</t>
    <phoneticPr fontId="1"/>
  </si>
  <si>
    <t>44.0㎞</t>
    <phoneticPr fontId="1"/>
  </si>
  <si>
    <t>617-0814</t>
    <phoneticPr fontId="1"/>
  </si>
  <si>
    <t>26.0㎞</t>
    <phoneticPr fontId="1"/>
  </si>
  <si>
    <t>090-6663-7080</t>
    <phoneticPr fontId="1"/>
  </si>
  <si>
    <t>090-4645-1033</t>
    <phoneticPr fontId="1"/>
  </si>
  <si>
    <t>柏原様お連れ様</t>
    <rPh sb="0" eb="2">
      <t>カシハラ</t>
    </rPh>
    <rPh sb="2" eb="3">
      <t>サマ</t>
    </rPh>
    <rPh sb="4" eb="5">
      <t>ツ</t>
    </rPh>
    <rPh sb="6" eb="7">
      <t>サマ</t>
    </rPh>
    <phoneticPr fontId="1"/>
  </si>
  <si>
    <t>西山　凛</t>
    <rPh sb="0" eb="2">
      <t>ニシヤマ</t>
    </rPh>
    <rPh sb="3" eb="4">
      <t>リン</t>
    </rPh>
    <phoneticPr fontId="1"/>
  </si>
  <si>
    <t>072-492-1262</t>
    <phoneticPr fontId="1"/>
  </si>
  <si>
    <t>lin.1326221@gmail.com</t>
    <phoneticPr fontId="1"/>
  </si>
  <si>
    <t>会員　西山泰弘様　ご子息</t>
    <rPh sb="0" eb="2">
      <t>カイイン</t>
    </rPh>
    <rPh sb="3" eb="5">
      <t>ニシヤマ</t>
    </rPh>
    <rPh sb="5" eb="7">
      <t>ヤスヒロ</t>
    </rPh>
    <rPh sb="7" eb="8">
      <t>サマ</t>
    </rPh>
    <rPh sb="10" eb="12">
      <t>シソク</t>
    </rPh>
    <phoneticPr fontId="1"/>
  </si>
  <si>
    <t>高橋　真吾</t>
    <rPh sb="0" eb="1">
      <t>タカ</t>
    </rPh>
    <rPh sb="1" eb="2">
      <t>ハシ</t>
    </rPh>
    <rPh sb="3" eb="5">
      <t>シンゴ</t>
    </rPh>
    <phoneticPr fontId="1"/>
  </si>
  <si>
    <t>382-0045</t>
    <phoneticPr fontId="1"/>
  </si>
  <si>
    <t>長野県須坂市大字井上2408</t>
    <rPh sb="0" eb="3">
      <t>ナガノケン</t>
    </rPh>
    <rPh sb="3" eb="5">
      <t>スザカ</t>
    </rPh>
    <rPh sb="5" eb="6">
      <t>シ</t>
    </rPh>
    <rPh sb="6" eb="8">
      <t>オオアザ</t>
    </rPh>
    <rPh sb="8" eb="10">
      <t>イノウエ</t>
    </rPh>
    <phoneticPr fontId="1"/>
  </si>
  <si>
    <t>445㎞</t>
    <phoneticPr fontId="1"/>
  </si>
  <si>
    <t>080-5143-1223</t>
    <phoneticPr fontId="1"/>
  </si>
  <si>
    <t>会員竹田様がシャフト代と一緒にお支払い</t>
    <rPh sb="0" eb="2">
      <t>カイイン</t>
    </rPh>
    <rPh sb="2" eb="5">
      <t>タケダサマ</t>
    </rPh>
    <rPh sb="10" eb="11">
      <t>ダイ</t>
    </rPh>
    <rPh sb="12" eb="14">
      <t>イッショ</t>
    </rPh>
    <rPh sb="16" eb="18">
      <t>シハラ</t>
    </rPh>
    <phoneticPr fontId="1"/>
  </si>
  <si>
    <t>吉田　浩志</t>
    <rPh sb="0" eb="2">
      <t>ヨシダ</t>
    </rPh>
    <rPh sb="3" eb="4">
      <t>ヒロシ</t>
    </rPh>
    <rPh sb="4" eb="5">
      <t>ココロザ</t>
    </rPh>
    <phoneticPr fontId="1"/>
  </si>
  <si>
    <t>兵庫県川西市花屋敷1-7-3</t>
    <rPh sb="0" eb="3">
      <t>ヒョウゴケン</t>
    </rPh>
    <rPh sb="3" eb="6">
      <t>カワニシシ</t>
    </rPh>
    <rPh sb="6" eb="9">
      <t>ハナヤシキ</t>
    </rPh>
    <phoneticPr fontId="1"/>
  </si>
  <si>
    <t>hiroshiyo1010@gmail.com</t>
    <phoneticPr fontId="1"/>
  </si>
  <si>
    <t>072-759-5490</t>
    <phoneticPr fontId="1"/>
  </si>
  <si>
    <t>チラシ見てご来店</t>
    <rPh sb="3" eb="4">
      <t>ミ</t>
    </rPh>
    <rPh sb="6" eb="8">
      <t>ライテン</t>
    </rPh>
    <phoneticPr fontId="1"/>
  </si>
  <si>
    <t>斉藤　万喜子</t>
    <rPh sb="0" eb="2">
      <t>サイトウ</t>
    </rPh>
    <rPh sb="3" eb="4">
      <t>マン</t>
    </rPh>
    <rPh sb="4" eb="5">
      <t>キ</t>
    </rPh>
    <rPh sb="5" eb="6">
      <t>コ</t>
    </rPh>
    <phoneticPr fontId="1"/>
  </si>
  <si>
    <t>兵庫県宝塚市雲雀丘3</t>
    <rPh sb="0" eb="3">
      <t>ヒョウゴケン</t>
    </rPh>
    <rPh sb="3" eb="6">
      <t>タカラヅカシ</t>
    </rPh>
    <rPh sb="6" eb="9">
      <t>ヒバリガオカ</t>
    </rPh>
    <phoneticPr fontId="1"/>
  </si>
  <si>
    <t>090-8389-3504</t>
    <phoneticPr fontId="1"/>
  </si>
  <si>
    <t>西村　健二</t>
    <rPh sb="0" eb="2">
      <t>ニシムラ</t>
    </rPh>
    <rPh sb="3" eb="5">
      <t>ケンジ</t>
    </rPh>
    <phoneticPr fontId="1"/>
  </si>
  <si>
    <t>666-0145</t>
    <phoneticPr fontId="1"/>
  </si>
  <si>
    <t>兵庫県川西市けやき坂1-9-5</t>
    <rPh sb="0" eb="3">
      <t>ヒョウゴケン</t>
    </rPh>
    <rPh sb="3" eb="6">
      <t>カワニシシ</t>
    </rPh>
    <rPh sb="9" eb="10">
      <t>サカ</t>
    </rPh>
    <phoneticPr fontId="1"/>
  </si>
  <si>
    <t>8.4㎞</t>
    <phoneticPr fontId="1"/>
  </si>
  <si>
    <t>090-3167-6388</t>
    <phoneticPr fontId="1"/>
  </si>
  <si>
    <t>龍満　一郎</t>
    <rPh sb="0" eb="2">
      <t>リュウマン</t>
    </rPh>
    <rPh sb="3" eb="5">
      <t>イチロウ</t>
    </rPh>
    <phoneticPr fontId="1"/>
  </si>
  <si>
    <t>762-0085</t>
    <phoneticPr fontId="1"/>
  </si>
  <si>
    <t>香川県丸亀市飯山町東小川2032-3</t>
    <rPh sb="0" eb="3">
      <t>カガワケン</t>
    </rPh>
    <rPh sb="3" eb="5">
      <t>マルガメ</t>
    </rPh>
    <rPh sb="5" eb="6">
      <t>シ</t>
    </rPh>
    <rPh sb="6" eb="8">
      <t>イイヤマ</t>
    </rPh>
    <rPh sb="8" eb="9">
      <t>チョウ</t>
    </rPh>
    <rPh sb="9" eb="10">
      <t>ヒガシ</t>
    </rPh>
    <rPh sb="10" eb="12">
      <t>オガワ</t>
    </rPh>
    <phoneticPr fontId="1"/>
  </si>
  <si>
    <t>212㎞</t>
    <phoneticPr fontId="1"/>
  </si>
  <si>
    <t>kusumi@yacht.ocn.ne.jp</t>
    <phoneticPr fontId="1"/>
  </si>
  <si>
    <t>090-3184-3876</t>
    <phoneticPr fontId="1"/>
  </si>
  <si>
    <t>江間　祐二</t>
    <rPh sb="0" eb="2">
      <t>エマ</t>
    </rPh>
    <rPh sb="3" eb="5">
      <t>ユウジ</t>
    </rPh>
    <phoneticPr fontId="1"/>
  </si>
  <si>
    <t>石伏　平</t>
    <rPh sb="0" eb="2">
      <t>イシブシ</t>
    </rPh>
    <rPh sb="3" eb="4">
      <t>タイラ</t>
    </rPh>
    <phoneticPr fontId="1"/>
  </si>
  <si>
    <t>宝塚市山本南2-14-4</t>
    <rPh sb="0" eb="3">
      <t>タカラヅカシ</t>
    </rPh>
    <rPh sb="3" eb="6">
      <t>ヤマモトミナミ</t>
    </rPh>
    <phoneticPr fontId="1"/>
  </si>
  <si>
    <t>川西市栄根2-10-4-206</t>
    <rPh sb="0" eb="3">
      <t>カワニシシ</t>
    </rPh>
    <rPh sb="3" eb="4">
      <t>サカ</t>
    </rPh>
    <rPh sb="4" eb="5">
      <t>ネ</t>
    </rPh>
    <phoneticPr fontId="1"/>
  </si>
  <si>
    <t>tyu_i@hotmail.com</t>
    <phoneticPr fontId="1"/>
  </si>
  <si>
    <t>090-1417-5136</t>
    <phoneticPr fontId="1"/>
  </si>
  <si>
    <t>080-5346-3597</t>
    <phoneticPr fontId="1"/>
  </si>
  <si>
    <t>宮本　望</t>
    <rPh sb="0" eb="2">
      <t>ミヤモト</t>
    </rPh>
    <rPh sb="3" eb="4">
      <t>ノゾ</t>
    </rPh>
    <phoneticPr fontId="1"/>
  </si>
  <si>
    <t>550-0015</t>
    <phoneticPr fontId="1"/>
  </si>
  <si>
    <t>大阪府大阪市西区南堀江4-19-6-1102</t>
    <rPh sb="0" eb="3">
      <t>オオサカフ</t>
    </rPh>
    <rPh sb="3" eb="6">
      <t>オオサカシ</t>
    </rPh>
    <rPh sb="6" eb="8">
      <t>ニシク</t>
    </rPh>
    <rPh sb="8" eb="9">
      <t>ミナミ</t>
    </rPh>
    <rPh sb="9" eb="11">
      <t>ホリエ</t>
    </rPh>
    <phoneticPr fontId="1"/>
  </si>
  <si>
    <t>080-3864-8565</t>
    <phoneticPr fontId="1"/>
  </si>
  <si>
    <t>会員木下様ご友人　パーソナルレッスン</t>
    <rPh sb="0" eb="2">
      <t>カイイン</t>
    </rPh>
    <rPh sb="2" eb="4">
      <t>キノシタ</t>
    </rPh>
    <rPh sb="4" eb="5">
      <t>サマ</t>
    </rPh>
    <rPh sb="6" eb="8">
      <t>ユウジン</t>
    </rPh>
    <phoneticPr fontId="1"/>
  </si>
  <si>
    <t>秋山　克之</t>
    <rPh sb="0" eb="2">
      <t>アキヤマ</t>
    </rPh>
    <rPh sb="3" eb="5">
      <t>カツユキ</t>
    </rPh>
    <phoneticPr fontId="1"/>
  </si>
  <si>
    <t>兵庫県宝塚市売布ガ丘1-8</t>
    <rPh sb="0" eb="3">
      <t>ヒョウゴケン</t>
    </rPh>
    <rPh sb="3" eb="6">
      <t>タカラヅカシ</t>
    </rPh>
    <rPh sb="6" eb="8">
      <t>メフ</t>
    </rPh>
    <rPh sb="9" eb="10">
      <t>オカ</t>
    </rPh>
    <phoneticPr fontId="1"/>
  </si>
  <si>
    <t>080-5718-3056</t>
    <phoneticPr fontId="1"/>
  </si>
  <si>
    <t>会員秋山孝之様ご子息</t>
    <rPh sb="0" eb="2">
      <t>カイイン</t>
    </rPh>
    <rPh sb="2" eb="4">
      <t>アキヤマ</t>
    </rPh>
    <rPh sb="4" eb="6">
      <t>タカユキ</t>
    </rPh>
    <rPh sb="6" eb="7">
      <t>サマ</t>
    </rPh>
    <rPh sb="8" eb="10">
      <t>コソク</t>
    </rPh>
    <phoneticPr fontId="1"/>
  </si>
  <si>
    <t>中本　浩</t>
    <rPh sb="0" eb="1">
      <t>ナカ</t>
    </rPh>
    <rPh sb="1" eb="2">
      <t>モト</t>
    </rPh>
    <rPh sb="3" eb="4">
      <t>ヒロシ</t>
    </rPh>
    <phoneticPr fontId="1"/>
  </si>
  <si>
    <t>601-8207</t>
    <phoneticPr fontId="1"/>
  </si>
  <si>
    <t>京都府京都市南区久世中久町705-1ルミエール桂川221</t>
    <rPh sb="0" eb="3">
      <t>キョウトフ</t>
    </rPh>
    <rPh sb="3" eb="6">
      <t>キョウトシ</t>
    </rPh>
    <rPh sb="6" eb="8">
      <t>ミナミク</t>
    </rPh>
    <rPh sb="8" eb="11">
      <t>クセナカ</t>
    </rPh>
    <rPh sb="11" eb="13">
      <t>ヒサマチ</t>
    </rPh>
    <rPh sb="23" eb="25">
      <t>カツラガワ</t>
    </rPh>
    <phoneticPr fontId="1"/>
  </si>
  <si>
    <t>51.4㎞</t>
    <phoneticPr fontId="1"/>
  </si>
  <si>
    <t>080-1216-4047</t>
    <phoneticPr fontId="1"/>
  </si>
  <si>
    <t>東口　誠志</t>
    <rPh sb="0" eb="2">
      <t>ヒガシグチ</t>
    </rPh>
    <rPh sb="3" eb="4">
      <t>マコト</t>
    </rPh>
    <rPh sb="4" eb="5">
      <t>シ</t>
    </rPh>
    <phoneticPr fontId="1"/>
  </si>
  <si>
    <t>667-0018</t>
    <phoneticPr fontId="1"/>
  </si>
  <si>
    <t>兵庫県西脇市富田町39-1</t>
    <rPh sb="0" eb="3">
      <t>ヒョウゴケン</t>
    </rPh>
    <rPh sb="3" eb="6">
      <t>ニシワキシ</t>
    </rPh>
    <rPh sb="6" eb="9">
      <t>トミタチョウ</t>
    </rPh>
    <phoneticPr fontId="1"/>
  </si>
  <si>
    <t>57.7km</t>
    <phoneticPr fontId="1"/>
  </si>
  <si>
    <t>tokoegd230@docomo.ne.jp</t>
    <phoneticPr fontId="1"/>
  </si>
  <si>
    <t>090-3283-5710</t>
    <phoneticPr fontId="1"/>
  </si>
  <si>
    <t>鹿塚　光秀</t>
    <rPh sb="0" eb="1">
      <t>シカ</t>
    </rPh>
    <rPh sb="1" eb="2">
      <t>ツカ</t>
    </rPh>
    <rPh sb="3" eb="4">
      <t>ミツ</t>
    </rPh>
    <rPh sb="4" eb="5">
      <t>ヒデ</t>
    </rPh>
    <phoneticPr fontId="1"/>
  </si>
  <si>
    <t>531-0064</t>
    <phoneticPr fontId="1"/>
  </si>
  <si>
    <t>大阪府大阪市北区国分寺2-3-46-204</t>
    <rPh sb="0" eb="3">
      <t>オオサカフ</t>
    </rPh>
    <rPh sb="3" eb="6">
      <t>オオサカシ</t>
    </rPh>
    <rPh sb="6" eb="8">
      <t>キタク</t>
    </rPh>
    <rPh sb="8" eb="11">
      <t>コクブンジ</t>
    </rPh>
    <phoneticPr fontId="1"/>
  </si>
  <si>
    <t>23.8km</t>
    <phoneticPr fontId="1"/>
  </si>
  <si>
    <t>m.kazuka@gmail.com</t>
    <phoneticPr fontId="1"/>
  </si>
  <si>
    <t>090-7884-3138</t>
    <phoneticPr fontId="1"/>
  </si>
  <si>
    <t>新宝塚メンバー　¥5,000off</t>
    <rPh sb="0" eb="3">
      <t>シンタカラヅカ</t>
    </rPh>
    <phoneticPr fontId="1"/>
  </si>
  <si>
    <t>畑中　達則</t>
    <rPh sb="0" eb="2">
      <t>ハタナカ</t>
    </rPh>
    <rPh sb="3" eb="4">
      <t>タツ</t>
    </rPh>
    <rPh sb="4" eb="5">
      <t>ノリ</t>
    </rPh>
    <phoneticPr fontId="1"/>
  </si>
  <si>
    <t>663-8101</t>
    <phoneticPr fontId="1"/>
  </si>
  <si>
    <t>西宮市松山町1-6-304</t>
    <rPh sb="0" eb="3">
      <t>ニシノミヤシ</t>
    </rPh>
    <rPh sb="3" eb="6">
      <t>マツヤママチ</t>
    </rPh>
    <phoneticPr fontId="1"/>
  </si>
  <si>
    <t>9.7km</t>
    <phoneticPr fontId="1"/>
  </si>
  <si>
    <t>dewpointer@hotmail.co.jp</t>
    <phoneticPr fontId="1"/>
  </si>
  <si>
    <t>090-6209-2924</t>
    <phoneticPr fontId="1"/>
  </si>
  <si>
    <t>高田　秀秋</t>
    <rPh sb="0" eb="2">
      <t>タカダ</t>
    </rPh>
    <rPh sb="3" eb="5">
      <t>ヒデアキ</t>
    </rPh>
    <phoneticPr fontId="1"/>
  </si>
  <si>
    <t>663-8173</t>
    <phoneticPr fontId="1"/>
  </si>
  <si>
    <t>兵庫県西宮市甲子園三番町2-2</t>
    <rPh sb="0" eb="3">
      <t>ヒョウゴケン</t>
    </rPh>
    <rPh sb="3" eb="6">
      <t>ニシノミヤシ</t>
    </rPh>
    <rPh sb="6" eb="9">
      <t>コウシエン</t>
    </rPh>
    <rPh sb="9" eb="12">
      <t>サンバンチョウ</t>
    </rPh>
    <phoneticPr fontId="1"/>
  </si>
  <si>
    <t>gcd-81127-carrera@ezweb.ne.jp</t>
    <phoneticPr fontId="1"/>
  </si>
  <si>
    <t>090-3822-4443</t>
    <phoneticPr fontId="1"/>
  </si>
  <si>
    <t>TVのCM</t>
  </si>
  <si>
    <t>西川　久美子</t>
    <rPh sb="0" eb="2">
      <t>ニシカワ</t>
    </rPh>
    <rPh sb="3" eb="6">
      <t>クミコ</t>
    </rPh>
    <phoneticPr fontId="1"/>
  </si>
  <si>
    <t>大阪府豊中市新千里東町1-2-1-2004</t>
    <rPh sb="0" eb="3">
      <t>オオサカフ</t>
    </rPh>
    <rPh sb="3" eb="6">
      <t>トヨナカシ</t>
    </rPh>
    <rPh sb="6" eb="7">
      <t>シン</t>
    </rPh>
    <rPh sb="7" eb="9">
      <t>センリ</t>
    </rPh>
    <rPh sb="9" eb="10">
      <t>ヒガシ</t>
    </rPh>
    <rPh sb="10" eb="11">
      <t>マチ</t>
    </rPh>
    <phoneticPr fontId="1"/>
  </si>
  <si>
    <t>11.6km</t>
    <phoneticPr fontId="1"/>
  </si>
  <si>
    <t>090-8988-6668</t>
    <phoneticPr fontId="1"/>
  </si>
  <si>
    <t>土谷　喜輝</t>
    <rPh sb="0" eb="2">
      <t>ツチタニ</t>
    </rPh>
    <rPh sb="3" eb="4">
      <t>ヨロコ</t>
    </rPh>
    <rPh sb="4" eb="5">
      <t>テル</t>
    </rPh>
    <phoneticPr fontId="1"/>
  </si>
  <si>
    <t>兵庫県宝塚市雲雀丘山手1-3-18</t>
    <rPh sb="0" eb="3">
      <t>ヒョウゴケン</t>
    </rPh>
    <rPh sb="3" eb="6">
      <t>タカラヅカシ</t>
    </rPh>
    <rPh sb="6" eb="9">
      <t>ヒバリガオカ</t>
    </rPh>
    <rPh sb="9" eb="11">
      <t>ヤマテ</t>
    </rPh>
    <phoneticPr fontId="1"/>
  </si>
  <si>
    <t>ytsuchitani@syd.odn.ne.jp</t>
    <phoneticPr fontId="1"/>
  </si>
  <si>
    <t>090-8750-0049</t>
    <phoneticPr fontId="1"/>
  </si>
  <si>
    <t>近俊　祐介</t>
    <rPh sb="0" eb="2">
      <t>チカトシ</t>
    </rPh>
    <rPh sb="3" eb="5">
      <t>ユウスケ</t>
    </rPh>
    <phoneticPr fontId="1"/>
  </si>
  <si>
    <t>513-0024</t>
    <phoneticPr fontId="1"/>
  </si>
  <si>
    <t>三重県鈴鹿市野辺2-4-20</t>
    <rPh sb="0" eb="3">
      <t>ミエケン</t>
    </rPh>
    <rPh sb="3" eb="6">
      <t>スズカシ</t>
    </rPh>
    <rPh sb="6" eb="8">
      <t>ノベ</t>
    </rPh>
    <phoneticPr fontId="1"/>
  </si>
  <si>
    <t>090-2262-5782</t>
    <phoneticPr fontId="1"/>
  </si>
  <si>
    <t>田村　武</t>
    <rPh sb="0" eb="2">
      <t>タムラ</t>
    </rPh>
    <rPh sb="3" eb="4">
      <t>タケシ</t>
    </rPh>
    <phoneticPr fontId="1"/>
  </si>
  <si>
    <t>665-0841</t>
    <phoneticPr fontId="1"/>
  </si>
  <si>
    <t>兵庫県宝塚市御殿山4-23-3</t>
    <rPh sb="0" eb="3">
      <t>ヒョウゴケン</t>
    </rPh>
    <rPh sb="3" eb="6">
      <t>タカラヅカシ</t>
    </rPh>
    <rPh sb="6" eb="7">
      <t>オ</t>
    </rPh>
    <rPh sb="7" eb="8">
      <t>トノ</t>
    </rPh>
    <rPh sb="8" eb="9">
      <t>ヤマ</t>
    </rPh>
    <phoneticPr fontId="1"/>
  </si>
  <si>
    <t>090-2497-7999</t>
    <phoneticPr fontId="1"/>
  </si>
  <si>
    <t>戸田　雅康</t>
    <rPh sb="0" eb="2">
      <t>トダ</t>
    </rPh>
    <rPh sb="3" eb="5">
      <t>マサヤス</t>
    </rPh>
    <phoneticPr fontId="1"/>
  </si>
  <si>
    <t>兵庫県宝塚市売布ガ丘13-3</t>
    <rPh sb="0" eb="3">
      <t>ヒョウゴケン</t>
    </rPh>
    <rPh sb="3" eb="6">
      <t>タカラヅカシ</t>
    </rPh>
    <rPh sb="6" eb="8">
      <t>メフ</t>
    </rPh>
    <rPh sb="9" eb="10">
      <t>オカ</t>
    </rPh>
    <phoneticPr fontId="1"/>
  </si>
  <si>
    <t>4㎞</t>
    <phoneticPr fontId="1"/>
  </si>
  <si>
    <t>090-3674-1847</t>
    <phoneticPr fontId="1"/>
  </si>
  <si>
    <t>戸田こずえ様　旦那様</t>
    <rPh sb="0" eb="2">
      <t>トダ</t>
    </rPh>
    <rPh sb="5" eb="6">
      <t>サマ</t>
    </rPh>
    <rPh sb="7" eb="10">
      <t>ダンナサマ</t>
    </rPh>
    <phoneticPr fontId="1"/>
  </si>
  <si>
    <t>小杉　香</t>
    <rPh sb="0" eb="2">
      <t>コスギ</t>
    </rPh>
    <rPh sb="3" eb="4">
      <t>カオ</t>
    </rPh>
    <phoneticPr fontId="1"/>
  </si>
  <si>
    <t>兵庫県宝塚市南口2丁目14-3-504</t>
    <rPh sb="0" eb="6">
      <t>ヒョウゴケンタカラヅカシ</t>
    </rPh>
    <rPh sb="6" eb="8">
      <t>ミナミグチ</t>
    </rPh>
    <rPh sb="9" eb="11">
      <t>チョウメ</t>
    </rPh>
    <phoneticPr fontId="1"/>
  </si>
  <si>
    <t>tom.8315-azu@yahoo.ne.jp</t>
    <phoneticPr fontId="1"/>
  </si>
  <si>
    <t>080-5323-8944</t>
    <phoneticPr fontId="1"/>
  </si>
  <si>
    <t>霜下　晴院</t>
    <rPh sb="0" eb="2">
      <t>シモシタ</t>
    </rPh>
    <rPh sb="3" eb="4">
      <t>ハル</t>
    </rPh>
    <rPh sb="4" eb="5">
      <t>イン</t>
    </rPh>
    <phoneticPr fontId="1"/>
  </si>
  <si>
    <t>665-0031</t>
    <phoneticPr fontId="1"/>
  </si>
  <si>
    <t>兵庫県宝塚市社町6-11</t>
    <rPh sb="0" eb="3">
      <t>ヒョウゴケン</t>
    </rPh>
    <rPh sb="3" eb="6">
      <t>タカラヅカシ</t>
    </rPh>
    <rPh sb="6" eb="8">
      <t>ヤシロチョウ</t>
    </rPh>
    <phoneticPr fontId="1"/>
  </si>
  <si>
    <t>080-3577-4573</t>
    <phoneticPr fontId="1"/>
  </si>
  <si>
    <t>新井　龍昇</t>
    <rPh sb="0" eb="2">
      <t>アライ</t>
    </rPh>
    <rPh sb="3" eb="4">
      <t>リュウ</t>
    </rPh>
    <rPh sb="4" eb="5">
      <t>ノボル</t>
    </rPh>
    <phoneticPr fontId="1"/>
  </si>
  <si>
    <t>兵庫県宝塚市安倉中2-4-8</t>
    <rPh sb="0" eb="3">
      <t>ヒョウゴケン</t>
    </rPh>
    <rPh sb="3" eb="6">
      <t>タカラヅカシ</t>
    </rPh>
    <rPh sb="6" eb="9">
      <t>アクラナカ</t>
    </rPh>
    <phoneticPr fontId="1"/>
  </si>
  <si>
    <t>090-2280-1823</t>
    <phoneticPr fontId="1"/>
  </si>
  <si>
    <t>山本大介様紹介</t>
    <rPh sb="0" eb="5">
      <t>ヤマモトダイスケサマ</t>
    </rPh>
    <rPh sb="5" eb="7">
      <t>ショウカイ</t>
    </rPh>
    <phoneticPr fontId="1"/>
  </si>
  <si>
    <t>古川　大悟</t>
    <rPh sb="0" eb="2">
      <t>フルカワ</t>
    </rPh>
    <rPh sb="3" eb="5">
      <t>ダイゴ</t>
    </rPh>
    <phoneticPr fontId="1"/>
  </si>
  <si>
    <t>兵庫県伊丹市昆陽南1-3-6</t>
    <rPh sb="0" eb="3">
      <t>ヒョウゴケン</t>
    </rPh>
    <rPh sb="3" eb="6">
      <t>イタミシ</t>
    </rPh>
    <rPh sb="6" eb="9">
      <t>コヤミナミ</t>
    </rPh>
    <phoneticPr fontId="1"/>
  </si>
  <si>
    <t>didisofccgm@yahoo.co.jp</t>
    <phoneticPr fontId="1"/>
  </si>
  <si>
    <t>080-5630-7109</t>
    <phoneticPr fontId="1"/>
  </si>
  <si>
    <t>今西　英隆</t>
    <rPh sb="0" eb="2">
      <t>イマニシ</t>
    </rPh>
    <rPh sb="3" eb="5">
      <t>ヒデタカ</t>
    </rPh>
    <phoneticPr fontId="1"/>
  </si>
  <si>
    <t>664-0888</t>
    <phoneticPr fontId="1"/>
  </si>
  <si>
    <t>606-0841</t>
    <phoneticPr fontId="1"/>
  </si>
  <si>
    <t>京都府京都市左京区下鴨南芝町18-1</t>
    <rPh sb="0" eb="3">
      <t>キョウトフ</t>
    </rPh>
    <rPh sb="3" eb="6">
      <t>キョウトシ</t>
    </rPh>
    <rPh sb="6" eb="9">
      <t>サキョウク</t>
    </rPh>
    <rPh sb="9" eb="12">
      <t>シモカモミナミ</t>
    </rPh>
    <rPh sb="12" eb="14">
      <t>シバマチ</t>
    </rPh>
    <phoneticPr fontId="1"/>
  </si>
  <si>
    <t>55.5㎞</t>
    <phoneticPr fontId="1"/>
  </si>
  <si>
    <t>090-4643-9337</t>
    <phoneticPr fontId="1"/>
  </si>
  <si>
    <t>染谷様紹介</t>
    <rPh sb="0" eb="3">
      <t>ソメヤサマ</t>
    </rPh>
    <rPh sb="3" eb="5">
      <t>ショウカイ</t>
    </rPh>
    <phoneticPr fontId="1"/>
  </si>
  <si>
    <t>河島　亜樹</t>
    <rPh sb="0" eb="2">
      <t>カワシマ</t>
    </rPh>
    <rPh sb="3" eb="5">
      <t>アキ</t>
    </rPh>
    <phoneticPr fontId="1"/>
  </si>
  <si>
    <t>兵庫県伊丹市萩野8-13-1-208</t>
    <rPh sb="0" eb="3">
      <t>ヒョウゴケン</t>
    </rPh>
    <rPh sb="3" eb="6">
      <t>イタミシ</t>
    </rPh>
    <rPh sb="6" eb="8">
      <t>ハギノ</t>
    </rPh>
    <phoneticPr fontId="1"/>
  </si>
  <si>
    <t>akiaki48102@yahoo.co.jp</t>
    <phoneticPr fontId="1"/>
  </si>
  <si>
    <t>090-5091-3663</t>
    <phoneticPr fontId="1"/>
  </si>
  <si>
    <t>播磨様紹介</t>
    <rPh sb="0" eb="3">
      <t>ハリマサマ</t>
    </rPh>
    <rPh sb="3" eb="5">
      <t>ショウカイ</t>
    </rPh>
    <phoneticPr fontId="1"/>
  </si>
  <si>
    <t>石淵　耕一</t>
    <rPh sb="0" eb="2">
      <t>イシブチ</t>
    </rPh>
    <rPh sb="3" eb="4">
      <t>コウ</t>
    </rPh>
    <rPh sb="4" eb="5">
      <t>イチ</t>
    </rPh>
    <phoneticPr fontId="1"/>
  </si>
  <si>
    <t>468-0074</t>
    <phoneticPr fontId="1"/>
  </si>
  <si>
    <t>愛知県名古屋市天白区八幡山175</t>
    <rPh sb="0" eb="7">
      <t>アイチケンナゴヤシ</t>
    </rPh>
    <rPh sb="7" eb="8">
      <t>テン</t>
    </rPh>
    <rPh sb="8" eb="9">
      <t>シロ</t>
    </rPh>
    <rPh sb="9" eb="10">
      <t>ク</t>
    </rPh>
    <phoneticPr fontId="1"/>
  </si>
  <si>
    <t>182㎞</t>
    <phoneticPr fontId="1"/>
  </si>
  <si>
    <t>090-8864-5386</t>
    <phoneticPr fontId="1"/>
  </si>
  <si>
    <t>buchi@i.softbank.jp</t>
    <phoneticPr fontId="1"/>
  </si>
  <si>
    <t>体験+試打　仕事で近くまで来る事が多い</t>
    <rPh sb="0" eb="2">
      <t>タイケン</t>
    </rPh>
    <rPh sb="3" eb="5">
      <t>シダ</t>
    </rPh>
    <rPh sb="6" eb="8">
      <t>シゴト</t>
    </rPh>
    <rPh sb="9" eb="10">
      <t>チカ</t>
    </rPh>
    <rPh sb="13" eb="14">
      <t>ク</t>
    </rPh>
    <rPh sb="15" eb="16">
      <t>コト</t>
    </rPh>
    <rPh sb="17" eb="18">
      <t>オオ</t>
    </rPh>
    <phoneticPr fontId="1"/>
  </si>
  <si>
    <t>大利　律子</t>
    <rPh sb="0" eb="2">
      <t>オオリ</t>
    </rPh>
    <rPh sb="3" eb="5">
      <t>リツコ</t>
    </rPh>
    <phoneticPr fontId="1"/>
  </si>
  <si>
    <t>兵庫県伊丹市東野8-67-3</t>
    <rPh sb="0" eb="3">
      <t>ヒョウゴケン</t>
    </rPh>
    <rPh sb="3" eb="6">
      <t>イタミシ</t>
    </rPh>
    <rPh sb="6" eb="8">
      <t>ヒガシノ</t>
    </rPh>
    <phoneticPr fontId="1"/>
  </si>
  <si>
    <t>080-4390-3725</t>
    <phoneticPr fontId="1"/>
  </si>
  <si>
    <t>佐々木　亮</t>
    <rPh sb="0" eb="3">
      <t>ササキ</t>
    </rPh>
    <rPh sb="4" eb="5">
      <t>リョウ</t>
    </rPh>
    <phoneticPr fontId="1"/>
  </si>
  <si>
    <t>669-1529</t>
    <phoneticPr fontId="1"/>
  </si>
  <si>
    <t>兵庫県三田市中央町1-5-804</t>
    <rPh sb="0" eb="3">
      <t>ヒョウゴケン</t>
    </rPh>
    <rPh sb="3" eb="6">
      <t>サンダシ</t>
    </rPh>
    <rPh sb="6" eb="9">
      <t>チュウオウチョウ</t>
    </rPh>
    <phoneticPr fontId="1"/>
  </si>
  <si>
    <t>29.4㎞</t>
    <phoneticPr fontId="1"/>
  </si>
  <si>
    <t>080-6138-9107</t>
    <phoneticPr fontId="1"/>
  </si>
  <si>
    <t>会員藤井睦様 息子様</t>
    <rPh sb="0" eb="2">
      <t>カイイン</t>
    </rPh>
    <rPh sb="2" eb="4">
      <t>フジイ</t>
    </rPh>
    <rPh sb="4" eb="5">
      <t>マコト</t>
    </rPh>
    <rPh sb="5" eb="6">
      <t>サマ</t>
    </rPh>
    <rPh sb="7" eb="9">
      <t>ムスコ</t>
    </rPh>
    <rPh sb="9" eb="10">
      <t>サマ</t>
    </rPh>
    <phoneticPr fontId="1"/>
  </si>
  <si>
    <t>河村　祐次郎</t>
    <rPh sb="0" eb="2">
      <t>カワムラ</t>
    </rPh>
    <rPh sb="3" eb="6">
      <t>ユウジロウ</t>
    </rPh>
    <phoneticPr fontId="1"/>
  </si>
  <si>
    <t>公文　智佐登</t>
    <rPh sb="0" eb="2">
      <t>クモン</t>
    </rPh>
    <rPh sb="3" eb="4">
      <t>トモ</t>
    </rPh>
    <rPh sb="4" eb="5">
      <t>サ</t>
    </rPh>
    <rPh sb="5" eb="6">
      <t>ト</t>
    </rPh>
    <phoneticPr fontId="1"/>
  </si>
  <si>
    <t>664-0012</t>
    <phoneticPr fontId="1"/>
  </si>
  <si>
    <t>兵庫県伊丹市緑ヶ丘7-1-1 36-4</t>
    <rPh sb="0" eb="3">
      <t>ヒョウゴケン</t>
    </rPh>
    <rPh sb="3" eb="6">
      <t>イタミシ</t>
    </rPh>
    <rPh sb="6" eb="9">
      <t>ミドリガオカ</t>
    </rPh>
    <phoneticPr fontId="1"/>
  </si>
  <si>
    <t>兵庫県伊丹市緑ヶ丘7-1-1</t>
    <rPh sb="0" eb="3">
      <t>ヒョウゴケン</t>
    </rPh>
    <rPh sb="3" eb="6">
      <t>イタミシ</t>
    </rPh>
    <rPh sb="6" eb="9">
      <t>ミドリガオカ</t>
    </rPh>
    <phoneticPr fontId="1"/>
  </si>
  <si>
    <t>080-5759-0892</t>
    <phoneticPr fontId="1"/>
  </si>
  <si>
    <t>090-7785-1009</t>
    <phoneticPr fontId="1"/>
  </si>
  <si>
    <t>エニタイムの会員</t>
    <rPh sb="6" eb="8">
      <t>カイイン</t>
    </rPh>
    <phoneticPr fontId="1"/>
  </si>
  <si>
    <t>渡辺　善雄</t>
    <rPh sb="0" eb="2">
      <t>ワタナベ</t>
    </rPh>
    <rPh sb="3" eb="5">
      <t>ヨシオ</t>
    </rPh>
    <phoneticPr fontId="1"/>
  </si>
  <si>
    <t>662-0084</t>
    <phoneticPr fontId="1"/>
  </si>
  <si>
    <t>14.3㎞</t>
    <phoneticPr fontId="1"/>
  </si>
  <si>
    <t>兵庫県西宮市樋之池町27-41-601</t>
    <rPh sb="0" eb="3">
      <t>ヒョウゴケン</t>
    </rPh>
    <rPh sb="3" eb="6">
      <t>ニシノミヤシ</t>
    </rPh>
    <rPh sb="6" eb="9">
      <t>ヒノイケ</t>
    </rPh>
    <rPh sb="9" eb="10">
      <t>チョウ</t>
    </rPh>
    <phoneticPr fontId="1"/>
  </si>
  <si>
    <t>090-2010-2620</t>
    <phoneticPr fontId="1"/>
  </si>
  <si>
    <t>戸島　綾一</t>
    <rPh sb="0" eb="2">
      <t>トジマ</t>
    </rPh>
    <rPh sb="3" eb="4">
      <t>アヤ</t>
    </rPh>
    <rPh sb="4" eb="5">
      <t>イチ</t>
    </rPh>
    <phoneticPr fontId="1"/>
  </si>
  <si>
    <t>563-0031</t>
    <phoneticPr fontId="1"/>
  </si>
  <si>
    <t>大阪府箕面市小野原東3丁目8-35-205</t>
    <rPh sb="0" eb="3">
      <t>オオサカフ</t>
    </rPh>
    <rPh sb="3" eb="6">
      <t>ミノオシ</t>
    </rPh>
    <rPh sb="6" eb="9">
      <t>オノハラ</t>
    </rPh>
    <rPh sb="9" eb="10">
      <t>ヒガシ</t>
    </rPh>
    <rPh sb="11" eb="13">
      <t>チョウメ</t>
    </rPh>
    <phoneticPr fontId="1"/>
  </si>
  <si>
    <t>ryo.dream21@gmail.com</t>
    <phoneticPr fontId="1"/>
  </si>
  <si>
    <t>080-6224-2340</t>
    <phoneticPr fontId="1"/>
  </si>
  <si>
    <t>伴　怜侑</t>
    <rPh sb="0" eb="1">
      <t>バン</t>
    </rPh>
    <rPh sb="2" eb="3">
      <t>レイ</t>
    </rPh>
    <rPh sb="3" eb="4">
      <t>ユウ</t>
    </rPh>
    <phoneticPr fontId="1"/>
  </si>
  <si>
    <t>兵庫県神戸市中央区浜辺通6-1-1-1517</t>
    <rPh sb="0" eb="3">
      <t>ヒョウゴケン</t>
    </rPh>
    <rPh sb="3" eb="6">
      <t>コウベシ</t>
    </rPh>
    <rPh sb="6" eb="9">
      <t>チュウオウク</t>
    </rPh>
    <rPh sb="9" eb="11">
      <t>ハマベ</t>
    </rPh>
    <rPh sb="11" eb="12">
      <t>トオ</t>
    </rPh>
    <phoneticPr fontId="1"/>
  </si>
  <si>
    <t>38.8㎞</t>
    <phoneticPr fontId="1"/>
  </si>
  <si>
    <t>651-0083</t>
    <phoneticPr fontId="1"/>
  </si>
  <si>
    <t>0613ryousuke@gmail.com</t>
    <phoneticPr fontId="1"/>
  </si>
  <si>
    <t>090-1440-6613</t>
    <phoneticPr fontId="1"/>
  </si>
  <si>
    <t>奥田　晶大</t>
    <rPh sb="0" eb="2">
      <t>オクダ</t>
    </rPh>
    <rPh sb="3" eb="4">
      <t>アキ</t>
    </rPh>
    <rPh sb="4" eb="5">
      <t>ダイ</t>
    </rPh>
    <phoneticPr fontId="1"/>
  </si>
  <si>
    <t>兵庫県宝塚市逆瀬川1-11-20-1302</t>
    <rPh sb="0" eb="3">
      <t>ヒョウゴケン</t>
    </rPh>
    <rPh sb="3" eb="6">
      <t>タカラヅカシ</t>
    </rPh>
    <rPh sb="6" eb="9">
      <t>サカセガワ</t>
    </rPh>
    <phoneticPr fontId="1"/>
  </si>
  <si>
    <t>090-2100-6727</t>
    <phoneticPr fontId="1"/>
  </si>
  <si>
    <t>藤井　勇輝</t>
    <rPh sb="0" eb="2">
      <t>フジイ</t>
    </rPh>
    <rPh sb="3" eb="4">
      <t>ユウ</t>
    </rPh>
    <rPh sb="4" eb="5">
      <t>カガヤ</t>
    </rPh>
    <phoneticPr fontId="1"/>
  </si>
  <si>
    <t>198-0021</t>
    <phoneticPr fontId="1"/>
  </si>
  <si>
    <t>40.1㎞</t>
    <phoneticPr fontId="1"/>
  </si>
  <si>
    <t>080-8475-1613</t>
    <phoneticPr fontId="1"/>
  </si>
  <si>
    <t>ビジター吉俣様ご紹介</t>
    <rPh sb="4" eb="6">
      <t>ヨシマタ</t>
    </rPh>
    <rPh sb="6" eb="7">
      <t>サマ</t>
    </rPh>
    <rPh sb="8" eb="10">
      <t>ショウカイ</t>
    </rPh>
    <phoneticPr fontId="1"/>
  </si>
  <si>
    <t>兵庫県神戸市中央区下山手通7-6-13 シッタビスタ神戸下山手通802号</t>
    <rPh sb="0" eb="3">
      <t>ヒョウゴケン</t>
    </rPh>
    <rPh sb="3" eb="6">
      <t>コウベシ</t>
    </rPh>
    <rPh sb="6" eb="9">
      <t>チュウオウク</t>
    </rPh>
    <rPh sb="9" eb="12">
      <t>シモヤマテ</t>
    </rPh>
    <rPh sb="12" eb="13">
      <t>トオ</t>
    </rPh>
    <rPh sb="35" eb="36">
      <t>ゴウ</t>
    </rPh>
    <phoneticPr fontId="1"/>
  </si>
  <si>
    <t>宮崎　大介</t>
    <rPh sb="0" eb="2">
      <t>ミヤザキ</t>
    </rPh>
    <rPh sb="3" eb="5">
      <t>ダイスケ</t>
    </rPh>
    <phoneticPr fontId="1"/>
  </si>
  <si>
    <t>兵庫県宝塚市雲雀丘2-5-36-102</t>
    <rPh sb="0" eb="3">
      <t>ヒョウゴケン</t>
    </rPh>
    <rPh sb="3" eb="6">
      <t>タカラヅカシ</t>
    </rPh>
    <rPh sb="6" eb="9">
      <t>ヒバリガオカ</t>
    </rPh>
    <phoneticPr fontId="1"/>
  </si>
  <si>
    <t>miyayasu0922@yahoo.co.jp</t>
    <phoneticPr fontId="1"/>
  </si>
  <si>
    <t>090-8152-0039</t>
    <phoneticPr fontId="1"/>
  </si>
  <si>
    <t>通りすがり</t>
    <rPh sb="0" eb="1">
      <t>トオ</t>
    </rPh>
    <phoneticPr fontId="1"/>
  </si>
  <si>
    <t>大林　将浩</t>
    <rPh sb="0" eb="2">
      <t>オオバヤシ</t>
    </rPh>
    <rPh sb="3" eb="4">
      <t>マサ</t>
    </rPh>
    <rPh sb="4" eb="5">
      <t>ヒロシ</t>
    </rPh>
    <phoneticPr fontId="1"/>
  </si>
  <si>
    <t>大阪府大阪市北区中崎3-4-22-612</t>
    <rPh sb="0" eb="3">
      <t>オオサカフ</t>
    </rPh>
    <rPh sb="3" eb="6">
      <t>オオサカシ</t>
    </rPh>
    <rPh sb="6" eb="8">
      <t>キタク</t>
    </rPh>
    <rPh sb="8" eb="10">
      <t>ナカザキ</t>
    </rPh>
    <phoneticPr fontId="1"/>
  </si>
  <si>
    <t>530-0016</t>
    <phoneticPr fontId="1"/>
  </si>
  <si>
    <t>090-3657-4372</t>
    <phoneticPr fontId="1"/>
  </si>
  <si>
    <t>仲上　典臣</t>
    <rPh sb="0" eb="2">
      <t>ナカガミ</t>
    </rPh>
    <rPh sb="3" eb="4">
      <t>ノリ</t>
    </rPh>
    <rPh sb="4" eb="5">
      <t>オミ</t>
    </rPh>
    <phoneticPr fontId="1"/>
  </si>
  <si>
    <t>673-0541</t>
    <phoneticPr fontId="1"/>
  </si>
  <si>
    <t>兵庫県三木市志染町広野6-124-6</t>
    <rPh sb="0" eb="3">
      <t>ヒョウゴケン</t>
    </rPh>
    <rPh sb="3" eb="6">
      <t>ミキシ</t>
    </rPh>
    <rPh sb="6" eb="7">
      <t>ココロザ</t>
    </rPh>
    <rPh sb="7" eb="8">
      <t>ソメ</t>
    </rPh>
    <rPh sb="8" eb="9">
      <t>チョウ</t>
    </rPh>
    <rPh sb="9" eb="11">
      <t>ヒロノ</t>
    </rPh>
    <phoneticPr fontId="1"/>
  </si>
  <si>
    <t>43.6㎞</t>
    <phoneticPr fontId="1"/>
  </si>
  <si>
    <t>n-nakagami816@yahoo.co.jp</t>
    <phoneticPr fontId="1"/>
  </si>
  <si>
    <t>090-1714-2893</t>
    <phoneticPr fontId="1"/>
  </si>
  <si>
    <t>中川　徹</t>
    <rPh sb="0" eb="2">
      <t>ナカガワ</t>
    </rPh>
    <rPh sb="3" eb="4">
      <t>トオル</t>
    </rPh>
    <phoneticPr fontId="1"/>
  </si>
  <si>
    <t>651-1232</t>
    <phoneticPr fontId="1"/>
  </si>
  <si>
    <t>rldinosaur@yahoo.co.jp</t>
    <phoneticPr fontId="1"/>
  </si>
  <si>
    <t>080-5323-3194</t>
    <phoneticPr fontId="1"/>
  </si>
  <si>
    <t>今村　健二</t>
    <rPh sb="0" eb="2">
      <t>イマムラ</t>
    </rPh>
    <rPh sb="3" eb="5">
      <t>ケンジ</t>
    </rPh>
    <phoneticPr fontId="1"/>
  </si>
  <si>
    <t>666-0142</t>
    <phoneticPr fontId="1"/>
  </si>
  <si>
    <t>兵庫県川西市清和台東1-2-87</t>
    <rPh sb="0" eb="3">
      <t>ヒョウゴケン</t>
    </rPh>
    <rPh sb="3" eb="6">
      <t>カワニシシ</t>
    </rPh>
    <rPh sb="6" eb="9">
      <t>セイワダイ</t>
    </rPh>
    <rPh sb="9" eb="10">
      <t>ヒガシ</t>
    </rPh>
    <phoneticPr fontId="1"/>
  </si>
  <si>
    <t>imamurakesm0214@gmail.com</t>
    <phoneticPr fontId="1"/>
  </si>
  <si>
    <t>090-8467-4046</t>
    <phoneticPr fontId="1"/>
  </si>
  <si>
    <t>兵庫県宝塚市雲雀丘1-5-21-402</t>
    <rPh sb="0" eb="2">
      <t>ヒョウゴ</t>
    </rPh>
    <rPh sb="2" eb="3">
      <t>ケン</t>
    </rPh>
    <rPh sb="3" eb="5">
      <t>タカラヅカ</t>
    </rPh>
    <rPh sb="5" eb="6">
      <t>シ</t>
    </rPh>
    <rPh sb="6" eb="8">
      <t>ヒバリ</t>
    </rPh>
    <rPh sb="8" eb="9">
      <t>オカ</t>
    </rPh>
    <phoneticPr fontId="1"/>
  </si>
  <si>
    <t>元会員さま</t>
    <rPh sb="0" eb="3">
      <t>モトカイイン</t>
    </rPh>
    <phoneticPr fontId="1"/>
  </si>
  <si>
    <t>日野　聖也</t>
    <rPh sb="0" eb="2">
      <t>ヒノ</t>
    </rPh>
    <rPh sb="3" eb="4">
      <t>セイ</t>
    </rPh>
    <rPh sb="4" eb="5">
      <t>ヤ</t>
    </rPh>
    <phoneticPr fontId="1"/>
  </si>
  <si>
    <t>657-0025</t>
    <phoneticPr fontId="1"/>
  </si>
  <si>
    <t>兵庫県神戸市灘区高徳町1-7-1-316</t>
    <rPh sb="0" eb="3">
      <t>ヒョウゴケン</t>
    </rPh>
    <rPh sb="3" eb="6">
      <t>コウベシ</t>
    </rPh>
    <rPh sb="6" eb="7">
      <t>ナダ</t>
    </rPh>
    <rPh sb="7" eb="8">
      <t>ク</t>
    </rPh>
    <rPh sb="8" eb="9">
      <t>タカ</t>
    </rPh>
    <rPh sb="9" eb="10">
      <t>トク</t>
    </rPh>
    <rPh sb="10" eb="11">
      <t>チョウ</t>
    </rPh>
    <phoneticPr fontId="1"/>
  </si>
  <si>
    <t>32.5㎞</t>
    <phoneticPr fontId="1"/>
  </si>
  <si>
    <t>090-8793-0503</t>
    <phoneticPr fontId="1"/>
  </si>
  <si>
    <t>村田　卓</t>
    <rPh sb="0" eb="2">
      <t>ムラタ</t>
    </rPh>
    <rPh sb="3" eb="4">
      <t>タク</t>
    </rPh>
    <phoneticPr fontId="1"/>
  </si>
  <si>
    <t>13.5km</t>
    <phoneticPr fontId="1"/>
  </si>
  <si>
    <t>兵庫県芦屋市岩園町49-13</t>
    <rPh sb="0" eb="3">
      <t>ヒョウゴケン</t>
    </rPh>
    <rPh sb="3" eb="6">
      <t>アシヤシ</t>
    </rPh>
    <rPh sb="6" eb="9">
      <t>イワゾノチョウ</t>
    </rPh>
    <phoneticPr fontId="1"/>
  </si>
  <si>
    <t>080-1070-1540</t>
    <phoneticPr fontId="1"/>
  </si>
  <si>
    <t>棚瀬　善靖</t>
    <rPh sb="0" eb="2">
      <t>タナセ</t>
    </rPh>
    <rPh sb="3" eb="4">
      <t>ヨシ</t>
    </rPh>
    <rPh sb="4" eb="5">
      <t>ヤス</t>
    </rPh>
    <phoneticPr fontId="1"/>
  </si>
  <si>
    <t xml:space="preserve"> </t>
    <phoneticPr fontId="1"/>
  </si>
  <si>
    <t>2020.7.18 フィッティング来店済</t>
    <rPh sb="17" eb="19">
      <t>ライテン</t>
    </rPh>
    <rPh sb="19" eb="20">
      <t>スミ</t>
    </rPh>
    <phoneticPr fontId="1"/>
  </si>
  <si>
    <t>永井　真三</t>
    <rPh sb="0" eb="2">
      <t>ナガイ</t>
    </rPh>
    <rPh sb="3" eb="5">
      <t>シンゾウ</t>
    </rPh>
    <phoneticPr fontId="1"/>
  </si>
  <si>
    <t>兵庫県川西市花屋敷2-3-16-202</t>
    <rPh sb="0" eb="3">
      <t>ヒョウゴケン</t>
    </rPh>
    <rPh sb="3" eb="6">
      <t>カワニシシ</t>
    </rPh>
    <rPh sb="6" eb="9">
      <t>ハナヤシキ</t>
    </rPh>
    <phoneticPr fontId="1"/>
  </si>
  <si>
    <t>blackvelvet103903@gmail.com</t>
    <phoneticPr fontId="1"/>
  </si>
  <si>
    <t>090-1654-6862</t>
    <phoneticPr fontId="1"/>
  </si>
  <si>
    <t>矢野　勇治</t>
    <rPh sb="0" eb="2">
      <t>ヤノ</t>
    </rPh>
    <rPh sb="3" eb="5">
      <t>ユウジ</t>
    </rPh>
    <phoneticPr fontId="1"/>
  </si>
  <si>
    <t>大阪府大阪市住吉区南住吉4-6-22</t>
    <rPh sb="0" eb="3">
      <t>オオサカフ</t>
    </rPh>
    <rPh sb="3" eb="6">
      <t>オオサカシ</t>
    </rPh>
    <rPh sb="6" eb="9">
      <t>スミヨシク</t>
    </rPh>
    <rPh sb="9" eb="10">
      <t>ミナミ</t>
    </rPh>
    <rPh sb="10" eb="12">
      <t>スミヨシ</t>
    </rPh>
    <phoneticPr fontId="1"/>
  </si>
  <si>
    <t>33.9㎞</t>
    <phoneticPr fontId="1"/>
  </si>
  <si>
    <t>090-8755-6013</t>
    <phoneticPr fontId="1"/>
  </si>
  <si>
    <t>丹羽　櫻</t>
    <rPh sb="0" eb="2">
      <t>ニワ</t>
    </rPh>
    <rPh sb="3" eb="4">
      <t>サクラ</t>
    </rPh>
    <phoneticPr fontId="1"/>
  </si>
  <si>
    <t>669-1543</t>
    <phoneticPr fontId="1"/>
  </si>
  <si>
    <t>兵庫県三田市下深田746-443</t>
    <rPh sb="0" eb="3">
      <t>ヒョウゴケン</t>
    </rPh>
    <rPh sb="3" eb="6">
      <t>サンダシ</t>
    </rPh>
    <rPh sb="6" eb="9">
      <t>シモフカダ</t>
    </rPh>
    <phoneticPr fontId="1"/>
  </si>
  <si>
    <t>27.7㎞</t>
    <phoneticPr fontId="1"/>
  </si>
  <si>
    <t>090-5464-6585</t>
    <phoneticPr fontId="1"/>
  </si>
  <si>
    <t>松岡　潔</t>
    <rPh sb="0" eb="2">
      <t>マツオカ</t>
    </rPh>
    <rPh sb="3" eb="4">
      <t>キヨシ</t>
    </rPh>
    <phoneticPr fontId="1"/>
  </si>
  <si>
    <t>080-1432-4896</t>
    <phoneticPr fontId="1"/>
  </si>
  <si>
    <t>563-0055</t>
    <phoneticPr fontId="1"/>
  </si>
  <si>
    <t>大阪府池田市菅原町2-14</t>
    <rPh sb="0" eb="3">
      <t>オオサカフ</t>
    </rPh>
    <rPh sb="3" eb="6">
      <t>イケダシ</t>
    </rPh>
    <rPh sb="6" eb="8">
      <t>スガハラ</t>
    </rPh>
    <rPh sb="8" eb="9">
      <t>チョウ</t>
    </rPh>
    <phoneticPr fontId="1"/>
  </si>
  <si>
    <t>太田　潤</t>
    <rPh sb="0" eb="2">
      <t>オオタ</t>
    </rPh>
    <rPh sb="3" eb="4">
      <t>ジュン</t>
    </rPh>
    <phoneticPr fontId="1"/>
  </si>
  <si>
    <t>090-7110-4486</t>
    <phoneticPr fontId="1"/>
  </si>
  <si>
    <t>615-0062</t>
    <phoneticPr fontId="1"/>
  </si>
  <si>
    <t>京都市右京区西院坤町126</t>
    <rPh sb="0" eb="3">
      <t>キョウトシ</t>
    </rPh>
    <rPh sb="3" eb="6">
      <t>ウキョウク</t>
    </rPh>
    <rPh sb="6" eb="8">
      <t>サイイン</t>
    </rPh>
    <rPh sb="8" eb="9">
      <t>ヒツジサル</t>
    </rPh>
    <rPh sb="9" eb="10">
      <t>チョウ</t>
    </rPh>
    <phoneticPr fontId="1"/>
  </si>
  <si>
    <t>48.7㎞</t>
    <phoneticPr fontId="1"/>
  </si>
  <si>
    <t>110分　社長知人</t>
    <rPh sb="3" eb="4">
      <t>フン</t>
    </rPh>
    <rPh sb="5" eb="7">
      <t>シャチョウ</t>
    </rPh>
    <rPh sb="7" eb="9">
      <t>チジン</t>
    </rPh>
    <phoneticPr fontId="1"/>
  </si>
  <si>
    <t>石川　金吾</t>
    <rPh sb="0" eb="2">
      <t>イシカワ</t>
    </rPh>
    <rPh sb="3" eb="5">
      <t>キンゴ</t>
    </rPh>
    <phoneticPr fontId="1"/>
  </si>
  <si>
    <t>532-0024</t>
    <phoneticPr fontId="1"/>
  </si>
  <si>
    <t>大阪府淀川区十三本町2-4-31-902</t>
    <rPh sb="0" eb="3">
      <t>オオサカフ</t>
    </rPh>
    <rPh sb="3" eb="5">
      <t>ヨドガワ</t>
    </rPh>
    <rPh sb="5" eb="6">
      <t>ク</t>
    </rPh>
    <rPh sb="6" eb="8">
      <t>ジュウソウ</t>
    </rPh>
    <rPh sb="8" eb="10">
      <t>ホンマチ</t>
    </rPh>
    <phoneticPr fontId="1"/>
  </si>
  <si>
    <t>kingoishikawa@gmail.com</t>
    <phoneticPr fontId="1"/>
  </si>
  <si>
    <t>080-1465-9573</t>
    <phoneticPr fontId="1"/>
  </si>
  <si>
    <t>16.9㎞</t>
    <phoneticPr fontId="1"/>
  </si>
  <si>
    <t>森　健人</t>
    <rPh sb="0" eb="1">
      <t>モリ</t>
    </rPh>
    <rPh sb="2" eb="4">
      <t>ケント</t>
    </rPh>
    <phoneticPr fontId="1"/>
  </si>
  <si>
    <t>662-0916</t>
    <phoneticPr fontId="1"/>
  </si>
  <si>
    <t>兵庫県西宮市戸田町5-31-408</t>
    <rPh sb="0" eb="3">
      <t>ヒョウゴケン</t>
    </rPh>
    <rPh sb="3" eb="6">
      <t>ニシノミヤシ</t>
    </rPh>
    <rPh sb="6" eb="8">
      <t>トダ</t>
    </rPh>
    <rPh sb="8" eb="9">
      <t>チョウ</t>
    </rPh>
    <phoneticPr fontId="1"/>
  </si>
  <si>
    <t>090-7884-1555</t>
    <phoneticPr fontId="1"/>
  </si>
  <si>
    <t>後藤　徹</t>
    <rPh sb="0" eb="2">
      <t>ゴトウ</t>
    </rPh>
    <rPh sb="3" eb="4">
      <t>トオル</t>
    </rPh>
    <phoneticPr fontId="1"/>
  </si>
  <si>
    <t>664-0013</t>
    <phoneticPr fontId="1"/>
  </si>
  <si>
    <t>兵庫県伊丹市瑞穂町3-44-1</t>
    <rPh sb="0" eb="3">
      <t>ヒョウゴケン</t>
    </rPh>
    <rPh sb="3" eb="6">
      <t>イタミシ</t>
    </rPh>
    <rPh sb="6" eb="9">
      <t>ミズホチョウ</t>
    </rPh>
    <phoneticPr fontId="1"/>
  </si>
  <si>
    <t>080-1418-8351</t>
    <phoneticPr fontId="1"/>
  </si>
  <si>
    <t>江川　忠範</t>
    <rPh sb="0" eb="2">
      <t>エガワ</t>
    </rPh>
    <rPh sb="3" eb="5">
      <t>タダノリ</t>
    </rPh>
    <phoneticPr fontId="1"/>
  </si>
  <si>
    <t>558-0053</t>
    <phoneticPr fontId="1"/>
  </si>
  <si>
    <t>大阪府大阪市住吉区帝塚山中2-4-5-401</t>
    <rPh sb="0" eb="3">
      <t>オオサカフ</t>
    </rPh>
    <rPh sb="3" eb="6">
      <t>オオサカシ</t>
    </rPh>
    <rPh sb="6" eb="8">
      <t>スミヨシ</t>
    </rPh>
    <rPh sb="8" eb="9">
      <t>ク</t>
    </rPh>
    <rPh sb="9" eb="10">
      <t>テイ</t>
    </rPh>
    <rPh sb="10" eb="11">
      <t>ツカ</t>
    </rPh>
    <rPh sb="11" eb="12">
      <t>ヤマ</t>
    </rPh>
    <rPh sb="12" eb="13">
      <t>ナカ</t>
    </rPh>
    <phoneticPr fontId="1"/>
  </si>
  <si>
    <t>30.5㎞</t>
    <phoneticPr fontId="1"/>
  </si>
  <si>
    <t>090-2707-3632</t>
    <phoneticPr fontId="1"/>
  </si>
  <si>
    <t>岩本　裕己彦</t>
    <rPh sb="0" eb="2">
      <t>イワモト</t>
    </rPh>
    <rPh sb="3" eb="4">
      <t>ユウ</t>
    </rPh>
    <rPh sb="4" eb="5">
      <t>オノレ</t>
    </rPh>
    <rPh sb="5" eb="6">
      <t>ヒコ</t>
    </rPh>
    <phoneticPr fontId="1"/>
  </si>
  <si>
    <t>米田　幹雄</t>
    <rPh sb="0" eb="2">
      <t>ヨネダ</t>
    </rPh>
    <rPh sb="3" eb="5">
      <t>ミキオ</t>
    </rPh>
    <phoneticPr fontId="1"/>
  </si>
  <si>
    <t>兵庫県西宮市上甲子園1-4-41-202</t>
    <rPh sb="0" eb="3">
      <t>ヒョウゴケン</t>
    </rPh>
    <rPh sb="3" eb="6">
      <t>ニシノミヤシ</t>
    </rPh>
    <rPh sb="6" eb="10">
      <t>カミコウシエン</t>
    </rPh>
    <phoneticPr fontId="1"/>
  </si>
  <si>
    <t>090-1022-6074</t>
    <phoneticPr fontId="1"/>
  </si>
  <si>
    <t>580-0017</t>
    <phoneticPr fontId="1"/>
  </si>
  <si>
    <t>大阪府松原市柴垣2-1-36</t>
    <rPh sb="0" eb="3">
      <t>オオサカフ</t>
    </rPh>
    <rPh sb="3" eb="5">
      <t>マツバラ</t>
    </rPh>
    <rPh sb="5" eb="6">
      <t>シ</t>
    </rPh>
    <rPh sb="6" eb="8">
      <t>シバガキ</t>
    </rPh>
    <phoneticPr fontId="1"/>
  </si>
  <si>
    <t>40.8㎞</t>
    <phoneticPr fontId="1"/>
  </si>
  <si>
    <t>080-3802-0171</t>
    <phoneticPr fontId="1"/>
  </si>
  <si>
    <t>2020.08.20フィッティング来店済み　会員岩佐様ご友人</t>
    <rPh sb="17" eb="19">
      <t>ライテン</t>
    </rPh>
    <rPh sb="19" eb="20">
      <t>ズ</t>
    </rPh>
    <rPh sb="22" eb="24">
      <t>カイイン</t>
    </rPh>
    <rPh sb="24" eb="26">
      <t>イワサ</t>
    </rPh>
    <rPh sb="26" eb="27">
      <t>サマ</t>
    </rPh>
    <rPh sb="28" eb="30">
      <t>ユウジン</t>
    </rPh>
    <phoneticPr fontId="1"/>
  </si>
  <si>
    <t>塚本　久道</t>
    <rPh sb="0" eb="2">
      <t>ツカモト</t>
    </rPh>
    <rPh sb="3" eb="5">
      <t>ヒサミチ</t>
    </rPh>
    <phoneticPr fontId="1"/>
  </si>
  <si>
    <t>663-8021</t>
    <phoneticPr fontId="1"/>
  </si>
  <si>
    <t>西宮市上之町34-17</t>
    <rPh sb="0" eb="3">
      <t>ニシノミヤシ</t>
    </rPh>
    <rPh sb="3" eb="4">
      <t>ウエ</t>
    </rPh>
    <rPh sb="4" eb="5">
      <t>ノ</t>
    </rPh>
    <rPh sb="5" eb="6">
      <t>チョウ</t>
    </rPh>
    <phoneticPr fontId="1"/>
  </si>
  <si>
    <t>8.5km</t>
    <phoneticPr fontId="1"/>
  </si>
  <si>
    <t>090-3709-4334</t>
    <phoneticPr fontId="1"/>
  </si>
  <si>
    <t>2021.09.18体験でご来店済</t>
    <rPh sb="10" eb="12">
      <t>タイケン</t>
    </rPh>
    <rPh sb="14" eb="16">
      <t>ライテン</t>
    </rPh>
    <rPh sb="16" eb="17">
      <t>スミ</t>
    </rPh>
    <phoneticPr fontId="1"/>
  </si>
  <si>
    <t>奥村　智之</t>
    <rPh sb="0" eb="2">
      <t>オクムラ</t>
    </rPh>
    <rPh sb="3" eb="5">
      <t>トモユキ</t>
    </rPh>
    <phoneticPr fontId="1"/>
  </si>
  <si>
    <t>542-0073</t>
    <phoneticPr fontId="1"/>
  </si>
  <si>
    <t>大阪市中央区日本橋2-20-3-503</t>
    <rPh sb="0" eb="3">
      <t>オオサカシ</t>
    </rPh>
    <rPh sb="3" eb="6">
      <t>チュウオウク</t>
    </rPh>
    <rPh sb="6" eb="9">
      <t>ニホンバシ</t>
    </rPh>
    <phoneticPr fontId="1"/>
  </si>
  <si>
    <t>090-4765-2336</t>
    <phoneticPr fontId="1"/>
  </si>
  <si>
    <t>小川さんのお知り合い</t>
    <rPh sb="0" eb="2">
      <t>オガワ</t>
    </rPh>
    <rPh sb="6" eb="7">
      <t>シ</t>
    </rPh>
    <rPh sb="8" eb="9">
      <t>ア</t>
    </rPh>
    <phoneticPr fontId="1"/>
  </si>
  <si>
    <t>吉岡　邦彦</t>
    <rPh sb="0" eb="2">
      <t>ヨシオカ</t>
    </rPh>
    <rPh sb="3" eb="5">
      <t>クニヒコ</t>
    </rPh>
    <phoneticPr fontId="1"/>
  </si>
  <si>
    <t>566-0043</t>
    <phoneticPr fontId="1"/>
  </si>
  <si>
    <t>大阪市摂津市一津屋1-17-8</t>
    <rPh sb="0" eb="3">
      <t>オオサカシ</t>
    </rPh>
    <rPh sb="3" eb="5">
      <t>セッツ</t>
    </rPh>
    <rPh sb="5" eb="6">
      <t>シ</t>
    </rPh>
    <rPh sb="6" eb="9">
      <t>ヒトツヤ</t>
    </rPh>
    <phoneticPr fontId="1"/>
  </si>
  <si>
    <t>090-9051-3379</t>
    <phoneticPr fontId="1"/>
  </si>
  <si>
    <t>湯浅　健史</t>
    <rPh sb="0" eb="2">
      <t>ユアサ</t>
    </rPh>
    <rPh sb="3" eb="4">
      <t>タケシ</t>
    </rPh>
    <rPh sb="4" eb="5">
      <t>シ</t>
    </rPh>
    <phoneticPr fontId="1"/>
  </si>
  <si>
    <t>宝塚市雲雀丘2-9-2</t>
    <rPh sb="0" eb="2">
      <t>タカラヅカ</t>
    </rPh>
    <rPh sb="2" eb="3">
      <t>シ</t>
    </rPh>
    <rPh sb="3" eb="5">
      <t>ヒバリ</t>
    </rPh>
    <rPh sb="5" eb="6">
      <t>オカ</t>
    </rPh>
    <phoneticPr fontId="1"/>
  </si>
  <si>
    <t>take14711471@icloud.com</t>
    <phoneticPr fontId="1"/>
  </si>
  <si>
    <t>090-1611-7618</t>
    <phoneticPr fontId="1"/>
  </si>
  <si>
    <t>赤松　桂多</t>
    <rPh sb="0" eb="2">
      <t>アカマツ</t>
    </rPh>
    <rPh sb="3" eb="4">
      <t>カツラ</t>
    </rPh>
    <rPh sb="4" eb="5">
      <t>オオ</t>
    </rPh>
    <phoneticPr fontId="1"/>
  </si>
  <si>
    <t>大阪府岸和田市南上町1-8-5</t>
    <rPh sb="0" eb="3">
      <t>オオサカフ</t>
    </rPh>
    <rPh sb="3" eb="6">
      <t>キシワダ</t>
    </rPh>
    <rPh sb="6" eb="7">
      <t>シ</t>
    </rPh>
    <rPh sb="7" eb="8">
      <t>ミナミ</t>
    </rPh>
    <rPh sb="8" eb="9">
      <t>ウエ</t>
    </rPh>
    <rPh sb="9" eb="10">
      <t>チョウ</t>
    </rPh>
    <phoneticPr fontId="1"/>
  </si>
  <si>
    <t>日比野　淳</t>
    <rPh sb="0" eb="3">
      <t>ヒビノ</t>
    </rPh>
    <rPh sb="4" eb="5">
      <t>ジュン</t>
    </rPh>
    <phoneticPr fontId="1"/>
  </si>
  <si>
    <t>599-8241</t>
    <phoneticPr fontId="1"/>
  </si>
  <si>
    <t>大阪府堺市中区福田823-5</t>
    <rPh sb="0" eb="3">
      <t>オオサカフ</t>
    </rPh>
    <rPh sb="3" eb="5">
      <t>サカイシ</t>
    </rPh>
    <rPh sb="5" eb="7">
      <t>ナカク</t>
    </rPh>
    <rPh sb="7" eb="9">
      <t>フクダ</t>
    </rPh>
    <phoneticPr fontId="1"/>
  </si>
  <si>
    <t>596-0078</t>
    <phoneticPr fontId="1"/>
  </si>
  <si>
    <t>42.7㎞</t>
    <phoneticPr fontId="1"/>
  </si>
  <si>
    <t>090-3971-3297</t>
    <phoneticPr fontId="1"/>
  </si>
  <si>
    <t>090-5977-0895</t>
    <phoneticPr fontId="1"/>
  </si>
  <si>
    <t>2021.07.10ﾌｨｯﾃｨﾝｸﾞご来店の田畑様ご紹介</t>
    <rPh sb="19" eb="21">
      <t>ライテン</t>
    </rPh>
    <rPh sb="22" eb="24">
      <t>タバタ</t>
    </rPh>
    <rPh sb="24" eb="25">
      <t>サマ</t>
    </rPh>
    <rPh sb="26" eb="28">
      <t>ショウカイ</t>
    </rPh>
    <phoneticPr fontId="1"/>
  </si>
  <si>
    <t>柳川　和佳</t>
    <rPh sb="0" eb="2">
      <t>ヤナガワ</t>
    </rPh>
    <rPh sb="3" eb="4">
      <t>カズ</t>
    </rPh>
    <rPh sb="4" eb="5">
      <t>ヨシ</t>
    </rPh>
    <phoneticPr fontId="1"/>
  </si>
  <si>
    <t>661-0045</t>
    <phoneticPr fontId="1"/>
  </si>
  <si>
    <t>兵庫県尼崎市武庫豊町3-12-20-105</t>
    <rPh sb="0" eb="3">
      <t>ヒョウゴケン</t>
    </rPh>
    <rPh sb="3" eb="6">
      <t>アマガサキシ</t>
    </rPh>
    <rPh sb="6" eb="8">
      <t>ムコ</t>
    </rPh>
    <rPh sb="8" eb="9">
      <t>トヨ</t>
    </rPh>
    <rPh sb="9" eb="10">
      <t>マチ</t>
    </rPh>
    <phoneticPr fontId="1"/>
  </si>
  <si>
    <t>8.5㎞</t>
    <phoneticPr fontId="1"/>
  </si>
  <si>
    <t>090-8216-4305</t>
    <phoneticPr fontId="1"/>
  </si>
  <si>
    <t>社長知人　料金￥0対応</t>
    <rPh sb="0" eb="2">
      <t>シャチョウ</t>
    </rPh>
    <rPh sb="2" eb="4">
      <t>チジン</t>
    </rPh>
    <rPh sb="5" eb="7">
      <t>リョウキン</t>
    </rPh>
    <rPh sb="9" eb="11">
      <t>タイオウ</t>
    </rPh>
    <phoneticPr fontId="1"/>
  </si>
  <si>
    <t>林田　裕磨</t>
    <rPh sb="0" eb="2">
      <t>ハヤシダ</t>
    </rPh>
    <rPh sb="3" eb="4">
      <t>ユウ</t>
    </rPh>
    <rPh sb="4" eb="5">
      <t>マ</t>
    </rPh>
    <phoneticPr fontId="1"/>
  </si>
  <si>
    <t>534-0024</t>
    <phoneticPr fontId="1"/>
  </si>
  <si>
    <t>大阪府大阪市都島区東野田町1-21-6-701</t>
    <rPh sb="0" eb="3">
      <t>オオサカフ</t>
    </rPh>
    <rPh sb="3" eb="6">
      <t>オオサカシ</t>
    </rPh>
    <rPh sb="6" eb="7">
      <t>ト</t>
    </rPh>
    <rPh sb="7" eb="9">
      <t>シマク</t>
    </rPh>
    <rPh sb="9" eb="12">
      <t>ヒガシノダ</t>
    </rPh>
    <rPh sb="12" eb="13">
      <t>チョウ</t>
    </rPh>
    <phoneticPr fontId="1"/>
  </si>
  <si>
    <t>25.9㎞</t>
    <phoneticPr fontId="1"/>
  </si>
  <si>
    <t>090-7491-9326</t>
    <phoneticPr fontId="1"/>
  </si>
  <si>
    <t>唐津　肖成</t>
    <rPh sb="0" eb="2">
      <t>カラツ</t>
    </rPh>
    <rPh sb="3" eb="4">
      <t>ショウ</t>
    </rPh>
    <rPh sb="4" eb="5">
      <t>シゲル</t>
    </rPh>
    <phoneticPr fontId="1"/>
  </si>
  <si>
    <t>唐津　沙莉</t>
    <rPh sb="0" eb="2">
      <t>カラツ</t>
    </rPh>
    <rPh sb="3" eb="4">
      <t>サ</t>
    </rPh>
    <rPh sb="4" eb="5">
      <t>マリ</t>
    </rPh>
    <phoneticPr fontId="1"/>
  </si>
  <si>
    <t>671-1113</t>
    <phoneticPr fontId="1"/>
  </si>
  <si>
    <t>姫路市広畑区清水町1-10-4</t>
    <rPh sb="0" eb="3">
      <t>ヒメジシ</t>
    </rPh>
    <rPh sb="3" eb="6">
      <t>ヒロハタク</t>
    </rPh>
    <rPh sb="6" eb="9">
      <t>シミズチョウ</t>
    </rPh>
    <phoneticPr fontId="1"/>
  </si>
  <si>
    <t>090-8575-9227</t>
    <phoneticPr fontId="1"/>
  </si>
  <si>
    <t>090-6977-0592</t>
    <phoneticPr fontId="1"/>
  </si>
  <si>
    <t>父娘</t>
    <rPh sb="0" eb="1">
      <t>チチ</t>
    </rPh>
    <rPh sb="1" eb="2">
      <t>ムスメ</t>
    </rPh>
    <phoneticPr fontId="1"/>
  </si>
  <si>
    <t>灰山　実</t>
    <rPh sb="0" eb="2">
      <t>ハイヤマ</t>
    </rPh>
    <rPh sb="3" eb="4">
      <t>ミノル</t>
    </rPh>
    <phoneticPr fontId="1"/>
  </si>
  <si>
    <t>楠見　健康</t>
    <rPh sb="0" eb="2">
      <t>クスミ</t>
    </rPh>
    <rPh sb="3" eb="5">
      <t>ケンコウ</t>
    </rPh>
    <phoneticPr fontId="1"/>
  </si>
  <si>
    <t>662-0099</t>
    <phoneticPr fontId="1"/>
  </si>
  <si>
    <t>宝塚市山手台西4-5-1</t>
    <rPh sb="0" eb="2">
      <t>タカラヅカ</t>
    </rPh>
    <rPh sb="2" eb="3">
      <t>シ</t>
    </rPh>
    <rPh sb="3" eb="5">
      <t>ヤマテ</t>
    </rPh>
    <rPh sb="5" eb="6">
      <t>ダイ</t>
    </rPh>
    <rPh sb="6" eb="7">
      <t>ニシ</t>
    </rPh>
    <phoneticPr fontId="1"/>
  </si>
  <si>
    <t>090-5241-1020</t>
    <phoneticPr fontId="1"/>
  </si>
  <si>
    <t>090-9048-0713</t>
    <phoneticPr fontId="1"/>
  </si>
  <si>
    <t>西宮市剣谷町10-20</t>
    <rPh sb="0" eb="2">
      <t>ニシノミヤ</t>
    </rPh>
    <rPh sb="2" eb="3">
      <t>シ</t>
    </rPh>
    <rPh sb="3" eb="5">
      <t>ケンタニ</t>
    </rPh>
    <rPh sb="5" eb="6">
      <t>チョウ</t>
    </rPh>
    <phoneticPr fontId="1"/>
  </si>
  <si>
    <t>中川　雅也</t>
    <rPh sb="0" eb="2">
      <t>ナカガワ</t>
    </rPh>
    <rPh sb="3" eb="4">
      <t>マサ</t>
    </rPh>
    <rPh sb="4" eb="5">
      <t>ヤ</t>
    </rPh>
    <phoneticPr fontId="1"/>
  </si>
  <si>
    <t>107-0052</t>
    <phoneticPr fontId="1"/>
  </si>
  <si>
    <t>東京都港区赤坂9-7-2-2101</t>
    <rPh sb="0" eb="3">
      <t>トウキョウト</t>
    </rPh>
    <rPh sb="3" eb="5">
      <t>ミナトク</t>
    </rPh>
    <rPh sb="5" eb="7">
      <t>アカサカ</t>
    </rPh>
    <phoneticPr fontId="1"/>
  </si>
  <si>
    <t>502㎞</t>
    <phoneticPr fontId="1"/>
  </si>
  <si>
    <t>090-5551-0001</t>
    <phoneticPr fontId="1"/>
  </si>
  <si>
    <t>nkgw841347@gmail.com</t>
    <phoneticPr fontId="1"/>
  </si>
  <si>
    <t>福田　梨沙</t>
    <rPh sb="0" eb="2">
      <t>フクダ</t>
    </rPh>
    <rPh sb="3" eb="5">
      <t>リサ</t>
    </rPh>
    <phoneticPr fontId="1"/>
  </si>
  <si>
    <t>兵庫県宝塚市安倉南2-19-14坂西レジデンスⅡ102</t>
    <rPh sb="0" eb="3">
      <t>ヒョウゴケン</t>
    </rPh>
    <rPh sb="3" eb="5">
      <t>タカラヅカ</t>
    </rPh>
    <rPh sb="5" eb="6">
      <t>シ</t>
    </rPh>
    <rPh sb="6" eb="8">
      <t>アクラ</t>
    </rPh>
    <rPh sb="8" eb="9">
      <t>ミナミ</t>
    </rPh>
    <rPh sb="16" eb="18">
      <t>サカニシ</t>
    </rPh>
    <phoneticPr fontId="1"/>
  </si>
  <si>
    <t>risa-no-ringo@docomo.ne.jp</t>
    <phoneticPr fontId="1"/>
  </si>
  <si>
    <t>090-5125-4220</t>
    <phoneticPr fontId="1"/>
  </si>
  <si>
    <t>今久保　哲哉</t>
    <rPh sb="0" eb="3">
      <t>イマクボ</t>
    </rPh>
    <rPh sb="4" eb="6">
      <t>テツヤ</t>
    </rPh>
    <phoneticPr fontId="1"/>
  </si>
  <si>
    <t>兵庫県宝塚市平井3-3-23</t>
    <rPh sb="0" eb="3">
      <t>ヒョウゴケン</t>
    </rPh>
    <rPh sb="3" eb="6">
      <t>タカラヅカシ</t>
    </rPh>
    <rPh sb="6" eb="8">
      <t>ヒライ</t>
    </rPh>
    <phoneticPr fontId="1"/>
  </si>
  <si>
    <t>今久保　真美</t>
    <rPh sb="0" eb="3">
      <t>イマクボ</t>
    </rPh>
    <rPh sb="4" eb="6">
      <t>マミ</t>
    </rPh>
    <phoneticPr fontId="1"/>
  </si>
  <si>
    <t>e14431@gmail.com</t>
    <phoneticPr fontId="1"/>
  </si>
  <si>
    <t>090-3825-2276</t>
    <phoneticPr fontId="1"/>
  </si>
  <si>
    <t>090-3844-3323</t>
    <phoneticPr fontId="1"/>
  </si>
  <si>
    <t>2021.10.17フィッティング来店済み　打席利用料サービス　志野さん了承済み</t>
    <rPh sb="17" eb="19">
      <t>ライテン</t>
    </rPh>
    <rPh sb="19" eb="20">
      <t>ズ</t>
    </rPh>
    <rPh sb="22" eb="24">
      <t>ダセキ</t>
    </rPh>
    <rPh sb="24" eb="27">
      <t>リヨウリョウ</t>
    </rPh>
    <rPh sb="32" eb="34">
      <t>シノ</t>
    </rPh>
    <rPh sb="36" eb="38">
      <t>リョウショウ</t>
    </rPh>
    <rPh sb="38" eb="39">
      <t>ズ</t>
    </rPh>
    <phoneticPr fontId="1"/>
  </si>
  <si>
    <t>外間　雄太郎</t>
    <rPh sb="0" eb="2">
      <t>ソトマ</t>
    </rPh>
    <rPh sb="3" eb="6">
      <t>ユウタロウ</t>
    </rPh>
    <phoneticPr fontId="1"/>
  </si>
  <si>
    <t>665-0043</t>
    <phoneticPr fontId="1"/>
  </si>
  <si>
    <t>宝塚市高松町15-18</t>
    <rPh sb="0" eb="3">
      <t>タカラヅカシ</t>
    </rPh>
    <rPh sb="3" eb="6">
      <t>タカマツチョウ</t>
    </rPh>
    <phoneticPr fontId="1"/>
  </si>
  <si>
    <t>090-1147-1697</t>
    <phoneticPr fontId="1"/>
  </si>
  <si>
    <t>1.0㎞</t>
    <phoneticPr fontId="1"/>
  </si>
  <si>
    <t>090-8828-5570</t>
    <phoneticPr fontId="1"/>
  </si>
  <si>
    <t>奧野　博人</t>
    <rPh sb="0" eb="2">
      <t>オクノ</t>
    </rPh>
    <rPh sb="3" eb="5">
      <t>ヒロト</t>
    </rPh>
    <phoneticPr fontId="1"/>
  </si>
  <si>
    <t>604-0042</t>
    <phoneticPr fontId="1"/>
  </si>
  <si>
    <t>京都府京都市中京区押西洞院町619sion401</t>
    <rPh sb="0" eb="3">
      <t>キョウトフ</t>
    </rPh>
    <rPh sb="3" eb="6">
      <t>キョウトシ</t>
    </rPh>
    <rPh sb="6" eb="9">
      <t>チュウキョウク</t>
    </rPh>
    <phoneticPr fontId="1"/>
  </si>
  <si>
    <t>56.9㎞</t>
    <phoneticPr fontId="1"/>
  </si>
  <si>
    <t>090-3619-1610</t>
    <phoneticPr fontId="1"/>
  </si>
  <si>
    <t>佐藤　啓史</t>
    <rPh sb="0" eb="2">
      <t>サトウ</t>
    </rPh>
    <rPh sb="3" eb="5">
      <t>ケイシ</t>
    </rPh>
    <phoneticPr fontId="1"/>
  </si>
  <si>
    <t>710-0802</t>
    <phoneticPr fontId="1"/>
  </si>
  <si>
    <t>岡山県倉敷市水江141-1</t>
    <rPh sb="0" eb="3">
      <t>オカヤマケン</t>
    </rPh>
    <rPh sb="3" eb="6">
      <t>クラシキシ</t>
    </rPh>
    <rPh sb="6" eb="8">
      <t>ミズエ</t>
    </rPh>
    <phoneticPr fontId="1"/>
  </si>
  <si>
    <t>090-2866-0870</t>
    <phoneticPr fontId="1"/>
  </si>
  <si>
    <t>荒金様分もお支払い・その他理由：トラックマンの営業</t>
    <rPh sb="0" eb="2">
      <t>アラカネ</t>
    </rPh>
    <rPh sb="2" eb="3">
      <t>サマ</t>
    </rPh>
    <rPh sb="3" eb="4">
      <t>ブン</t>
    </rPh>
    <rPh sb="6" eb="8">
      <t>シハラ</t>
    </rPh>
    <rPh sb="12" eb="13">
      <t>タ</t>
    </rPh>
    <rPh sb="13" eb="15">
      <t>リユウ</t>
    </rPh>
    <rPh sb="23" eb="25">
      <t>エイギョウ</t>
    </rPh>
    <phoneticPr fontId="1"/>
  </si>
  <si>
    <t>090-4658-8373</t>
    <phoneticPr fontId="1"/>
  </si>
  <si>
    <t>荒金　慶</t>
    <rPh sb="0" eb="2">
      <t>アラカネ</t>
    </rPh>
    <rPh sb="3" eb="4">
      <t>ケイ</t>
    </rPh>
    <phoneticPr fontId="1"/>
  </si>
  <si>
    <t>岡山県倉敷市笹沖409-7</t>
    <rPh sb="0" eb="3">
      <t>オカヤマケン</t>
    </rPh>
    <rPh sb="3" eb="6">
      <t>クラシキシ</t>
    </rPh>
    <rPh sb="6" eb="8">
      <t>ササオキ</t>
    </rPh>
    <phoneticPr fontId="1"/>
  </si>
  <si>
    <t>710-0834</t>
    <phoneticPr fontId="1"/>
  </si>
  <si>
    <t>荒川　博行</t>
    <rPh sb="0" eb="2">
      <t>アラカワ</t>
    </rPh>
    <rPh sb="3" eb="5">
      <t>ヒロユキ</t>
    </rPh>
    <phoneticPr fontId="1"/>
  </si>
  <si>
    <t>444-0426</t>
    <phoneticPr fontId="1"/>
  </si>
  <si>
    <t>愛知県西尾市一色町治明北浜132</t>
    <rPh sb="0" eb="3">
      <t>アイチケン</t>
    </rPh>
    <rPh sb="3" eb="6">
      <t>ニシオシ</t>
    </rPh>
    <rPh sb="6" eb="9">
      <t>イッシキチョウ</t>
    </rPh>
    <rPh sb="9" eb="11">
      <t>ジメイ</t>
    </rPh>
    <rPh sb="11" eb="13">
      <t>キタハマ</t>
    </rPh>
    <phoneticPr fontId="1"/>
  </si>
  <si>
    <t>mind_1121@yahoo.co.jp</t>
    <phoneticPr fontId="1"/>
  </si>
  <si>
    <t>090-4113-0690</t>
    <phoneticPr fontId="1"/>
  </si>
  <si>
    <t>兵庫県神戸市北区松が枝町1-1-4</t>
    <rPh sb="0" eb="3">
      <t>ヒョウゴケン</t>
    </rPh>
    <rPh sb="3" eb="6">
      <t>コウベシ</t>
    </rPh>
    <rPh sb="6" eb="8">
      <t>キタク</t>
    </rPh>
    <rPh sb="8" eb="9">
      <t>マツ</t>
    </rPh>
    <rPh sb="10" eb="11">
      <t>エダ</t>
    </rPh>
    <rPh sb="11" eb="12">
      <t>チョウ</t>
    </rPh>
    <phoneticPr fontId="1"/>
  </si>
  <si>
    <t>兵庫県神戸市北区枝町1-1-4</t>
    <rPh sb="0" eb="3">
      <t>ヒョウゴケン</t>
    </rPh>
    <rPh sb="3" eb="8">
      <t>コウベシキタク</t>
    </rPh>
    <rPh sb="8" eb="10">
      <t>エダマチ</t>
    </rPh>
    <phoneticPr fontId="1"/>
  </si>
  <si>
    <t>兵庫県神戸市北区松が枝町1-1-4</t>
    <rPh sb="0" eb="3">
      <t>ヒョウゴケン</t>
    </rPh>
    <rPh sb="3" eb="8">
      <t>コウベシキタク</t>
    </rPh>
    <rPh sb="8" eb="9">
      <t>マツ</t>
    </rPh>
    <rPh sb="10" eb="12">
      <t>エダマチ</t>
    </rPh>
    <phoneticPr fontId="1"/>
  </si>
  <si>
    <t>岡﨑　仁</t>
    <rPh sb="0" eb="2">
      <t>オカザキ</t>
    </rPh>
    <rPh sb="3" eb="4">
      <t>ヒトシ</t>
    </rPh>
    <phoneticPr fontId="1"/>
  </si>
  <si>
    <t>兵庫県宝塚市中山桜台6-2-10</t>
    <rPh sb="0" eb="3">
      <t>ヒョウゴケン</t>
    </rPh>
    <rPh sb="3" eb="6">
      <t>タカラヅカシ</t>
    </rPh>
    <rPh sb="6" eb="8">
      <t>ナカヤマ</t>
    </rPh>
    <rPh sb="8" eb="10">
      <t>サクラダイ</t>
    </rPh>
    <phoneticPr fontId="1"/>
  </si>
  <si>
    <t>090-3265-1015</t>
    <phoneticPr fontId="1"/>
  </si>
  <si>
    <t>北出　勇一</t>
    <rPh sb="0" eb="2">
      <t>キタデ</t>
    </rPh>
    <rPh sb="3" eb="5">
      <t>ユウイチ</t>
    </rPh>
    <phoneticPr fontId="1"/>
  </si>
  <si>
    <t>570-0015</t>
    <phoneticPr fontId="1"/>
  </si>
  <si>
    <t>大阪府守口市梶町3-41-20</t>
    <rPh sb="0" eb="3">
      <t>オオサカフ</t>
    </rPh>
    <rPh sb="3" eb="6">
      <t>モリグチシ</t>
    </rPh>
    <rPh sb="6" eb="8">
      <t>カジマチ</t>
    </rPh>
    <phoneticPr fontId="1"/>
  </si>
  <si>
    <t>33.6㎞</t>
    <phoneticPr fontId="1"/>
  </si>
  <si>
    <t>yk9770530@gmail.com</t>
    <phoneticPr fontId="1"/>
  </si>
  <si>
    <t>090-2700-6739</t>
    <phoneticPr fontId="1"/>
  </si>
  <si>
    <t>パーソナルレッスン</t>
  </si>
  <si>
    <t>水内　貴史</t>
    <rPh sb="0" eb="2">
      <t>ミズウチ</t>
    </rPh>
    <rPh sb="3" eb="4">
      <t>タカシ</t>
    </rPh>
    <rPh sb="4" eb="5">
      <t>シ</t>
    </rPh>
    <phoneticPr fontId="1"/>
  </si>
  <si>
    <t>545-0021</t>
    <phoneticPr fontId="1"/>
  </si>
  <si>
    <t>大阪府大阪市阿倍野区阪南町3-37-22</t>
    <rPh sb="0" eb="3">
      <t>オオサカフ</t>
    </rPh>
    <rPh sb="3" eb="6">
      <t>オオサカシ</t>
    </rPh>
    <rPh sb="6" eb="10">
      <t>アベノク</t>
    </rPh>
    <rPh sb="10" eb="12">
      <t>ハンナン</t>
    </rPh>
    <rPh sb="12" eb="13">
      <t>チョウ</t>
    </rPh>
    <phoneticPr fontId="1"/>
  </si>
  <si>
    <t>32.6㎞</t>
    <phoneticPr fontId="1"/>
  </si>
  <si>
    <t>vivo.rock@i.softbank.jp</t>
    <phoneticPr fontId="1"/>
  </si>
  <si>
    <t>090-6236-6996</t>
    <phoneticPr fontId="1"/>
  </si>
  <si>
    <t>谷　響貴</t>
    <rPh sb="0" eb="1">
      <t>タニ</t>
    </rPh>
    <rPh sb="2" eb="3">
      <t>ヒビ</t>
    </rPh>
    <rPh sb="3" eb="4">
      <t>キ</t>
    </rPh>
    <phoneticPr fontId="1"/>
  </si>
  <si>
    <t>大阪府大阪市平野区長吉長原4-1-6</t>
    <rPh sb="0" eb="3">
      <t>オオサカフ</t>
    </rPh>
    <rPh sb="3" eb="6">
      <t>オオサカシ</t>
    </rPh>
    <rPh sb="6" eb="9">
      <t>ヒラノク</t>
    </rPh>
    <rPh sb="9" eb="11">
      <t>ナガヨシ</t>
    </rPh>
    <rPh sb="11" eb="13">
      <t>ナガハラ</t>
    </rPh>
    <phoneticPr fontId="1"/>
  </si>
  <si>
    <t>35.4㎞</t>
    <phoneticPr fontId="1"/>
  </si>
  <si>
    <t>tani.seitai@gmail.com</t>
    <phoneticPr fontId="1"/>
  </si>
  <si>
    <t>06-4302-2133</t>
    <phoneticPr fontId="1"/>
  </si>
  <si>
    <t>山田　浩史</t>
    <rPh sb="0" eb="2">
      <t>ヤマダ</t>
    </rPh>
    <rPh sb="3" eb="5">
      <t>ヒロシ</t>
    </rPh>
    <phoneticPr fontId="1"/>
  </si>
  <si>
    <t>兵庫県宝塚市南ひばりガ丘2-8-11</t>
    <rPh sb="0" eb="3">
      <t>ヒョウゴケン</t>
    </rPh>
    <rPh sb="3" eb="6">
      <t>タカラヅカシ</t>
    </rPh>
    <rPh sb="6" eb="7">
      <t>ミナミ</t>
    </rPh>
    <rPh sb="11" eb="12">
      <t>オカ</t>
    </rPh>
    <phoneticPr fontId="1"/>
  </si>
  <si>
    <t>miniaturepincsher36@gmail.com</t>
    <phoneticPr fontId="1"/>
  </si>
  <si>
    <t>090-8579-8485</t>
    <phoneticPr fontId="1"/>
  </si>
  <si>
    <t>矢野　将也</t>
    <rPh sb="0" eb="2">
      <t>ヤノ</t>
    </rPh>
    <rPh sb="3" eb="4">
      <t>マサ</t>
    </rPh>
    <rPh sb="4" eb="5">
      <t>ヤ</t>
    </rPh>
    <phoneticPr fontId="1"/>
  </si>
  <si>
    <t>兵庫県宝塚市中山寺2-6-6</t>
    <rPh sb="0" eb="3">
      <t>ヒョウゴケン</t>
    </rPh>
    <rPh sb="3" eb="6">
      <t>タカラヅカシ</t>
    </rPh>
    <rPh sb="6" eb="9">
      <t>ナカヤマデラ</t>
    </rPh>
    <phoneticPr fontId="1"/>
  </si>
  <si>
    <t>090-1221-0645</t>
    <phoneticPr fontId="1"/>
  </si>
  <si>
    <t>西山　正夫</t>
    <rPh sb="0" eb="2">
      <t>ニシヤマ</t>
    </rPh>
    <rPh sb="3" eb="5">
      <t>マサオ</t>
    </rPh>
    <phoneticPr fontId="1"/>
  </si>
  <si>
    <t>兵庫県神戸市垂水区南多聞台4-5-7</t>
    <rPh sb="0" eb="3">
      <t>ヒョウゴケン</t>
    </rPh>
    <rPh sb="3" eb="6">
      <t>コウベシ</t>
    </rPh>
    <rPh sb="6" eb="9">
      <t>タルミク</t>
    </rPh>
    <rPh sb="9" eb="10">
      <t>ミナミ</t>
    </rPh>
    <rPh sb="10" eb="11">
      <t>タ</t>
    </rPh>
    <rPh sb="11" eb="12">
      <t>キ</t>
    </rPh>
    <rPh sb="12" eb="13">
      <t>ダイ</t>
    </rPh>
    <phoneticPr fontId="1"/>
  </si>
  <si>
    <t>655-0043</t>
    <phoneticPr fontId="1"/>
  </si>
  <si>
    <t>080-3798-5984</t>
    <phoneticPr fontId="1"/>
  </si>
  <si>
    <t>松迫　忍</t>
    <rPh sb="0" eb="1">
      <t>マツ</t>
    </rPh>
    <rPh sb="1" eb="2">
      <t>サコ</t>
    </rPh>
    <rPh sb="3" eb="4">
      <t>シノブ</t>
    </rPh>
    <phoneticPr fontId="1"/>
  </si>
  <si>
    <t>657-0814</t>
    <phoneticPr fontId="1"/>
  </si>
  <si>
    <t>兵庫県神戸市灘区五毛通3-2-2</t>
    <rPh sb="0" eb="3">
      <t>ヒョウゴケン</t>
    </rPh>
    <rPh sb="3" eb="5">
      <t>コウベ</t>
    </rPh>
    <rPh sb="5" eb="6">
      <t>シ</t>
    </rPh>
    <rPh sb="6" eb="7">
      <t>ナダ</t>
    </rPh>
    <rPh sb="7" eb="8">
      <t>ク</t>
    </rPh>
    <rPh sb="8" eb="9">
      <t>ゴ</t>
    </rPh>
    <rPh sb="9" eb="10">
      <t>ケ</t>
    </rPh>
    <rPh sb="10" eb="11">
      <t>ツウ</t>
    </rPh>
    <phoneticPr fontId="1"/>
  </si>
  <si>
    <t>080-3798-5969</t>
    <phoneticPr fontId="1"/>
  </si>
  <si>
    <t>南堂　吉紀</t>
    <rPh sb="0" eb="1">
      <t>ミナミ</t>
    </rPh>
    <rPh sb="1" eb="2">
      <t>ドウ</t>
    </rPh>
    <rPh sb="3" eb="4">
      <t>ヨシ</t>
    </rPh>
    <rPh sb="4" eb="5">
      <t>キ</t>
    </rPh>
    <phoneticPr fontId="1"/>
  </si>
  <si>
    <t>669-1147</t>
    <phoneticPr fontId="1"/>
  </si>
  <si>
    <t>兵庫県西宮市名塩2-6-1</t>
    <rPh sb="0" eb="3">
      <t>ヒョウゴケン</t>
    </rPh>
    <rPh sb="3" eb="6">
      <t>ニシノミヤシ</t>
    </rPh>
    <rPh sb="6" eb="8">
      <t>ナジオ</t>
    </rPh>
    <phoneticPr fontId="1"/>
  </si>
  <si>
    <t>090-1958-2247</t>
    <phoneticPr fontId="1"/>
  </si>
  <si>
    <t>新谷　敦</t>
    <rPh sb="0" eb="2">
      <t>シンタニ</t>
    </rPh>
    <rPh sb="3" eb="4">
      <t>アツシ</t>
    </rPh>
    <phoneticPr fontId="1"/>
  </si>
  <si>
    <t>吹田市江坂町1-12-55-203</t>
    <rPh sb="0" eb="3">
      <t>スイタシ</t>
    </rPh>
    <rPh sb="3" eb="6">
      <t>エサカチョウ</t>
    </rPh>
    <phoneticPr fontId="1"/>
  </si>
  <si>
    <t>090-3862-6684</t>
    <phoneticPr fontId="1"/>
  </si>
  <si>
    <t>社長ご紹介・新宝メンバー・廃盤シャフト試打</t>
    <rPh sb="0" eb="2">
      <t>シャチョウ</t>
    </rPh>
    <rPh sb="3" eb="5">
      <t>ショウカイ</t>
    </rPh>
    <rPh sb="6" eb="7">
      <t>シン</t>
    </rPh>
    <rPh sb="7" eb="8">
      <t>タカラ</t>
    </rPh>
    <rPh sb="13" eb="15">
      <t>ハイバン</t>
    </rPh>
    <rPh sb="19" eb="21">
      <t>シダ</t>
    </rPh>
    <phoneticPr fontId="1"/>
  </si>
  <si>
    <t>15.0㎞</t>
    <phoneticPr fontId="1"/>
  </si>
  <si>
    <t>能登原　真知子</t>
    <rPh sb="0" eb="3">
      <t>ノトハラ</t>
    </rPh>
    <rPh sb="4" eb="7">
      <t>マチコ</t>
    </rPh>
    <phoneticPr fontId="1"/>
  </si>
  <si>
    <t>659-0065</t>
    <phoneticPr fontId="1"/>
  </si>
  <si>
    <t>芦屋市公光町11-7倉内ビル501</t>
    <rPh sb="0" eb="3">
      <t>アシヤシ</t>
    </rPh>
    <rPh sb="3" eb="6">
      <t>キンミツチョウ</t>
    </rPh>
    <rPh sb="10" eb="12">
      <t>クラウチ</t>
    </rPh>
    <phoneticPr fontId="1"/>
  </si>
  <si>
    <t>m.notohara@ezweb.ne.jp</t>
    <phoneticPr fontId="1"/>
  </si>
  <si>
    <t>090-3728-8841</t>
    <phoneticPr fontId="1"/>
  </si>
  <si>
    <t>志野さん知人・クラブの調整</t>
    <rPh sb="0" eb="2">
      <t>シノ</t>
    </rPh>
    <rPh sb="4" eb="6">
      <t>チジン</t>
    </rPh>
    <rPh sb="11" eb="13">
      <t>チョウセイ</t>
    </rPh>
    <phoneticPr fontId="1"/>
  </si>
  <si>
    <t>山口　昌良</t>
    <rPh sb="0" eb="2">
      <t>ヤマグチ</t>
    </rPh>
    <rPh sb="3" eb="4">
      <t>マサ</t>
    </rPh>
    <rPh sb="4" eb="5">
      <t>ヨ</t>
    </rPh>
    <phoneticPr fontId="1"/>
  </si>
  <si>
    <t>581-0092</t>
    <phoneticPr fontId="1"/>
  </si>
  <si>
    <t>大阪府八尾市老原5-60-2</t>
    <rPh sb="0" eb="3">
      <t>オオサカフ</t>
    </rPh>
    <rPh sb="3" eb="6">
      <t>ヤオシ</t>
    </rPh>
    <rPh sb="6" eb="7">
      <t>ロウ</t>
    </rPh>
    <rPh sb="7" eb="8">
      <t>ハラ</t>
    </rPh>
    <phoneticPr fontId="1"/>
  </si>
  <si>
    <t>bgm_yamaguchi@yahoo.co.jp</t>
    <phoneticPr fontId="1"/>
  </si>
  <si>
    <t>090-8886-7608</t>
    <phoneticPr fontId="1"/>
  </si>
  <si>
    <t>夫馬プロご紹介</t>
    <rPh sb="0" eb="2">
      <t>フマ</t>
    </rPh>
    <rPh sb="5" eb="7">
      <t>ショウカイ</t>
    </rPh>
    <phoneticPr fontId="1"/>
  </si>
  <si>
    <t>三津　桃子</t>
    <rPh sb="0" eb="2">
      <t>ミツ</t>
    </rPh>
    <rPh sb="3" eb="5">
      <t>モモコ</t>
    </rPh>
    <phoneticPr fontId="1"/>
  </si>
  <si>
    <t>西宮市上ヶ原六番町1-36-202</t>
    <rPh sb="0" eb="3">
      <t>ニシノミヤシ</t>
    </rPh>
    <rPh sb="3" eb="6">
      <t>ウエガハラ</t>
    </rPh>
    <rPh sb="6" eb="9">
      <t>ロクバンチョウ</t>
    </rPh>
    <phoneticPr fontId="1"/>
  </si>
  <si>
    <t>090-2370-0373</t>
    <phoneticPr fontId="1"/>
  </si>
  <si>
    <t>プロゴルファー、古川紹介</t>
    <rPh sb="8" eb="10">
      <t>フルカワ</t>
    </rPh>
    <rPh sb="10" eb="12">
      <t>ショウカイ</t>
    </rPh>
    <phoneticPr fontId="1"/>
  </si>
  <si>
    <t>9.3㎞</t>
    <phoneticPr fontId="1"/>
  </si>
  <si>
    <t>662-0896</t>
    <phoneticPr fontId="1"/>
  </si>
  <si>
    <t>阿久根　海斗</t>
    <rPh sb="0" eb="3">
      <t>アクネ</t>
    </rPh>
    <rPh sb="4" eb="5">
      <t>ウミ</t>
    </rPh>
    <rPh sb="5" eb="6">
      <t>ト</t>
    </rPh>
    <phoneticPr fontId="1"/>
  </si>
  <si>
    <t>小田井　淑子</t>
    <rPh sb="0" eb="2">
      <t>オダ</t>
    </rPh>
    <rPh sb="2" eb="3">
      <t>イ</t>
    </rPh>
    <rPh sb="4" eb="6">
      <t>ヨシコ</t>
    </rPh>
    <phoneticPr fontId="1"/>
  </si>
  <si>
    <t>広島県廿日市市陽光台3-8-16</t>
    <rPh sb="0" eb="3">
      <t>ヒロシマケン</t>
    </rPh>
    <rPh sb="3" eb="6">
      <t>ハツカイチ</t>
    </rPh>
    <rPh sb="6" eb="7">
      <t>シ</t>
    </rPh>
    <rPh sb="7" eb="9">
      <t>ヨウコウ</t>
    </rPh>
    <rPh sb="9" eb="10">
      <t>ダイ</t>
    </rPh>
    <phoneticPr fontId="1"/>
  </si>
  <si>
    <t>327㎞</t>
    <phoneticPr fontId="1"/>
  </si>
  <si>
    <t>a.k.uminchuu@gmail.com</t>
    <phoneticPr fontId="1"/>
  </si>
  <si>
    <t>080-6348-0426</t>
    <phoneticPr fontId="1"/>
  </si>
  <si>
    <t>738-0060</t>
    <phoneticPr fontId="1"/>
  </si>
  <si>
    <t>10％OFF　志野さんより</t>
    <rPh sb="7" eb="9">
      <t>シノ</t>
    </rPh>
    <phoneticPr fontId="1"/>
  </si>
  <si>
    <t>西宮市樋之池町28-43-803</t>
    <rPh sb="0" eb="3">
      <t>ニシノミヤシ</t>
    </rPh>
    <rPh sb="3" eb="7">
      <t>ヒノイケチョウ</t>
    </rPh>
    <phoneticPr fontId="1"/>
  </si>
  <si>
    <t>090-3727-7181</t>
    <phoneticPr fontId="1"/>
  </si>
  <si>
    <t>鴻野　弘幸</t>
    <rPh sb="0" eb="2">
      <t>コウノ</t>
    </rPh>
    <rPh sb="3" eb="5">
      <t>ヒロユキ</t>
    </rPh>
    <phoneticPr fontId="1"/>
  </si>
  <si>
    <t>562-0041</t>
    <phoneticPr fontId="1"/>
  </si>
  <si>
    <t>大阪府箕面市桜4-16-7</t>
    <rPh sb="0" eb="3">
      <t>オオサカフ</t>
    </rPh>
    <rPh sb="3" eb="6">
      <t>ミノオシ</t>
    </rPh>
    <rPh sb="6" eb="7">
      <t>サクラ</t>
    </rPh>
    <phoneticPr fontId="1"/>
  </si>
  <si>
    <t>9.4㎞</t>
    <phoneticPr fontId="1"/>
  </si>
  <si>
    <t>kouno.hiroyuki1126@gmail.com</t>
    <phoneticPr fontId="1"/>
  </si>
  <si>
    <t>080-3853-1626</t>
    <phoneticPr fontId="1"/>
  </si>
  <si>
    <t>和納　勉</t>
    <rPh sb="0" eb="2">
      <t>ワノウ</t>
    </rPh>
    <rPh sb="3" eb="4">
      <t>ツトム</t>
    </rPh>
    <phoneticPr fontId="1"/>
  </si>
  <si>
    <t>560-0021</t>
    <phoneticPr fontId="1"/>
  </si>
  <si>
    <t>大阪府豊中市本町3-4-22</t>
    <rPh sb="0" eb="3">
      <t>オオサカフ</t>
    </rPh>
    <rPh sb="3" eb="6">
      <t>トヨナカシ</t>
    </rPh>
    <rPh sb="6" eb="8">
      <t>ホンマチ</t>
    </rPh>
    <phoneticPr fontId="1"/>
  </si>
  <si>
    <t>8.7㎞</t>
    <phoneticPr fontId="1"/>
  </si>
  <si>
    <t>wano@919.jp.</t>
    <phoneticPr fontId="1"/>
  </si>
  <si>
    <t>090-3265-4715</t>
    <phoneticPr fontId="1"/>
  </si>
  <si>
    <t>堀井　文治</t>
    <rPh sb="0" eb="2">
      <t>ホリイ</t>
    </rPh>
    <rPh sb="3" eb="4">
      <t>フミ</t>
    </rPh>
    <rPh sb="4" eb="5">
      <t>ジ</t>
    </rPh>
    <phoneticPr fontId="1"/>
  </si>
  <si>
    <t>665-0076</t>
    <phoneticPr fontId="1"/>
  </si>
  <si>
    <t>兵庫県宝塚市谷口町1-28クオーレ201号</t>
    <rPh sb="0" eb="3">
      <t>ヒョウゴケン</t>
    </rPh>
    <rPh sb="3" eb="6">
      <t>タカラヅカシ</t>
    </rPh>
    <rPh sb="6" eb="8">
      <t>タニグチ</t>
    </rPh>
    <rPh sb="8" eb="9">
      <t>チョウ</t>
    </rPh>
    <rPh sb="20" eb="21">
      <t>ゴウ</t>
    </rPh>
    <phoneticPr fontId="1"/>
  </si>
  <si>
    <t>5.9㎞</t>
    <phoneticPr fontId="1"/>
  </si>
  <si>
    <t>090-8793-5429</t>
    <phoneticPr fontId="1"/>
  </si>
  <si>
    <t>松岡　祐希</t>
    <rPh sb="0" eb="2">
      <t>マツオカ</t>
    </rPh>
    <rPh sb="3" eb="4">
      <t>ユウ</t>
    </rPh>
    <rPh sb="4" eb="5">
      <t>キ</t>
    </rPh>
    <phoneticPr fontId="1"/>
  </si>
  <si>
    <t>兵庫県加古川市志方町志方町1366-3</t>
    <rPh sb="0" eb="3">
      <t>ヒョウゴケン</t>
    </rPh>
    <rPh sb="3" eb="6">
      <t>カコガワ</t>
    </rPh>
    <rPh sb="6" eb="7">
      <t>シ</t>
    </rPh>
    <rPh sb="7" eb="8">
      <t>ココロ</t>
    </rPh>
    <rPh sb="8" eb="9">
      <t>ホウ</t>
    </rPh>
    <rPh sb="9" eb="10">
      <t>チョウ</t>
    </rPh>
    <rPh sb="12" eb="13">
      <t>マチ</t>
    </rPh>
    <phoneticPr fontId="1"/>
  </si>
  <si>
    <t>675-0321</t>
    <phoneticPr fontId="1"/>
  </si>
  <si>
    <t>65.6㎞</t>
    <phoneticPr fontId="1"/>
  </si>
  <si>
    <t>080-1501-7736</t>
    <phoneticPr fontId="1"/>
  </si>
  <si>
    <t>三澤　寛之</t>
    <rPh sb="0" eb="2">
      <t>ミサワ</t>
    </rPh>
    <rPh sb="3" eb="4">
      <t>カン</t>
    </rPh>
    <rPh sb="4" eb="5">
      <t>ユキ</t>
    </rPh>
    <phoneticPr fontId="1"/>
  </si>
  <si>
    <t>106-0047</t>
    <phoneticPr fontId="1"/>
  </si>
  <si>
    <t>東京都港区南布4-4-10-217</t>
    <rPh sb="0" eb="3">
      <t>トウキョウト</t>
    </rPh>
    <rPh sb="3" eb="5">
      <t>ミナトク</t>
    </rPh>
    <rPh sb="5" eb="6">
      <t>ミナミ</t>
    </rPh>
    <rPh sb="6" eb="7">
      <t>ヌノ</t>
    </rPh>
    <phoneticPr fontId="1"/>
  </si>
  <si>
    <t>498㎞</t>
    <phoneticPr fontId="1"/>
  </si>
  <si>
    <t>090-3487-5900</t>
    <phoneticPr fontId="1"/>
  </si>
  <si>
    <t>木村　義昭</t>
    <rPh sb="0" eb="2">
      <t>キムラ</t>
    </rPh>
    <rPh sb="3" eb="5">
      <t>ヨシアキ</t>
    </rPh>
    <phoneticPr fontId="1"/>
  </si>
  <si>
    <t>657-0875</t>
    <phoneticPr fontId="1"/>
  </si>
  <si>
    <t>大阪府茨木市若草町8-9-207</t>
    <rPh sb="0" eb="3">
      <t>オオサカフ</t>
    </rPh>
    <rPh sb="3" eb="6">
      <t>イバラキシ</t>
    </rPh>
    <rPh sb="6" eb="9">
      <t>ワカクサチョウ</t>
    </rPh>
    <phoneticPr fontId="1"/>
  </si>
  <si>
    <t>18.2㎞</t>
    <phoneticPr fontId="1"/>
  </si>
  <si>
    <t>090-6822-5002</t>
    <phoneticPr fontId="1"/>
  </si>
  <si>
    <t>社長知人￥5,000OFF</t>
    <rPh sb="0" eb="4">
      <t>シャチョウチジン</t>
    </rPh>
    <phoneticPr fontId="1"/>
  </si>
  <si>
    <t>長廣　奈緒美</t>
    <rPh sb="0" eb="1">
      <t>オサ</t>
    </rPh>
    <rPh sb="1" eb="2">
      <t>ヒロシ</t>
    </rPh>
    <rPh sb="3" eb="6">
      <t>ナオミ</t>
    </rPh>
    <phoneticPr fontId="1"/>
  </si>
  <si>
    <t>660-0877</t>
    <phoneticPr fontId="1"/>
  </si>
  <si>
    <t>兵庫県尼崎市宮内町2-84-7</t>
    <rPh sb="0" eb="3">
      <t>ヒョウゴケン</t>
    </rPh>
    <rPh sb="3" eb="6">
      <t>アマガサキシ</t>
    </rPh>
    <rPh sb="6" eb="8">
      <t>ミヤウチ</t>
    </rPh>
    <rPh sb="8" eb="9">
      <t>チョウ</t>
    </rPh>
    <phoneticPr fontId="1"/>
  </si>
  <si>
    <t>15.3㎞</t>
    <phoneticPr fontId="1"/>
  </si>
  <si>
    <t>090-4767-6703</t>
    <phoneticPr fontId="1"/>
  </si>
  <si>
    <t>藤本　昌紀</t>
    <rPh sb="0" eb="2">
      <t>フジモト</t>
    </rPh>
    <rPh sb="3" eb="4">
      <t>マサ</t>
    </rPh>
    <rPh sb="4" eb="5">
      <t>キ</t>
    </rPh>
    <phoneticPr fontId="1"/>
  </si>
  <si>
    <t>兵庫県宝塚市売布4-8-2</t>
    <rPh sb="0" eb="3">
      <t>ヒョウゴケン</t>
    </rPh>
    <rPh sb="3" eb="6">
      <t>タカラヅカシ</t>
    </rPh>
    <rPh sb="6" eb="8">
      <t>メフ</t>
    </rPh>
    <phoneticPr fontId="1"/>
  </si>
  <si>
    <t>090-3723-7131</t>
    <phoneticPr fontId="1"/>
  </si>
  <si>
    <t>田窪　葵</t>
    <rPh sb="0" eb="2">
      <t>タクボ</t>
    </rPh>
    <rPh sb="3" eb="4">
      <t>アオイ</t>
    </rPh>
    <phoneticPr fontId="1"/>
  </si>
  <si>
    <t>544-0034</t>
    <phoneticPr fontId="1"/>
  </si>
  <si>
    <t>大阪府大阪市生野区桃谷2-28-16</t>
    <rPh sb="0" eb="3">
      <t>オオサカフ</t>
    </rPh>
    <rPh sb="3" eb="6">
      <t>オオサカシ</t>
    </rPh>
    <rPh sb="6" eb="9">
      <t>イクノク</t>
    </rPh>
    <rPh sb="9" eb="11">
      <t>モモタニ</t>
    </rPh>
    <phoneticPr fontId="1"/>
  </si>
  <si>
    <t>27㎞</t>
    <phoneticPr fontId="1"/>
  </si>
  <si>
    <t>06-6777-3679・090-7110-7577</t>
    <phoneticPr fontId="1"/>
  </si>
  <si>
    <t>古賀　勉</t>
    <rPh sb="0" eb="2">
      <t>コガ</t>
    </rPh>
    <rPh sb="3" eb="4">
      <t>ツトム</t>
    </rPh>
    <phoneticPr fontId="1"/>
  </si>
  <si>
    <t>兵庫県川西市花屋敷2-5-21-201</t>
    <rPh sb="0" eb="3">
      <t>ヒョウゴケン</t>
    </rPh>
    <rPh sb="3" eb="6">
      <t>カワニシシ</t>
    </rPh>
    <rPh sb="6" eb="9">
      <t>ハナヤシキ</t>
    </rPh>
    <phoneticPr fontId="1"/>
  </si>
  <si>
    <t>kogaaig@yahoo.co.jp</t>
    <phoneticPr fontId="1"/>
  </si>
  <si>
    <t>080-5270-5656</t>
    <phoneticPr fontId="1"/>
  </si>
  <si>
    <t>平塚　国宏</t>
    <rPh sb="0" eb="2">
      <t>ヒラツカ</t>
    </rPh>
    <rPh sb="3" eb="4">
      <t>クニ</t>
    </rPh>
    <rPh sb="4" eb="5">
      <t>ヒロ</t>
    </rPh>
    <phoneticPr fontId="1"/>
  </si>
  <si>
    <t>兵庫県宝塚市小浜5-9-11</t>
    <rPh sb="0" eb="3">
      <t>ヒョウゴケン</t>
    </rPh>
    <rPh sb="3" eb="6">
      <t>タカラヅカシ</t>
    </rPh>
    <rPh sb="6" eb="8">
      <t>コハマ</t>
    </rPh>
    <phoneticPr fontId="1"/>
  </si>
  <si>
    <t>090-1899-6033</t>
    <phoneticPr fontId="1"/>
  </si>
  <si>
    <t>兵庫県尼崎市常吉2-8-23-101</t>
    <rPh sb="0" eb="3">
      <t>ヒョウゴケン</t>
    </rPh>
    <rPh sb="3" eb="6">
      <t>アマガサキシ</t>
    </rPh>
    <rPh sb="6" eb="7">
      <t>ツネ</t>
    </rPh>
    <rPh sb="7" eb="8">
      <t>キチ</t>
    </rPh>
    <phoneticPr fontId="1"/>
  </si>
  <si>
    <t>661-0042</t>
    <phoneticPr fontId="1"/>
  </si>
  <si>
    <t>m.m.6.0605.dolphin@i.softbank.jp</t>
    <phoneticPr fontId="1"/>
  </si>
  <si>
    <t>2021.1.4 体験来店済　東野様お連れ様　引っ越しの為住所再入力</t>
    <rPh sb="9" eb="11">
      <t>タイケン</t>
    </rPh>
    <rPh sb="11" eb="13">
      <t>ライテン</t>
    </rPh>
    <rPh sb="13" eb="14">
      <t>スミ</t>
    </rPh>
    <rPh sb="15" eb="17">
      <t>ヒガシノ</t>
    </rPh>
    <rPh sb="17" eb="18">
      <t>サマ</t>
    </rPh>
    <rPh sb="19" eb="20">
      <t>ツ</t>
    </rPh>
    <rPh sb="21" eb="22">
      <t>サマ</t>
    </rPh>
    <rPh sb="23" eb="24">
      <t>ヒ</t>
    </rPh>
    <rPh sb="25" eb="26">
      <t>コ</t>
    </rPh>
    <rPh sb="28" eb="29">
      <t>タメ</t>
    </rPh>
    <rPh sb="29" eb="31">
      <t>ジュウショ</t>
    </rPh>
    <rPh sb="31" eb="34">
      <t>サイニュウリョク</t>
    </rPh>
    <phoneticPr fontId="1"/>
  </si>
  <si>
    <t>上村　佑司</t>
    <rPh sb="0" eb="2">
      <t>ウエムラ</t>
    </rPh>
    <rPh sb="3" eb="5">
      <t>ユウジ</t>
    </rPh>
    <phoneticPr fontId="1"/>
  </si>
  <si>
    <t>665-0044</t>
    <phoneticPr fontId="1"/>
  </si>
  <si>
    <t>兵庫県宝塚市末成町31-6</t>
    <rPh sb="0" eb="2">
      <t>ヒョウゴ</t>
    </rPh>
    <rPh sb="2" eb="3">
      <t>ケン</t>
    </rPh>
    <rPh sb="3" eb="5">
      <t>タカラヅカ</t>
    </rPh>
    <rPh sb="5" eb="6">
      <t>シ</t>
    </rPh>
    <rPh sb="6" eb="9">
      <t>スエナリチョウ</t>
    </rPh>
    <phoneticPr fontId="1"/>
  </si>
  <si>
    <t>090-1333-6292</t>
    <phoneticPr fontId="1"/>
  </si>
  <si>
    <t>会員廣濵様ご子息　２回目5/16来店済</t>
    <rPh sb="0" eb="2">
      <t>カイイン</t>
    </rPh>
    <rPh sb="2" eb="4">
      <t>ヒロハマ</t>
    </rPh>
    <rPh sb="4" eb="5">
      <t>サマ</t>
    </rPh>
    <rPh sb="6" eb="8">
      <t>コソク</t>
    </rPh>
    <rPh sb="10" eb="12">
      <t>カイメ</t>
    </rPh>
    <rPh sb="16" eb="18">
      <t>ライテン</t>
    </rPh>
    <rPh sb="18" eb="19">
      <t>スミ</t>
    </rPh>
    <phoneticPr fontId="1"/>
  </si>
  <si>
    <t>福元　学</t>
    <rPh sb="0" eb="2">
      <t>フクモト</t>
    </rPh>
    <rPh sb="3" eb="4">
      <t>マナブ</t>
    </rPh>
    <phoneticPr fontId="1"/>
  </si>
  <si>
    <t>兵庫県伊丹市荒牧6-29-14-506</t>
    <rPh sb="0" eb="3">
      <t>ヒョウゴケン</t>
    </rPh>
    <rPh sb="3" eb="6">
      <t>イタミシ</t>
    </rPh>
    <rPh sb="6" eb="8">
      <t>アラマキ</t>
    </rPh>
    <phoneticPr fontId="1"/>
  </si>
  <si>
    <t>550m</t>
    <phoneticPr fontId="1"/>
  </si>
  <si>
    <t>wanko108@gmail.com</t>
    <phoneticPr fontId="1"/>
  </si>
  <si>
    <t>090-2322-7271</t>
    <phoneticPr fontId="1"/>
  </si>
  <si>
    <t>1月入会希望</t>
    <rPh sb="1" eb="2">
      <t>ガツ</t>
    </rPh>
    <rPh sb="2" eb="6">
      <t>ニュウカイキボウ</t>
    </rPh>
    <phoneticPr fontId="1"/>
  </si>
  <si>
    <t>溝手　潔</t>
    <rPh sb="0" eb="2">
      <t>ミゾテ</t>
    </rPh>
    <rPh sb="3" eb="4">
      <t>キヨシ</t>
    </rPh>
    <phoneticPr fontId="1"/>
  </si>
  <si>
    <t>665-0245</t>
    <phoneticPr fontId="1"/>
  </si>
  <si>
    <t>兵庫県川辺郡猪名川町つつじが丘4-13-4</t>
    <rPh sb="0" eb="3">
      <t>ヒョウゴケン</t>
    </rPh>
    <rPh sb="3" eb="5">
      <t>カワベ</t>
    </rPh>
    <rPh sb="5" eb="6">
      <t>グン</t>
    </rPh>
    <rPh sb="6" eb="9">
      <t>イナガワ</t>
    </rPh>
    <rPh sb="9" eb="10">
      <t>チョウ</t>
    </rPh>
    <rPh sb="14" eb="15">
      <t>オカ</t>
    </rPh>
    <phoneticPr fontId="1"/>
  </si>
  <si>
    <t>16.1㎞</t>
    <phoneticPr fontId="1"/>
  </si>
  <si>
    <t>080-4001-9138</t>
    <phoneticPr fontId="1"/>
  </si>
  <si>
    <t>会員花原様ご紹介</t>
    <rPh sb="0" eb="2">
      <t>カイイン</t>
    </rPh>
    <rPh sb="2" eb="4">
      <t>ハナハラ</t>
    </rPh>
    <rPh sb="4" eb="5">
      <t>サマ</t>
    </rPh>
    <rPh sb="6" eb="8">
      <t>ショウカイ</t>
    </rPh>
    <phoneticPr fontId="1"/>
  </si>
  <si>
    <t>古畑　康</t>
    <rPh sb="0" eb="2">
      <t>フルハタ</t>
    </rPh>
    <rPh sb="3" eb="4">
      <t>ヤスシ</t>
    </rPh>
    <phoneticPr fontId="1"/>
  </si>
  <si>
    <t>大阪府大阪市北区大淀北1-1-22-310</t>
    <rPh sb="0" eb="3">
      <t>オオサカフ</t>
    </rPh>
    <rPh sb="3" eb="6">
      <t>オオサカシ</t>
    </rPh>
    <rPh sb="6" eb="8">
      <t>キタク</t>
    </rPh>
    <rPh sb="8" eb="10">
      <t>オオヨド</t>
    </rPh>
    <rPh sb="10" eb="11">
      <t>キタ</t>
    </rPh>
    <phoneticPr fontId="1"/>
  </si>
  <si>
    <t>531-0077</t>
    <phoneticPr fontId="1"/>
  </si>
  <si>
    <t>20.3㎞</t>
    <phoneticPr fontId="1"/>
  </si>
  <si>
    <t>080-5487-7001</t>
    <phoneticPr fontId="1"/>
  </si>
  <si>
    <t>10％オフ</t>
    <phoneticPr fontId="1"/>
  </si>
  <si>
    <t>神庭　圭一</t>
    <rPh sb="0" eb="2">
      <t>カンバ</t>
    </rPh>
    <rPh sb="3" eb="5">
      <t>ケイイチ</t>
    </rPh>
    <phoneticPr fontId="1"/>
  </si>
  <si>
    <t>658-0032</t>
    <phoneticPr fontId="1"/>
  </si>
  <si>
    <t>兵庫県神戸市東灘区向洋町中10-4-124-710</t>
    <rPh sb="0" eb="3">
      <t>ヒョウゴケン</t>
    </rPh>
    <rPh sb="3" eb="6">
      <t>コウベシ</t>
    </rPh>
    <rPh sb="6" eb="9">
      <t>ヒガシナダク</t>
    </rPh>
    <rPh sb="9" eb="13">
      <t>コウヨウチョウナカ</t>
    </rPh>
    <phoneticPr fontId="1"/>
  </si>
  <si>
    <t>36.7㎞</t>
    <phoneticPr fontId="1"/>
  </si>
  <si>
    <t>keiichikanba@yahoo.co.jp</t>
    <phoneticPr fontId="1"/>
  </si>
  <si>
    <t>090-8480-0425</t>
    <phoneticPr fontId="1"/>
  </si>
  <si>
    <t>手束　雅</t>
    <rPh sb="0" eb="2">
      <t>テヅカ</t>
    </rPh>
    <rPh sb="3" eb="4">
      <t>ミヤビ</t>
    </rPh>
    <phoneticPr fontId="1"/>
  </si>
  <si>
    <t>701-1145</t>
    <phoneticPr fontId="1"/>
  </si>
  <si>
    <t>岡山県岡山市北区横井上16-1　KHマンションⅡ203</t>
    <rPh sb="0" eb="3">
      <t>オカヤマケン</t>
    </rPh>
    <rPh sb="3" eb="6">
      <t>オカヤマシ</t>
    </rPh>
    <rPh sb="6" eb="8">
      <t>キタク</t>
    </rPh>
    <rPh sb="8" eb="9">
      <t>ヨコ</t>
    </rPh>
    <rPh sb="9" eb="11">
      <t>イノウエ</t>
    </rPh>
    <phoneticPr fontId="1"/>
  </si>
  <si>
    <t>158㎞</t>
    <phoneticPr fontId="1"/>
  </si>
  <si>
    <t>080-1990-1115</t>
    <phoneticPr fontId="1"/>
  </si>
  <si>
    <t>峯　栄二</t>
    <rPh sb="0" eb="1">
      <t>ミネ</t>
    </rPh>
    <rPh sb="2" eb="3">
      <t>サカエ</t>
    </rPh>
    <rPh sb="3" eb="4">
      <t>ニ</t>
    </rPh>
    <phoneticPr fontId="1"/>
  </si>
  <si>
    <t>652-0061</t>
    <phoneticPr fontId="1"/>
  </si>
  <si>
    <t>兵庫県神戸市兵庫区石井町2-3-18</t>
    <rPh sb="0" eb="3">
      <t>ヒョウゴケン</t>
    </rPh>
    <rPh sb="3" eb="6">
      <t>コウベシ</t>
    </rPh>
    <rPh sb="6" eb="9">
      <t>ヒョウゴク</t>
    </rPh>
    <rPh sb="9" eb="12">
      <t>イシイチョウ</t>
    </rPh>
    <phoneticPr fontId="1"/>
  </si>
  <si>
    <t>mine@mine-koumuten.com</t>
    <phoneticPr fontId="1"/>
  </si>
  <si>
    <t>090-8205-0434</t>
    <phoneticPr fontId="1"/>
  </si>
  <si>
    <t>鈴木　大人</t>
    <rPh sb="0" eb="2">
      <t>スズキ</t>
    </rPh>
    <rPh sb="3" eb="4">
      <t>ダイ</t>
    </rPh>
    <rPh sb="4" eb="5">
      <t>ヒト</t>
    </rPh>
    <phoneticPr fontId="1"/>
  </si>
  <si>
    <t>尼崎市武庫之荘1-33-1-918</t>
    <rPh sb="0" eb="3">
      <t>アマガサキシ</t>
    </rPh>
    <rPh sb="3" eb="7">
      <t>ムコノソウ</t>
    </rPh>
    <phoneticPr fontId="1"/>
  </si>
  <si>
    <t>090-3098-0148</t>
    <phoneticPr fontId="1"/>
  </si>
  <si>
    <t>堀井　隆介</t>
    <rPh sb="0" eb="2">
      <t>ホリイ</t>
    </rPh>
    <rPh sb="3" eb="4">
      <t>タカ</t>
    </rPh>
    <rPh sb="4" eb="5">
      <t>スケ</t>
    </rPh>
    <phoneticPr fontId="1"/>
  </si>
  <si>
    <t>兵庫県宝塚市栄町3-9-21-1411</t>
    <rPh sb="0" eb="3">
      <t>ヒョウゴケン</t>
    </rPh>
    <rPh sb="3" eb="6">
      <t>タカラヅカシ</t>
    </rPh>
    <rPh sb="6" eb="7">
      <t>サカエ</t>
    </rPh>
    <rPh sb="7" eb="8">
      <t>チョウ</t>
    </rPh>
    <phoneticPr fontId="1"/>
  </si>
  <si>
    <t>665-0845</t>
    <phoneticPr fontId="1"/>
  </si>
  <si>
    <t>090-9866-7778</t>
    <phoneticPr fontId="1"/>
  </si>
  <si>
    <t>フィッティング+体験</t>
    <rPh sb="8" eb="10">
      <t>タイケン</t>
    </rPh>
    <phoneticPr fontId="1"/>
  </si>
  <si>
    <t>2021.11.3 ﾋﾞｼﾞﾀｰ利用来店済</t>
    <rPh sb="16" eb="18">
      <t>リヨウ</t>
    </rPh>
    <rPh sb="18" eb="20">
      <t>ライテン</t>
    </rPh>
    <rPh sb="20" eb="21">
      <t>スミ</t>
    </rPh>
    <phoneticPr fontId="1"/>
  </si>
  <si>
    <t>谷　博子</t>
    <rPh sb="0" eb="1">
      <t>タニ</t>
    </rPh>
    <rPh sb="2" eb="3">
      <t>ヒロ</t>
    </rPh>
    <rPh sb="3" eb="4">
      <t>コ</t>
    </rPh>
    <phoneticPr fontId="1"/>
  </si>
  <si>
    <t>大阪府吹田市古江台2-8-11</t>
    <rPh sb="0" eb="3">
      <t>オオサカフ</t>
    </rPh>
    <rPh sb="3" eb="6">
      <t>スイタシ</t>
    </rPh>
    <rPh sb="6" eb="9">
      <t>フルエダイ</t>
    </rPh>
    <phoneticPr fontId="1"/>
  </si>
  <si>
    <t>090-5155-7278</t>
    <phoneticPr fontId="1"/>
  </si>
  <si>
    <t>志野さん知人 ￥5,000オフ</t>
    <rPh sb="0" eb="2">
      <t>シノ</t>
    </rPh>
    <rPh sb="4" eb="6">
      <t>チジン</t>
    </rPh>
    <phoneticPr fontId="1"/>
  </si>
  <si>
    <t>土谷　和宏</t>
    <rPh sb="0" eb="2">
      <t>ツチタニ</t>
    </rPh>
    <rPh sb="3" eb="4">
      <t>カズ</t>
    </rPh>
    <rPh sb="4" eb="5">
      <t>ヒロ</t>
    </rPh>
    <phoneticPr fontId="1"/>
  </si>
  <si>
    <t>661-0987</t>
    <phoneticPr fontId="1"/>
  </si>
  <si>
    <t>尼崎市猪名寺1丁目12-25-102</t>
    <rPh sb="0" eb="3">
      <t>アマガサキシ</t>
    </rPh>
    <rPh sb="3" eb="6">
      <t>イナデラ</t>
    </rPh>
    <rPh sb="7" eb="9">
      <t>チョウメ</t>
    </rPh>
    <phoneticPr fontId="1"/>
  </si>
  <si>
    <t>090-7365-1245</t>
    <phoneticPr fontId="1"/>
  </si>
  <si>
    <t>江河　鈴</t>
    <rPh sb="0" eb="2">
      <t>エガワ</t>
    </rPh>
    <rPh sb="3" eb="4">
      <t>スズ</t>
    </rPh>
    <phoneticPr fontId="1"/>
  </si>
  <si>
    <t>幸田　康平</t>
    <rPh sb="0" eb="2">
      <t>コウダ</t>
    </rPh>
    <rPh sb="3" eb="5">
      <t>コウヘイ</t>
    </rPh>
    <phoneticPr fontId="1"/>
  </si>
  <si>
    <t>651-0061</t>
    <phoneticPr fontId="1"/>
  </si>
  <si>
    <t>38.5㎞</t>
    <phoneticPr fontId="1"/>
  </si>
  <si>
    <t>090-2384-4904</t>
    <phoneticPr fontId="1"/>
  </si>
  <si>
    <t>三野宮さんご紹介・藤田さん指名</t>
    <rPh sb="0" eb="3">
      <t>サンノミヤ</t>
    </rPh>
    <rPh sb="6" eb="8">
      <t>ショウカイ</t>
    </rPh>
    <rPh sb="9" eb="11">
      <t>フジタ</t>
    </rPh>
    <rPh sb="13" eb="15">
      <t>シメイ</t>
    </rPh>
    <phoneticPr fontId="1"/>
  </si>
  <si>
    <t>丁子谷　彰敏</t>
    <rPh sb="0" eb="1">
      <t>チョウ</t>
    </rPh>
    <rPh sb="1" eb="2">
      <t>コ</t>
    </rPh>
    <rPh sb="2" eb="3">
      <t>タニ</t>
    </rPh>
    <rPh sb="4" eb="5">
      <t>アキラ</t>
    </rPh>
    <rPh sb="5" eb="6">
      <t>トシ</t>
    </rPh>
    <phoneticPr fontId="1"/>
  </si>
  <si>
    <t>兵庫県宝塚市山手台東1-13-14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</si>
  <si>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090-7768-8982</t>
    <phoneticPr fontId="1"/>
  </si>
  <si>
    <t>豊田　崇克</t>
    <rPh sb="0" eb="2">
      <t>トヨタ</t>
    </rPh>
    <rPh sb="3" eb="4">
      <t>タカ</t>
    </rPh>
    <rPh sb="4" eb="5">
      <t>カツ</t>
    </rPh>
    <phoneticPr fontId="1"/>
  </si>
  <si>
    <t>大阪府大阪市中央区北久宝寺町4-3-11 8F</t>
    <rPh sb="0" eb="3">
      <t>オオサカフ</t>
    </rPh>
    <rPh sb="3" eb="6">
      <t>オオサカシ</t>
    </rPh>
    <rPh sb="6" eb="9">
      <t>チュウオウク</t>
    </rPh>
    <rPh sb="9" eb="10">
      <t>キタ</t>
    </rPh>
    <rPh sb="10" eb="11">
      <t>ヒサ</t>
    </rPh>
    <rPh sb="11" eb="12">
      <t>タカラ</t>
    </rPh>
    <rPh sb="12" eb="13">
      <t>デラ</t>
    </rPh>
    <rPh sb="13" eb="14">
      <t>チョウ</t>
    </rPh>
    <phoneticPr fontId="1"/>
  </si>
  <si>
    <t>06-6258-3074</t>
    <phoneticPr fontId="1"/>
  </si>
  <si>
    <t>芦田　秀嗣</t>
    <rPh sb="0" eb="2">
      <t>アシダ</t>
    </rPh>
    <rPh sb="3" eb="4">
      <t>シュウ</t>
    </rPh>
    <rPh sb="4" eb="5">
      <t>ジ</t>
    </rPh>
    <phoneticPr fontId="1"/>
  </si>
  <si>
    <t>大阪府豊中市緑丘1-17-1</t>
    <rPh sb="0" eb="3">
      <t>オオサカフ</t>
    </rPh>
    <rPh sb="3" eb="6">
      <t>トヨナカシ</t>
    </rPh>
    <rPh sb="6" eb="8">
      <t>ミドリガオカ</t>
    </rPh>
    <phoneticPr fontId="1"/>
  </si>
  <si>
    <t>10.3㎞</t>
    <phoneticPr fontId="1"/>
  </si>
  <si>
    <t>090-2100-0193</t>
    <phoneticPr fontId="1"/>
  </si>
  <si>
    <t>5000円OFF　太平サブロー様</t>
    <rPh sb="4" eb="5">
      <t>エン</t>
    </rPh>
    <rPh sb="9" eb="11">
      <t>タイヘイ</t>
    </rPh>
    <rPh sb="15" eb="16">
      <t>サマ</t>
    </rPh>
    <phoneticPr fontId="1"/>
  </si>
  <si>
    <t>木原　敏夫</t>
    <rPh sb="0" eb="2">
      <t>キハラ</t>
    </rPh>
    <rPh sb="3" eb="4">
      <t>トシ</t>
    </rPh>
    <rPh sb="4" eb="5">
      <t>オ</t>
    </rPh>
    <phoneticPr fontId="1"/>
  </si>
  <si>
    <t>597-0073</t>
    <phoneticPr fontId="1"/>
  </si>
  <si>
    <t>大阪府貝塚市脇浜4-10-14</t>
    <rPh sb="0" eb="3">
      <t>オオサカフ</t>
    </rPh>
    <rPh sb="3" eb="6">
      <t>カイヅカシ</t>
    </rPh>
    <rPh sb="6" eb="8">
      <t>ワキハマ</t>
    </rPh>
    <phoneticPr fontId="1"/>
  </si>
  <si>
    <t>58.9㎞</t>
    <phoneticPr fontId="1"/>
  </si>
  <si>
    <t>090-3613-1448</t>
    <phoneticPr fontId="1"/>
  </si>
  <si>
    <t>山砥　浩</t>
    <rPh sb="0" eb="2">
      <t>ヤマトギ</t>
    </rPh>
    <rPh sb="3" eb="4">
      <t>ヒロシ</t>
    </rPh>
    <phoneticPr fontId="1"/>
  </si>
  <si>
    <t>兵庫県宝塚市売布4-8-8</t>
    <rPh sb="0" eb="3">
      <t>ヒョウゴケン</t>
    </rPh>
    <rPh sb="3" eb="6">
      <t>タカラヅカシ</t>
    </rPh>
    <rPh sb="6" eb="8">
      <t>メフ</t>
    </rPh>
    <phoneticPr fontId="1"/>
  </si>
  <si>
    <t>090-3672-0773</t>
    <phoneticPr fontId="1"/>
  </si>
  <si>
    <t>近藤　義之</t>
    <rPh sb="0" eb="2">
      <t>コンドウ</t>
    </rPh>
    <rPh sb="3" eb="5">
      <t>ヨシユキ</t>
    </rPh>
    <phoneticPr fontId="1"/>
  </si>
  <si>
    <t>兵庫県宝塚市湯本町4-8</t>
    <rPh sb="0" eb="3">
      <t>ヒョウゴケン</t>
    </rPh>
    <rPh sb="3" eb="6">
      <t>タカラヅカシ</t>
    </rPh>
    <rPh sb="6" eb="8">
      <t>ユモト</t>
    </rPh>
    <rPh sb="8" eb="9">
      <t>チョウ</t>
    </rPh>
    <phoneticPr fontId="1"/>
  </si>
  <si>
    <t>090-2287-3260</t>
    <phoneticPr fontId="1"/>
  </si>
  <si>
    <t>小山　力也</t>
    <rPh sb="0" eb="2">
      <t>コヤマ</t>
    </rPh>
    <rPh sb="3" eb="5">
      <t>リキヤ</t>
    </rPh>
    <phoneticPr fontId="1"/>
  </si>
  <si>
    <t>大阪府豊中市刀根山2-5-10</t>
    <rPh sb="0" eb="3">
      <t>オオサカフ</t>
    </rPh>
    <rPh sb="3" eb="6">
      <t>トヨナカシ</t>
    </rPh>
    <rPh sb="6" eb="9">
      <t>トネヤマ</t>
    </rPh>
    <phoneticPr fontId="1"/>
  </si>
  <si>
    <t>090-5642-2452</t>
    <phoneticPr fontId="1"/>
  </si>
  <si>
    <t>白石プロご紹介</t>
    <rPh sb="0" eb="2">
      <t>シライシ</t>
    </rPh>
    <rPh sb="5" eb="7">
      <t>ショウカイ</t>
    </rPh>
    <phoneticPr fontId="1"/>
  </si>
  <si>
    <t>090-2191-5823</t>
    <phoneticPr fontId="1"/>
  </si>
  <si>
    <t>木平　篤</t>
    <rPh sb="0" eb="2">
      <t>キヒラ</t>
    </rPh>
    <rPh sb="3" eb="4">
      <t>アツシ</t>
    </rPh>
    <phoneticPr fontId="1"/>
  </si>
  <si>
    <t>666-0136</t>
    <phoneticPr fontId="1"/>
  </si>
  <si>
    <t>兵庫県川西市南野坂1-2-120</t>
    <rPh sb="0" eb="3">
      <t>ヒョウゴケン</t>
    </rPh>
    <rPh sb="3" eb="6">
      <t>カワニシシ</t>
    </rPh>
    <rPh sb="6" eb="9">
      <t>ミナミノサカ</t>
    </rPh>
    <phoneticPr fontId="1"/>
  </si>
  <si>
    <t>岡田　基宏</t>
    <rPh sb="0" eb="2">
      <t>オカダ</t>
    </rPh>
    <rPh sb="3" eb="4">
      <t>モト</t>
    </rPh>
    <rPh sb="4" eb="5">
      <t>ヒロ</t>
    </rPh>
    <phoneticPr fontId="1"/>
  </si>
  <si>
    <t>655-0873</t>
    <phoneticPr fontId="1"/>
  </si>
  <si>
    <t>兵庫県神戸市垂水区青山台8丁目1-2-1212</t>
    <rPh sb="0" eb="3">
      <t>ヒョウゴケン</t>
    </rPh>
    <rPh sb="3" eb="6">
      <t>コウベシ</t>
    </rPh>
    <rPh sb="6" eb="8">
      <t>タルミ</t>
    </rPh>
    <rPh sb="8" eb="9">
      <t>ク</t>
    </rPh>
    <rPh sb="9" eb="12">
      <t>アオヤマダイ</t>
    </rPh>
    <rPh sb="13" eb="15">
      <t>チョウメ</t>
    </rPh>
    <phoneticPr fontId="1"/>
  </si>
  <si>
    <t>47.5㎞</t>
    <phoneticPr fontId="1"/>
  </si>
  <si>
    <t>moto.zrx1100@gmail.com</t>
    <phoneticPr fontId="1"/>
  </si>
  <si>
    <t>090-9091-1439</t>
    <phoneticPr fontId="1"/>
  </si>
  <si>
    <t>吉井　仁</t>
    <rPh sb="0" eb="2">
      <t>ヨシイ</t>
    </rPh>
    <rPh sb="3" eb="4">
      <t>ヒトシ</t>
    </rPh>
    <phoneticPr fontId="1"/>
  </si>
  <si>
    <t>吉井　典子</t>
    <rPh sb="0" eb="2">
      <t>ヨシイ</t>
    </rPh>
    <rPh sb="3" eb="5">
      <t>ノリコ</t>
    </rPh>
    <phoneticPr fontId="1"/>
  </si>
  <si>
    <t>661-0961</t>
    <phoneticPr fontId="1"/>
  </si>
  <si>
    <t>兵庫県尼崎市戸ノ内町3-25-17</t>
    <rPh sb="0" eb="3">
      <t>ヒョウゴケン</t>
    </rPh>
    <rPh sb="3" eb="6">
      <t>アマガサキシ</t>
    </rPh>
    <rPh sb="6" eb="7">
      <t>ト</t>
    </rPh>
    <rPh sb="8" eb="9">
      <t>ウチ</t>
    </rPh>
    <rPh sb="9" eb="10">
      <t>チョウ</t>
    </rPh>
    <phoneticPr fontId="1"/>
  </si>
  <si>
    <t>13.7㎞</t>
    <phoneticPr fontId="1"/>
  </si>
  <si>
    <t>00028hitoshi@ezweb.ne.jp</t>
    <phoneticPr fontId="1"/>
  </si>
  <si>
    <t>090-1597-0898</t>
    <phoneticPr fontId="1"/>
  </si>
  <si>
    <t>090-1443-4254</t>
    <phoneticPr fontId="1"/>
  </si>
  <si>
    <t>志野さんご紹介　</t>
    <rPh sb="0" eb="2">
      <t>シノ</t>
    </rPh>
    <rPh sb="5" eb="7">
      <t>ショウカイ</t>
    </rPh>
    <phoneticPr fontId="1"/>
  </si>
  <si>
    <t>牧瀬　篤正</t>
    <rPh sb="0" eb="2">
      <t>マキセ</t>
    </rPh>
    <rPh sb="3" eb="4">
      <t>アツシ</t>
    </rPh>
    <rPh sb="4" eb="5">
      <t>マサ</t>
    </rPh>
    <phoneticPr fontId="1"/>
  </si>
  <si>
    <t>牧瀬　さゆり</t>
    <rPh sb="0" eb="2">
      <t>マキセ</t>
    </rPh>
    <phoneticPr fontId="1"/>
  </si>
  <si>
    <t>兵庫県川西市花屋敷1-27-23</t>
    <rPh sb="0" eb="3">
      <t>ヒョウゴケン</t>
    </rPh>
    <rPh sb="3" eb="6">
      <t>カワニシシ</t>
    </rPh>
    <rPh sb="6" eb="9">
      <t>ハナヤシキ</t>
    </rPh>
    <phoneticPr fontId="1"/>
  </si>
  <si>
    <t>072-757-3222</t>
    <phoneticPr fontId="1"/>
  </si>
  <si>
    <t>森本　育宏</t>
    <rPh sb="0" eb="2">
      <t>モリモト</t>
    </rPh>
    <rPh sb="3" eb="4">
      <t>イク</t>
    </rPh>
    <rPh sb="4" eb="5">
      <t>ヒロ</t>
    </rPh>
    <phoneticPr fontId="1"/>
  </si>
  <si>
    <t>兵庫県川西市小戸2-8-11-701</t>
    <rPh sb="0" eb="3">
      <t>ヒョウゴケン</t>
    </rPh>
    <rPh sb="3" eb="6">
      <t>カワニシシ</t>
    </rPh>
    <rPh sb="6" eb="8">
      <t>オオベ</t>
    </rPh>
    <phoneticPr fontId="1"/>
  </si>
  <si>
    <t>1916-morimoto@i.softbank.jp</t>
    <phoneticPr fontId="1"/>
  </si>
  <si>
    <t>090-1153-8807</t>
    <phoneticPr fontId="1"/>
  </si>
  <si>
    <t>下田　大高</t>
    <rPh sb="0" eb="2">
      <t>シモダ</t>
    </rPh>
    <rPh sb="3" eb="4">
      <t>ダイ</t>
    </rPh>
    <rPh sb="4" eb="5">
      <t>タカ</t>
    </rPh>
    <phoneticPr fontId="1"/>
  </si>
  <si>
    <t>665-0802</t>
    <phoneticPr fontId="1"/>
  </si>
  <si>
    <t>兵庫県宝塚市花屋敷荘園3-12-18</t>
    <rPh sb="0" eb="3">
      <t>ヒョウゴケン</t>
    </rPh>
    <rPh sb="3" eb="6">
      <t>タカラヅカシ</t>
    </rPh>
    <rPh sb="6" eb="9">
      <t>ハナヤシキ</t>
    </rPh>
    <rPh sb="9" eb="11">
      <t>ショウエン</t>
    </rPh>
    <phoneticPr fontId="1"/>
  </si>
  <si>
    <t>dai3877@yahoo.co.jp</t>
    <phoneticPr fontId="1"/>
  </si>
  <si>
    <t>090-5974-1321</t>
    <phoneticPr fontId="1"/>
  </si>
  <si>
    <t>牧瀬さゆり様ご主人　2回目</t>
    <rPh sb="0" eb="2">
      <t>マキセ</t>
    </rPh>
    <rPh sb="5" eb="6">
      <t>サマ</t>
    </rPh>
    <rPh sb="7" eb="9">
      <t>シュジン</t>
    </rPh>
    <rPh sb="11" eb="13">
      <t>カイメ</t>
    </rPh>
    <phoneticPr fontId="1"/>
  </si>
  <si>
    <t>清水　唯男</t>
    <rPh sb="0" eb="2">
      <t>シミズ</t>
    </rPh>
    <rPh sb="3" eb="4">
      <t>ユイ</t>
    </rPh>
    <rPh sb="4" eb="5">
      <t>オ</t>
    </rPh>
    <phoneticPr fontId="1"/>
  </si>
  <si>
    <t>662-0036</t>
    <phoneticPr fontId="1"/>
  </si>
  <si>
    <t>兵庫県西宮市大井手町11-24</t>
    <rPh sb="0" eb="3">
      <t>ヒョウゴケン</t>
    </rPh>
    <rPh sb="3" eb="6">
      <t>ニシノミヤシ</t>
    </rPh>
    <rPh sb="6" eb="8">
      <t>オオイ</t>
    </rPh>
    <rPh sb="8" eb="9">
      <t>テ</t>
    </rPh>
    <rPh sb="9" eb="10">
      <t>チョウ</t>
    </rPh>
    <phoneticPr fontId="1"/>
  </si>
  <si>
    <t>tadforyou@nifty.com</t>
    <phoneticPr fontId="1"/>
  </si>
  <si>
    <t>090-9210-8217</t>
    <phoneticPr fontId="1"/>
  </si>
  <si>
    <t>高崎プロ紹介10％オフ</t>
    <rPh sb="0" eb="2">
      <t>タカサキ</t>
    </rPh>
    <rPh sb="4" eb="6">
      <t>ショウカイ</t>
    </rPh>
    <phoneticPr fontId="1"/>
  </si>
  <si>
    <t>小村　嘉彦</t>
    <rPh sb="0" eb="2">
      <t>コムラ</t>
    </rPh>
    <rPh sb="3" eb="4">
      <t>ヨシ</t>
    </rPh>
    <rPh sb="4" eb="5">
      <t>ヒコ</t>
    </rPh>
    <phoneticPr fontId="1"/>
  </si>
  <si>
    <t>658-0051</t>
    <phoneticPr fontId="1"/>
  </si>
  <si>
    <t>33.8㎞</t>
    <phoneticPr fontId="1"/>
  </si>
  <si>
    <t>090-5360-5518</t>
    <phoneticPr fontId="1"/>
  </si>
  <si>
    <t>兵庫県神戸市灘区住吉本町3-15-11ﾌﾟﾛﾑﾅｰﾄﾞ御影005号室</t>
    <rPh sb="0" eb="3">
      <t>ヒョウゴケン</t>
    </rPh>
    <rPh sb="3" eb="6">
      <t>コウベシ</t>
    </rPh>
    <rPh sb="6" eb="8">
      <t>ナダク</t>
    </rPh>
    <rPh sb="8" eb="10">
      <t>スミヨシ</t>
    </rPh>
    <rPh sb="10" eb="11">
      <t>ホン</t>
    </rPh>
    <rPh sb="11" eb="12">
      <t>チョウ</t>
    </rPh>
    <rPh sb="27" eb="29">
      <t>ミカゲ</t>
    </rPh>
    <rPh sb="32" eb="33">
      <t>ゴウ</t>
    </rPh>
    <rPh sb="33" eb="34">
      <t>シツ</t>
    </rPh>
    <phoneticPr fontId="1"/>
  </si>
  <si>
    <t>2020.2.1フィッティング来店済➔シャフト購入済</t>
    <rPh sb="15" eb="17">
      <t>ライテン</t>
    </rPh>
    <rPh sb="17" eb="18">
      <t>スミ</t>
    </rPh>
    <rPh sb="23" eb="25">
      <t>コウニュウ</t>
    </rPh>
    <rPh sb="25" eb="26">
      <t>スミ</t>
    </rPh>
    <phoneticPr fontId="1"/>
  </si>
  <si>
    <t>三津　桃子</t>
    <rPh sb="0" eb="2">
      <t>ミツ</t>
    </rPh>
    <rPh sb="3" eb="5">
      <t>トウコ</t>
    </rPh>
    <phoneticPr fontId="1"/>
  </si>
  <si>
    <t>2020.11.21来店済　0円社長了承</t>
    <rPh sb="10" eb="12">
      <t>ライテン</t>
    </rPh>
    <rPh sb="12" eb="13">
      <t>スミ</t>
    </rPh>
    <rPh sb="15" eb="16">
      <t>エン</t>
    </rPh>
    <rPh sb="16" eb="18">
      <t>シャチョウ</t>
    </rPh>
    <rPh sb="18" eb="20">
      <t>リョウショウ</t>
    </rPh>
    <phoneticPr fontId="1"/>
  </si>
  <si>
    <t>櫻井　有希</t>
    <rPh sb="0" eb="2">
      <t>サクライ</t>
    </rPh>
    <rPh sb="3" eb="5">
      <t>ユキ</t>
    </rPh>
    <phoneticPr fontId="1"/>
  </si>
  <si>
    <t>615-8296</t>
    <phoneticPr fontId="1"/>
  </si>
  <si>
    <t>京都府西京区松宝山添町26-33</t>
    <rPh sb="0" eb="3">
      <t>キョウトフ</t>
    </rPh>
    <rPh sb="3" eb="4">
      <t>ニシ</t>
    </rPh>
    <rPh sb="4" eb="5">
      <t>キョウ</t>
    </rPh>
    <rPh sb="5" eb="6">
      <t>ク</t>
    </rPh>
    <rPh sb="6" eb="7">
      <t>マツ</t>
    </rPh>
    <rPh sb="7" eb="9">
      <t>タカラヤマ</t>
    </rPh>
    <rPh sb="9" eb="10">
      <t>ソ</t>
    </rPh>
    <rPh sb="10" eb="11">
      <t>マチ</t>
    </rPh>
    <phoneticPr fontId="1"/>
  </si>
  <si>
    <t>55.7㎞</t>
    <phoneticPr fontId="1"/>
  </si>
  <si>
    <t>080-4448-8549</t>
    <phoneticPr fontId="1"/>
  </si>
  <si>
    <t>社長知人　2019/5/1来店⇒シャフトご購入</t>
    <rPh sb="0" eb="2">
      <t>シャチョウ</t>
    </rPh>
    <rPh sb="2" eb="4">
      <t>チジン</t>
    </rPh>
    <rPh sb="13" eb="15">
      <t>ライテン</t>
    </rPh>
    <rPh sb="21" eb="23">
      <t>コウニュウ</t>
    </rPh>
    <phoneticPr fontId="1"/>
  </si>
  <si>
    <t>田中　正一</t>
    <rPh sb="0" eb="2">
      <t>タナカ</t>
    </rPh>
    <rPh sb="3" eb="5">
      <t>ショウイチ</t>
    </rPh>
    <phoneticPr fontId="1"/>
  </si>
  <si>
    <t>090-8235-7572</t>
    <phoneticPr fontId="1"/>
  </si>
  <si>
    <t>664-0844</t>
    <phoneticPr fontId="1"/>
  </si>
  <si>
    <t>兵庫県伊丹市口酒井1丁目8-20</t>
    <rPh sb="0" eb="3">
      <t>ヒョウゴケン</t>
    </rPh>
    <rPh sb="3" eb="6">
      <t>イタミシ</t>
    </rPh>
    <rPh sb="6" eb="7">
      <t>クチ</t>
    </rPh>
    <rPh sb="7" eb="9">
      <t>サカイ</t>
    </rPh>
    <rPh sb="10" eb="12">
      <t>チョウメ</t>
    </rPh>
    <phoneticPr fontId="1"/>
  </si>
  <si>
    <t>廣岡　直樹</t>
    <rPh sb="0" eb="2">
      <t>ヒロオカ</t>
    </rPh>
    <rPh sb="3" eb="5">
      <t>ナオキ</t>
    </rPh>
    <phoneticPr fontId="1"/>
  </si>
  <si>
    <t>090-6980-4303</t>
    <phoneticPr fontId="1"/>
  </si>
  <si>
    <t>小谷　伸</t>
    <rPh sb="0" eb="2">
      <t>オタニ</t>
    </rPh>
    <rPh sb="3" eb="4">
      <t>ノボル</t>
    </rPh>
    <phoneticPr fontId="1"/>
  </si>
  <si>
    <t>吉田　晴美</t>
    <rPh sb="0" eb="2">
      <t>ヨシダ</t>
    </rPh>
    <rPh sb="3" eb="5">
      <t>ハルミ</t>
    </rPh>
    <phoneticPr fontId="1"/>
  </si>
  <si>
    <t>583-0868</t>
    <phoneticPr fontId="1"/>
  </si>
  <si>
    <t>大阪府羽曳野市学園前1-805-83</t>
    <rPh sb="0" eb="3">
      <t>オオサカフ</t>
    </rPh>
    <rPh sb="3" eb="6">
      <t>ハビキノ</t>
    </rPh>
    <rPh sb="6" eb="7">
      <t>シ</t>
    </rPh>
    <rPh sb="7" eb="9">
      <t>ガクエン</t>
    </rPh>
    <rPh sb="9" eb="10">
      <t>マエ</t>
    </rPh>
    <phoneticPr fontId="1"/>
  </si>
  <si>
    <t>45.2㎞</t>
    <phoneticPr fontId="1"/>
  </si>
  <si>
    <t>090-8160-0748</t>
    <phoneticPr fontId="1"/>
  </si>
  <si>
    <t>池田　康司</t>
    <rPh sb="0" eb="2">
      <t>イケダ</t>
    </rPh>
    <rPh sb="3" eb="4">
      <t>ヤスシ</t>
    </rPh>
    <rPh sb="4" eb="5">
      <t>ツカサ</t>
    </rPh>
    <phoneticPr fontId="1"/>
  </si>
  <si>
    <t>兵庫県宝塚市南口2-5-48</t>
    <rPh sb="0" eb="3">
      <t>ヒョウゴケン</t>
    </rPh>
    <rPh sb="3" eb="6">
      <t>タカラヅカシ</t>
    </rPh>
    <rPh sb="6" eb="8">
      <t>ミナミグチ</t>
    </rPh>
    <phoneticPr fontId="1"/>
  </si>
  <si>
    <t>大橋　広昌</t>
    <rPh sb="0" eb="2">
      <t>オオハシ</t>
    </rPh>
    <rPh sb="3" eb="4">
      <t>ヒロ</t>
    </rPh>
    <rPh sb="4" eb="5">
      <t>マサ</t>
    </rPh>
    <phoneticPr fontId="1"/>
  </si>
  <si>
    <t>532-0003</t>
    <phoneticPr fontId="1"/>
  </si>
  <si>
    <t>大阪府大阪市淀川区宮原5-4-8WillDo新大阪703</t>
    <rPh sb="0" eb="3">
      <t>オオサカフ</t>
    </rPh>
    <rPh sb="3" eb="6">
      <t>オオサカシ</t>
    </rPh>
    <rPh sb="6" eb="9">
      <t>ヨドガワク</t>
    </rPh>
    <rPh sb="9" eb="11">
      <t>ミヤハラ</t>
    </rPh>
    <rPh sb="22" eb="25">
      <t>シンオオサカ</t>
    </rPh>
    <phoneticPr fontId="1"/>
  </si>
  <si>
    <t>090-3943-6059</t>
    <phoneticPr fontId="1"/>
  </si>
  <si>
    <t>080-3665-3437</t>
    <phoneticPr fontId="1"/>
  </si>
  <si>
    <t>会員木平様お連れ様</t>
    <rPh sb="0" eb="2">
      <t>カイイン</t>
    </rPh>
    <rPh sb="2" eb="4">
      <t>コノヒラ</t>
    </rPh>
    <rPh sb="4" eb="5">
      <t>サマ</t>
    </rPh>
    <rPh sb="6" eb="7">
      <t>ツ</t>
    </rPh>
    <rPh sb="8" eb="9">
      <t>サマ</t>
    </rPh>
    <phoneticPr fontId="1"/>
  </si>
  <si>
    <t>田中　淳</t>
    <rPh sb="0" eb="2">
      <t>タナカ</t>
    </rPh>
    <rPh sb="3" eb="4">
      <t>アツシ</t>
    </rPh>
    <phoneticPr fontId="1"/>
  </si>
  <si>
    <t>660-0052</t>
    <phoneticPr fontId="1"/>
  </si>
  <si>
    <t>大阪府池田市満寿美町7-14-402</t>
    <rPh sb="0" eb="3">
      <t>オオサカフ</t>
    </rPh>
    <rPh sb="3" eb="6">
      <t>イケダシ</t>
    </rPh>
    <rPh sb="6" eb="10">
      <t>マスミチョウ</t>
    </rPh>
    <phoneticPr fontId="1"/>
  </si>
  <si>
    <t>兵庫県神戸市中央区上筒井通5-2-14-202</t>
    <rPh sb="0" eb="3">
      <t>ヒョウゴケン</t>
    </rPh>
    <rPh sb="3" eb="6">
      <t>コウベシ</t>
    </rPh>
    <rPh sb="6" eb="9">
      <t>チュウオウク</t>
    </rPh>
    <rPh sb="9" eb="12">
      <t>カミツツイ</t>
    </rPh>
    <rPh sb="12" eb="13">
      <t>トオ</t>
    </rPh>
    <phoneticPr fontId="1"/>
  </si>
  <si>
    <t>兵庫県尼崎市七松町2-3-22-203</t>
    <rPh sb="0" eb="3">
      <t>ヒョウゴケン</t>
    </rPh>
    <rPh sb="3" eb="6">
      <t>アマガサキシ</t>
    </rPh>
    <rPh sb="6" eb="7">
      <t>シチ</t>
    </rPh>
    <rPh sb="7" eb="8">
      <t>マツ</t>
    </rPh>
    <rPh sb="8" eb="9">
      <t>チョウ</t>
    </rPh>
    <phoneticPr fontId="1"/>
  </si>
  <si>
    <t>19.8㎞</t>
    <phoneticPr fontId="1"/>
  </si>
  <si>
    <t>kumikoera@yahoo.co.jp</t>
    <phoneticPr fontId="1"/>
  </si>
  <si>
    <t>090-4278-9350</t>
    <phoneticPr fontId="1"/>
  </si>
  <si>
    <t>ビジター４回目 シャフト購入 リピーターフィッティング料金返金</t>
    <rPh sb="5" eb="7">
      <t>カイメ</t>
    </rPh>
    <rPh sb="12" eb="14">
      <t>コウニュウ</t>
    </rPh>
    <rPh sb="27" eb="28">
      <t>リョウ</t>
    </rPh>
    <rPh sb="28" eb="29">
      <t>キン</t>
    </rPh>
    <rPh sb="29" eb="31">
      <t>ヘンキン</t>
    </rPh>
    <phoneticPr fontId="1"/>
  </si>
  <si>
    <t>井上　敬太</t>
    <rPh sb="0" eb="2">
      <t>イノウエ</t>
    </rPh>
    <rPh sb="3" eb="5">
      <t>ケイタ</t>
    </rPh>
    <phoneticPr fontId="1"/>
  </si>
  <si>
    <t>651-1421</t>
    <phoneticPr fontId="1"/>
  </si>
  <si>
    <t>兵庫県西宮市山口町上山口3-10-24シャーメゾン202</t>
    <rPh sb="0" eb="6">
      <t>ヒョウゴケンニシノミヤシ</t>
    </rPh>
    <rPh sb="6" eb="8">
      <t>ヤマグチ</t>
    </rPh>
    <rPh sb="8" eb="9">
      <t>チョウ</t>
    </rPh>
    <rPh sb="9" eb="10">
      <t>カミ</t>
    </rPh>
    <rPh sb="10" eb="12">
      <t>ヤマグチ</t>
    </rPh>
    <phoneticPr fontId="1"/>
  </si>
  <si>
    <t>16.5㎞</t>
    <phoneticPr fontId="1"/>
  </si>
  <si>
    <t>k08042303881@i.softbank.jp</t>
    <phoneticPr fontId="1"/>
  </si>
  <si>
    <t>080-4230-3881</t>
    <phoneticPr fontId="1"/>
  </si>
  <si>
    <t>榎本さん紹介・PGAプロ</t>
    <rPh sb="0" eb="2">
      <t>エノモト</t>
    </rPh>
    <rPh sb="4" eb="6">
      <t>ショウカイ</t>
    </rPh>
    <phoneticPr fontId="1"/>
  </si>
  <si>
    <t>吉野　成美</t>
    <rPh sb="0" eb="2">
      <t>ヨシノ</t>
    </rPh>
    <rPh sb="3" eb="5">
      <t>ナルミ</t>
    </rPh>
    <phoneticPr fontId="1"/>
  </si>
  <si>
    <t>563-0022</t>
    <phoneticPr fontId="1"/>
  </si>
  <si>
    <t>大阪府池田市旭丘2-6-11</t>
    <rPh sb="0" eb="3">
      <t>オオサカフ</t>
    </rPh>
    <rPh sb="3" eb="6">
      <t>イケダシ</t>
    </rPh>
    <rPh sb="6" eb="7">
      <t>アサヒ</t>
    </rPh>
    <rPh sb="7" eb="8">
      <t>オカ</t>
    </rPh>
    <phoneticPr fontId="1"/>
  </si>
  <si>
    <t>narumi0510@icloud.com</t>
    <phoneticPr fontId="1"/>
  </si>
  <si>
    <t>090-8883-0198</t>
    <phoneticPr fontId="1"/>
  </si>
  <si>
    <t>井上敬太プロ紹介10%オフ</t>
    <rPh sb="0" eb="2">
      <t>イノウエ</t>
    </rPh>
    <rPh sb="2" eb="4">
      <t>ケイタ</t>
    </rPh>
    <rPh sb="6" eb="8">
      <t>ショウカイ</t>
    </rPh>
    <phoneticPr fontId="1"/>
  </si>
  <si>
    <t>福本　徹</t>
    <rPh sb="0" eb="2">
      <t>フクモト</t>
    </rPh>
    <rPh sb="3" eb="4">
      <t>トオル</t>
    </rPh>
    <phoneticPr fontId="1"/>
  </si>
  <si>
    <t>651-2276</t>
    <phoneticPr fontId="1"/>
  </si>
  <si>
    <t>兵庫県神戸市西区春日台7-6-15</t>
    <rPh sb="0" eb="3">
      <t>ヒョウゴケン</t>
    </rPh>
    <rPh sb="3" eb="6">
      <t>コウベシ</t>
    </rPh>
    <rPh sb="6" eb="8">
      <t>ニシク</t>
    </rPh>
    <rPh sb="8" eb="11">
      <t>カスガダイ</t>
    </rPh>
    <phoneticPr fontId="1"/>
  </si>
  <si>
    <t>090-9718-6831</t>
    <phoneticPr fontId="1"/>
  </si>
  <si>
    <t>三野宮様お連れ様</t>
    <rPh sb="0" eb="3">
      <t>サンノミヤ</t>
    </rPh>
    <rPh sb="3" eb="4">
      <t>サマ</t>
    </rPh>
    <rPh sb="5" eb="6">
      <t>ツ</t>
    </rPh>
    <rPh sb="7" eb="8">
      <t>サマ</t>
    </rPh>
    <phoneticPr fontId="1"/>
  </si>
  <si>
    <t>浅野　正治</t>
    <rPh sb="0" eb="2">
      <t>アサノ</t>
    </rPh>
    <rPh sb="3" eb="4">
      <t>マサ</t>
    </rPh>
    <rPh sb="4" eb="5">
      <t>ジ</t>
    </rPh>
    <phoneticPr fontId="1"/>
  </si>
  <si>
    <t>住所記載なし</t>
    <rPh sb="0" eb="2">
      <t>ジュウショ</t>
    </rPh>
    <rPh sb="2" eb="4">
      <t>キサイ</t>
    </rPh>
    <phoneticPr fontId="1"/>
  </si>
  <si>
    <t>足立　江梨子</t>
    <rPh sb="0" eb="2">
      <t>アダチ</t>
    </rPh>
    <rPh sb="3" eb="6">
      <t>エリコ</t>
    </rPh>
    <phoneticPr fontId="1"/>
  </si>
  <si>
    <t>髙木　美空</t>
    <rPh sb="0" eb="2">
      <t>タカギ</t>
    </rPh>
    <rPh sb="3" eb="5">
      <t>ミソラ</t>
    </rPh>
    <phoneticPr fontId="1"/>
  </si>
  <si>
    <t>651-1202</t>
    <phoneticPr fontId="1"/>
  </si>
  <si>
    <t>神戸市北区花山中尾台1-17-4</t>
    <rPh sb="0" eb="5">
      <t>コウベシキタク</t>
    </rPh>
    <rPh sb="5" eb="7">
      <t>ハナヤマ</t>
    </rPh>
    <rPh sb="7" eb="10">
      <t>ナカオダイ</t>
    </rPh>
    <phoneticPr fontId="1"/>
  </si>
  <si>
    <t>090-3995-0587</t>
    <phoneticPr fontId="1"/>
  </si>
  <si>
    <t>井殿紹介</t>
    <rPh sb="0" eb="2">
      <t>イドノ</t>
    </rPh>
    <rPh sb="2" eb="4">
      <t>ショウカイ</t>
    </rPh>
    <phoneticPr fontId="1"/>
  </si>
  <si>
    <t>541-0057</t>
    <phoneticPr fontId="1"/>
  </si>
  <si>
    <t>豊田　めぐみ</t>
    <rPh sb="0" eb="2">
      <t>トヨタ</t>
    </rPh>
    <phoneticPr fontId="1"/>
  </si>
  <si>
    <t>658-0064</t>
    <phoneticPr fontId="1"/>
  </si>
  <si>
    <t>神戸市東灘区鴨子ヶ原3丁目2-50-102</t>
    <rPh sb="0" eb="3">
      <t>コウベシ</t>
    </rPh>
    <rPh sb="3" eb="6">
      <t>ヒガシナダク</t>
    </rPh>
    <rPh sb="6" eb="8">
      <t>カモコ</t>
    </rPh>
    <rPh sb="9" eb="10">
      <t>ハラ</t>
    </rPh>
    <rPh sb="11" eb="13">
      <t>チョウメ</t>
    </rPh>
    <phoneticPr fontId="1"/>
  </si>
  <si>
    <t>080-5318-4320</t>
    <phoneticPr fontId="1"/>
  </si>
  <si>
    <t>社長知人　特別ギフト券ご利用</t>
    <rPh sb="0" eb="2">
      <t>シャチョウ</t>
    </rPh>
    <rPh sb="2" eb="4">
      <t>チジン</t>
    </rPh>
    <rPh sb="5" eb="7">
      <t>トクベツ</t>
    </rPh>
    <rPh sb="10" eb="11">
      <t>ケン</t>
    </rPh>
    <rPh sb="12" eb="14">
      <t>リヨウ</t>
    </rPh>
    <phoneticPr fontId="1"/>
  </si>
  <si>
    <t>志野さん知人　特別ギフト券ご利用　豊田崇克様奥様</t>
    <rPh sb="0" eb="2">
      <t>シノ</t>
    </rPh>
    <rPh sb="4" eb="6">
      <t>チジン</t>
    </rPh>
    <rPh sb="7" eb="9">
      <t>トクベツ</t>
    </rPh>
    <rPh sb="12" eb="13">
      <t>ケン</t>
    </rPh>
    <rPh sb="14" eb="16">
      <t>リヨウ</t>
    </rPh>
    <rPh sb="17" eb="19">
      <t>トヨタ</t>
    </rPh>
    <rPh sb="19" eb="20">
      <t>タカ</t>
    </rPh>
    <rPh sb="20" eb="21">
      <t>カツ</t>
    </rPh>
    <rPh sb="21" eb="22">
      <t>サマ</t>
    </rPh>
    <rPh sb="22" eb="24">
      <t>オクサマ</t>
    </rPh>
    <phoneticPr fontId="1"/>
  </si>
  <si>
    <t>1月6日ドライバーフィッティング。再来店FWフィッティング</t>
    <rPh sb="1" eb="2">
      <t>ガツ</t>
    </rPh>
    <rPh sb="3" eb="4">
      <t>ニチ</t>
    </rPh>
    <rPh sb="17" eb="20">
      <t>サイライテン</t>
    </rPh>
    <phoneticPr fontId="1"/>
  </si>
  <si>
    <t>竹中　康人</t>
    <rPh sb="0" eb="2">
      <t>タケナカ</t>
    </rPh>
    <rPh sb="3" eb="5">
      <t>ヤスヒト</t>
    </rPh>
    <phoneticPr fontId="1"/>
  </si>
  <si>
    <t>579-8061</t>
    <phoneticPr fontId="1"/>
  </si>
  <si>
    <t>大阪府東大阪市六万寺町2-5-37</t>
    <rPh sb="0" eb="3">
      <t>オオサカフ</t>
    </rPh>
    <rPh sb="3" eb="4">
      <t>ヒガシ</t>
    </rPh>
    <rPh sb="4" eb="7">
      <t>オオサカシ</t>
    </rPh>
    <rPh sb="7" eb="10">
      <t>ロクマンジ</t>
    </rPh>
    <rPh sb="10" eb="11">
      <t>チョウ</t>
    </rPh>
    <phoneticPr fontId="1"/>
  </si>
  <si>
    <t>37.7㎞</t>
    <phoneticPr fontId="1"/>
  </si>
  <si>
    <t>wiseguy@icloud.com</t>
    <phoneticPr fontId="1"/>
  </si>
  <si>
    <t>090-3279-4643</t>
    <phoneticPr fontId="1"/>
  </si>
  <si>
    <t>森田　大介</t>
    <rPh sb="0" eb="2">
      <t>モリタ</t>
    </rPh>
    <rPh sb="3" eb="5">
      <t>ダイスケ</t>
    </rPh>
    <phoneticPr fontId="1"/>
  </si>
  <si>
    <t>542-0083</t>
    <phoneticPr fontId="1"/>
  </si>
  <si>
    <t>大阪府大阪市中央区東心斎橋1-8-11 ｱﾙｸﾞﾗｯﾄﾞｻﾞﾀﾜｰ2901号</t>
    <rPh sb="0" eb="3">
      <t>オオサカフ</t>
    </rPh>
    <rPh sb="3" eb="6">
      <t>オオサカシ</t>
    </rPh>
    <rPh sb="6" eb="9">
      <t>チュウオウク</t>
    </rPh>
    <rPh sb="9" eb="10">
      <t>ヒガシ</t>
    </rPh>
    <rPh sb="10" eb="13">
      <t>シンサイバシ</t>
    </rPh>
    <rPh sb="37" eb="38">
      <t>ゴウ</t>
    </rPh>
    <phoneticPr fontId="1"/>
  </si>
  <si>
    <t>23.6㎞</t>
    <phoneticPr fontId="1"/>
  </si>
  <si>
    <t>090-6750-8838</t>
    <phoneticPr fontId="1"/>
  </si>
  <si>
    <t>佐守　友博</t>
    <rPh sb="0" eb="1">
      <t>サ</t>
    </rPh>
    <rPh sb="1" eb="2">
      <t>マモル</t>
    </rPh>
    <rPh sb="3" eb="4">
      <t>トモ</t>
    </rPh>
    <rPh sb="4" eb="5">
      <t>ヒロ</t>
    </rPh>
    <phoneticPr fontId="1"/>
  </si>
  <si>
    <t>兵庫県伊丹市池尻4-1-5-1113</t>
    <rPh sb="0" eb="3">
      <t>ヒョウゴケン</t>
    </rPh>
    <rPh sb="3" eb="6">
      <t>イタミシ</t>
    </rPh>
    <rPh sb="6" eb="8">
      <t>イケジリ</t>
    </rPh>
    <phoneticPr fontId="1"/>
  </si>
  <si>
    <t>090-5127-6033</t>
    <phoneticPr fontId="1"/>
  </si>
  <si>
    <t>漆谷　光彦</t>
    <rPh sb="0" eb="1">
      <t>ウルシ</t>
    </rPh>
    <rPh sb="1" eb="2">
      <t>タニ</t>
    </rPh>
    <rPh sb="3" eb="4">
      <t>ミツ</t>
    </rPh>
    <rPh sb="4" eb="5">
      <t>ヒコ</t>
    </rPh>
    <phoneticPr fontId="1"/>
  </si>
  <si>
    <t>兵庫県伊丹市西野7-71</t>
    <rPh sb="0" eb="2">
      <t>ヒョウゴ</t>
    </rPh>
    <rPh sb="2" eb="3">
      <t>ケン</t>
    </rPh>
    <rPh sb="3" eb="6">
      <t>イタミシ</t>
    </rPh>
    <rPh sb="6" eb="8">
      <t>ニシノ</t>
    </rPh>
    <phoneticPr fontId="1"/>
  </si>
  <si>
    <t>090-1077-2599</t>
    <phoneticPr fontId="1"/>
  </si>
  <si>
    <t>581-0802</t>
    <phoneticPr fontId="1"/>
  </si>
  <si>
    <t>大阪府八尾市北本町1-3-8</t>
    <rPh sb="0" eb="3">
      <t>オオサカフ</t>
    </rPh>
    <rPh sb="3" eb="6">
      <t>ヤオシ</t>
    </rPh>
    <rPh sb="6" eb="9">
      <t>キタホンマチ</t>
    </rPh>
    <phoneticPr fontId="1"/>
  </si>
  <si>
    <t>36.2㎞</t>
    <phoneticPr fontId="1"/>
  </si>
  <si>
    <t>naoko.cristina.32-26@docomo.ne.jp</t>
    <phoneticPr fontId="1"/>
  </si>
  <si>
    <t>090-4302-7910</t>
    <phoneticPr fontId="1"/>
  </si>
  <si>
    <t>志野さんお知り合い</t>
    <rPh sb="0" eb="2">
      <t>シノ</t>
    </rPh>
    <rPh sb="5" eb="6">
      <t>シ</t>
    </rPh>
    <rPh sb="7" eb="8">
      <t>ア</t>
    </rPh>
    <phoneticPr fontId="1"/>
  </si>
  <si>
    <t>森　俊彦</t>
    <rPh sb="0" eb="1">
      <t>モリ</t>
    </rPh>
    <rPh sb="2" eb="3">
      <t>シュン</t>
    </rPh>
    <rPh sb="3" eb="4">
      <t>ゲン</t>
    </rPh>
    <phoneticPr fontId="1"/>
  </si>
  <si>
    <t>中川　知昭</t>
    <rPh sb="0" eb="2">
      <t>ナカガワ</t>
    </rPh>
    <rPh sb="3" eb="4">
      <t>トモ</t>
    </rPh>
    <rPh sb="4" eb="5">
      <t>アキ</t>
    </rPh>
    <phoneticPr fontId="1"/>
  </si>
  <si>
    <t>620-0021</t>
    <phoneticPr fontId="1"/>
  </si>
  <si>
    <t>623-0023</t>
    <phoneticPr fontId="1"/>
  </si>
  <si>
    <t>京都府福知山市寺1</t>
    <rPh sb="0" eb="3">
      <t>キョウトフ</t>
    </rPh>
    <rPh sb="3" eb="6">
      <t>フクチヤマ</t>
    </rPh>
    <rPh sb="6" eb="7">
      <t>シ</t>
    </rPh>
    <rPh sb="7" eb="8">
      <t>テラ</t>
    </rPh>
    <phoneticPr fontId="1"/>
  </si>
  <si>
    <t>京都府綾部市新町53-7</t>
    <rPh sb="0" eb="3">
      <t>キョウトフ</t>
    </rPh>
    <rPh sb="3" eb="6">
      <t>アヤベシ</t>
    </rPh>
    <rPh sb="6" eb="8">
      <t>シンマチ</t>
    </rPh>
    <phoneticPr fontId="1"/>
  </si>
  <si>
    <t>86.9㎞</t>
    <phoneticPr fontId="1"/>
  </si>
  <si>
    <t>94.6㎞</t>
    <phoneticPr fontId="1"/>
  </si>
  <si>
    <t>090-8988-9786</t>
    <phoneticPr fontId="1"/>
  </si>
  <si>
    <t>090-3352-3501</t>
    <phoneticPr fontId="1"/>
  </si>
  <si>
    <t>岡本　尚子</t>
    <rPh sb="0" eb="2">
      <t>オカモト</t>
    </rPh>
    <rPh sb="3" eb="5">
      <t>ナオコ</t>
    </rPh>
    <phoneticPr fontId="1"/>
  </si>
  <si>
    <t>2022.01.08来店済　\5,000円off</t>
    <rPh sb="10" eb="12">
      <t>ライテン</t>
    </rPh>
    <rPh sb="12" eb="13">
      <t>スミ</t>
    </rPh>
    <rPh sb="20" eb="21">
      <t>エン</t>
    </rPh>
    <phoneticPr fontId="1"/>
  </si>
  <si>
    <t>志野さんご紹介　5000円オフ　フィッティング出来ず返金</t>
    <rPh sb="0" eb="2">
      <t>シノ</t>
    </rPh>
    <rPh sb="5" eb="7">
      <t>ショウカイ</t>
    </rPh>
    <rPh sb="12" eb="13">
      <t>エン</t>
    </rPh>
    <rPh sb="23" eb="25">
      <t>デキ</t>
    </rPh>
    <rPh sb="26" eb="28">
      <t>ヘンキン</t>
    </rPh>
    <phoneticPr fontId="1"/>
  </si>
  <si>
    <t>坪井　新一</t>
    <rPh sb="0" eb="2">
      <t>ツボイ</t>
    </rPh>
    <rPh sb="3" eb="5">
      <t>シンイチ</t>
    </rPh>
    <phoneticPr fontId="1"/>
  </si>
  <si>
    <t>宝塚市口谷西3-58-3-1001</t>
    <rPh sb="0" eb="3">
      <t>タカラヅカシ</t>
    </rPh>
    <rPh sb="3" eb="6">
      <t>クチタニニシ</t>
    </rPh>
    <phoneticPr fontId="1"/>
  </si>
  <si>
    <t>stsuboi@i.softbank.jp</t>
    <phoneticPr fontId="1"/>
  </si>
  <si>
    <t>090-1140-2109</t>
    <phoneticPr fontId="1"/>
  </si>
  <si>
    <t>家の近くで知っていた</t>
    <rPh sb="0" eb="1">
      <t>イエ</t>
    </rPh>
    <rPh sb="2" eb="3">
      <t>チカ</t>
    </rPh>
    <rPh sb="5" eb="6">
      <t>シ</t>
    </rPh>
    <phoneticPr fontId="1"/>
  </si>
  <si>
    <t>川西　勝</t>
    <rPh sb="0" eb="2">
      <t>カワニシ</t>
    </rPh>
    <rPh sb="3" eb="4">
      <t>マサル</t>
    </rPh>
    <phoneticPr fontId="1"/>
  </si>
  <si>
    <t>665-0885</t>
    <phoneticPr fontId="1"/>
  </si>
  <si>
    <t>宝塚市山本台1丁目10-28</t>
    <rPh sb="0" eb="3">
      <t>タカラヅカシ</t>
    </rPh>
    <rPh sb="3" eb="5">
      <t>ヤマモト</t>
    </rPh>
    <rPh sb="5" eb="6">
      <t>ダイ</t>
    </rPh>
    <rPh sb="7" eb="9">
      <t>チョウメ</t>
    </rPh>
    <phoneticPr fontId="1"/>
  </si>
  <si>
    <t>kingveron0120@yahoo.co.jp</t>
    <phoneticPr fontId="1"/>
  </si>
  <si>
    <t>090-8375-8951</t>
    <phoneticPr fontId="1"/>
  </si>
  <si>
    <t>種村　泰一</t>
    <rPh sb="0" eb="2">
      <t>タネムラ</t>
    </rPh>
    <rPh sb="3" eb="4">
      <t>ヤス</t>
    </rPh>
    <rPh sb="4" eb="5">
      <t>カズ</t>
    </rPh>
    <phoneticPr fontId="1"/>
  </si>
  <si>
    <t>090-1488-6885</t>
    <phoneticPr fontId="1"/>
  </si>
  <si>
    <t>宝塚市中山五月台1-2-8</t>
    <rPh sb="0" eb="3">
      <t>タカラヅカシ</t>
    </rPh>
    <rPh sb="3" eb="5">
      <t>ナカヤマ</t>
    </rPh>
    <rPh sb="5" eb="8">
      <t>サツキダイ</t>
    </rPh>
    <phoneticPr fontId="1"/>
  </si>
  <si>
    <t>ty_77-88@docomo.ne.jp</t>
    <phoneticPr fontId="1"/>
  </si>
  <si>
    <t>伊藤　伸一郎</t>
    <rPh sb="0" eb="2">
      <t>イトウ</t>
    </rPh>
    <rPh sb="3" eb="6">
      <t>シンイチロウ</t>
    </rPh>
    <phoneticPr fontId="1"/>
  </si>
  <si>
    <t>569-1123</t>
    <phoneticPr fontId="1"/>
  </si>
  <si>
    <t>高槻市芥川町1-8-30-903</t>
    <rPh sb="0" eb="3">
      <t>タカツキシ</t>
    </rPh>
    <rPh sb="3" eb="6">
      <t>アクタガワチョウ</t>
    </rPh>
    <phoneticPr fontId="1"/>
  </si>
  <si>
    <t>shin512jp@gmail.com</t>
    <phoneticPr fontId="1"/>
  </si>
  <si>
    <t>090-8958-8778</t>
    <phoneticPr fontId="1"/>
  </si>
  <si>
    <t>桑門　心</t>
    <rPh sb="0" eb="2">
      <t>クワカド</t>
    </rPh>
    <rPh sb="3" eb="4">
      <t>シン</t>
    </rPh>
    <phoneticPr fontId="1"/>
  </si>
  <si>
    <t>兵庫県宝塚市花屋敷荘園1-19-13</t>
    <rPh sb="0" eb="3">
      <t>ヒョウゴケン</t>
    </rPh>
    <rPh sb="3" eb="6">
      <t>タカラヅカシ</t>
    </rPh>
    <rPh sb="6" eb="9">
      <t>ハナヤシキ</t>
    </rPh>
    <rPh sb="9" eb="11">
      <t>ショウエン</t>
    </rPh>
    <phoneticPr fontId="1"/>
  </si>
  <si>
    <t>in2075@icloud.com</t>
    <phoneticPr fontId="1"/>
  </si>
  <si>
    <t>090-6961-4761</t>
    <phoneticPr fontId="1"/>
  </si>
  <si>
    <t>芦田　一憲</t>
    <rPh sb="0" eb="2">
      <t>アシダ</t>
    </rPh>
    <rPh sb="3" eb="4">
      <t>カズ</t>
    </rPh>
    <rPh sb="4" eb="5">
      <t>ケン</t>
    </rPh>
    <phoneticPr fontId="1"/>
  </si>
  <si>
    <t>藤井　真理</t>
    <rPh sb="0" eb="2">
      <t>フジイ</t>
    </rPh>
    <rPh sb="3" eb="4">
      <t>マサ</t>
    </rPh>
    <rPh sb="4" eb="5">
      <t>リ</t>
    </rPh>
    <phoneticPr fontId="1"/>
  </si>
  <si>
    <t>660-0084</t>
    <phoneticPr fontId="1"/>
  </si>
  <si>
    <t>兵庫県尼崎市武庫川町2-10-1-803</t>
    <rPh sb="0" eb="3">
      <t>ヒョウゴケン</t>
    </rPh>
    <rPh sb="3" eb="6">
      <t>アマガサキシ</t>
    </rPh>
    <rPh sb="6" eb="9">
      <t>ムコガワ</t>
    </rPh>
    <rPh sb="9" eb="10">
      <t>チョウ</t>
    </rPh>
    <phoneticPr fontId="1"/>
  </si>
  <si>
    <t>hika1maya8@gmail.com</t>
    <phoneticPr fontId="1"/>
  </si>
  <si>
    <t>090-1965-6876</t>
    <phoneticPr fontId="1"/>
  </si>
  <si>
    <t>シャフト購入の為￥0対応</t>
    <rPh sb="4" eb="6">
      <t>コウニュウ</t>
    </rPh>
    <rPh sb="7" eb="8">
      <t>タメ</t>
    </rPh>
    <rPh sb="10" eb="12">
      <t>タイオウ</t>
    </rPh>
    <phoneticPr fontId="1"/>
  </si>
  <si>
    <t>鈴木　欣昭</t>
    <rPh sb="0" eb="2">
      <t>スズキ</t>
    </rPh>
    <rPh sb="3" eb="4">
      <t>キン</t>
    </rPh>
    <rPh sb="4" eb="5">
      <t>ショウ</t>
    </rPh>
    <phoneticPr fontId="1"/>
  </si>
  <si>
    <t>兵庫県宝塚市山手台東3-13-4</t>
    <rPh sb="0" eb="6">
      <t>ヒョウゴケンタカラヅカシ</t>
    </rPh>
    <rPh sb="6" eb="9">
      <t>ヤマテダイ</t>
    </rPh>
    <rPh sb="9" eb="10">
      <t>ヒガシ</t>
    </rPh>
    <phoneticPr fontId="1"/>
  </si>
  <si>
    <t>arche-boss@lagoon.ocn.ne.jp</t>
    <phoneticPr fontId="1"/>
  </si>
  <si>
    <t>090-1155-1575</t>
    <phoneticPr fontId="1"/>
  </si>
  <si>
    <t>久能　昭忠</t>
    <rPh sb="0" eb="2">
      <t>クノウ</t>
    </rPh>
    <rPh sb="3" eb="4">
      <t>アキ</t>
    </rPh>
    <rPh sb="4" eb="5">
      <t>タダ</t>
    </rPh>
    <phoneticPr fontId="1"/>
  </si>
  <si>
    <t>561-0828</t>
    <phoneticPr fontId="1"/>
  </si>
  <si>
    <t>大阪府豊中市三和町2-1-4-706</t>
    <rPh sb="0" eb="3">
      <t>オオサカフ</t>
    </rPh>
    <rPh sb="3" eb="6">
      <t>トヨナカシ</t>
    </rPh>
    <rPh sb="6" eb="9">
      <t>ミワチョウ</t>
    </rPh>
    <phoneticPr fontId="1"/>
  </si>
  <si>
    <t>lucillekunou@gmail.com</t>
    <phoneticPr fontId="1"/>
  </si>
  <si>
    <t>090-5065-4568</t>
    <phoneticPr fontId="1"/>
  </si>
  <si>
    <t>岡本　仁史</t>
    <rPh sb="0" eb="2">
      <t>オカモト</t>
    </rPh>
    <rPh sb="3" eb="4">
      <t>ヒトシ</t>
    </rPh>
    <rPh sb="4" eb="5">
      <t>シ</t>
    </rPh>
    <phoneticPr fontId="1"/>
  </si>
  <si>
    <t>36.3㎞</t>
    <phoneticPr fontId="1"/>
  </si>
  <si>
    <t>080-5300-8052</t>
    <phoneticPr fontId="1"/>
  </si>
  <si>
    <t>hit.de.chopin.112@docomo.ne.jp</t>
    <phoneticPr fontId="1"/>
  </si>
  <si>
    <t>\5,000円off　</t>
    <rPh sb="6" eb="7">
      <t>エン</t>
    </rPh>
    <phoneticPr fontId="1"/>
  </si>
  <si>
    <t>宮田　洋孝</t>
    <rPh sb="0" eb="2">
      <t>ミヤタ</t>
    </rPh>
    <rPh sb="3" eb="4">
      <t>ヨウ</t>
    </rPh>
    <rPh sb="4" eb="5">
      <t>タカシ</t>
    </rPh>
    <phoneticPr fontId="1"/>
  </si>
  <si>
    <t>090-9126-3816</t>
    <phoneticPr fontId="1"/>
  </si>
  <si>
    <t>ゴルギアの副賞　（特別ギフト券使用）</t>
    <rPh sb="5" eb="7">
      <t>フクショウ</t>
    </rPh>
    <rPh sb="9" eb="11">
      <t>トクベツ</t>
    </rPh>
    <rPh sb="14" eb="15">
      <t>ケン</t>
    </rPh>
    <rPh sb="15" eb="17">
      <t>シヨウ</t>
    </rPh>
    <phoneticPr fontId="1"/>
  </si>
  <si>
    <t>453-0022</t>
    <phoneticPr fontId="1"/>
  </si>
  <si>
    <t>阿部　弘樹</t>
    <rPh sb="0" eb="2">
      <t>アベ</t>
    </rPh>
    <rPh sb="3" eb="5">
      <t>ヒロキ</t>
    </rPh>
    <phoneticPr fontId="1"/>
  </si>
  <si>
    <t>兵庫県宝塚市紅葉が丘7-25</t>
    <rPh sb="0" eb="3">
      <t>ヒョウゴケン</t>
    </rPh>
    <rPh sb="3" eb="6">
      <t>タカラヅカシ</t>
    </rPh>
    <rPh sb="6" eb="8">
      <t>コウヨウ</t>
    </rPh>
    <rPh sb="9" eb="10">
      <t>オカ</t>
    </rPh>
    <phoneticPr fontId="1"/>
  </si>
  <si>
    <t>090-2043-8589</t>
    <phoneticPr fontId="1"/>
  </si>
  <si>
    <t>佐藤　愛子</t>
    <rPh sb="0" eb="2">
      <t>サトウ</t>
    </rPh>
    <rPh sb="3" eb="5">
      <t>アイコ</t>
    </rPh>
    <phoneticPr fontId="1"/>
  </si>
  <si>
    <t>兵庫県川西市栄根1-6-4-1</t>
    <rPh sb="0" eb="3">
      <t>ヒョウゴケン</t>
    </rPh>
    <rPh sb="3" eb="6">
      <t>カワニシシ</t>
    </rPh>
    <rPh sb="6" eb="7">
      <t>サカエ</t>
    </rPh>
    <rPh sb="7" eb="8">
      <t>ネ</t>
    </rPh>
    <phoneticPr fontId="1"/>
  </si>
  <si>
    <t>090-5907-4566</t>
    <phoneticPr fontId="1"/>
  </si>
  <si>
    <t>前田　宗貴</t>
    <rPh sb="0" eb="2">
      <t>マエダ</t>
    </rPh>
    <rPh sb="3" eb="5">
      <t>ムネタカ</t>
    </rPh>
    <phoneticPr fontId="1"/>
  </si>
  <si>
    <t>090-8759-4848</t>
    <phoneticPr fontId="1"/>
  </si>
  <si>
    <t>元会員様</t>
    <rPh sb="0" eb="3">
      <t>モトカイイン</t>
    </rPh>
    <rPh sb="3" eb="4">
      <t>サマ</t>
    </rPh>
    <phoneticPr fontId="1"/>
  </si>
  <si>
    <t>山居　康裕</t>
    <rPh sb="0" eb="1">
      <t>ヤマ</t>
    </rPh>
    <rPh sb="1" eb="2">
      <t>イ</t>
    </rPh>
    <rPh sb="3" eb="4">
      <t>ヤス</t>
    </rPh>
    <rPh sb="4" eb="5">
      <t>ヒロ</t>
    </rPh>
    <phoneticPr fontId="1"/>
  </si>
  <si>
    <t>兵庫県尼崎市上坂部2-36-1-404</t>
    <rPh sb="0" eb="3">
      <t>ヒョウゴケン</t>
    </rPh>
    <rPh sb="3" eb="5">
      <t>アマガサキ</t>
    </rPh>
    <rPh sb="5" eb="6">
      <t>シ</t>
    </rPh>
    <rPh sb="6" eb="8">
      <t>カミサカ</t>
    </rPh>
    <rPh sb="8" eb="9">
      <t>ベ</t>
    </rPh>
    <phoneticPr fontId="1"/>
  </si>
  <si>
    <t>10.8㎞</t>
    <phoneticPr fontId="1"/>
  </si>
  <si>
    <t>上甲　竜二</t>
    <rPh sb="0" eb="1">
      <t>ジョウ</t>
    </rPh>
    <rPh sb="1" eb="2">
      <t>コウ</t>
    </rPh>
    <rPh sb="3" eb="5">
      <t>リュウジ</t>
    </rPh>
    <phoneticPr fontId="1"/>
  </si>
  <si>
    <t>兵庫県伊丹市荒牧6-10-9</t>
    <rPh sb="0" eb="3">
      <t>ヒョウゴケン</t>
    </rPh>
    <rPh sb="3" eb="6">
      <t>イタミシ</t>
    </rPh>
    <rPh sb="6" eb="8">
      <t>アラマキ</t>
    </rPh>
    <phoneticPr fontId="1"/>
  </si>
  <si>
    <t>700m</t>
    <phoneticPr fontId="1"/>
  </si>
  <si>
    <t>090-8215-2345</t>
    <phoneticPr fontId="1"/>
  </si>
  <si>
    <t>大里　智海</t>
    <rPh sb="0" eb="2">
      <t>オオサト</t>
    </rPh>
    <rPh sb="3" eb="4">
      <t>トモ</t>
    </rPh>
    <rPh sb="4" eb="5">
      <t>ウミ</t>
    </rPh>
    <phoneticPr fontId="1"/>
  </si>
  <si>
    <t>565-0872</t>
    <phoneticPr fontId="1"/>
  </si>
  <si>
    <t>大阪府吹田市土山田8-13-415</t>
    <rPh sb="0" eb="3">
      <t>オオサカフ</t>
    </rPh>
    <rPh sb="3" eb="6">
      <t>スイタシ</t>
    </rPh>
    <rPh sb="6" eb="9">
      <t>ツチヤマダ</t>
    </rPh>
    <phoneticPr fontId="1"/>
  </si>
  <si>
    <t>osatomoiphone@gmail.com</t>
    <phoneticPr fontId="1"/>
  </si>
  <si>
    <t>090-6069-0761</t>
    <phoneticPr fontId="1"/>
  </si>
  <si>
    <t>652-0041</t>
    <phoneticPr fontId="1"/>
  </si>
  <si>
    <t>大阪府箕面市桜4-16-7</t>
    <rPh sb="0" eb="3">
      <t>オオサカフ</t>
    </rPh>
    <rPh sb="3" eb="5">
      <t>ミノオ</t>
    </rPh>
    <rPh sb="5" eb="6">
      <t>シ</t>
    </rPh>
    <rPh sb="6" eb="7">
      <t>サクラ</t>
    </rPh>
    <phoneticPr fontId="1"/>
  </si>
  <si>
    <t>nanakosakolapomme@yahoo.co.jp</t>
    <phoneticPr fontId="1"/>
  </si>
  <si>
    <t>072-723-1039</t>
    <phoneticPr fontId="1"/>
  </si>
  <si>
    <t>会員鴻野様ご家族</t>
    <rPh sb="0" eb="5">
      <t>カイインコウノサマ</t>
    </rPh>
    <rPh sb="6" eb="8">
      <t>カゾク</t>
    </rPh>
    <phoneticPr fontId="1"/>
  </si>
  <si>
    <t>8.9km</t>
    <phoneticPr fontId="1"/>
  </si>
  <si>
    <t>中田　百栄</t>
    <rPh sb="0" eb="2">
      <t>ナカタ</t>
    </rPh>
    <rPh sb="3" eb="4">
      <t>ヒャク</t>
    </rPh>
    <rPh sb="4" eb="5">
      <t>エイ</t>
    </rPh>
    <phoneticPr fontId="1"/>
  </si>
  <si>
    <t>584-0074</t>
    <phoneticPr fontId="1"/>
  </si>
  <si>
    <t>大阪府富田林市久野喜台2-9-10</t>
    <rPh sb="0" eb="3">
      <t>オオサカフ</t>
    </rPh>
    <rPh sb="3" eb="6">
      <t>トンダバヤシ</t>
    </rPh>
    <rPh sb="6" eb="7">
      <t>シ</t>
    </rPh>
    <rPh sb="7" eb="9">
      <t>クノ</t>
    </rPh>
    <rPh sb="9" eb="10">
      <t>ヨロコ</t>
    </rPh>
    <rPh sb="10" eb="11">
      <t>ダイ</t>
    </rPh>
    <phoneticPr fontId="1"/>
  </si>
  <si>
    <t>momoe.0107@icloud.com</t>
    <phoneticPr fontId="1"/>
  </si>
  <si>
    <t>080-4243-2694</t>
    <phoneticPr fontId="1"/>
  </si>
  <si>
    <t>50.7㎞</t>
    <phoneticPr fontId="1"/>
  </si>
  <si>
    <t>齋藤　方俊</t>
    <rPh sb="0" eb="2">
      <t>サイトウ</t>
    </rPh>
    <rPh sb="3" eb="4">
      <t>カタ</t>
    </rPh>
    <rPh sb="4" eb="5">
      <t>シュン</t>
    </rPh>
    <phoneticPr fontId="1"/>
  </si>
  <si>
    <t>兵庫県宝塚市雲雀丘2-6-47</t>
    <rPh sb="0" eb="3">
      <t>ヒョウゴケン</t>
    </rPh>
    <rPh sb="3" eb="6">
      <t>タカラヅカシ</t>
    </rPh>
    <rPh sb="6" eb="9">
      <t>ヒバリガオカ</t>
    </rPh>
    <phoneticPr fontId="1"/>
  </si>
  <si>
    <t>masa-saito@lily.ocn.ne.jp</t>
    <phoneticPr fontId="1"/>
  </si>
  <si>
    <t>080-4633-1180</t>
    <phoneticPr fontId="1"/>
  </si>
  <si>
    <t>中村　秀昭</t>
    <rPh sb="0" eb="2">
      <t>ナカムラ</t>
    </rPh>
    <rPh sb="3" eb="4">
      <t>ヒデ</t>
    </rPh>
    <rPh sb="4" eb="5">
      <t>アキ</t>
    </rPh>
    <phoneticPr fontId="1"/>
  </si>
  <si>
    <t>大阪府大阪市福島区福島4-1-77-506</t>
    <rPh sb="0" eb="3">
      <t>オオサカフ</t>
    </rPh>
    <rPh sb="3" eb="6">
      <t>オオサカシ</t>
    </rPh>
    <rPh sb="6" eb="8">
      <t>フクシマ</t>
    </rPh>
    <rPh sb="8" eb="9">
      <t>ク</t>
    </rPh>
    <rPh sb="9" eb="11">
      <t>フクシマ</t>
    </rPh>
    <phoneticPr fontId="1"/>
  </si>
  <si>
    <t>19.9㎞</t>
    <phoneticPr fontId="1"/>
  </si>
  <si>
    <t>hdwnthrc@gmail.com</t>
    <phoneticPr fontId="1"/>
  </si>
  <si>
    <t>090-3714-4739</t>
    <phoneticPr fontId="1"/>
  </si>
  <si>
    <t>鴻野　佐知子</t>
    <rPh sb="0" eb="2">
      <t>コウノ</t>
    </rPh>
    <rPh sb="3" eb="6">
      <t>サチコ</t>
    </rPh>
    <phoneticPr fontId="1"/>
  </si>
  <si>
    <t>愛知県名古屋市中村区中島町1丁目50番メゾンクレール101号</t>
    <rPh sb="0" eb="3">
      <t>アイチケン</t>
    </rPh>
    <rPh sb="3" eb="7">
      <t>ナゴヤシ</t>
    </rPh>
    <rPh sb="7" eb="10">
      <t>ナカムラク</t>
    </rPh>
    <rPh sb="10" eb="13">
      <t>ナカシマチョウ</t>
    </rPh>
    <rPh sb="14" eb="16">
      <t>チョウメ</t>
    </rPh>
    <rPh sb="18" eb="19">
      <t>バン</t>
    </rPh>
    <rPh sb="29" eb="30">
      <t>ゴウ</t>
    </rPh>
    <phoneticPr fontId="1"/>
  </si>
  <si>
    <t>秋山　昌嗣</t>
    <rPh sb="0" eb="2">
      <t>アキヤマ</t>
    </rPh>
    <rPh sb="3" eb="5">
      <t>マサツグ</t>
    </rPh>
    <phoneticPr fontId="1"/>
  </si>
  <si>
    <t>兵庫県宝塚市山本丸橋3-8-16</t>
    <rPh sb="0" eb="3">
      <t>ヒョウゴケン</t>
    </rPh>
    <rPh sb="3" eb="6">
      <t>タカラヅカシ</t>
    </rPh>
    <rPh sb="6" eb="8">
      <t>ヤマモト</t>
    </rPh>
    <rPh sb="8" eb="10">
      <t>マルバシ</t>
    </rPh>
    <phoneticPr fontId="1"/>
  </si>
  <si>
    <t>090-4649-4267</t>
    <phoneticPr fontId="1"/>
  </si>
  <si>
    <t>900m</t>
    <phoneticPr fontId="1"/>
  </si>
  <si>
    <t>長尾　多恵子</t>
    <rPh sb="0" eb="2">
      <t>ナガオ</t>
    </rPh>
    <rPh sb="3" eb="6">
      <t>タエコ</t>
    </rPh>
    <phoneticPr fontId="1"/>
  </si>
  <si>
    <t>660-0892</t>
    <phoneticPr fontId="1"/>
  </si>
  <si>
    <t>尼崎市東難波町4丁目エステムコート尼崎514号室</t>
    <rPh sb="0" eb="3">
      <t>アマガサキシ</t>
    </rPh>
    <rPh sb="3" eb="7">
      <t>ヒガシナンバチョウ</t>
    </rPh>
    <rPh sb="8" eb="10">
      <t>チョウメ</t>
    </rPh>
    <rPh sb="17" eb="19">
      <t>アマガサキ</t>
    </rPh>
    <rPh sb="22" eb="24">
      <t>ゴウシツ</t>
    </rPh>
    <phoneticPr fontId="1"/>
  </si>
  <si>
    <t>ashiya852000@yahoo.co.jp</t>
    <phoneticPr fontId="1"/>
  </si>
  <si>
    <t>090-1139-0414</t>
    <phoneticPr fontId="1"/>
  </si>
  <si>
    <t>19.2㎞</t>
    <phoneticPr fontId="1"/>
  </si>
  <si>
    <t>3/3ﾏｽﾀｰ入会予定。桑門さんご紹介</t>
    <rPh sb="7" eb="9">
      <t>ニュウカイ</t>
    </rPh>
    <rPh sb="9" eb="11">
      <t>ヨテイ</t>
    </rPh>
    <rPh sb="12" eb="14">
      <t>クワカド</t>
    </rPh>
    <rPh sb="17" eb="19">
      <t>ショウカイ</t>
    </rPh>
    <phoneticPr fontId="1"/>
  </si>
  <si>
    <t>橋本　洸一</t>
    <rPh sb="0" eb="2">
      <t>ハシモト</t>
    </rPh>
    <rPh sb="3" eb="5">
      <t>コウイチ</t>
    </rPh>
    <phoneticPr fontId="1"/>
  </si>
  <si>
    <t>531-0041</t>
    <phoneticPr fontId="1"/>
  </si>
  <si>
    <t>大阪市北区天神橋7丁目1-16-4405</t>
    <rPh sb="0" eb="3">
      <t>オオサカシ</t>
    </rPh>
    <rPh sb="3" eb="5">
      <t>キタク</t>
    </rPh>
    <rPh sb="5" eb="8">
      <t>テンジンバシ</t>
    </rPh>
    <rPh sb="9" eb="11">
      <t>チョウメ</t>
    </rPh>
    <phoneticPr fontId="1"/>
  </si>
  <si>
    <t>bcd0091@yahoo.co.jp</t>
    <phoneticPr fontId="1"/>
  </si>
  <si>
    <t>090-8451-1184</t>
    <phoneticPr fontId="1"/>
  </si>
  <si>
    <t>\5,000円off　クーポンご利用</t>
    <rPh sb="6" eb="7">
      <t>エン</t>
    </rPh>
    <rPh sb="16" eb="18">
      <t>リヨウ</t>
    </rPh>
    <phoneticPr fontId="1"/>
  </si>
  <si>
    <t>坂本　悠気</t>
    <rPh sb="0" eb="2">
      <t>サカモト</t>
    </rPh>
    <rPh sb="3" eb="4">
      <t>ユウ</t>
    </rPh>
    <rPh sb="4" eb="5">
      <t>キ</t>
    </rPh>
    <phoneticPr fontId="1"/>
  </si>
  <si>
    <t>612-8443</t>
    <phoneticPr fontId="1"/>
  </si>
  <si>
    <t>京都府京都市伏見区深草善導寺町9-6 アクティブハウス501</t>
    <rPh sb="0" eb="3">
      <t>キョウトフ</t>
    </rPh>
    <rPh sb="3" eb="6">
      <t>キョウトシ</t>
    </rPh>
    <rPh sb="6" eb="9">
      <t>フシミク</t>
    </rPh>
    <rPh sb="9" eb="11">
      <t>フカクサ</t>
    </rPh>
    <rPh sb="11" eb="12">
      <t>ゼン</t>
    </rPh>
    <rPh sb="12" eb="13">
      <t>ドウ</t>
    </rPh>
    <rPh sb="13" eb="14">
      <t>ジ</t>
    </rPh>
    <rPh sb="14" eb="15">
      <t>チョウ</t>
    </rPh>
    <phoneticPr fontId="1"/>
  </si>
  <si>
    <t>51.7㎞</t>
    <phoneticPr fontId="1"/>
  </si>
  <si>
    <t>sy1998hyde@gmail.om</t>
    <phoneticPr fontId="1"/>
  </si>
  <si>
    <t>080-5353-5124</t>
    <phoneticPr fontId="1"/>
  </si>
  <si>
    <t>2022/2/4　ﾌｨｯﾃｨﾝｸﾞ来店　ご購入</t>
    <rPh sb="17" eb="19">
      <t>ライテン</t>
    </rPh>
    <rPh sb="21" eb="23">
      <t>コウニュウ</t>
    </rPh>
    <phoneticPr fontId="1"/>
  </si>
  <si>
    <t>豊澤　雅世</t>
    <rPh sb="0" eb="1">
      <t>ユタカ</t>
    </rPh>
    <rPh sb="1" eb="2">
      <t>サワ</t>
    </rPh>
    <rPh sb="3" eb="4">
      <t>マサ</t>
    </rPh>
    <rPh sb="4" eb="5">
      <t>ヨ</t>
    </rPh>
    <phoneticPr fontId="1"/>
  </si>
  <si>
    <t>宝塚市平井1-20-10</t>
    <rPh sb="0" eb="3">
      <t>タカラヅカシ</t>
    </rPh>
    <rPh sb="3" eb="5">
      <t>ヒライ</t>
    </rPh>
    <phoneticPr fontId="1"/>
  </si>
  <si>
    <t>2㎞</t>
    <phoneticPr fontId="1"/>
  </si>
  <si>
    <t>090-9884-4411</t>
    <phoneticPr fontId="1"/>
  </si>
  <si>
    <t>2020/12/24　フィッティング来店</t>
    <rPh sb="18" eb="20">
      <t>ライテン</t>
    </rPh>
    <phoneticPr fontId="1"/>
  </si>
  <si>
    <t>090-7302-1066</t>
    <phoneticPr fontId="1"/>
  </si>
  <si>
    <t>奥　拓哉</t>
    <rPh sb="0" eb="1">
      <t>オク</t>
    </rPh>
    <rPh sb="2" eb="4">
      <t>タクヤ</t>
    </rPh>
    <phoneticPr fontId="1"/>
  </si>
  <si>
    <t>兵庫県宝塚市亀井町8-31-201</t>
    <rPh sb="0" eb="3">
      <t>ヒョウゴケン</t>
    </rPh>
    <rPh sb="3" eb="6">
      <t>タカラヅカシ</t>
    </rPh>
    <rPh sb="6" eb="9">
      <t>カメイチョウ</t>
    </rPh>
    <phoneticPr fontId="1"/>
  </si>
  <si>
    <t>090-4818-9640</t>
    <phoneticPr fontId="1"/>
  </si>
  <si>
    <t>久能　孝子</t>
    <rPh sb="0" eb="2">
      <t>クノウ</t>
    </rPh>
    <rPh sb="3" eb="5">
      <t>タカコ</t>
    </rPh>
    <phoneticPr fontId="1"/>
  </si>
  <si>
    <t>090-4308-3082</t>
    <phoneticPr fontId="1"/>
  </si>
  <si>
    <t>会員 久能様　奥様</t>
    <rPh sb="0" eb="2">
      <t>カイイン</t>
    </rPh>
    <rPh sb="3" eb="5">
      <t>クノウ</t>
    </rPh>
    <rPh sb="5" eb="6">
      <t>サマ</t>
    </rPh>
    <rPh sb="7" eb="9">
      <t>オクサマ</t>
    </rPh>
    <phoneticPr fontId="1"/>
  </si>
  <si>
    <t>夫馬プロ紹介(2022/9/6・2021/3/6ご来店済み)</t>
    <rPh sb="0" eb="1">
      <t>フ</t>
    </rPh>
    <rPh sb="1" eb="2">
      <t>ウマ</t>
    </rPh>
    <rPh sb="4" eb="6">
      <t>ショウカイ</t>
    </rPh>
    <rPh sb="25" eb="28">
      <t>ライテンズ</t>
    </rPh>
    <phoneticPr fontId="1"/>
  </si>
  <si>
    <t>南垣　佳秀</t>
    <rPh sb="0" eb="2">
      <t>ミナミガキ</t>
    </rPh>
    <rPh sb="3" eb="4">
      <t>カ</t>
    </rPh>
    <rPh sb="4" eb="5">
      <t>ヒデ</t>
    </rPh>
    <phoneticPr fontId="1"/>
  </si>
  <si>
    <t>2020.2.10/2020.7.30 ご来店済</t>
    <rPh sb="21" eb="23">
      <t>ライテン</t>
    </rPh>
    <rPh sb="23" eb="24">
      <t>スミ</t>
    </rPh>
    <phoneticPr fontId="1"/>
  </si>
  <si>
    <t>大阪府大阪市北区天満1-8-10　サクラブルーレジデンス902</t>
    <rPh sb="0" eb="3">
      <t>オオサカフ</t>
    </rPh>
    <rPh sb="3" eb="6">
      <t>オオサカシ</t>
    </rPh>
    <rPh sb="6" eb="8">
      <t>キタク</t>
    </rPh>
    <rPh sb="8" eb="10">
      <t>テンマ</t>
    </rPh>
    <phoneticPr fontId="1"/>
  </si>
  <si>
    <t>22.5㎞</t>
    <phoneticPr fontId="1"/>
  </si>
  <si>
    <t>西山権一様　ご家族</t>
    <rPh sb="0" eb="2">
      <t>ニシヤマ</t>
    </rPh>
    <rPh sb="2" eb="4">
      <t>ケンイチ</t>
    </rPh>
    <rPh sb="4" eb="5">
      <t>サマ</t>
    </rPh>
    <rPh sb="7" eb="9">
      <t>カゾク</t>
    </rPh>
    <phoneticPr fontId="1"/>
  </si>
  <si>
    <t>中谷　尚美</t>
    <rPh sb="0" eb="2">
      <t>ナカタニ</t>
    </rPh>
    <rPh sb="3" eb="5">
      <t>ナオミ</t>
    </rPh>
    <phoneticPr fontId="1"/>
  </si>
  <si>
    <t>兵庫県神戸市東灘区御影郡家2-13-1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ミカゲ</t>
    </rPh>
    <rPh sb="11" eb="12">
      <t>グン</t>
    </rPh>
    <rPh sb="12" eb="13">
      <t>イエ</t>
    </rPh>
    <phoneticPr fontId="1"/>
  </si>
  <si>
    <t>34.0㎞</t>
    <phoneticPr fontId="1"/>
  </si>
  <si>
    <t>090-5679-0664</t>
    <phoneticPr fontId="1"/>
  </si>
  <si>
    <t>志野さんお知り合い　ロータリークラブ所属　</t>
    <rPh sb="0" eb="2">
      <t>シノ</t>
    </rPh>
    <rPh sb="5" eb="6">
      <t>シ</t>
    </rPh>
    <rPh sb="7" eb="8">
      <t>ア</t>
    </rPh>
    <rPh sb="18" eb="20">
      <t>ショゾク</t>
    </rPh>
    <phoneticPr fontId="1"/>
  </si>
  <si>
    <t>松井　謙二</t>
    <rPh sb="0" eb="2">
      <t>マツイ</t>
    </rPh>
    <rPh sb="3" eb="5">
      <t>ケンジ</t>
    </rPh>
    <phoneticPr fontId="1"/>
  </si>
  <si>
    <t>兵庫県宝塚市南口2丁目10-5</t>
    <rPh sb="0" eb="3">
      <t>ヒョウゴケン</t>
    </rPh>
    <rPh sb="3" eb="5">
      <t>タカラヅカ</t>
    </rPh>
    <rPh sb="5" eb="6">
      <t>シ</t>
    </rPh>
    <rPh sb="6" eb="8">
      <t>ミナミグチ</t>
    </rPh>
    <rPh sb="9" eb="11">
      <t>チョウメ</t>
    </rPh>
    <phoneticPr fontId="1"/>
  </si>
  <si>
    <t>s.w.kenji3611</t>
    <phoneticPr fontId="1"/>
  </si>
  <si>
    <t>090-2592-3767</t>
    <phoneticPr fontId="1"/>
  </si>
  <si>
    <t>会員奥田様お連れ様</t>
    <rPh sb="0" eb="2">
      <t>カイイン</t>
    </rPh>
    <rPh sb="2" eb="5">
      <t>オクダサマ</t>
    </rPh>
    <rPh sb="6" eb="7">
      <t>ツ</t>
    </rPh>
    <rPh sb="8" eb="9">
      <t>サマ</t>
    </rPh>
    <phoneticPr fontId="1"/>
  </si>
  <si>
    <t>吉武　徹</t>
    <rPh sb="0" eb="2">
      <t>ヨシタケ</t>
    </rPh>
    <rPh sb="3" eb="4">
      <t>トオル</t>
    </rPh>
    <phoneticPr fontId="1"/>
  </si>
  <si>
    <t>兵庫県宝塚市中筋2-11-1-408</t>
    <rPh sb="0" eb="3">
      <t>ヒョウゴケン</t>
    </rPh>
    <rPh sb="3" eb="6">
      <t>タカラヅカシ</t>
    </rPh>
    <rPh sb="6" eb="8">
      <t>ナカスジ</t>
    </rPh>
    <phoneticPr fontId="1"/>
  </si>
  <si>
    <t>090-7107-1666</t>
    <phoneticPr fontId="1"/>
  </si>
  <si>
    <t>建設中に前を通った</t>
    <rPh sb="0" eb="3">
      <t>ケンセツチュウ</t>
    </rPh>
    <rPh sb="4" eb="5">
      <t>マエ</t>
    </rPh>
    <rPh sb="6" eb="7">
      <t>トオ</t>
    </rPh>
    <phoneticPr fontId="1"/>
  </si>
  <si>
    <t>石井　貴</t>
    <rPh sb="0" eb="2">
      <t>イシイ</t>
    </rPh>
    <rPh sb="3" eb="4">
      <t>タカシ</t>
    </rPh>
    <phoneticPr fontId="1"/>
  </si>
  <si>
    <t>西川　高光</t>
    <rPh sb="0" eb="2">
      <t>ニシカワ</t>
    </rPh>
    <rPh sb="3" eb="5">
      <t>タカミツ</t>
    </rPh>
    <phoneticPr fontId="1"/>
  </si>
  <si>
    <t>653-0862</t>
    <phoneticPr fontId="1"/>
  </si>
  <si>
    <t>神戸市長田区西山町1-3-10-207</t>
    <rPh sb="0" eb="3">
      <t>コウベシ</t>
    </rPh>
    <rPh sb="3" eb="6">
      <t>ナガタク</t>
    </rPh>
    <rPh sb="6" eb="9">
      <t>ニシヤマチョウ</t>
    </rPh>
    <phoneticPr fontId="1"/>
  </si>
  <si>
    <t>090-8484-3984</t>
    <phoneticPr fontId="1"/>
  </si>
  <si>
    <t>ビジター利用　元レギュラー会員</t>
    <rPh sb="4" eb="6">
      <t>リヨウ</t>
    </rPh>
    <rPh sb="7" eb="8">
      <t>モト</t>
    </rPh>
    <rPh sb="13" eb="15">
      <t>カイイン</t>
    </rPh>
    <phoneticPr fontId="1"/>
  </si>
  <si>
    <t>中谷　庄司郎</t>
    <rPh sb="0" eb="2">
      <t>ナカタニ</t>
    </rPh>
    <rPh sb="3" eb="4">
      <t>ショウ</t>
    </rPh>
    <rPh sb="4" eb="5">
      <t>ツカサ</t>
    </rPh>
    <rPh sb="5" eb="6">
      <t>ロウ</t>
    </rPh>
    <phoneticPr fontId="1"/>
  </si>
  <si>
    <t>社長お知り合い リピーター　2021.06.04来店済</t>
    <rPh sb="0" eb="2">
      <t>シャチョウ</t>
    </rPh>
    <rPh sb="3" eb="4">
      <t>シ</t>
    </rPh>
    <rPh sb="5" eb="6">
      <t>ア</t>
    </rPh>
    <rPh sb="24" eb="26">
      <t>ライテン</t>
    </rPh>
    <rPh sb="26" eb="27">
      <t>スミ</t>
    </rPh>
    <phoneticPr fontId="1"/>
  </si>
  <si>
    <t>関川　美穂</t>
    <rPh sb="0" eb="2">
      <t>セキカワ</t>
    </rPh>
    <rPh sb="3" eb="5">
      <t>ミホ</t>
    </rPh>
    <phoneticPr fontId="1"/>
  </si>
  <si>
    <t>関川　萌乃</t>
    <rPh sb="0" eb="2">
      <t>セキカワ</t>
    </rPh>
    <rPh sb="3" eb="5">
      <t>モエノ</t>
    </rPh>
    <phoneticPr fontId="1"/>
  </si>
  <si>
    <t>665-0015</t>
    <phoneticPr fontId="1"/>
  </si>
  <si>
    <t>宝塚市光が丘1-6-28</t>
    <rPh sb="0" eb="2">
      <t>タカラヅカ</t>
    </rPh>
    <rPh sb="2" eb="3">
      <t>シ</t>
    </rPh>
    <rPh sb="3" eb="4">
      <t>ヒカリ</t>
    </rPh>
    <rPh sb="5" eb="6">
      <t>オカ</t>
    </rPh>
    <phoneticPr fontId="1"/>
  </si>
  <si>
    <t>miho.sekikawa-1024@docomo.ne.jp</t>
    <phoneticPr fontId="1"/>
  </si>
  <si>
    <t>moena.02@docomo.ne.jp</t>
    <phoneticPr fontId="1"/>
  </si>
  <si>
    <t>090-3053-5466</t>
    <phoneticPr fontId="1"/>
  </si>
  <si>
    <t>090-2105-0218</t>
    <phoneticPr fontId="1"/>
  </si>
  <si>
    <t>朝熊　康浩</t>
    <rPh sb="0" eb="2">
      <t>アサクマ</t>
    </rPh>
    <rPh sb="3" eb="4">
      <t>コウ</t>
    </rPh>
    <rPh sb="4" eb="5">
      <t>ヒロシ</t>
    </rPh>
    <phoneticPr fontId="1"/>
  </si>
  <si>
    <t>兵庫県宝塚市米谷1丁目12-24</t>
    <rPh sb="0" eb="3">
      <t>ヒョウゴケン</t>
    </rPh>
    <rPh sb="3" eb="6">
      <t>タカラヅカシ</t>
    </rPh>
    <rPh sb="6" eb="8">
      <t>マイタニ</t>
    </rPh>
    <rPh sb="9" eb="11">
      <t>チョウメ</t>
    </rPh>
    <phoneticPr fontId="1"/>
  </si>
  <si>
    <t>kuma.0221@docomo.ne.jp</t>
    <phoneticPr fontId="1"/>
  </si>
  <si>
    <t>080-1508-9880</t>
    <phoneticPr fontId="1"/>
  </si>
  <si>
    <t>鬼海　理人</t>
    <rPh sb="0" eb="1">
      <t>オニ</t>
    </rPh>
    <rPh sb="1" eb="2">
      <t>ウミ</t>
    </rPh>
    <rPh sb="3" eb="4">
      <t>リ</t>
    </rPh>
    <rPh sb="4" eb="5">
      <t>ヒト</t>
    </rPh>
    <phoneticPr fontId="1"/>
  </si>
  <si>
    <t>579-8063</t>
    <phoneticPr fontId="1"/>
  </si>
  <si>
    <t>大阪府東大阪市横小路町5-1-37</t>
    <rPh sb="0" eb="3">
      <t>オオサカフ</t>
    </rPh>
    <rPh sb="3" eb="4">
      <t>ヒガシ</t>
    </rPh>
    <rPh sb="4" eb="7">
      <t>オオサカシ</t>
    </rPh>
    <rPh sb="7" eb="8">
      <t>ヨコ</t>
    </rPh>
    <rPh sb="8" eb="9">
      <t>ショウ</t>
    </rPh>
    <rPh sb="9" eb="10">
      <t>ジ</t>
    </rPh>
    <rPh sb="10" eb="11">
      <t>チョウ</t>
    </rPh>
    <phoneticPr fontId="1"/>
  </si>
  <si>
    <t>072-988-4041</t>
    <phoneticPr fontId="1"/>
  </si>
  <si>
    <t>染谷様ご紹介</t>
    <rPh sb="0" eb="2">
      <t>ソメヤ</t>
    </rPh>
    <rPh sb="2" eb="3">
      <t>サマ</t>
    </rPh>
    <rPh sb="4" eb="6">
      <t>ショウカイ</t>
    </rPh>
    <phoneticPr fontId="1"/>
  </si>
  <si>
    <t>坪井　秀子</t>
    <rPh sb="0" eb="2">
      <t>ツボイ</t>
    </rPh>
    <rPh sb="3" eb="5">
      <t>ヒデコ</t>
    </rPh>
    <phoneticPr fontId="1"/>
  </si>
  <si>
    <t>兵庫県宝塚市口谷西3-58-3-1001</t>
    <rPh sb="0" eb="3">
      <t>ヒョウゴケン</t>
    </rPh>
    <rPh sb="3" eb="6">
      <t>タカラヅカシ</t>
    </rPh>
    <rPh sb="6" eb="8">
      <t>クチタニ</t>
    </rPh>
    <rPh sb="8" eb="9">
      <t>ニシ</t>
    </rPh>
    <phoneticPr fontId="1"/>
  </si>
  <si>
    <t>tsuhideko@i.softbank.jp</t>
    <phoneticPr fontId="1"/>
  </si>
  <si>
    <t>090-1135-6406</t>
    <phoneticPr fontId="1"/>
  </si>
  <si>
    <t>会員坪井新一様　奥様</t>
    <rPh sb="0" eb="2">
      <t>カイイン</t>
    </rPh>
    <rPh sb="2" eb="4">
      <t>ツボイ</t>
    </rPh>
    <rPh sb="4" eb="6">
      <t>シンイチ</t>
    </rPh>
    <rPh sb="6" eb="7">
      <t>サマ</t>
    </rPh>
    <rPh sb="8" eb="10">
      <t>オクサマ</t>
    </rPh>
    <phoneticPr fontId="1"/>
  </si>
  <si>
    <t>リピーター￥０円　2021.3.21 フィッティング来店済</t>
    <rPh sb="7" eb="8">
      <t>エン</t>
    </rPh>
    <rPh sb="26" eb="28">
      <t>ライテン</t>
    </rPh>
    <rPh sb="28" eb="29">
      <t>スミ</t>
    </rPh>
    <phoneticPr fontId="1"/>
  </si>
  <si>
    <t>中山　三奈</t>
    <rPh sb="0" eb="2">
      <t>ナカヤマ</t>
    </rPh>
    <rPh sb="3" eb="5">
      <t>ミナ</t>
    </rPh>
    <phoneticPr fontId="1"/>
  </si>
  <si>
    <t>659-0004</t>
    <phoneticPr fontId="1"/>
  </si>
  <si>
    <t>兵庫県芦屋市奥池南町53-8</t>
    <rPh sb="0" eb="3">
      <t>ヒョウゴケン</t>
    </rPh>
    <rPh sb="3" eb="6">
      <t>アシヤシ</t>
    </rPh>
    <rPh sb="6" eb="8">
      <t>オクイケ</t>
    </rPh>
    <phoneticPr fontId="1"/>
  </si>
  <si>
    <t>37.nakayama@gmail.com</t>
    <phoneticPr fontId="1"/>
  </si>
  <si>
    <t>090-5976-0037</t>
    <phoneticPr fontId="1"/>
  </si>
  <si>
    <t>プロ価格(LPGA)　灘吉さんご紹介　</t>
    <rPh sb="2" eb="4">
      <t>カカク</t>
    </rPh>
    <rPh sb="11" eb="13">
      <t>ナダヨシ</t>
    </rPh>
    <rPh sb="16" eb="18">
      <t>ショウカイ</t>
    </rPh>
    <phoneticPr fontId="1"/>
  </si>
  <si>
    <t>川西　舞衣子</t>
    <rPh sb="0" eb="2">
      <t>カワニシ</t>
    </rPh>
    <rPh sb="3" eb="6">
      <t>マイコ</t>
    </rPh>
    <phoneticPr fontId="1"/>
  </si>
  <si>
    <t>090-1960-5346</t>
    <phoneticPr fontId="1"/>
  </si>
  <si>
    <t>会員川西勝様　ご家族</t>
    <rPh sb="0" eb="2">
      <t>カイイン</t>
    </rPh>
    <rPh sb="2" eb="4">
      <t>カワニシ</t>
    </rPh>
    <rPh sb="4" eb="5">
      <t>マサル</t>
    </rPh>
    <rPh sb="5" eb="6">
      <t>サマ</t>
    </rPh>
    <rPh sb="8" eb="10">
      <t>カゾク</t>
    </rPh>
    <phoneticPr fontId="1"/>
  </si>
  <si>
    <t>山下　大輔</t>
    <rPh sb="0" eb="2">
      <t>ヤマシタ</t>
    </rPh>
    <rPh sb="3" eb="5">
      <t>ダイスケ</t>
    </rPh>
    <phoneticPr fontId="1"/>
  </si>
  <si>
    <t>679-0205</t>
    <phoneticPr fontId="1"/>
  </si>
  <si>
    <t>兵庫県加東市北野781　ビレッジハウス滝野2-508</t>
    <rPh sb="0" eb="3">
      <t>ヒョウゴケン</t>
    </rPh>
    <rPh sb="3" eb="6">
      <t>カトウシ</t>
    </rPh>
    <rPh sb="6" eb="8">
      <t>キタノ</t>
    </rPh>
    <rPh sb="19" eb="21">
      <t>タキノ</t>
    </rPh>
    <phoneticPr fontId="1"/>
  </si>
  <si>
    <t>47.7㎞</t>
    <phoneticPr fontId="1"/>
  </si>
  <si>
    <t>dai1suke.26@gmail.com</t>
    <phoneticPr fontId="1"/>
  </si>
  <si>
    <t>070-4011-5946</t>
    <phoneticPr fontId="1"/>
  </si>
  <si>
    <t>大久保　恵子</t>
    <rPh sb="0" eb="3">
      <t>オオクボ</t>
    </rPh>
    <rPh sb="4" eb="6">
      <t>ケイコ</t>
    </rPh>
    <phoneticPr fontId="1"/>
  </si>
  <si>
    <t>607-8075</t>
    <phoneticPr fontId="1"/>
  </si>
  <si>
    <t>京都府京都市山科区音羽野田町15-2-507</t>
    <rPh sb="0" eb="3">
      <t>キョウトフ</t>
    </rPh>
    <rPh sb="3" eb="6">
      <t>キョウトシ</t>
    </rPh>
    <rPh sb="6" eb="8">
      <t>ヤマシナ</t>
    </rPh>
    <rPh sb="8" eb="9">
      <t>ク</t>
    </rPh>
    <rPh sb="9" eb="11">
      <t>オトハ</t>
    </rPh>
    <rPh sb="11" eb="13">
      <t>ノダ</t>
    </rPh>
    <rPh sb="13" eb="14">
      <t>チョウ</t>
    </rPh>
    <phoneticPr fontId="1"/>
  </si>
  <si>
    <t>54.6㎞</t>
    <phoneticPr fontId="1"/>
  </si>
  <si>
    <t>080-9284-6284</t>
    <phoneticPr fontId="1"/>
  </si>
  <si>
    <t>吉川　美弘</t>
    <rPh sb="0" eb="2">
      <t>ヨシカワ</t>
    </rPh>
    <rPh sb="3" eb="4">
      <t>ミ</t>
    </rPh>
    <rPh sb="4" eb="5">
      <t>ヒロシ</t>
    </rPh>
    <phoneticPr fontId="1"/>
  </si>
  <si>
    <t>610-0362</t>
    <phoneticPr fontId="1"/>
  </si>
  <si>
    <t>京都市京田辺市東鍵田18-14</t>
    <rPh sb="0" eb="3">
      <t>キョウトシ</t>
    </rPh>
    <rPh sb="3" eb="7">
      <t>キョウタナベシ</t>
    </rPh>
    <rPh sb="7" eb="10">
      <t>ヒガシカギタ</t>
    </rPh>
    <phoneticPr fontId="1"/>
  </si>
  <si>
    <t>yoshi33st@gmail.com</t>
    <phoneticPr fontId="1"/>
  </si>
  <si>
    <t>090-4568-3458</t>
    <phoneticPr fontId="1"/>
  </si>
  <si>
    <t>片山　智彦</t>
    <rPh sb="0" eb="2">
      <t>カタヤマ</t>
    </rPh>
    <rPh sb="3" eb="5">
      <t>トモヒコ</t>
    </rPh>
    <phoneticPr fontId="1"/>
  </si>
  <si>
    <t>兵庫県伊丹市寺本3-194-513</t>
    <rPh sb="0" eb="3">
      <t>ヒョウゴケン</t>
    </rPh>
    <rPh sb="3" eb="6">
      <t>イタミシ</t>
    </rPh>
    <rPh sb="6" eb="8">
      <t>テラモト</t>
    </rPh>
    <phoneticPr fontId="1"/>
  </si>
  <si>
    <t>sankat889@gmali.com</t>
    <phoneticPr fontId="1"/>
  </si>
  <si>
    <t>090-5161-8670</t>
    <phoneticPr fontId="1"/>
  </si>
  <si>
    <t>前谷　弘紀</t>
    <rPh sb="0" eb="2">
      <t>マエタニ</t>
    </rPh>
    <rPh sb="3" eb="4">
      <t>ヒロ</t>
    </rPh>
    <rPh sb="4" eb="5">
      <t>キ</t>
    </rPh>
    <phoneticPr fontId="1"/>
  </si>
  <si>
    <t>635-0047</t>
    <phoneticPr fontId="1"/>
  </si>
  <si>
    <t>奈良県大和高田市田井新町11-10-206</t>
    <rPh sb="0" eb="3">
      <t>ナラケン</t>
    </rPh>
    <rPh sb="3" eb="8">
      <t>ヤマトタカダシ</t>
    </rPh>
    <rPh sb="8" eb="10">
      <t>タイ</t>
    </rPh>
    <rPh sb="10" eb="12">
      <t>シンマチ</t>
    </rPh>
    <phoneticPr fontId="1"/>
  </si>
  <si>
    <t>63.1㎞</t>
    <phoneticPr fontId="1"/>
  </si>
  <si>
    <t>090-507-0440</t>
    <phoneticPr fontId="1"/>
  </si>
  <si>
    <t>米田　傑</t>
    <rPh sb="0" eb="2">
      <t>ヨネダ</t>
    </rPh>
    <rPh sb="3" eb="4">
      <t>スグル</t>
    </rPh>
    <phoneticPr fontId="1"/>
  </si>
  <si>
    <t>666-0033</t>
    <phoneticPr fontId="1"/>
  </si>
  <si>
    <t>兵庫県川西市栄町15-13-506</t>
    <rPh sb="0" eb="3">
      <t>ヒョウゴケン</t>
    </rPh>
    <rPh sb="3" eb="6">
      <t>カワニシシ</t>
    </rPh>
    <rPh sb="6" eb="8">
      <t>サカエチョウ</t>
    </rPh>
    <phoneticPr fontId="1"/>
  </si>
  <si>
    <t>yonedasuguru@gmail.com</t>
    <phoneticPr fontId="1"/>
  </si>
  <si>
    <t>090-4294-6827</t>
    <phoneticPr fontId="1"/>
  </si>
  <si>
    <t>松野　稔</t>
    <rPh sb="0" eb="2">
      <t>マツノ</t>
    </rPh>
    <rPh sb="3" eb="4">
      <t>ミノル</t>
    </rPh>
    <phoneticPr fontId="1"/>
  </si>
  <si>
    <t>666-0143</t>
    <phoneticPr fontId="1"/>
  </si>
  <si>
    <t>兵庫県川西市清和台西2-2-91</t>
    <rPh sb="0" eb="3">
      <t>ヒョウゴケン</t>
    </rPh>
    <rPh sb="3" eb="6">
      <t>カワニシシ</t>
    </rPh>
    <rPh sb="6" eb="9">
      <t>セイワダイ</t>
    </rPh>
    <rPh sb="9" eb="10">
      <t>ニシ</t>
    </rPh>
    <phoneticPr fontId="1"/>
  </si>
  <si>
    <t>090-2107-2264</t>
    <phoneticPr fontId="1"/>
  </si>
  <si>
    <t>ビジター利用　再来(2021.9/18　10/10　11/3　12/24）</t>
    <rPh sb="4" eb="6">
      <t>リヨウ</t>
    </rPh>
    <rPh sb="7" eb="9">
      <t>サイライ</t>
    </rPh>
    <phoneticPr fontId="1"/>
  </si>
  <si>
    <t>竹島　大貴</t>
    <rPh sb="0" eb="2">
      <t>タケシマ</t>
    </rPh>
    <rPh sb="3" eb="5">
      <t>ダイキ</t>
    </rPh>
    <phoneticPr fontId="1"/>
  </si>
  <si>
    <t>612-8132</t>
    <phoneticPr fontId="1"/>
  </si>
  <si>
    <t>京都市伏見区向島藤ノ木町8-2</t>
    <rPh sb="0" eb="3">
      <t>キョウトシ</t>
    </rPh>
    <rPh sb="3" eb="6">
      <t>フシミク</t>
    </rPh>
    <rPh sb="6" eb="8">
      <t>ムコウジマ</t>
    </rPh>
    <rPh sb="8" eb="9">
      <t>フジ</t>
    </rPh>
    <rPh sb="10" eb="12">
      <t>キチョウ</t>
    </rPh>
    <phoneticPr fontId="1"/>
  </si>
  <si>
    <t>46.6㎞</t>
    <phoneticPr fontId="1"/>
  </si>
  <si>
    <t>090-8578-2303</t>
    <phoneticPr fontId="1"/>
  </si>
  <si>
    <t>吉松　優作</t>
    <rPh sb="0" eb="2">
      <t>ヨシマツ</t>
    </rPh>
    <rPh sb="3" eb="5">
      <t>ユウサク</t>
    </rPh>
    <phoneticPr fontId="1"/>
  </si>
  <si>
    <t>兵庫県川西市小戸3-5-8-2</t>
    <rPh sb="0" eb="3">
      <t>ヒョウゴケン</t>
    </rPh>
    <rPh sb="3" eb="6">
      <t>カワニシシ</t>
    </rPh>
    <rPh sb="6" eb="7">
      <t>ショウ</t>
    </rPh>
    <rPh sb="7" eb="8">
      <t>ト</t>
    </rPh>
    <phoneticPr fontId="1"/>
  </si>
  <si>
    <t>yusaku1112@gmail.com</t>
    <phoneticPr fontId="1"/>
  </si>
  <si>
    <t>090-7988-2041</t>
    <phoneticPr fontId="1"/>
  </si>
  <si>
    <t>松野　あゆみ</t>
    <rPh sb="0" eb="2">
      <t>マツノ</t>
    </rPh>
    <phoneticPr fontId="1"/>
  </si>
  <si>
    <t>090-1146-8587</t>
    <phoneticPr fontId="1"/>
  </si>
  <si>
    <t>ビジター パーソナル</t>
    <phoneticPr fontId="1"/>
  </si>
  <si>
    <t>ビジター パーソナル　2022/4/11体験来店済</t>
    <rPh sb="20" eb="22">
      <t>タイケン</t>
    </rPh>
    <rPh sb="22" eb="24">
      <t>ライテン</t>
    </rPh>
    <rPh sb="24" eb="25">
      <t>スミ</t>
    </rPh>
    <phoneticPr fontId="1"/>
  </si>
  <si>
    <t>野里　直充</t>
    <rPh sb="0" eb="2">
      <t>ノザト</t>
    </rPh>
    <rPh sb="3" eb="4">
      <t>ナオ</t>
    </rPh>
    <rPh sb="4" eb="5">
      <t>ミツ</t>
    </rPh>
    <phoneticPr fontId="1"/>
  </si>
  <si>
    <t>兵庫県宝塚市中筋山手2-3-9</t>
    <rPh sb="0" eb="3">
      <t>ヒョウゴケン</t>
    </rPh>
    <rPh sb="3" eb="5">
      <t>タカラヅカ</t>
    </rPh>
    <rPh sb="5" eb="6">
      <t>シ</t>
    </rPh>
    <rPh sb="6" eb="8">
      <t>ナカスジ</t>
    </rPh>
    <rPh sb="8" eb="10">
      <t>ヤマテ</t>
    </rPh>
    <phoneticPr fontId="1"/>
  </si>
  <si>
    <t>k.g.mfs2548@gmail.com</t>
    <phoneticPr fontId="1"/>
  </si>
  <si>
    <t>0797-89-9113</t>
    <phoneticPr fontId="1"/>
  </si>
  <si>
    <t>ビジタープロ価格　再来(4/8)</t>
    <rPh sb="6" eb="8">
      <t>カカク</t>
    </rPh>
    <rPh sb="9" eb="11">
      <t>サイライ</t>
    </rPh>
    <phoneticPr fontId="1"/>
  </si>
  <si>
    <t>芦田　博之</t>
    <rPh sb="0" eb="2">
      <t>アシダ</t>
    </rPh>
    <rPh sb="3" eb="4">
      <t>ヒロ</t>
    </rPh>
    <rPh sb="4" eb="5">
      <t>ユキ</t>
    </rPh>
    <phoneticPr fontId="1"/>
  </si>
  <si>
    <t>大阪府吹田市桃山台5-4-4-708</t>
    <rPh sb="0" eb="3">
      <t>オオサカフ</t>
    </rPh>
    <rPh sb="3" eb="6">
      <t>スイタシ</t>
    </rPh>
    <rPh sb="6" eb="9">
      <t>モモヤマダイ</t>
    </rPh>
    <phoneticPr fontId="1"/>
  </si>
  <si>
    <t>565-0854</t>
    <phoneticPr fontId="1"/>
  </si>
  <si>
    <t>090-3355-8281</t>
    <phoneticPr fontId="1"/>
  </si>
  <si>
    <t>元会員 芦田一憲様の叔父</t>
    <rPh sb="0" eb="3">
      <t>モトカイイン</t>
    </rPh>
    <rPh sb="4" eb="6">
      <t>アシダ</t>
    </rPh>
    <rPh sb="6" eb="7">
      <t>カズ</t>
    </rPh>
    <rPh sb="7" eb="8">
      <t>ケン</t>
    </rPh>
    <rPh sb="8" eb="9">
      <t>サマ</t>
    </rPh>
    <rPh sb="10" eb="12">
      <t>オジ</t>
    </rPh>
    <phoneticPr fontId="1"/>
  </si>
  <si>
    <t>相良　暁</t>
    <rPh sb="0" eb="2">
      <t>サガラ</t>
    </rPh>
    <rPh sb="3" eb="4">
      <t>ギョウ</t>
    </rPh>
    <phoneticPr fontId="1"/>
  </si>
  <si>
    <t>610-0353</t>
    <phoneticPr fontId="1"/>
  </si>
  <si>
    <t>京都府京田辺市松井ケ丘1-27-5</t>
    <rPh sb="0" eb="3">
      <t>キョウトフ</t>
    </rPh>
    <rPh sb="3" eb="7">
      <t>キョウタナベシ</t>
    </rPh>
    <rPh sb="7" eb="11">
      <t>マツイガオカ</t>
    </rPh>
    <phoneticPr fontId="1"/>
  </si>
  <si>
    <t>52.7㎞</t>
    <phoneticPr fontId="1"/>
  </si>
  <si>
    <t>090-3920-2454</t>
    <phoneticPr fontId="1"/>
  </si>
  <si>
    <t>g-sagara1007@k.vodafone.ne.jp</t>
    <phoneticPr fontId="1"/>
  </si>
  <si>
    <t>平石　喜代一</t>
    <rPh sb="0" eb="2">
      <t>ヒライシ</t>
    </rPh>
    <rPh sb="3" eb="4">
      <t>キ</t>
    </rPh>
    <rPh sb="4" eb="5">
      <t>ヨ</t>
    </rPh>
    <rPh sb="5" eb="6">
      <t>イチ</t>
    </rPh>
    <phoneticPr fontId="1"/>
  </si>
  <si>
    <t>兵庫県川西市久代6-2-2-614</t>
    <rPh sb="0" eb="3">
      <t>ヒョウゴケン</t>
    </rPh>
    <rPh sb="3" eb="6">
      <t>カワニシシ</t>
    </rPh>
    <rPh sb="6" eb="8">
      <t>クシロ</t>
    </rPh>
    <phoneticPr fontId="1"/>
  </si>
  <si>
    <t>080-5701-4567</t>
    <phoneticPr fontId="1"/>
  </si>
  <si>
    <t>印南　勇祐</t>
    <rPh sb="0" eb="2">
      <t>インナミ</t>
    </rPh>
    <rPh sb="3" eb="4">
      <t>ユウ</t>
    </rPh>
    <rPh sb="4" eb="5">
      <t>スケ</t>
    </rPh>
    <phoneticPr fontId="1"/>
  </si>
  <si>
    <t>673-0531</t>
    <phoneticPr fontId="1"/>
  </si>
  <si>
    <t>兵庫県三木市緑が丘町西2-10-7</t>
    <rPh sb="0" eb="3">
      <t>ヒョウゴケン</t>
    </rPh>
    <rPh sb="3" eb="6">
      <t>ミキシ</t>
    </rPh>
    <rPh sb="6" eb="7">
      <t>ミドリ</t>
    </rPh>
    <rPh sb="8" eb="9">
      <t>オカ</t>
    </rPh>
    <rPh sb="9" eb="10">
      <t>チョウ</t>
    </rPh>
    <rPh sb="10" eb="11">
      <t>ニシ</t>
    </rPh>
    <phoneticPr fontId="1"/>
  </si>
  <si>
    <t>yusuke_southmark@au.com</t>
    <phoneticPr fontId="1"/>
  </si>
  <si>
    <t>090-8449-4869</t>
    <phoneticPr fontId="1"/>
  </si>
  <si>
    <t>ロータリークラブ所属 半額料金</t>
    <rPh sb="8" eb="10">
      <t>ショゾク</t>
    </rPh>
    <rPh sb="11" eb="13">
      <t>ハンガク</t>
    </rPh>
    <rPh sb="13" eb="15">
      <t>リョウキン</t>
    </rPh>
    <phoneticPr fontId="1"/>
  </si>
  <si>
    <t>寺岡　龍郎</t>
    <rPh sb="0" eb="2">
      <t>テラオカ</t>
    </rPh>
    <rPh sb="3" eb="4">
      <t>タツ</t>
    </rPh>
    <rPh sb="4" eb="5">
      <t>ロウ</t>
    </rPh>
    <phoneticPr fontId="1"/>
  </si>
  <si>
    <t>大阪府豊中市東豊中町3-5-10</t>
    <rPh sb="0" eb="3">
      <t>オオサカフ</t>
    </rPh>
    <rPh sb="3" eb="6">
      <t>トヨナカシ</t>
    </rPh>
    <rPh sb="6" eb="7">
      <t>ヒガシ</t>
    </rPh>
    <rPh sb="7" eb="9">
      <t>トヨナカ</t>
    </rPh>
    <rPh sb="9" eb="10">
      <t>チョウ</t>
    </rPh>
    <phoneticPr fontId="1"/>
  </si>
  <si>
    <t>teraoka1975@gmail.com</t>
    <phoneticPr fontId="1"/>
  </si>
  <si>
    <t>090-8539-1234</t>
    <phoneticPr fontId="1"/>
  </si>
  <si>
    <t>小川　佳木</t>
    <rPh sb="0" eb="2">
      <t>オガワ</t>
    </rPh>
    <rPh sb="3" eb="4">
      <t>ヨシ</t>
    </rPh>
    <rPh sb="4" eb="5">
      <t>キ</t>
    </rPh>
    <phoneticPr fontId="1"/>
  </si>
  <si>
    <t>坂間　拡</t>
    <rPh sb="0" eb="2">
      <t>サカマ</t>
    </rPh>
    <phoneticPr fontId="1"/>
  </si>
  <si>
    <t>550-0013</t>
    <phoneticPr fontId="1"/>
  </si>
  <si>
    <t>兵庫県宝塚市雲雀丘山手2-13-7</t>
    <rPh sb="0" eb="3">
      <t>ヒョウゴケン</t>
    </rPh>
    <rPh sb="3" eb="6">
      <t>タカラヅカシ</t>
    </rPh>
    <rPh sb="6" eb="9">
      <t>ヒバリガオカ</t>
    </rPh>
    <rPh sb="9" eb="11">
      <t>ヤマテ</t>
    </rPh>
    <phoneticPr fontId="1"/>
  </si>
  <si>
    <t>大阪府大阪市西区新町3-6-8-205</t>
    <rPh sb="0" eb="3">
      <t>オオサカフ</t>
    </rPh>
    <rPh sb="3" eb="6">
      <t>オオサカシ</t>
    </rPh>
    <rPh sb="6" eb="8">
      <t>ニシク</t>
    </rPh>
    <rPh sb="8" eb="10">
      <t>シンマチ</t>
    </rPh>
    <phoneticPr fontId="1"/>
  </si>
  <si>
    <t>bunbunouraku@gmail.com</t>
    <phoneticPr fontId="1"/>
  </si>
  <si>
    <t>hirom2233569@yahoo.co.jp</t>
    <phoneticPr fontId="1"/>
  </si>
  <si>
    <t>070-9016-2305</t>
    <phoneticPr fontId="1"/>
  </si>
  <si>
    <t>080-1306-5028</t>
    <phoneticPr fontId="1"/>
  </si>
  <si>
    <t>再来店　3回目 ⇒　シャフト購入によりﾌｨｯﾃｨﾝｸﾞ代金返金済み</t>
    <rPh sb="0" eb="3">
      <t>サイライテン</t>
    </rPh>
    <rPh sb="5" eb="7">
      <t>カイメ</t>
    </rPh>
    <rPh sb="14" eb="16">
      <t>コウニュウ</t>
    </rPh>
    <rPh sb="27" eb="29">
      <t>ダイキン</t>
    </rPh>
    <rPh sb="29" eb="32">
      <t>ヘンキンズ</t>
    </rPh>
    <phoneticPr fontId="1"/>
  </si>
  <si>
    <t>三原　清男</t>
    <rPh sb="0" eb="2">
      <t>ミハラ</t>
    </rPh>
    <rPh sb="3" eb="4">
      <t>キヨシ</t>
    </rPh>
    <rPh sb="4" eb="5">
      <t>オトコ</t>
    </rPh>
    <phoneticPr fontId="1"/>
  </si>
  <si>
    <t>562-0028</t>
    <phoneticPr fontId="1"/>
  </si>
  <si>
    <t>大阪府箕面市彩都粟生南2-6-26</t>
  </si>
  <si>
    <t>15.5km</t>
    <phoneticPr fontId="1"/>
  </si>
  <si>
    <t>090-3996-6308</t>
    <phoneticPr fontId="1"/>
  </si>
  <si>
    <t>石橋　巧麻</t>
    <rPh sb="0" eb="2">
      <t>イシバシ</t>
    </rPh>
    <rPh sb="3" eb="4">
      <t>タクミ</t>
    </rPh>
    <rPh sb="4" eb="5">
      <t>マ</t>
    </rPh>
    <phoneticPr fontId="1"/>
  </si>
  <si>
    <t>556-0024</t>
    <phoneticPr fontId="1"/>
  </si>
  <si>
    <t>090-6246-7778</t>
    <phoneticPr fontId="1"/>
  </si>
  <si>
    <t>会員森田様ご友人</t>
    <rPh sb="0" eb="2">
      <t>カイイン</t>
    </rPh>
    <rPh sb="2" eb="4">
      <t>モリタ</t>
    </rPh>
    <rPh sb="4" eb="5">
      <t>サマ</t>
    </rPh>
    <rPh sb="6" eb="8">
      <t>ユウジン</t>
    </rPh>
    <phoneticPr fontId="1"/>
  </si>
  <si>
    <t>古賀　優実</t>
    <rPh sb="0" eb="2">
      <t>コガ</t>
    </rPh>
    <rPh sb="3" eb="4">
      <t>ユウ</t>
    </rPh>
    <rPh sb="4" eb="5">
      <t>ミ</t>
    </rPh>
    <phoneticPr fontId="1"/>
  </si>
  <si>
    <t>552-0007</t>
    <phoneticPr fontId="1"/>
  </si>
  <si>
    <t>大阪府大阪市港区弁天3-17-1-301</t>
    <rPh sb="0" eb="3">
      <t>オオサカフ</t>
    </rPh>
    <rPh sb="3" eb="6">
      <t>オオサカシ</t>
    </rPh>
    <rPh sb="6" eb="8">
      <t>ミナトク</t>
    </rPh>
    <rPh sb="8" eb="10">
      <t>ベンテン</t>
    </rPh>
    <phoneticPr fontId="1"/>
  </si>
  <si>
    <t>kirara061210@yahoo.co.jp</t>
    <phoneticPr fontId="1"/>
  </si>
  <si>
    <t>080-4032-8751</t>
    <phoneticPr fontId="1"/>
  </si>
  <si>
    <t>会員 古賀様の娘</t>
    <rPh sb="0" eb="2">
      <t>カイイン</t>
    </rPh>
    <rPh sb="3" eb="5">
      <t>コガ</t>
    </rPh>
    <rPh sb="5" eb="6">
      <t>サマ</t>
    </rPh>
    <rPh sb="7" eb="8">
      <t>ムスメ</t>
    </rPh>
    <phoneticPr fontId="1"/>
  </si>
  <si>
    <t>佐伯　暢生</t>
    <rPh sb="0" eb="2">
      <t>サエキ</t>
    </rPh>
    <rPh sb="3" eb="4">
      <t>ノブ</t>
    </rPh>
    <rPh sb="4" eb="5">
      <t>イキル</t>
    </rPh>
    <phoneticPr fontId="1"/>
  </si>
  <si>
    <t>兵庫県神戸市西区学園東町7-51-5</t>
    <rPh sb="0" eb="3">
      <t>ヒョウゴケン</t>
    </rPh>
    <rPh sb="3" eb="6">
      <t>コウベシ</t>
    </rPh>
    <rPh sb="6" eb="8">
      <t>ニシク</t>
    </rPh>
    <rPh sb="8" eb="10">
      <t>ガクエン</t>
    </rPh>
    <rPh sb="10" eb="11">
      <t>ヒガシ</t>
    </rPh>
    <rPh sb="11" eb="12">
      <t>チョウ</t>
    </rPh>
    <phoneticPr fontId="1"/>
  </si>
  <si>
    <t>090-8989-8414</t>
    <phoneticPr fontId="1"/>
  </si>
  <si>
    <t>社長友人 ￥0</t>
    <rPh sb="0" eb="2">
      <t>シャチョウ</t>
    </rPh>
    <rPh sb="2" eb="4">
      <t>ユウジン</t>
    </rPh>
    <phoneticPr fontId="1"/>
  </si>
  <si>
    <t>43.3㎞</t>
    <phoneticPr fontId="1"/>
  </si>
  <si>
    <t>652-2102</t>
    <phoneticPr fontId="1"/>
  </si>
  <si>
    <t>大阪府大阪市浪速区塩草3-2-3-1001</t>
    <rPh sb="3" eb="4">
      <t>オオ</t>
    </rPh>
    <phoneticPr fontId="1"/>
  </si>
  <si>
    <t>樹山　淳史</t>
    <rPh sb="0" eb="1">
      <t>キ</t>
    </rPh>
    <rPh sb="1" eb="2">
      <t>ヤマ</t>
    </rPh>
    <rPh sb="3" eb="4">
      <t>ジュン</t>
    </rPh>
    <rPh sb="4" eb="5">
      <t>シ</t>
    </rPh>
    <phoneticPr fontId="1"/>
  </si>
  <si>
    <t>坂本　昌久</t>
    <rPh sb="0" eb="2">
      <t>サカモト</t>
    </rPh>
    <rPh sb="3" eb="5">
      <t>アキラヒサ</t>
    </rPh>
    <phoneticPr fontId="1"/>
  </si>
  <si>
    <t>622-0211</t>
    <phoneticPr fontId="1"/>
  </si>
  <si>
    <t>622-0304</t>
    <phoneticPr fontId="1"/>
  </si>
  <si>
    <t>京都府船井郡丹波町上野八反目25-4</t>
    <rPh sb="0" eb="3">
      <t>キョウトフ</t>
    </rPh>
    <rPh sb="3" eb="6">
      <t>フナイグン</t>
    </rPh>
    <rPh sb="6" eb="9">
      <t>タンバチョウ</t>
    </rPh>
    <rPh sb="9" eb="11">
      <t>ウエノ</t>
    </rPh>
    <rPh sb="11" eb="12">
      <t>ハチ</t>
    </rPh>
    <rPh sb="12" eb="13">
      <t>ハン</t>
    </rPh>
    <rPh sb="13" eb="14">
      <t>メ</t>
    </rPh>
    <phoneticPr fontId="1"/>
  </si>
  <si>
    <t>atsushi791369@gmail.com</t>
    <phoneticPr fontId="1"/>
  </si>
  <si>
    <t>090-8214-6778</t>
    <phoneticPr fontId="1"/>
  </si>
  <si>
    <t>65.4㎞</t>
    <phoneticPr fontId="1"/>
  </si>
  <si>
    <t>090-3622-8172</t>
    <phoneticPr fontId="1"/>
  </si>
  <si>
    <t>YouTube　マイゴルフ</t>
    <phoneticPr fontId="1"/>
  </si>
  <si>
    <t>京都府船井郡京丹波町猪鼻焼尾21</t>
    <rPh sb="0" eb="3">
      <t>キョウトフ</t>
    </rPh>
    <rPh sb="3" eb="6">
      <t>フナイグン</t>
    </rPh>
    <rPh sb="6" eb="10">
      <t>キョウタンバチョウ</t>
    </rPh>
    <rPh sb="10" eb="11">
      <t>イノシシ</t>
    </rPh>
    <rPh sb="11" eb="12">
      <t>ハナ</t>
    </rPh>
    <rPh sb="12" eb="13">
      <t>ヤ</t>
    </rPh>
    <rPh sb="13" eb="14">
      <t>オ</t>
    </rPh>
    <phoneticPr fontId="1"/>
  </si>
  <si>
    <t>片山　慎一</t>
    <rPh sb="0" eb="2">
      <t>カタヤマ</t>
    </rPh>
    <rPh sb="3" eb="5">
      <t>シンイチ</t>
    </rPh>
    <phoneticPr fontId="1"/>
  </si>
  <si>
    <t>658-0072</t>
    <phoneticPr fontId="1"/>
  </si>
  <si>
    <t>兵庫県神戸市岡本5-7-18</t>
    <rPh sb="0" eb="3">
      <t>ヒョウゴケン</t>
    </rPh>
    <rPh sb="3" eb="6">
      <t>コウベシ</t>
    </rPh>
    <rPh sb="6" eb="8">
      <t>オカモト</t>
    </rPh>
    <phoneticPr fontId="1"/>
  </si>
  <si>
    <t>18.5km</t>
    <phoneticPr fontId="1"/>
  </si>
  <si>
    <t>090-3429-2472</t>
    <phoneticPr fontId="1"/>
  </si>
  <si>
    <t>吉川　鎮勇</t>
    <rPh sb="0" eb="2">
      <t>ヨシカワ</t>
    </rPh>
    <rPh sb="3" eb="4">
      <t>シズ</t>
    </rPh>
    <rPh sb="4" eb="5">
      <t>ユウ</t>
    </rPh>
    <phoneticPr fontId="1"/>
  </si>
  <si>
    <t>534-0021</t>
    <phoneticPr fontId="1"/>
  </si>
  <si>
    <t>大阪府大阪市都島区都島本通3-26-30-901</t>
    <rPh sb="0" eb="3">
      <t>オオサカフ</t>
    </rPh>
    <rPh sb="3" eb="5">
      <t>オオサカ</t>
    </rPh>
    <rPh sb="5" eb="6">
      <t>シ</t>
    </rPh>
    <rPh sb="6" eb="8">
      <t>ミヤコジマ</t>
    </rPh>
    <rPh sb="8" eb="9">
      <t>ク</t>
    </rPh>
    <rPh sb="9" eb="13">
      <t>ミヤコジマホンドオリ</t>
    </rPh>
    <phoneticPr fontId="1"/>
  </si>
  <si>
    <t>27.2㎞</t>
    <phoneticPr fontId="1"/>
  </si>
  <si>
    <t>080-3794-0401</t>
    <phoneticPr fontId="1"/>
  </si>
  <si>
    <t>田中　弘幸</t>
    <rPh sb="0" eb="2">
      <t>タナカ</t>
    </rPh>
    <rPh sb="3" eb="5">
      <t>ヒロユキ</t>
    </rPh>
    <phoneticPr fontId="1"/>
  </si>
  <si>
    <t>兵庫県宝塚市山本南1-37-12 ｻﾆｰﾃﾞｲｽﾞ202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</si>
  <si>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1.2㎞</t>
    <phoneticPr fontId="1"/>
  </si>
  <si>
    <t>090-6846-1146</t>
    <phoneticPr fontId="1"/>
  </si>
  <si>
    <t>荒川　直美</t>
    <rPh sb="0" eb="2">
      <t>アラカワ</t>
    </rPh>
    <rPh sb="3" eb="5">
      <t>ナオミ</t>
    </rPh>
    <phoneticPr fontId="1"/>
  </si>
  <si>
    <t>兵庫県宝塚市安倉中5丁目18-28</t>
    <rPh sb="0" eb="3">
      <t>ヒョウゴケン</t>
    </rPh>
    <rPh sb="3" eb="6">
      <t>タカラヅカシ</t>
    </rPh>
    <rPh sb="6" eb="8">
      <t>アクラ</t>
    </rPh>
    <rPh sb="8" eb="9">
      <t>ナカ</t>
    </rPh>
    <rPh sb="10" eb="12">
      <t>チョウメ</t>
    </rPh>
    <phoneticPr fontId="1"/>
  </si>
  <si>
    <t>2.1km</t>
    <phoneticPr fontId="1"/>
  </si>
  <si>
    <t>090-5898-9790</t>
    <phoneticPr fontId="1"/>
  </si>
  <si>
    <t>ビジタープロ価格　再来</t>
    <rPh sb="6" eb="8">
      <t>カカク</t>
    </rPh>
    <rPh sb="9" eb="11">
      <t>サイライ</t>
    </rPh>
    <phoneticPr fontId="1"/>
  </si>
  <si>
    <t>林　英樹</t>
    <rPh sb="0" eb="1">
      <t>ハヤシ</t>
    </rPh>
    <rPh sb="2" eb="4">
      <t>ヒデキ</t>
    </rPh>
    <phoneticPr fontId="1"/>
  </si>
  <si>
    <t>080-8525-4295</t>
    <phoneticPr fontId="1"/>
  </si>
  <si>
    <t>654-0055</t>
    <phoneticPr fontId="1"/>
  </si>
  <si>
    <t>兵庫県神戸市須磨区須磨浦通5-4-6</t>
    <rPh sb="0" eb="3">
      <t>ヒョウゴケン</t>
    </rPh>
    <rPh sb="3" eb="6">
      <t>コウベシ</t>
    </rPh>
    <rPh sb="6" eb="9">
      <t>スマク</t>
    </rPh>
    <rPh sb="9" eb="12">
      <t>スマウラ</t>
    </rPh>
    <rPh sb="12" eb="13">
      <t>トオ</t>
    </rPh>
    <phoneticPr fontId="1"/>
  </si>
  <si>
    <t>47.9㎞</t>
    <phoneticPr fontId="1"/>
  </si>
  <si>
    <t>hiedki11251130@gmail.com</t>
    <phoneticPr fontId="1"/>
  </si>
  <si>
    <t>志野さん知人　</t>
    <rPh sb="0" eb="2">
      <t>シノ</t>
    </rPh>
    <rPh sb="4" eb="6">
      <t>チジン</t>
    </rPh>
    <phoneticPr fontId="1"/>
  </si>
  <si>
    <t>船本　り香孔</t>
    <rPh sb="0" eb="2">
      <t>フナモト</t>
    </rPh>
    <rPh sb="4" eb="5">
      <t>カオリ</t>
    </rPh>
    <rPh sb="5" eb="6">
      <t>コウ</t>
    </rPh>
    <phoneticPr fontId="1"/>
  </si>
  <si>
    <t>654-0022</t>
    <phoneticPr fontId="1"/>
  </si>
  <si>
    <t>兵庫県神戸市須磨区大黒町3丁目1-22三國クリエート802</t>
    <rPh sb="0" eb="3">
      <t>ヒョウゴケン</t>
    </rPh>
    <rPh sb="3" eb="6">
      <t>コウベシ</t>
    </rPh>
    <rPh sb="6" eb="9">
      <t>スマク</t>
    </rPh>
    <rPh sb="9" eb="12">
      <t>ダイコクチョウ</t>
    </rPh>
    <rPh sb="13" eb="15">
      <t>チョウメ</t>
    </rPh>
    <rPh sb="19" eb="21">
      <t>ミクニ</t>
    </rPh>
    <phoneticPr fontId="1"/>
  </si>
  <si>
    <t>e.r.m.p-t@softbank.ne.jp</t>
    <phoneticPr fontId="1"/>
  </si>
  <si>
    <t>080-3814-7988</t>
    <phoneticPr fontId="1"/>
  </si>
  <si>
    <t>山根　翔月</t>
    <rPh sb="0" eb="2">
      <t>ヤマネ</t>
    </rPh>
    <rPh sb="3" eb="4">
      <t>ショウ</t>
    </rPh>
    <rPh sb="4" eb="5">
      <t>ツキ</t>
    </rPh>
    <phoneticPr fontId="1"/>
  </si>
  <si>
    <t>680-0874</t>
    <phoneticPr fontId="1"/>
  </si>
  <si>
    <t>165㎞</t>
    <phoneticPr fontId="1"/>
  </si>
  <si>
    <t>080-5621-9451</t>
    <phoneticPr fontId="1"/>
  </si>
  <si>
    <t>鳥取県鳥取市叶1丁目1-29シャーメゾン・レーヴ叶E棟　202号</t>
    <rPh sb="0" eb="3">
      <t>トットリケン</t>
    </rPh>
    <rPh sb="3" eb="6">
      <t>トットリシ</t>
    </rPh>
    <rPh sb="6" eb="7">
      <t>カノウ</t>
    </rPh>
    <rPh sb="8" eb="10">
      <t>チョウメ</t>
    </rPh>
    <rPh sb="24" eb="25">
      <t>カノウ</t>
    </rPh>
    <rPh sb="26" eb="27">
      <t>トウ</t>
    </rPh>
    <rPh sb="31" eb="32">
      <t>ゴウ</t>
    </rPh>
    <phoneticPr fontId="1"/>
  </si>
  <si>
    <t>大野　修一郎</t>
    <rPh sb="0" eb="2">
      <t>オオノ</t>
    </rPh>
    <rPh sb="3" eb="6">
      <t>シュウイチロウ</t>
    </rPh>
    <phoneticPr fontId="1"/>
  </si>
  <si>
    <t>大野　眞実</t>
    <rPh sb="0" eb="2">
      <t>オオノ</t>
    </rPh>
    <rPh sb="3" eb="5">
      <t>マミ</t>
    </rPh>
    <phoneticPr fontId="1"/>
  </si>
  <si>
    <t>兵庫県宝塚市山手台西2-4-13</t>
    <rPh sb="0" eb="3">
      <t>ヒョウゴケン</t>
    </rPh>
    <rPh sb="3" eb="5">
      <t>タカラヅカ</t>
    </rPh>
    <rPh sb="5" eb="6">
      <t>シ</t>
    </rPh>
    <rPh sb="6" eb="8">
      <t>ヤマテ</t>
    </rPh>
    <rPh sb="8" eb="9">
      <t>ダイ</t>
    </rPh>
    <rPh sb="9" eb="10">
      <t>ニシ</t>
    </rPh>
    <phoneticPr fontId="1"/>
  </si>
  <si>
    <t>halesyu@i.softbank.ne.jp</t>
    <phoneticPr fontId="1"/>
  </si>
  <si>
    <t>halemami.1225@i.softbank.jp</t>
    <phoneticPr fontId="1"/>
  </si>
  <si>
    <t>080-4024-9779</t>
    <phoneticPr fontId="1"/>
  </si>
  <si>
    <t>090-7880-9976</t>
    <phoneticPr fontId="1"/>
  </si>
  <si>
    <t>エニタイムの会員様</t>
    <rPh sb="6" eb="8">
      <t>カイイン</t>
    </rPh>
    <rPh sb="8" eb="9">
      <t>サマ</t>
    </rPh>
    <phoneticPr fontId="1"/>
  </si>
  <si>
    <t>辻野　俊之</t>
    <rPh sb="0" eb="2">
      <t>ツジノ</t>
    </rPh>
    <rPh sb="3" eb="5">
      <t>トシユキ</t>
    </rPh>
    <phoneticPr fontId="1"/>
  </si>
  <si>
    <t>大阪市旭区清水3-18-17</t>
    <rPh sb="0" eb="3">
      <t>オオサカシ</t>
    </rPh>
    <rPh sb="3" eb="5">
      <t>アサヒク</t>
    </rPh>
    <rPh sb="5" eb="7">
      <t>シミズ</t>
    </rPh>
    <phoneticPr fontId="1"/>
  </si>
  <si>
    <t>22.6㎞</t>
    <phoneticPr fontId="1"/>
  </si>
  <si>
    <t>535-0021</t>
    <phoneticPr fontId="1"/>
  </si>
  <si>
    <t>t4165@ezweb.ne.jp</t>
    <phoneticPr fontId="1"/>
  </si>
  <si>
    <t>090-1143-2739</t>
    <phoneticPr fontId="1"/>
  </si>
  <si>
    <t>野田　修次</t>
    <rPh sb="0" eb="2">
      <t>ノダ</t>
    </rPh>
    <rPh sb="3" eb="5">
      <t>シュウジ</t>
    </rPh>
    <phoneticPr fontId="1"/>
  </si>
  <si>
    <t>651-2117</t>
    <phoneticPr fontId="1"/>
  </si>
  <si>
    <t>兵庫県神戸市西区北別府3-3-3-1113</t>
    <rPh sb="0" eb="3">
      <t>ヒョウゴケン</t>
    </rPh>
    <rPh sb="3" eb="6">
      <t>コウベシ</t>
    </rPh>
    <rPh sb="6" eb="8">
      <t>ニシク</t>
    </rPh>
    <rPh sb="8" eb="9">
      <t>キタ</t>
    </rPh>
    <rPh sb="9" eb="11">
      <t>ベップ</t>
    </rPh>
    <phoneticPr fontId="1"/>
  </si>
  <si>
    <t>080-6195-8338</t>
    <phoneticPr fontId="1"/>
  </si>
  <si>
    <t>清水　智子</t>
    <rPh sb="0" eb="2">
      <t>シミズ</t>
    </rPh>
    <rPh sb="3" eb="5">
      <t>トモコ</t>
    </rPh>
    <phoneticPr fontId="1"/>
  </si>
  <si>
    <t>大阪府大阪市西淀川区出来島1-3-2-361</t>
    <rPh sb="0" eb="3">
      <t>オオサカフ</t>
    </rPh>
    <rPh sb="3" eb="6">
      <t>オオサカシ</t>
    </rPh>
    <rPh sb="6" eb="9">
      <t>ニシヨドガワ</t>
    </rPh>
    <rPh sb="9" eb="10">
      <t>ク</t>
    </rPh>
    <rPh sb="10" eb="13">
      <t>デキジマ</t>
    </rPh>
    <phoneticPr fontId="1"/>
  </si>
  <si>
    <t>080-6283-6445</t>
    <phoneticPr fontId="1"/>
  </si>
  <si>
    <t>ビジタープロ価格</t>
    <rPh sb="6" eb="8">
      <t>カカク</t>
    </rPh>
    <phoneticPr fontId="1"/>
  </si>
  <si>
    <t>河村　里香</t>
    <rPh sb="0" eb="2">
      <t>カワムラ</t>
    </rPh>
    <rPh sb="3" eb="5">
      <t>リカ</t>
    </rPh>
    <phoneticPr fontId="1"/>
  </si>
  <si>
    <t>兵庫県宝塚市山手台西2-32-7</t>
    <rPh sb="0" eb="3">
      <t>ヒョウゴケン</t>
    </rPh>
    <rPh sb="3" eb="6">
      <t>タカラヅカシ</t>
    </rPh>
    <rPh sb="6" eb="9">
      <t>ヤマテダイ</t>
    </rPh>
    <rPh sb="9" eb="10">
      <t>ニシ</t>
    </rPh>
    <phoneticPr fontId="1"/>
  </si>
  <si>
    <t>cocotiroru@docomo.ne.jp</t>
    <phoneticPr fontId="1"/>
  </si>
  <si>
    <t>080-1482-7897</t>
    <phoneticPr fontId="1"/>
  </si>
  <si>
    <t>達山　知昭</t>
    <rPh sb="0" eb="1">
      <t>タツ</t>
    </rPh>
    <rPh sb="1" eb="2">
      <t>ヤマ</t>
    </rPh>
    <rPh sb="3" eb="4">
      <t>トモ</t>
    </rPh>
    <rPh sb="4" eb="5">
      <t>アキ</t>
    </rPh>
    <phoneticPr fontId="1"/>
  </si>
  <si>
    <t>大阪府箕面市森町中3-28-2</t>
    <rPh sb="0" eb="3">
      <t>オオサカフ</t>
    </rPh>
    <rPh sb="3" eb="6">
      <t>ミノオシ</t>
    </rPh>
    <rPh sb="6" eb="8">
      <t>モリマチ</t>
    </rPh>
    <rPh sb="8" eb="9">
      <t>ナカ</t>
    </rPh>
    <phoneticPr fontId="1"/>
  </si>
  <si>
    <t>15.7㎞</t>
    <phoneticPr fontId="1"/>
  </si>
  <si>
    <t>090-8936-2205</t>
    <phoneticPr fontId="1"/>
  </si>
  <si>
    <t>長谷川　勝利</t>
    <rPh sb="0" eb="3">
      <t>ハセガワ</t>
    </rPh>
    <rPh sb="4" eb="6">
      <t>カツトシ</t>
    </rPh>
    <phoneticPr fontId="1"/>
  </si>
  <si>
    <t>535-0002</t>
    <phoneticPr fontId="1"/>
  </si>
  <si>
    <t>大阪府大阪市旭区大宮3-5-5</t>
    <rPh sb="0" eb="3">
      <t>オオサカフ</t>
    </rPh>
    <rPh sb="3" eb="6">
      <t>オオサカシ</t>
    </rPh>
    <rPh sb="6" eb="8">
      <t>アサヒク</t>
    </rPh>
    <rPh sb="8" eb="10">
      <t>オオミヤ</t>
    </rPh>
    <phoneticPr fontId="1"/>
  </si>
  <si>
    <t>29.6㎞</t>
    <phoneticPr fontId="1"/>
  </si>
  <si>
    <t>hms-katsu501961442@icloud.com</t>
    <phoneticPr fontId="1"/>
  </si>
  <si>
    <t>090-1442-9620</t>
    <phoneticPr fontId="1"/>
  </si>
  <si>
    <t>体験+試打</t>
    <rPh sb="0" eb="2">
      <t>タイケン</t>
    </rPh>
    <rPh sb="3" eb="5">
      <t>シダ</t>
    </rPh>
    <phoneticPr fontId="1"/>
  </si>
  <si>
    <t>岸本　健三郎</t>
    <rPh sb="0" eb="2">
      <t>キシモト</t>
    </rPh>
    <rPh sb="3" eb="4">
      <t>ケン</t>
    </rPh>
    <rPh sb="4" eb="5">
      <t>サン</t>
    </rPh>
    <rPh sb="5" eb="6">
      <t>ロウ</t>
    </rPh>
    <phoneticPr fontId="1"/>
  </si>
  <si>
    <t>550-0031</t>
    <phoneticPr fontId="1"/>
  </si>
  <si>
    <t>大阪府福島区海老江3-24</t>
    <rPh sb="0" eb="3">
      <t>オオサカフ</t>
    </rPh>
    <rPh sb="3" eb="5">
      <t>フクシマ</t>
    </rPh>
    <rPh sb="5" eb="6">
      <t>ク</t>
    </rPh>
    <rPh sb="6" eb="9">
      <t>エビエ</t>
    </rPh>
    <phoneticPr fontId="1"/>
  </si>
  <si>
    <t>17.6㎞</t>
    <phoneticPr fontId="1"/>
  </si>
  <si>
    <t>090-5658-3626</t>
    <phoneticPr fontId="1"/>
  </si>
  <si>
    <t>東海　清貴</t>
    <rPh sb="0" eb="2">
      <t>トウカイ</t>
    </rPh>
    <rPh sb="3" eb="5">
      <t>キヨタカ</t>
    </rPh>
    <phoneticPr fontId="1"/>
  </si>
  <si>
    <t>大阪府羽曳野市古市4-1-11-905</t>
    <rPh sb="0" eb="3">
      <t>オオサカフ</t>
    </rPh>
    <rPh sb="3" eb="6">
      <t>ハビキノ</t>
    </rPh>
    <rPh sb="6" eb="7">
      <t>シ</t>
    </rPh>
    <rPh sb="7" eb="9">
      <t>フルイチ</t>
    </rPh>
    <phoneticPr fontId="1"/>
  </si>
  <si>
    <t>43.8㎞</t>
    <phoneticPr fontId="1"/>
  </si>
  <si>
    <t>583-0852</t>
    <phoneticPr fontId="1"/>
  </si>
  <si>
    <t>tokai_kt@konoike.co.jp</t>
    <phoneticPr fontId="1"/>
  </si>
  <si>
    <t>072-957-6667</t>
    <phoneticPr fontId="1"/>
  </si>
  <si>
    <t>牧瀬　篤正</t>
    <rPh sb="0" eb="2">
      <t>マキセ</t>
    </rPh>
    <rPh sb="3" eb="4">
      <t>アツシ</t>
    </rPh>
    <rPh sb="4" eb="5">
      <t>タダ</t>
    </rPh>
    <phoneticPr fontId="1"/>
  </si>
  <si>
    <t>ビジター会員ご家族(牧瀬さゆり様)</t>
    <rPh sb="4" eb="6">
      <t>カイイン</t>
    </rPh>
    <rPh sb="7" eb="9">
      <t>カゾク</t>
    </rPh>
    <rPh sb="10" eb="12">
      <t>マキセ</t>
    </rPh>
    <rPh sb="15" eb="16">
      <t>サマ</t>
    </rPh>
    <phoneticPr fontId="1"/>
  </si>
  <si>
    <t>再来店　シャフト購入</t>
    <rPh sb="0" eb="2">
      <t>サイライ</t>
    </rPh>
    <rPh sb="2" eb="3">
      <t>テン</t>
    </rPh>
    <rPh sb="8" eb="10">
      <t>コウニュウ</t>
    </rPh>
    <phoneticPr fontId="1"/>
  </si>
  <si>
    <t>小椋　俊明</t>
    <rPh sb="0" eb="2">
      <t>オグラ</t>
    </rPh>
    <rPh sb="3" eb="4">
      <t>トシ</t>
    </rPh>
    <rPh sb="4" eb="5">
      <t>アキ</t>
    </rPh>
    <phoneticPr fontId="1"/>
  </si>
  <si>
    <t>682-0123</t>
    <phoneticPr fontId="1"/>
  </si>
  <si>
    <t>鳥取県東伯郡三朝町三朝663-1</t>
    <rPh sb="0" eb="3">
      <t>トットリケン</t>
    </rPh>
    <phoneticPr fontId="1"/>
  </si>
  <si>
    <t>207㎞</t>
    <phoneticPr fontId="1"/>
  </si>
  <si>
    <t>o.toshi110420@gmail.com</t>
    <phoneticPr fontId="1"/>
  </si>
  <si>
    <t>090-7132-7611</t>
    <phoneticPr fontId="1"/>
  </si>
  <si>
    <t>小瀬　翔也</t>
    <rPh sb="0" eb="2">
      <t>コセ</t>
    </rPh>
    <rPh sb="3" eb="5">
      <t>ショウヤ</t>
    </rPh>
    <phoneticPr fontId="1"/>
  </si>
  <si>
    <t>元会員ビジター利用</t>
    <rPh sb="0" eb="3">
      <t>モトカイイン</t>
    </rPh>
    <rPh sb="7" eb="9">
      <t>リヨウ</t>
    </rPh>
    <phoneticPr fontId="1"/>
  </si>
  <si>
    <t>伊藤　敦</t>
    <rPh sb="0" eb="2">
      <t>イトウ</t>
    </rPh>
    <rPh sb="3" eb="4">
      <t>アツシ</t>
    </rPh>
    <phoneticPr fontId="1"/>
  </si>
  <si>
    <t>607-8160</t>
    <phoneticPr fontId="1"/>
  </si>
  <si>
    <t>京都府京都市山科区椥辻東浦町18-2-703</t>
    <rPh sb="0" eb="3">
      <t>キョウトフ</t>
    </rPh>
    <rPh sb="3" eb="6">
      <t>キョウトシ</t>
    </rPh>
    <rPh sb="6" eb="9">
      <t>ヤマシナク</t>
    </rPh>
    <rPh sb="9" eb="11">
      <t>ナギツジ</t>
    </rPh>
    <rPh sb="11" eb="12">
      <t>ヒガシ</t>
    </rPh>
    <rPh sb="12" eb="13">
      <t>ウラ</t>
    </rPh>
    <rPh sb="13" eb="14">
      <t>マチ</t>
    </rPh>
    <phoneticPr fontId="1"/>
  </si>
  <si>
    <t>61.6km</t>
    <phoneticPr fontId="1"/>
  </si>
  <si>
    <t>ats703@gmail.com</t>
    <phoneticPr fontId="1"/>
  </si>
  <si>
    <t>橋本　邦大</t>
    <rPh sb="0" eb="2">
      <t>ハシモト</t>
    </rPh>
    <rPh sb="3" eb="4">
      <t>クニ</t>
    </rPh>
    <rPh sb="4" eb="5">
      <t>ダイ</t>
    </rPh>
    <phoneticPr fontId="1"/>
  </si>
  <si>
    <t>612-8007</t>
    <phoneticPr fontId="1"/>
  </si>
  <si>
    <t>京都府京都市伏見区桃山町因幡180</t>
    <rPh sb="0" eb="6">
      <t>キョウトフキョウトシ</t>
    </rPh>
    <rPh sb="6" eb="8">
      <t>フシミ</t>
    </rPh>
    <rPh sb="8" eb="9">
      <t>ク</t>
    </rPh>
    <rPh sb="9" eb="11">
      <t>モモヤマ</t>
    </rPh>
    <rPh sb="11" eb="12">
      <t>チョウ</t>
    </rPh>
    <rPh sb="12" eb="13">
      <t>イン</t>
    </rPh>
    <rPh sb="13" eb="14">
      <t>ハタ</t>
    </rPh>
    <phoneticPr fontId="1"/>
  </si>
  <si>
    <t>55.1km</t>
    <phoneticPr fontId="1"/>
  </si>
  <si>
    <t>090-5134-2348</t>
    <phoneticPr fontId="1"/>
  </si>
  <si>
    <t>森　加容子</t>
    <rPh sb="0" eb="1">
      <t>モリ</t>
    </rPh>
    <rPh sb="2" eb="3">
      <t>カ</t>
    </rPh>
    <rPh sb="3" eb="5">
      <t>ヨウコ</t>
    </rPh>
    <phoneticPr fontId="1"/>
  </si>
  <si>
    <t>大阪府池田市上池田1-1-22-208</t>
    <rPh sb="0" eb="3">
      <t>オオサカフ</t>
    </rPh>
    <rPh sb="3" eb="6">
      <t>イケダシ</t>
    </rPh>
    <rPh sb="6" eb="7">
      <t>カミ</t>
    </rPh>
    <rPh sb="7" eb="9">
      <t>イケダ</t>
    </rPh>
    <phoneticPr fontId="1"/>
  </si>
  <si>
    <t>080-3038-4312</t>
    <phoneticPr fontId="1"/>
  </si>
  <si>
    <t xml:space="preserve">5.0km </t>
    <phoneticPr fontId="1"/>
  </si>
  <si>
    <t>黍原　和司</t>
    <rPh sb="0" eb="2">
      <t>キビハラ</t>
    </rPh>
    <rPh sb="3" eb="4">
      <t>カズ</t>
    </rPh>
    <rPh sb="4" eb="5">
      <t>ツカサ</t>
    </rPh>
    <phoneticPr fontId="1"/>
  </si>
  <si>
    <t>666-0261</t>
    <phoneticPr fontId="1"/>
  </si>
  <si>
    <t>兵庫県川辺郡猪名川町松尾台2-1-11　L-108</t>
    <rPh sb="0" eb="3">
      <t>ヒョウゴケン</t>
    </rPh>
    <rPh sb="3" eb="6">
      <t>カワベグン</t>
    </rPh>
    <rPh sb="6" eb="10">
      <t>イナガワチョウ</t>
    </rPh>
    <rPh sb="10" eb="13">
      <t>マツオダイ</t>
    </rPh>
    <phoneticPr fontId="1"/>
  </si>
  <si>
    <t>kdy-83.golf@i.softbank.jp</t>
    <phoneticPr fontId="1"/>
  </si>
  <si>
    <t>080-61233697</t>
    <phoneticPr fontId="1"/>
  </si>
  <si>
    <t>兵庫県西宮市上甲子園1丁目1-10-901</t>
    <rPh sb="0" eb="6">
      <t>ヒョウゴケンニシノミヤシ</t>
    </rPh>
    <rPh sb="6" eb="7">
      <t>カミ</t>
    </rPh>
    <rPh sb="7" eb="10">
      <t>コウシエン</t>
    </rPh>
    <rPh sb="11" eb="13">
      <t>チョウメ</t>
    </rPh>
    <phoneticPr fontId="1"/>
  </si>
  <si>
    <t>11.9km</t>
    <phoneticPr fontId="1"/>
  </si>
  <si>
    <t>090-5900-3995</t>
    <phoneticPr fontId="1"/>
  </si>
  <si>
    <t>兒島　拓哉</t>
  </si>
  <si>
    <t>小椋　義彦</t>
    <rPh sb="0" eb="2">
      <t>オグラ</t>
    </rPh>
    <rPh sb="3" eb="5">
      <t>ヨシヒコ</t>
    </rPh>
    <phoneticPr fontId="1"/>
  </si>
  <si>
    <t>682-0142</t>
    <phoneticPr fontId="1"/>
  </si>
  <si>
    <t>鳥取県東伯郡三朝町神倉64</t>
    <rPh sb="0" eb="3">
      <t>トットリケン</t>
    </rPh>
    <rPh sb="9" eb="11">
      <t>カミクラ</t>
    </rPh>
    <phoneticPr fontId="1"/>
  </si>
  <si>
    <t>090-4141-0758</t>
    <phoneticPr fontId="1"/>
  </si>
  <si>
    <t>yahho.ogura@icloud.com</t>
    <phoneticPr fontId="1"/>
  </si>
  <si>
    <t>YouTube見てご来店　5/23ﾌｨｯﾃｨﾝｸﾞ来店の小椋俊明様のお父様</t>
    <rPh sb="7" eb="8">
      <t>ミ</t>
    </rPh>
    <rPh sb="10" eb="12">
      <t>ライテン</t>
    </rPh>
    <rPh sb="25" eb="27">
      <t>ライテン</t>
    </rPh>
    <rPh sb="28" eb="30">
      <t>オグラ</t>
    </rPh>
    <rPh sb="30" eb="32">
      <t>トシアキ</t>
    </rPh>
    <rPh sb="32" eb="33">
      <t>サマ</t>
    </rPh>
    <rPh sb="35" eb="37">
      <t>トウサマ</t>
    </rPh>
    <phoneticPr fontId="1"/>
  </si>
  <si>
    <t>191㎞</t>
    <phoneticPr fontId="1"/>
  </si>
  <si>
    <t>鈴木　史郎</t>
    <rPh sb="0" eb="2">
      <t>スズキ</t>
    </rPh>
    <rPh sb="3" eb="5">
      <t>シロウ</t>
    </rPh>
    <phoneticPr fontId="1"/>
  </si>
  <si>
    <t>兵庫県芦屋市山手町17-7</t>
    <rPh sb="0" eb="3">
      <t>ヒョウゴケン</t>
    </rPh>
    <rPh sb="3" eb="6">
      <t>アシヤシ</t>
    </rPh>
    <rPh sb="6" eb="9">
      <t>ヤマテチョウ</t>
    </rPh>
    <phoneticPr fontId="1"/>
  </si>
  <si>
    <t>17.4km</t>
    <phoneticPr fontId="1"/>
  </si>
  <si>
    <t>suzuki.shiro@suzukishouten.co.jp</t>
    <phoneticPr fontId="1"/>
  </si>
  <si>
    <t>090-8980-4862</t>
    <phoneticPr fontId="1"/>
  </si>
  <si>
    <t>大道　勝久</t>
    <rPh sb="0" eb="2">
      <t>オオミチ</t>
    </rPh>
    <rPh sb="3" eb="5">
      <t>カツヒサ</t>
    </rPh>
    <phoneticPr fontId="1"/>
  </si>
  <si>
    <t>565-0853</t>
    <phoneticPr fontId="1"/>
  </si>
  <si>
    <t>大阪府吹田市春日2-6-2-1309</t>
    <rPh sb="0" eb="3">
      <t>オオサカフ</t>
    </rPh>
    <rPh sb="3" eb="6">
      <t>スイタシ</t>
    </rPh>
    <rPh sb="6" eb="8">
      <t>カスガ</t>
    </rPh>
    <phoneticPr fontId="1"/>
  </si>
  <si>
    <t>no.sweet1023@gmail.com</t>
    <phoneticPr fontId="1"/>
  </si>
  <si>
    <t>090-2063-5705</t>
    <phoneticPr fontId="1"/>
  </si>
  <si>
    <t>14.7km</t>
    <phoneticPr fontId="1"/>
  </si>
  <si>
    <t>654-0112</t>
    <phoneticPr fontId="1"/>
  </si>
  <si>
    <t>兵庫県県神戸市須磨区若草町2-19-4</t>
    <rPh sb="0" eb="3">
      <t>ヒョウゴケン</t>
    </rPh>
    <phoneticPr fontId="1"/>
  </si>
  <si>
    <t>41.8km</t>
    <phoneticPr fontId="1"/>
  </si>
  <si>
    <t>090-8236-9974</t>
    <phoneticPr fontId="1"/>
  </si>
  <si>
    <t>高崎プロ紹介　</t>
    <rPh sb="0" eb="2">
      <t>タカサキ</t>
    </rPh>
    <rPh sb="4" eb="6">
      <t>ショウカイ</t>
    </rPh>
    <phoneticPr fontId="1"/>
  </si>
  <si>
    <t>杣田　健一</t>
    <rPh sb="0" eb="1">
      <t>ソマ</t>
    </rPh>
    <rPh sb="1" eb="2">
      <t>タ</t>
    </rPh>
    <rPh sb="3" eb="5">
      <t>ケンイチ</t>
    </rPh>
    <phoneticPr fontId="1"/>
  </si>
  <si>
    <t>梅本　鉄平</t>
    <rPh sb="0" eb="2">
      <t>ウメモト</t>
    </rPh>
    <rPh sb="3" eb="5">
      <t>テッペイ</t>
    </rPh>
    <phoneticPr fontId="1"/>
  </si>
  <si>
    <t>731-0103</t>
    <phoneticPr fontId="1"/>
  </si>
  <si>
    <t>広島県広島市安佐南区緑井6-29-19-404</t>
    <rPh sb="0" eb="3">
      <t>ヒロシマケン</t>
    </rPh>
    <rPh sb="3" eb="6">
      <t>ヒロシマシ</t>
    </rPh>
    <rPh sb="6" eb="7">
      <t>ヤス</t>
    </rPh>
    <rPh sb="7" eb="8">
      <t>サ</t>
    </rPh>
    <rPh sb="8" eb="10">
      <t>ミナミク</t>
    </rPh>
    <rPh sb="10" eb="12">
      <t>ミドリイ</t>
    </rPh>
    <phoneticPr fontId="1"/>
  </si>
  <si>
    <t>306km</t>
    <phoneticPr fontId="1"/>
  </si>
  <si>
    <t>090-5708-4628</t>
    <phoneticPr fontId="1"/>
  </si>
  <si>
    <t>体験利用　シャフト試打</t>
    <rPh sb="0" eb="4">
      <t>タイケンリヨウ</t>
    </rPh>
    <rPh sb="9" eb="11">
      <t>シダ</t>
    </rPh>
    <phoneticPr fontId="1"/>
  </si>
  <si>
    <t>髙田　稔</t>
    <rPh sb="0" eb="2">
      <t>タカダ</t>
    </rPh>
    <rPh sb="3" eb="4">
      <t>ミノル</t>
    </rPh>
    <phoneticPr fontId="1"/>
  </si>
  <si>
    <t>宝塚市山本南3-11-15-317</t>
    <rPh sb="0" eb="3">
      <t>タカラヅカシ</t>
    </rPh>
    <rPh sb="3" eb="5">
      <t>ヤマモト</t>
    </rPh>
    <rPh sb="5" eb="6">
      <t>ミナミ</t>
    </rPh>
    <phoneticPr fontId="1"/>
  </si>
  <si>
    <t>takada-do@kwangaku.net</t>
    <phoneticPr fontId="1"/>
  </si>
  <si>
    <t>080-8939-0944</t>
    <phoneticPr fontId="1"/>
  </si>
  <si>
    <t>近所</t>
    <rPh sb="0" eb="2">
      <t>キンジョ</t>
    </rPh>
    <phoneticPr fontId="1"/>
  </si>
  <si>
    <t>水口　大輔</t>
    <rPh sb="0" eb="2">
      <t>ミズグチ</t>
    </rPh>
    <rPh sb="3" eb="5">
      <t>ダイスケ</t>
    </rPh>
    <phoneticPr fontId="1"/>
  </si>
  <si>
    <t>4.3km</t>
    <phoneticPr fontId="1"/>
  </si>
  <si>
    <t>mojio19741220@gmail.com</t>
    <phoneticPr fontId="1"/>
  </si>
  <si>
    <t>090-8288-3631</t>
    <phoneticPr fontId="1"/>
  </si>
  <si>
    <t>兵庫県伊丹市西野6丁目33-1　パレ武庫川プルシェールⅣ222号</t>
    <rPh sb="0" eb="2">
      <t>ヒョウゴ</t>
    </rPh>
    <rPh sb="2" eb="3">
      <t>ケン</t>
    </rPh>
    <rPh sb="3" eb="6">
      <t>イタミシ</t>
    </rPh>
    <rPh sb="6" eb="8">
      <t>ニシノ</t>
    </rPh>
    <rPh sb="9" eb="11">
      <t>チョウメ</t>
    </rPh>
    <rPh sb="18" eb="21">
      <t>ムコガワ</t>
    </rPh>
    <rPh sb="31" eb="32">
      <t>ゴウ</t>
    </rPh>
    <phoneticPr fontId="1"/>
  </si>
  <si>
    <t>笠井　美沙樹</t>
    <rPh sb="0" eb="2">
      <t>カサイ</t>
    </rPh>
    <rPh sb="3" eb="5">
      <t>ミサ</t>
    </rPh>
    <rPh sb="5" eb="6">
      <t>キ</t>
    </rPh>
    <phoneticPr fontId="1"/>
  </si>
  <si>
    <t>669-1146</t>
    <phoneticPr fontId="1"/>
  </si>
  <si>
    <t>兵庫県西宮市名塩さくら台2丁目13-7</t>
    <rPh sb="0" eb="3">
      <t>ヒョウゴケン</t>
    </rPh>
    <rPh sb="3" eb="6">
      <t>ニシノミヤシ</t>
    </rPh>
    <rPh sb="6" eb="8">
      <t>ナジオ</t>
    </rPh>
    <rPh sb="11" eb="12">
      <t>ダイ</t>
    </rPh>
    <rPh sb="13" eb="15">
      <t>チョウメ</t>
    </rPh>
    <phoneticPr fontId="1"/>
  </si>
  <si>
    <t>14km</t>
    <phoneticPr fontId="1"/>
  </si>
  <si>
    <t>misaharuaoi@icloud.com</t>
    <phoneticPr fontId="1"/>
  </si>
  <si>
    <t>080-8520-8381</t>
    <phoneticPr fontId="1"/>
  </si>
  <si>
    <t>体験後入会</t>
    <rPh sb="0" eb="2">
      <t>タイケン</t>
    </rPh>
    <rPh sb="2" eb="3">
      <t>ゴ</t>
    </rPh>
    <rPh sb="3" eb="5">
      <t>ニュウカイ</t>
    </rPh>
    <phoneticPr fontId="1"/>
  </si>
  <si>
    <t>中村　祐典</t>
    <rPh sb="0" eb="2">
      <t>ナカムラ</t>
    </rPh>
    <rPh sb="3" eb="4">
      <t>ユウ</t>
    </rPh>
    <rPh sb="4" eb="5">
      <t>テン</t>
    </rPh>
    <phoneticPr fontId="1"/>
  </si>
  <si>
    <t>663-8212</t>
    <phoneticPr fontId="1"/>
  </si>
  <si>
    <t>090-3455-4702</t>
    <phoneticPr fontId="1"/>
  </si>
  <si>
    <t>兵庫県西宮市今津野田町5-27-503号</t>
    <rPh sb="0" eb="3">
      <t>ヒョウゴケン</t>
    </rPh>
    <rPh sb="3" eb="6">
      <t>ニシノミヤシ</t>
    </rPh>
    <rPh sb="6" eb="8">
      <t>イマヅ</t>
    </rPh>
    <rPh sb="8" eb="11">
      <t>ノダチョウ</t>
    </rPh>
    <rPh sb="19" eb="20">
      <t>ゴウ</t>
    </rPh>
    <phoneticPr fontId="1"/>
  </si>
  <si>
    <t>boowy12248338@gmail.com</t>
    <phoneticPr fontId="1"/>
  </si>
  <si>
    <t>池浦　真砂子</t>
    <rPh sb="0" eb="2">
      <t>イケウラ</t>
    </rPh>
    <rPh sb="3" eb="4">
      <t>マ</t>
    </rPh>
    <rPh sb="4" eb="5">
      <t>スナ</t>
    </rPh>
    <rPh sb="5" eb="6">
      <t>コ</t>
    </rPh>
    <phoneticPr fontId="1"/>
  </si>
  <si>
    <t>大阪府大阪市大淀南2-2-43-3105　</t>
    <rPh sb="0" eb="3">
      <t>オオサカフ</t>
    </rPh>
    <rPh sb="3" eb="6">
      <t>オオサカシ</t>
    </rPh>
    <rPh sb="6" eb="8">
      <t>オオヨド</t>
    </rPh>
    <rPh sb="8" eb="9">
      <t>ミナミ</t>
    </rPh>
    <phoneticPr fontId="1"/>
  </si>
  <si>
    <t>18.8km</t>
    <phoneticPr fontId="1"/>
  </si>
  <si>
    <t>080-5637-3768</t>
    <phoneticPr fontId="1"/>
  </si>
  <si>
    <t>5000円　offクーポン持参</t>
    <rPh sb="4" eb="5">
      <t>エン</t>
    </rPh>
    <rPh sb="13" eb="15">
      <t>ジサン</t>
    </rPh>
    <phoneticPr fontId="1"/>
  </si>
  <si>
    <t>河田　武夫</t>
    <rPh sb="0" eb="2">
      <t>カワタ</t>
    </rPh>
    <rPh sb="3" eb="5">
      <t>タケオ</t>
    </rPh>
    <phoneticPr fontId="1"/>
  </si>
  <si>
    <t>兵庫県宝塚市山本西2-3-1</t>
    <rPh sb="0" eb="3">
      <t>ヒョウゴケン</t>
    </rPh>
    <rPh sb="3" eb="5">
      <t>タカラヅカ</t>
    </rPh>
    <rPh sb="5" eb="6">
      <t>シ</t>
    </rPh>
    <rPh sb="6" eb="8">
      <t>ヤマモト</t>
    </rPh>
    <rPh sb="8" eb="9">
      <t>ニシ</t>
    </rPh>
    <phoneticPr fontId="1"/>
  </si>
  <si>
    <t>0.6ｋｍ</t>
    <phoneticPr fontId="1"/>
  </si>
  <si>
    <t>090-3050-2810</t>
    <phoneticPr fontId="1"/>
  </si>
  <si>
    <t>中尾　裕磨</t>
    <rPh sb="0" eb="2">
      <t>ナカオ</t>
    </rPh>
    <rPh sb="3" eb="4">
      <t>ユウ</t>
    </rPh>
    <rPh sb="4" eb="5">
      <t>マ</t>
    </rPh>
    <phoneticPr fontId="1"/>
  </si>
  <si>
    <t>兵庫県宝塚市野上4丁目13番25-1</t>
    <rPh sb="0" eb="3">
      <t>ヒョウゴケン</t>
    </rPh>
    <rPh sb="3" eb="6">
      <t>タカラヅカシ</t>
    </rPh>
    <rPh sb="6" eb="8">
      <t>ノガミ</t>
    </rPh>
    <rPh sb="9" eb="11">
      <t>チョウメ</t>
    </rPh>
    <rPh sb="13" eb="14">
      <t>バン</t>
    </rPh>
    <phoneticPr fontId="1"/>
  </si>
  <si>
    <t>6km</t>
    <phoneticPr fontId="1"/>
  </si>
  <si>
    <t>hot.water.horse.13@gmail.com</t>
    <phoneticPr fontId="1"/>
  </si>
  <si>
    <t>090-2384-5187</t>
    <phoneticPr fontId="1"/>
  </si>
  <si>
    <t>吉本　敦</t>
    <rPh sb="0" eb="2">
      <t>ヨシモト</t>
    </rPh>
    <rPh sb="3" eb="4">
      <t>アツシ</t>
    </rPh>
    <phoneticPr fontId="1"/>
  </si>
  <si>
    <t>665-0013</t>
    <phoneticPr fontId="1"/>
  </si>
  <si>
    <t>兵庫県宝塚市宝梅1-10-6</t>
    <rPh sb="0" eb="6">
      <t>ヒョウゴケンタカラヅカシ</t>
    </rPh>
    <rPh sb="6" eb="7">
      <t>タカラ</t>
    </rPh>
    <rPh sb="7" eb="8">
      <t>ウメ</t>
    </rPh>
    <phoneticPr fontId="1"/>
  </si>
  <si>
    <t>a26yoshi@gmail.com</t>
    <phoneticPr fontId="1"/>
  </si>
  <si>
    <t>080-4185-8880</t>
    <phoneticPr fontId="1"/>
  </si>
  <si>
    <t>山口　真衣</t>
    <rPh sb="0" eb="2">
      <t>ヤマグチ</t>
    </rPh>
    <rPh sb="3" eb="5">
      <t>マイ</t>
    </rPh>
    <phoneticPr fontId="1"/>
  </si>
  <si>
    <t>670-0896</t>
    <phoneticPr fontId="1"/>
  </si>
  <si>
    <t>兵庫県姫路市上大野6-9-25</t>
    <rPh sb="0" eb="3">
      <t>ヒョウゴケン</t>
    </rPh>
    <rPh sb="3" eb="6">
      <t>ヒメジシ</t>
    </rPh>
    <rPh sb="6" eb="9">
      <t>カミオオノ</t>
    </rPh>
    <phoneticPr fontId="1"/>
  </si>
  <si>
    <t>77.4㎞</t>
    <phoneticPr fontId="1"/>
  </si>
  <si>
    <t>ma.i.cla0616@gmail.com</t>
    <phoneticPr fontId="1"/>
  </si>
  <si>
    <t>080-1998-5165</t>
    <phoneticPr fontId="1"/>
  </si>
  <si>
    <t>榎本プロ紹介</t>
    <rPh sb="0" eb="2">
      <t>エノモト</t>
    </rPh>
    <rPh sb="4" eb="6">
      <t>ショウカイ</t>
    </rPh>
    <phoneticPr fontId="1"/>
  </si>
  <si>
    <t>亀井　智彦</t>
    <phoneticPr fontId="1"/>
  </si>
  <si>
    <t>大阪府大阪市都島区中野町5-10-107-1201</t>
    <phoneticPr fontId="1"/>
  </si>
  <si>
    <t>26.6km</t>
    <phoneticPr fontId="1"/>
  </si>
  <si>
    <t>2回目(2020/9/3 フィッティング来店)</t>
    <rPh sb="1" eb="3">
      <t>カイメ</t>
    </rPh>
    <rPh sb="20" eb="22">
      <t>ライテン</t>
    </rPh>
    <phoneticPr fontId="1"/>
  </si>
  <si>
    <t>531-0074</t>
    <phoneticPr fontId="1"/>
  </si>
  <si>
    <t>大阪府大阪市北区本庄東1-1-2 A606</t>
    <phoneticPr fontId="1"/>
  </si>
  <si>
    <t>23.0km</t>
    <phoneticPr fontId="1"/>
  </si>
  <si>
    <t>muramori8122@gmail.com</t>
    <phoneticPr fontId="1"/>
  </si>
  <si>
    <t>090-9885-1080</t>
    <phoneticPr fontId="1"/>
  </si>
  <si>
    <t>試打 無制限</t>
    <rPh sb="0" eb="2">
      <t>シダ</t>
    </rPh>
    <rPh sb="3" eb="6">
      <t>ムセイゲン</t>
    </rPh>
    <phoneticPr fontId="1"/>
  </si>
  <si>
    <t>村田　守章</t>
    <rPh sb="0" eb="2">
      <t>ムラタ</t>
    </rPh>
    <rPh sb="3" eb="4">
      <t>マモ</t>
    </rPh>
    <rPh sb="4" eb="5">
      <t>ショウ</t>
    </rPh>
    <phoneticPr fontId="1"/>
  </si>
  <si>
    <t>田中　健二郎</t>
    <rPh sb="0" eb="2">
      <t>タナカ</t>
    </rPh>
    <rPh sb="3" eb="6">
      <t>ケンジロウ</t>
    </rPh>
    <phoneticPr fontId="1"/>
  </si>
  <si>
    <t>兵庫県川辺郡猪名川町白金２丁目６１−７</t>
    <phoneticPr fontId="1"/>
  </si>
  <si>
    <t>090-1153-5786</t>
    <phoneticPr fontId="1"/>
  </si>
  <si>
    <t>駒井　良則</t>
    <rPh sb="0" eb="2">
      <t>コマイ</t>
    </rPh>
    <rPh sb="3" eb="5">
      <t>ヨシノリ</t>
    </rPh>
    <phoneticPr fontId="1"/>
  </si>
  <si>
    <t>兵庫県宝塚市中山桜台6-4-15</t>
    <rPh sb="3" eb="6">
      <t>タカラヅカシ</t>
    </rPh>
    <rPh sb="6" eb="8">
      <t>ナカヤマ</t>
    </rPh>
    <rPh sb="8" eb="10">
      <t>サクラダイ</t>
    </rPh>
    <phoneticPr fontId="1"/>
  </si>
  <si>
    <t>0797-20-0636</t>
    <phoneticPr fontId="1"/>
  </si>
  <si>
    <t>髙田　康介</t>
    <rPh sb="0" eb="2">
      <t>タカダ</t>
    </rPh>
    <rPh sb="3" eb="5">
      <t>コウスケ</t>
    </rPh>
    <phoneticPr fontId="1"/>
  </si>
  <si>
    <t>神奈川県藤沢市藤沢1019ウェルネス湘南101</t>
    <rPh sb="0" eb="3">
      <t>カナガワ</t>
    </rPh>
    <rPh sb="3" eb="4">
      <t>ケン</t>
    </rPh>
    <rPh sb="4" eb="7">
      <t>フジサワシ</t>
    </rPh>
    <rPh sb="7" eb="9">
      <t>フジサワ</t>
    </rPh>
    <rPh sb="18" eb="20">
      <t>ショウナン</t>
    </rPh>
    <phoneticPr fontId="1"/>
  </si>
  <si>
    <t>466km</t>
    <phoneticPr fontId="1"/>
  </si>
  <si>
    <t>080-4484-4526</t>
    <phoneticPr fontId="1"/>
  </si>
  <si>
    <t>会員髙田様ご子息</t>
    <rPh sb="0" eb="5">
      <t>カイインタカダサマ</t>
    </rPh>
    <rPh sb="6" eb="8">
      <t>シソク</t>
    </rPh>
    <phoneticPr fontId="1"/>
  </si>
  <si>
    <t>中嶋　月葉</t>
    <rPh sb="0" eb="2">
      <t>ナカシマ</t>
    </rPh>
    <rPh sb="3" eb="4">
      <t>ツキ</t>
    </rPh>
    <rPh sb="4" eb="5">
      <t>ハ</t>
    </rPh>
    <phoneticPr fontId="1"/>
  </si>
  <si>
    <t>兵庫県宝塚市野上2-5-40</t>
    <rPh sb="0" eb="3">
      <t>ヒョウゴケン</t>
    </rPh>
    <rPh sb="3" eb="6">
      <t>タカラヅカシ</t>
    </rPh>
    <rPh sb="6" eb="8">
      <t>ノガミ</t>
    </rPh>
    <phoneticPr fontId="1"/>
  </si>
  <si>
    <t>080-5324-0025</t>
    <phoneticPr fontId="1"/>
  </si>
  <si>
    <t>080-5324-0025(父)中嶋　知洋</t>
    <rPh sb="14" eb="15">
      <t>チチ</t>
    </rPh>
    <rPh sb="16" eb="18">
      <t>ナカシマ</t>
    </rPh>
    <rPh sb="19" eb="20">
      <t>シ</t>
    </rPh>
    <rPh sb="20" eb="21">
      <t>ヨウ</t>
    </rPh>
    <phoneticPr fontId="1"/>
  </si>
  <si>
    <t>川口　充志</t>
    <rPh sb="0" eb="2">
      <t>カワグチ</t>
    </rPh>
    <rPh sb="3" eb="4">
      <t>ミツル</t>
    </rPh>
    <rPh sb="4" eb="5">
      <t>ココロザシ</t>
    </rPh>
    <phoneticPr fontId="1"/>
  </si>
  <si>
    <t>562-0013</t>
    <phoneticPr fontId="1"/>
  </si>
  <si>
    <t>大阪府箕面市坊島5-8-7-2</t>
    <rPh sb="0" eb="3">
      <t>オオサカフ</t>
    </rPh>
    <rPh sb="3" eb="5">
      <t>ミノオ</t>
    </rPh>
    <rPh sb="5" eb="6">
      <t>シ</t>
    </rPh>
    <rPh sb="6" eb="8">
      <t>ボウシマ</t>
    </rPh>
    <phoneticPr fontId="1"/>
  </si>
  <si>
    <t>11.4km</t>
    <phoneticPr fontId="1"/>
  </si>
  <si>
    <t>090-1027-1417</t>
    <phoneticPr fontId="1"/>
  </si>
  <si>
    <t>小川うらら紹介</t>
    <rPh sb="0" eb="2">
      <t>オガワ</t>
    </rPh>
    <rPh sb="5" eb="7">
      <t>ショウカイ</t>
    </rPh>
    <phoneticPr fontId="1"/>
  </si>
  <si>
    <t>広田　隼之</t>
    <rPh sb="0" eb="2">
      <t>ヒロタ</t>
    </rPh>
    <rPh sb="3" eb="4">
      <t>シュン</t>
    </rPh>
    <rPh sb="4" eb="5">
      <t>ユキ</t>
    </rPh>
    <phoneticPr fontId="1"/>
  </si>
  <si>
    <t>689-3536</t>
    <phoneticPr fontId="1"/>
  </si>
  <si>
    <t>鳥取県米子市高島171-9</t>
    <rPh sb="0" eb="3">
      <t>トットリケン</t>
    </rPh>
    <rPh sb="3" eb="6">
      <t>ヨナゴシ</t>
    </rPh>
    <rPh sb="6" eb="8">
      <t>タカシマ</t>
    </rPh>
    <phoneticPr fontId="1"/>
  </si>
  <si>
    <t>090-5379-1371</t>
    <phoneticPr fontId="1"/>
  </si>
  <si>
    <t>232㎞</t>
    <phoneticPr fontId="1"/>
  </si>
  <si>
    <t>大西　賢一</t>
    <rPh sb="0" eb="2">
      <t>オオニシ</t>
    </rPh>
    <rPh sb="3" eb="5">
      <t>ケンイチ</t>
    </rPh>
    <phoneticPr fontId="1"/>
  </si>
  <si>
    <t>兵庫県伊丹市瑞ヶ丘4丁目22-305号</t>
    <rPh sb="0" eb="3">
      <t>ヒョウゴケン</t>
    </rPh>
    <rPh sb="3" eb="6">
      <t>イタミシ</t>
    </rPh>
    <rPh sb="10" eb="12">
      <t>チョウメ</t>
    </rPh>
    <rPh sb="18" eb="19">
      <t>ゴウ</t>
    </rPh>
    <phoneticPr fontId="1"/>
  </si>
  <si>
    <t>3.2km</t>
    <phoneticPr fontId="1"/>
  </si>
  <si>
    <t>090-5068-5608</t>
    <phoneticPr fontId="1"/>
  </si>
  <si>
    <t>三谷　賢志</t>
    <rPh sb="0" eb="2">
      <t>ミタニ</t>
    </rPh>
    <rPh sb="3" eb="5">
      <t>ケンシ</t>
    </rPh>
    <phoneticPr fontId="1"/>
  </si>
  <si>
    <t>大阪市吹田市春日1-4-28-101</t>
    <rPh sb="0" eb="2">
      <t>オオサカ</t>
    </rPh>
    <rPh sb="2" eb="3">
      <t>シ</t>
    </rPh>
    <rPh sb="3" eb="6">
      <t>スイタシ</t>
    </rPh>
    <rPh sb="6" eb="8">
      <t>カスガ</t>
    </rPh>
    <phoneticPr fontId="1"/>
  </si>
  <si>
    <t>wrxsti-105@yahoo.co.jp</t>
    <phoneticPr fontId="1"/>
  </si>
  <si>
    <t>070-2450-2171</t>
    <phoneticPr fontId="1"/>
  </si>
  <si>
    <t>661-0014</t>
    <phoneticPr fontId="1"/>
  </si>
  <si>
    <t>兵庫県尼崎市上ノ島町1丁目1-10-305</t>
    <phoneticPr fontId="1"/>
  </si>
  <si>
    <t>9.0km</t>
    <phoneticPr fontId="1"/>
  </si>
  <si>
    <t>maha-15106@docomo.ne.jp</t>
    <phoneticPr fontId="1"/>
  </si>
  <si>
    <t>090-1582-8200</t>
    <phoneticPr fontId="1"/>
  </si>
  <si>
    <t>松本　遼季</t>
    <rPh sb="0" eb="2">
      <t>マツモト</t>
    </rPh>
    <rPh sb="3" eb="4">
      <t>リョウ</t>
    </rPh>
    <rPh sb="4" eb="5">
      <t>キ</t>
    </rPh>
    <phoneticPr fontId="1"/>
  </si>
  <si>
    <t>大阪府大阪市此花区島屋3-4-16</t>
    <rPh sb="0" eb="3">
      <t>オオサカフ</t>
    </rPh>
    <rPh sb="3" eb="6">
      <t>オオサカシ</t>
    </rPh>
    <rPh sb="6" eb="9">
      <t>コノハナク</t>
    </rPh>
    <rPh sb="9" eb="10">
      <t>シマ</t>
    </rPh>
    <rPh sb="10" eb="11">
      <t>ヤ</t>
    </rPh>
    <phoneticPr fontId="1"/>
  </si>
  <si>
    <t>23.5km</t>
    <phoneticPr fontId="1"/>
  </si>
  <si>
    <t>ヤマモト　ダイスケ紹介　再来</t>
    <rPh sb="9" eb="11">
      <t>ショウカイ</t>
    </rPh>
    <rPh sb="12" eb="14">
      <t>サイライ</t>
    </rPh>
    <phoneticPr fontId="1"/>
  </si>
  <si>
    <t>赤井　一隆</t>
    <rPh sb="0" eb="2">
      <t>アカイ</t>
    </rPh>
    <rPh sb="3" eb="4">
      <t>ハジメ</t>
    </rPh>
    <rPh sb="4" eb="5">
      <t>タカシ</t>
    </rPh>
    <phoneticPr fontId="1"/>
  </si>
  <si>
    <t>651-1512</t>
    <phoneticPr fontId="1"/>
  </si>
  <si>
    <t>神戸市北区長尾町上津4216-1</t>
    <rPh sb="0" eb="3">
      <t>コウベシ</t>
    </rPh>
    <rPh sb="3" eb="5">
      <t>キタク</t>
    </rPh>
    <rPh sb="5" eb="8">
      <t>ナガオチョウ</t>
    </rPh>
    <rPh sb="8" eb="10">
      <t>カミツ</t>
    </rPh>
    <phoneticPr fontId="1"/>
  </si>
  <si>
    <t>26.7㎞</t>
    <phoneticPr fontId="1"/>
  </si>
  <si>
    <t>090-1488-9296</t>
    <phoneticPr fontId="1"/>
  </si>
  <si>
    <t>678-0071</t>
    <phoneticPr fontId="1"/>
  </si>
  <si>
    <t>兵庫県相生市緑ケ丘1-15-27</t>
    <rPh sb="0" eb="3">
      <t>ヒョウゴケン</t>
    </rPh>
    <rPh sb="3" eb="6">
      <t>アイオイシ</t>
    </rPh>
    <rPh sb="6" eb="7">
      <t>ミドリ</t>
    </rPh>
    <rPh sb="8" eb="9">
      <t>オカ</t>
    </rPh>
    <phoneticPr fontId="1"/>
  </si>
  <si>
    <t>hanada@marutosuisan.jp</t>
    <phoneticPr fontId="1"/>
  </si>
  <si>
    <t>090-1680-2282</t>
    <phoneticPr fontId="1"/>
  </si>
  <si>
    <t>藤田プロ紹介</t>
    <rPh sb="0" eb="2">
      <t>フジタ</t>
    </rPh>
    <rPh sb="4" eb="6">
      <t>ショウカイ</t>
    </rPh>
    <phoneticPr fontId="1"/>
  </si>
  <si>
    <t>99.3㎞</t>
    <phoneticPr fontId="1"/>
  </si>
  <si>
    <t>花田　恭孝</t>
    <rPh sb="0" eb="2">
      <t>ハナダ</t>
    </rPh>
    <rPh sb="3" eb="4">
      <t>キョウ</t>
    </rPh>
    <rPh sb="4" eb="5">
      <t>タカシ</t>
    </rPh>
    <phoneticPr fontId="1"/>
  </si>
  <si>
    <t>919-2111</t>
    <phoneticPr fontId="1"/>
  </si>
  <si>
    <t>池内　孝明</t>
    <rPh sb="0" eb="2">
      <t>イケウチ</t>
    </rPh>
    <rPh sb="3" eb="5">
      <t>タカアキ</t>
    </rPh>
    <phoneticPr fontId="1"/>
  </si>
  <si>
    <t>136km</t>
    <phoneticPr fontId="1"/>
  </si>
  <si>
    <t>090-5090-6603</t>
    <phoneticPr fontId="1"/>
  </si>
  <si>
    <t>藤田　泰彦</t>
    <rPh sb="0" eb="2">
      <t>フジタ</t>
    </rPh>
    <rPh sb="3" eb="4">
      <t>ヤス</t>
    </rPh>
    <rPh sb="4" eb="5">
      <t>ヒコ</t>
    </rPh>
    <phoneticPr fontId="1"/>
  </si>
  <si>
    <t>福井県おおい町本郷51-1-3-410</t>
    <rPh sb="0" eb="3">
      <t>フクイケン</t>
    </rPh>
    <rPh sb="6" eb="7">
      <t>チョウ</t>
    </rPh>
    <rPh sb="7" eb="9">
      <t>ホンゴウ</t>
    </rPh>
    <phoneticPr fontId="1"/>
  </si>
  <si>
    <t>福井県おおい町本郷51-1 2-411</t>
    <rPh sb="0" eb="3">
      <t>フクイケン</t>
    </rPh>
    <rPh sb="6" eb="7">
      <t>チョウ</t>
    </rPh>
    <rPh sb="7" eb="9">
      <t>ホンゴウ</t>
    </rPh>
    <phoneticPr fontId="1"/>
  </si>
  <si>
    <t>080-6358-9468</t>
    <phoneticPr fontId="1"/>
  </si>
  <si>
    <t>安田　義博</t>
    <rPh sb="0" eb="2">
      <t>ヤスダ</t>
    </rPh>
    <rPh sb="3" eb="5">
      <t>ヨシヒロ</t>
    </rPh>
    <phoneticPr fontId="1"/>
  </si>
  <si>
    <t>606-8163</t>
    <phoneticPr fontId="1"/>
  </si>
  <si>
    <t>京都府京都市左京区一乗寺中ノ田町69-301</t>
    <rPh sb="0" eb="3">
      <t>キョウトフ</t>
    </rPh>
    <rPh sb="3" eb="6">
      <t>キョウトシ</t>
    </rPh>
    <rPh sb="6" eb="9">
      <t>サキョウク</t>
    </rPh>
    <rPh sb="9" eb="12">
      <t>イチジョウジ</t>
    </rPh>
    <rPh sb="12" eb="13">
      <t>ナカ</t>
    </rPh>
    <rPh sb="14" eb="15">
      <t>タ</t>
    </rPh>
    <rPh sb="15" eb="16">
      <t>マチ</t>
    </rPh>
    <phoneticPr fontId="1"/>
  </si>
  <si>
    <t>61.1km</t>
    <phoneticPr fontId="1"/>
  </si>
  <si>
    <t>yasudaez51@gmail.com</t>
    <phoneticPr fontId="1"/>
  </si>
  <si>
    <t>090-3707-7700</t>
    <phoneticPr fontId="1"/>
  </si>
  <si>
    <t>米田　隆治</t>
    <rPh sb="0" eb="2">
      <t>ヨネダ</t>
    </rPh>
    <rPh sb="3" eb="4">
      <t>タカシ</t>
    </rPh>
    <rPh sb="4" eb="5">
      <t>ジ</t>
    </rPh>
    <phoneticPr fontId="1"/>
  </si>
  <si>
    <t>兵庫県川西市けやき坂3-17-12</t>
    <rPh sb="0" eb="3">
      <t>ヒョウゴケン</t>
    </rPh>
    <rPh sb="3" eb="6">
      <t>カワニシシ</t>
    </rPh>
    <rPh sb="9" eb="10">
      <t>サカ</t>
    </rPh>
    <phoneticPr fontId="1"/>
  </si>
  <si>
    <t>090-8935-3213</t>
    <phoneticPr fontId="1"/>
  </si>
  <si>
    <t>西田　勝也</t>
    <rPh sb="0" eb="2">
      <t>ニシダ</t>
    </rPh>
    <rPh sb="3" eb="4">
      <t>カツ</t>
    </rPh>
    <rPh sb="4" eb="5">
      <t>ヤ</t>
    </rPh>
    <phoneticPr fontId="1"/>
  </si>
  <si>
    <t>666-0135</t>
    <phoneticPr fontId="1"/>
  </si>
  <si>
    <t>兵庫県川西市錦松台14-37</t>
    <rPh sb="0" eb="3">
      <t>ヒョウゴケン</t>
    </rPh>
    <rPh sb="3" eb="6">
      <t>カワニシシ</t>
    </rPh>
    <rPh sb="6" eb="7">
      <t>ニシキ</t>
    </rPh>
    <rPh sb="7" eb="8">
      <t>マツ</t>
    </rPh>
    <rPh sb="8" eb="9">
      <t>ダイ</t>
    </rPh>
    <phoneticPr fontId="1"/>
  </si>
  <si>
    <t>earthone@bc5.so-net.ne.jp</t>
    <phoneticPr fontId="1"/>
  </si>
  <si>
    <t>090-6209-8011</t>
    <phoneticPr fontId="1"/>
  </si>
  <si>
    <t>10.1km</t>
    <phoneticPr fontId="1"/>
  </si>
  <si>
    <t>ライオンズ　由香</t>
    <rPh sb="6" eb="8">
      <t>ユカ</t>
    </rPh>
    <phoneticPr fontId="1"/>
  </si>
  <si>
    <t>591-8022</t>
    <phoneticPr fontId="1"/>
  </si>
  <si>
    <t>大阪府堺市北区金岡町2784-8</t>
    <rPh sb="0" eb="3">
      <t>オオサカフ</t>
    </rPh>
    <rPh sb="3" eb="5">
      <t>サカイシ</t>
    </rPh>
    <rPh sb="5" eb="7">
      <t>キタク</t>
    </rPh>
    <rPh sb="7" eb="9">
      <t>カナオカ</t>
    </rPh>
    <rPh sb="9" eb="10">
      <t>チョウ</t>
    </rPh>
    <phoneticPr fontId="1"/>
  </si>
  <si>
    <t>42.2㎞</t>
    <phoneticPr fontId="1"/>
  </si>
  <si>
    <t>090-1440-8558</t>
    <phoneticPr fontId="1"/>
  </si>
  <si>
    <t>本田　千弥</t>
    <rPh sb="0" eb="2">
      <t>ホンダ</t>
    </rPh>
    <rPh sb="3" eb="4">
      <t>セン</t>
    </rPh>
    <rPh sb="4" eb="5">
      <t>ヤ</t>
    </rPh>
    <phoneticPr fontId="1"/>
  </si>
  <si>
    <t>大阪府堺市中区陶器北1882-302</t>
    <rPh sb="0" eb="3">
      <t>オオサカフ</t>
    </rPh>
    <rPh sb="3" eb="5">
      <t>サカイシ</t>
    </rPh>
    <rPh sb="5" eb="7">
      <t>ナカク</t>
    </rPh>
    <rPh sb="7" eb="9">
      <t>トウキ</t>
    </rPh>
    <rPh sb="9" eb="10">
      <t>キタ</t>
    </rPh>
    <phoneticPr fontId="1"/>
  </si>
  <si>
    <t>59.5km</t>
    <phoneticPr fontId="1"/>
  </si>
  <si>
    <t>090-9886-8979</t>
    <phoneticPr fontId="1"/>
  </si>
  <si>
    <t>野田　昭吾</t>
    <rPh sb="0" eb="2">
      <t>ノダ</t>
    </rPh>
    <rPh sb="3" eb="5">
      <t>ショウゴ</t>
    </rPh>
    <phoneticPr fontId="1"/>
  </si>
  <si>
    <t>870-0126</t>
    <phoneticPr fontId="1"/>
  </si>
  <si>
    <t>大分県大分市横尾3602-188</t>
    <rPh sb="0" eb="3">
      <t>オオイタケン</t>
    </rPh>
    <rPh sb="3" eb="6">
      <t>オオイタシ</t>
    </rPh>
    <rPh sb="6" eb="8">
      <t>ヨコオ</t>
    </rPh>
    <phoneticPr fontId="1"/>
  </si>
  <si>
    <t>456㎞</t>
    <phoneticPr fontId="1"/>
  </si>
  <si>
    <t>noda19760709@gmail.com</t>
    <phoneticPr fontId="1"/>
  </si>
  <si>
    <t>090-2396-0800</t>
    <phoneticPr fontId="1"/>
  </si>
  <si>
    <t>中井　敏</t>
    <rPh sb="0" eb="2">
      <t>ナカイ</t>
    </rPh>
    <rPh sb="3" eb="4">
      <t>トシ</t>
    </rPh>
    <phoneticPr fontId="1"/>
  </si>
  <si>
    <t>中井由美子様のご家族</t>
    <rPh sb="0" eb="2">
      <t>ナカイ</t>
    </rPh>
    <rPh sb="2" eb="5">
      <t>ユミコ</t>
    </rPh>
    <rPh sb="5" eb="6">
      <t>サマ</t>
    </rPh>
    <rPh sb="8" eb="10">
      <t>カゾク</t>
    </rPh>
    <phoneticPr fontId="1"/>
  </si>
  <si>
    <t>平　美沙子</t>
    <rPh sb="0" eb="1">
      <t>タイラ</t>
    </rPh>
    <rPh sb="2" eb="5">
      <t>ミサコ</t>
    </rPh>
    <phoneticPr fontId="1"/>
  </si>
  <si>
    <t>大阪府池田市城南３丁目１−15-H-1002</t>
    <rPh sb="0" eb="3">
      <t>オオサカフ</t>
    </rPh>
    <rPh sb="3" eb="5">
      <t>イケダ</t>
    </rPh>
    <rPh sb="5" eb="6">
      <t>シ</t>
    </rPh>
    <rPh sb="6" eb="8">
      <t>ジョウナン</t>
    </rPh>
    <rPh sb="9" eb="11">
      <t>チョウメ</t>
    </rPh>
    <phoneticPr fontId="1"/>
  </si>
  <si>
    <t>090-2107-2515</t>
    <phoneticPr fontId="1"/>
  </si>
  <si>
    <t>西川　和弘</t>
    <rPh sb="0" eb="2">
      <t>ニシカワ</t>
    </rPh>
    <rPh sb="3" eb="5">
      <t>カズヒロ</t>
    </rPh>
    <phoneticPr fontId="1"/>
  </si>
  <si>
    <t>大阪府堺市南区三原台3-39-24</t>
    <rPh sb="0" eb="5">
      <t>オオサカフサカイシ</t>
    </rPh>
    <rPh sb="5" eb="7">
      <t>ミナミク</t>
    </rPh>
    <rPh sb="7" eb="10">
      <t>ミハラダイ</t>
    </rPh>
    <phoneticPr fontId="1"/>
  </si>
  <si>
    <t>49.7km</t>
    <phoneticPr fontId="1"/>
  </si>
  <si>
    <t>ksknt.n@icloud.com</t>
    <phoneticPr fontId="1"/>
  </si>
  <si>
    <t>090-7363-2112</t>
    <phoneticPr fontId="1"/>
  </si>
  <si>
    <t>所　高広</t>
    <rPh sb="0" eb="1">
      <t>トコロ</t>
    </rPh>
    <rPh sb="2" eb="3">
      <t>タカ</t>
    </rPh>
    <rPh sb="3" eb="4">
      <t>ヒロ</t>
    </rPh>
    <phoneticPr fontId="1"/>
  </si>
  <si>
    <t>兵庫県宝塚市平井1-7-22-201</t>
    <rPh sb="0" eb="3">
      <t>ヒョウゴケン</t>
    </rPh>
    <rPh sb="3" eb="6">
      <t>タカラヅカシ</t>
    </rPh>
    <rPh sb="6" eb="8">
      <t>ヒライ</t>
    </rPh>
    <phoneticPr fontId="1"/>
  </si>
  <si>
    <t>tkrtkhr0730@gmail.com</t>
    <phoneticPr fontId="1"/>
  </si>
  <si>
    <t>080-3119-6952</t>
    <phoneticPr fontId="1"/>
  </si>
  <si>
    <t>和島　浩二</t>
    <rPh sb="0" eb="2">
      <t>ワジマ</t>
    </rPh>
    <rPh sb="3" eb="5">
      <t>コウジ</t>
    </rPh>
    <phoneticPr fontId="1"/>
  </si>
  <si>
    <t>兵庫県川西市火打1-2-1-719</t>
    <rPh sb="0" eb="3">
      <t>ヒョウゴケン</t>
    </rPh>
    <rPh sb="3" eb="6">
      <t>カワニシシ</t>
    </rPh>
    <rPh sb="6" eb="8">
      <t>ヒウチ</t>
    </rPh>
    <phoneticPr fontId="1"/>
  </si>
  <si>
    <t>3.9km</t>
    <phoneticPr fontId="1"/>
  </si>
  <si>
    <t>koji@ichiyoshi.jp</t>
    <phoneticPr fontId="1"/>
  </si>
  <si>
    <t>090-5886-2637</t>
    <phoneticPr fontId="1"/>
  </si>
  <si>
    <t>和島　絢子</t>
    <rPh sb="0" eb="2">
      <t>ワジマ</t>
    </rPh>
    <rPh sb="3" eb="5">
      <t>アヤコ</t>
    </rPh>
    <phoneticPr fontId="1"/>
  </si>
  <si>
    <t>080-3582-9997</t>
    <phoneticPr fontId="1"/>
  </si>
  <si>
    <t>河村　拓也</t>
    <rPh sb="0" eb="2">
      <t>カワムラ</t>
    </rPh>
    <rPh sb="3" eb="5">
      <t>タクヤ</t>
    </rPh>
    <phoneticPr fontId="1"/>
  </si>
  <si>
    <t>592-0003</t>
    <phoneticPr fontId="1"/>
  </si>
  <si>
    <t>大阪府高石市東羽衣2-20-20</t>
    <rPh sb="0" eb="3">
      <t>オオサカフ</t>
    </rPh>
    <rPh sb="3" eb="6">
      <t>タカイシシ</t>
    </rPh>
    <rPh sb="6" eb="7">
      <t>ヒガシ</t>
    </rPh>
    <rPh sb="7" eb="8">
      <t>ハネ</t>
    </rPh>
    <rPh sb="8" eb="9">
      <t>コロモ</t>
    </rPh>
    <phoneticPr fontId="1"/>
  </si>
  <si>
    <t>43.9km</t>
    <phoneticPr fontId="1"/>
  </si>
  <si>
    <t>090-7751-9070</t>
    <phoneticPr fontId="1"/>
  </si>
  <si>
    <t>浅賀　孝</t>
    <rPh sb="0" eb="2">
      <t>アサガ</t>
    </rPh>
    <rPh sb="3" eb="4">
      <t>タカ</t>
    </rPh>
    <phoneticPr fontId="1"/>
  </si>
  <si>
    <t>兵庫県尼崎市塚口町1-3-5-1104</t>
    <rPh sb="0" eb="3">
      <t>ヒョウゴケン</t>
    </rPh>
    <rPh sb="3" eb="6">
      <t>アマガサキシ</t>
    </rPh>
    <rPh sb="6" eb="9">
      <t>ツカグチチョウ</t>
    </rPh>
    <phoneticPr fontId="1"/>
  </si>
  <si>
    <t>090-1153-3638</t>
    <phoneticPr fontId="1"/>
  </si>
  <si>
    <t>豊岡　充和</t>
    <rPh sb="0" eb="2">
      <t>トヨオカ</t>
    </rPh>
    <rPh sb="3" eb="4">
      <t>ミツル</t>
    </rPh>
    <rPh sb="4" eb="5">
      <t>ワ</t>
    </rPh>
    <phoneticPr fontId="1"/>
  </si>
  <si>
    <t>豊岡　香織</t>
    <rPh sb="0" eb="2">
      <t>トヨオカ</t>
    </rPh>
    <rPh sb="3" eb="5">
      <t>カオリ</t>
    </rPh>
    <phoneticPr fontId="1"/>
  </si>
  <si>
    <t>561-0808</t>
    <phoneticPr fontId="1"/>
  </si>
  <si>
    <t>大阪府豊中市原田元町1-22-18</t>
    <rPh sb="0" eb="3">
      <t>オオサカフ</t>
    </rPh>
    <rPh sb="3" eb="6">
      <t>トヨナカシ</t>
    </rPh>
    <rPh sb="6" eb="8">
      <t>ハラダ</t>
    </rPh>
    <rPh sb="8" eb="10">
      <t>モトマチ</t>
    </rPh>
    <phoneticPr fontId="1"/>
  </si>
  <si>
    <t>toyo.m.04@gmail.com</t>
    <phoneticPr fontId="1"/>
  </si>
  <si>
    <t>toyo.k.44@gmail.com</t>
    <phoneticPr fontId="1"/>
  </si>
  <si>
    <t>090-4908-7855</t>
    <phoneticPr fontId="1"/>
  </si>
  <si>
    <t>090-3828-1600</t>
    <phoneticPr fontId="1"/>
  </si>
  <si>
    <t>ご夫婦</t>
    <rPh sb="1" eb="3">
      <t>フウフ</t>
    </rPh>
    <phoneticPr fontId="1"/>
  </si>
  <si>
    <t>藤木　勇亮</t>
    <rPh sb="0" eb="2">
      <t>フジキ</t>
    </rPh>
    <rPh sb="3" eb="5">
      <t>ユウスケ</t>
    </rPh>
    <phoneticPr fontId="1"/>
  </si>
  <si>
    <t>兵庫県川西市寺畑2-7-14-4</t>
    <rPh sb="0" eb="3">
      <t>ヒョウゴケン</t>
    </rPh>
    <rPh sb="3" eb="6">
      <t>カワニシシ</t>
    </rPh>
    <rPh sb="6" eb="8">
      <t>テラハタ</t>
    </rPh>
    <phoneticPr fontId="1"/>
  </si>
  <si>
    <t>3.0km</t>
    <phoneticPr fontId="1"/>
  </si>
  <si>
    <t>fujiki.dyn@gmail.com</t>
    <phoneticPr fontId="1"/>
  </si>
  <si>
    <t>090-6730-1224</t>
    <phoneticPr fontId="1"/>
  </si>
  <si>
    <t>藤木　翔太</t>
    <rPh sb="0" eb="2">
      <t>フジキ</t>
    </rPh>
    <rPh sb="3" eb="5">
      <t>ショウタ</t>
    </rPh>
    <phoneticPr fontId="1"/>
  </si>
  <si>
    <t>553-0002</t>
    <phoneticPr fontId="1"/>
  </si>
  <si>
    <t>大阪市福島区2-5-15-601</t>
    <rPh sb="0" eb="3">
      <t>オオサカシ</t>
    </rPh>
    <rPh sb="3" eb="6">
      <t>フクシマク</t>
    </rPh>
    <phoneticPr fontId="1"/>
  </si>
  <si>
    <t>18.9km</t>
    <phoneticPr fontId="1"/>
  </si>
  <si>
    <t>090-5130-0107</t>
    <phoneticPr fontId="1"/>
  </si>
  <si>
    <t>田中　稜也</t>
    <rPh sb="0" eb="2">
      <t>タナカ</t>
    </rPh>
    <rPh sb="3" eb="4">
      <t>リョウ</t>
    </rPh>
    <rPh sb="4" eb="5">
      <t>ヤ</t>
    </rPh>
    <phoneticPr fontId="1"/>
  </si>
  <si>
    <t>733-0044</t>
    <phoneticPr fontId="1"/>
  </si>
  <si>
    <t>広島県広島市中区宝町4-24サムティレジデンス平和大通り701</t>
    <rPh sb="0" eb="2">
      <t>ヒロシマ</t>
    </rPh>
    <rPh sb="2" eb="3">
      <t>ケン</t>
    </rPh>
    <rPh sb="3" eb="6">
      <t>ヒロシマシ</t>
    </rPh>
    <rPh sb="6" eb="8">
      <t>ナカク</t>
    </rPh>
    <rPh sb="8" eb="10">
      <t>タカラマチ</t>
    </rPh>
    <rPh sb="23" eb="26">
      <t>ヘイワダイ</t>
    </rPh>
    <rPh sb="26" eb="27">
      <t>トオ</t>
    </rPh>
    <phoneticPr fontId="1"/>
  </si>
  <si>
    <t>312㎞</t>
    <phoneticPr fontId="1"/>
  </si>
  <si>
    <t>080-5718-6417</t>
    <phoneticPr fontId="1"/>
  </si>
  <si>
    <t>ご兄弟</t>
    <rPh sb="1" eb="3">
      <t>キョウダイ</t>
    </rPh>
    <phoneticPr fontId="1"/>
  </si>
  <si>
    <t>砂村　智之</t>
    <rPh sb="0" eb="2">
      <t>スナムラ</t>
    </rPh>
    <rPh sb="3" eb="5">
      <t>トモユキ</t>
    </rPh>
    <phoneticPr fontId="1"/>
  </si>
  <si>
    <t>砂村　奈緒</t>
    <rPh sb="0" eb="2">
      <t>スナムラ</t>
    </rPh>
    <rPh sb="3" eb="5">
      <t>ナオ</t>
    </rPh>
    <phoneticPr fontId="1"/>
  </si>
  <si>
    <t>兵庫県宝塚市山本南1-31-3-4</t>
    <rPh sb="0" eb="3">
      <t>ヒョウゴケン</t>
    </rPh>
    <rPh sb="3" eb="6">
      <t>タカラヅカシ</t>
    </rPh>
    <rPh sb="6" eb="9">
      <t>ヤマモトミナミ</t>
    </rPh>
    <phoneticPr fontId="1"/>
  </si>
  <si>
    <t>sumonmakizao@yahoo.co.jp</t>
    <phoneticPr fontId="1"/>
  </si>
  <si>
    <t>080-1426-3396</t>
    <phoneticPr fontId="1"/>
  </si>
  <si>
    <t>090-6208-3125</t>
    <phoneticPr fontId="1"/>
  </si>
  <si>
    <t>文元　達世</t>
    <rPh sb="0" eb="2">
      <t>フミモト</t>
    </rPh>
    <rPh sb="3" eb="4">
      <t>タツ</t>
    </rPh>
    <rPh sb="4" eb="5">
      <t>セイ</t>
    </rPh>
    <phoneticPr fontId="1"/>
  </si>
  <si>
    <t>666-0129</t>
    <phoneticPr fontId="1"/>
  </si>
  <si>
    <t>兵庫県川西市緑台6-3-59</t>
    <phoneticPr fontId="1"/>
  </si>
  <si>
    <t>fumimoto.0806@gmail.com</t>
    <phoneticPr fontId="1"/>
  </si>
  <si>
    <t>090-9055-7535</t>
    <phoneticPr fontId="1"/>
  </si>
  <si>
    <t>岸田　有弘</t>
    <rPh sb="0" eb="2">
      <t>キシダ</t>
    </rPh>
    <rPh sb="3" eb="5">
      <t>アリヒロ</t>
    </rPh>
    <phoneticPr fontId="1"/>
  </si>
  <si>
    <t>兵庫県宝塚市中筋山山手6-1-1-213</t>
    <rPh sb="0" eb="3">
      <t>ヒョウゴケン</t>
    </rPh>
    <rPh sb="3" eb="6">
      <t>タカラヅカシ</t>
    </rPh>
    <rPh sb="6" eb="8">
      <t>ナカスジ</t>
    </rPh>
    <rPh sb="8" eb="9">
      <t>ヤマ</t>
    </rPh>
    <rPh sb="9" eb="11">
      <t>ヤマテ</t>
    </rPh>
    <phoneticPr fontId="1"/>
  </si>
  <si>
    <t>2.2km</t>
    <phoneticPr fontId="1"/>
  </si>
  <si>
    <t>puchi-com@nifty.com</t>
    <phoneticPr fontId="1"/>
  </si>
  <si>
    <t>090-5463-2950</t>
    <phoneticPr fontId="1"/>
  </si>
  <si>
    <t>山田　豪</t>
    <rPh sb="0" eb="2">
      <t>ヤマダ</t>
    </rPh>
    <rPh sb="3" eb="4">
      <t>ゴウ</t>
    </rPh>
    <phoneticPr fontId="1"/>
  </si>
  <si>
    <t>兵庫県宝塚市泉町32-1</t>
    <phoneticPr fontId="1"/>
  </si>
  <si>
    <t>yamago8050@gmail.com</t>
    <phoneticPr fontId="1"/>
  </si>
  <si>
    <t>090-5136-6756</t>
    <phoneticPr fontId="1"/>
  </si>
  <si>
    <t>播磨様からの紹介</t>
    <rPh sb="0" eb="2">
      <t>ハリマ</t>
    </rPh>
    <rPh sb="2" eb="3">
      <t>サマ</t>
    </rPh>
    <rPh sb="6" eb="8">
      <t>ショウカイ</t>
    </rPh>
    <phoneticPr fontId="1"/>
  </si>
  <si>
    <t>高尾　弘子</t>
    <rPh sb="0" eb="2">
      <t>タカオ</t>
    </rPh>
    <rPh sb="3" eb="5">
      <t>ヒロコ</t>
    </rPh>
    <phoneticPr fontId="1"/>
  </si>
  <si>
    <t>665-0024</t>
    <phoneticPr fontId="1"/>
  </si>
  <si>
    <t>兵庫県宝塚市逆瀬台1-11　1-104号</t>
    <rPh sb="0" eb="3">
      <t>ヒョウゴケン</t>
    </rPh>
    <rPh sb="3" eb="6">
      <t>タカラヅカシ</t>
    </rPh>
    <rPh sb="6" eb="9">
      <t>サカセダイ</t>
    </rPh>
    <rPh sb="19" eb="20">
      <t>ゴウ</t>
    </rPh>
    <phoneticPr fontId="1"/>
  </si>
  <si>
    <t>victory.1.2525@gmail.com</t>
    <phoneticPr fontId="1"/>
  </si>
  <si>
    <t>090-4626-6472</t>
    <phoneticPr fontId="1"/>
  </si>
  <si>
    <t>小林　祥晃</t>
    <rPh sb="0" eb="2">
      <t>コバヤシ</t>
    </rPh>
    <rPh sb="3" eb="4">
      <t>ヨシ</t>
    </rPh>
    <rPh sb="4" eb="5">
      <t>アキ</t>
    </rPh>
    <phoneticPr fontId="1"/>
  </si>
  <si>
    <t>661-0977</t>
    <phoneticPr fontId="1"/>
  </si>
  <si>
    <t>兵庫県尼崎市久々知1-7-23-102</t>
    <rPh sb="0" eb="3">
      <t>ヒョウゴケン</t>
    </rPh>
    <rPh sb="3" eb="6">
      <t>アマガサキシ</t>
    </rPh>
    <rPh sb="6" eb="8">
      <t>ヒサビサ</t>
    </rPh>
    <rPh sb="8" eb="9">
      <t>シ</t>
    </rPh>
    <phoneticPr fontId="1"/>
  </si>
  <si>
    <t>090-4490-0058</t>
    <phoneticPr fontId="1"/>
  </si>
  <si>
    <t>080-3924-2394</t>
    <phoneticPr fontId="1"/>
  </si>
  <si>
    <t>電話</t>
    <phoneticPr fontId="1"/>
  </si>
  <si>
    <t>2回目(2020/12/ 19フィッティング来店)</t>
    <rPh sb="1" eb="3">
      <t>カイメ</t>
    </rPh>
    <rPh sb="22" eb="24">
      <t>ライテン</t>
    </rPh>
    <phoneticPr fontId="1"/>
  </si>
  <si>
    <t>釜本　郁弥</t>
    <rPh sb="0" eb="2">
      <t>カマモト</t>
    </rPh>
    <rPh sb="3" eb="5">
      <t>フミヤ</t>
    </rPh>
    <phoneticPr fontId="1"/>
  </si>
  <si>
    <t>兵庫県川西市栄町2-1-2</t>
    <rPh sb="0" eb="3">
      <t>ヒョウゴケン</t>
    </rPh>
    <rPh sb="3" eb="6">
      <t>カワニシシ</t>
    </rPh>
    <rPh sb="6" eb="8">
      <t>サカエマチ</t>
    </rPh>
    <phoneticPr fontId="1"/>
  </si>
  <si>
    <t>ma.1129@gmail.com</t>
    <phoneticPr fontId="1"/>
  </si>
  <si>
    <t>080-6108-9211</t>
    <phoneticPr fontId="1"/>
  </si>
  <si>
    <t>山崎　慶太</t>
    <rPh sb="0" eb="2">
      <t>ヤマサキ</t>
    </rPh>
    <rPh sb="3" eb="5">
      <t>ケイタ</t>
    </rPh>
    <phoneticPr fontId="1"/>
  </si>
  <si>
    <t>兵庫県芦屋市奥池南町22-11</t>
    <rPh sb="0" eb="3">
      <t>ヒョウゴケン</t>
    </rPh>
    <rPh sb="3" eb="6">
      <t>アシヤシ</t>
    </rPh>
    <rPh sb="6" eb="8">
      <t>オクイケ</t>
    </rPh>
    <rPh sb="8" eb="10">
      <t>ミナミチョウ</t>
    </rPh>
    <phoneticPr fontId="1"/>
  </si>
  <si>
    <t>yamasaki@skyblue.ocn.ne.jp</t>
    <phoneticPr fontId="1"/>
  </si>
  <si>
    <t>090-8378-3961</t>
    <phoneticPr fontId="1"/>
  </si>
  <si>
    <t>植田　裕介</t>
    <rPh sb="0" eb="2">
      <t>ウエダ</t>
    </rPh>
    <rPh sb="3" eb="5">
      <t>ユウスケ</t>
    </rPh>
    <phoneticPr fontId="1"/>
  </si>
  <si>
    <t>662-0931</t>
    <phoneticPr fontId="1"/>
  </si>
  <si>
    <t>兵庫県西宮市前浜町11-5-406</t>
    <rPh sb="0" eb="3">
      <t>ヒョウゴケン</t>
    </rPh>
    <rPh sb="3" eb="6">
      <t>ニシノミヤシ</t>
    </rPh>
    <rPh sb="6" eb="8">
      <t>マエハマ</t>
    </rPh>
    <rPh sb="8" eb="9">
      <t>マチ</t>
    </rPh>
    <phoneticPr fontId="1"/>
  </si>
  <si>
    <t>jps.y36u@gmail.com</t>
    <phoneticPr fontId="1"/>
  </si>
  <si>
    <t>080-7847-5601</t>
    <phoneticPr fontId="1"/>
  </si>
  <si>
    <t>片山　大介</t>
    <rPh sb="0" eb="2">
      <t>カタヤマ</t>
    </rPh>
    <rPh sb="3" eb="5">
      <t>ダイスケ</t>
    </rPh>
    <phoneticPr fontId="1"/>
  </si>
  <si>
    <t>651-1304</t>
    <phoneticPr fontId="1"/>
  </si>
  <si>
    <t>兵庫県神戸市北区京地2-1-5</t>
    <rPh sb="0" eb="3">
      <t>ヒョウゴケン</t>
    </rPh>
    <rPh sb="3" eb="6">
      <t>コウベシ</t>
    </rPh>
    <rPh sb="6" eb="8">
      <t>キタク</t>
    </rPh>
    <rPh sb="8" eb="9">
      <t>キョウ</t>
    </rPh>
    <rPh sb="9" eb="10">
      <t>チ</t>
    </rPh>
    <phoneticPr fontId="1"/>
  </si>
  <si>
    <t>katayama52@yahoo.co.jp</t>
    <phoneticPr fontId="1"/>
  </si>
  <si>
    <t>080-3395-2900</t>
    <phoneticPr fontId="1"/>
  </si>
  <si>
    <t>YouTubeで知った</t>
    <rPh sb="8" eb="9">
      <t>シ</t>
    </rPh>
    <phoneticPr fontId="1"/>
  </si>
  <si>
    <t>599-0201</t>
  </si>
  <si>
    <t>73.1㎞</t>
  </si>
  <si>
    <t>090-7488-9109</t>
  </si>
  <si>
    <t>再来店（前回2021/3/31）</t>
    <phoneticPr fontId="1"/>
  </si>
  <si>
    <t>芳田　直樹</t>
    <rPh sb="0" eb="2">
      <t>ヨシダ</t>
    </rPh>
    <rPh sb="3" eb="5">
      <t>ナオキ</t>
    </rPh>
    <phoneticPr fontId="1"/>
  </si>
  <si>
    <t>兵庫県宝塚市山手台東5-24-16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</si>
  <si>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s60.5.15@icloud.com</t>
    <phoneticPr fontId="1"/>
  </si>
  <si>
    <t>080-1402-0879</t>
    <phoneticPr fontId="1"/>
  </si>
  <si>
    <t>665-0835</t>
  </si>
  <si>
    <t>090-9217-6605</t>
  </si>
  <si>
    <t>廣濱　匠</t>
    <rPh sb="3" eb="4">
      <t>タクミ</t>
    </rPh>
    <phoneticPr fontId="1"/>
  </si>
  <si>
    <t>来店　3回目　土山慶子様の娘</t>
    <rPh sb="0" eb="2">
      <t>ライテン</t>
    </rPh>
    <rPh sb="4" eb="6">
      <t>カイメ</t>
    </rPh>
    <rPh sb="7" eb="9">
      <t>ツチヤマ</t>
    </rPh>
    <rPh sb="9" eb="11">
      <t>ケイコ</t>
    </rPh>
    <rPh sb="11" eb="12">
      <t>サマ</t>
    </rPh>
    <rPh sb="13" eb="14">
      <t>ムスメ</t>
    </rPh>
    <phoneticPr fontId="1"/>
  </si>
  <si>
    <t>廣濱功様の息子</t>
    <rPh sb="2" eb="3">
      <t>ツトム</t>
    </rPh>
    <rPh sb="3" eb="4">
      <t>サマ</t>
    </rPh>
    <rPh sb="5" eb="7">
      <t>ムスコ</t>
    </rPh>
    <phoneticPr fontId="1"/>
  </si>
  <si>
    <t>平具蘭土　来安</t>
    <rPh sb="0" eb="2">
      <t>ヘイグ</t>
    </rPh>
    <rPh sb="2" eb="3">
      <t>ラン</t>
    </rPh>
    <rPh sb="3" eb="4">
      <t>ツチ</t>
    </rPh>
    <rPh sb="5" eb="6">
      <t>ライ</t>
    </rPh>
    <rPh sb="6" eb="7">
      <t>アン</t>
    </rPh>
    <phoneticPr fontId="1"/>
  </si>
  <si>
    <t>山形県東根市一本木2-7-2</t>
    <rPh sb="0" eb="3">
      <t>ヤマガタケン</t>
    </rPh>
    <rPh sb="3" eb="4">
      <t>ヒガシ</t>
    </rPh>
    <rPh sb="4" eb="5">
      <t>ネ</t>
    </rPh>
    <rPh sb="5" eb="6">
      <t>シ</t>
    </rPh>
    <rPh sb="6" eb="8">
      <t>イッポン</t>
    </rPh>
    <rPh sb="8" eb="9">
      <t>キ</t>
    </rPh>
    <phoneticPr fontId="1"/>
  </si>
  <si>
    <t>787km</t>
    <phoneticPr fontId="1"/>
  </si>
  <si>
    <t>legoboy@makiandryan.com</t>
    <phoneticPr fontId="1"/>
  </si>
  <si>
    <t>090-6624-7663</t>
    <phoneticPr fontId="1"/>
  </si>
  <si>
    <t>999-3717</t>
    <phoneticPr fontId="1"/>
  </si>
  <si>
    <t>080-4241-5025</t>
    <phoneticPr fontId="1"/>
  </si>
  <si>
    <t>鶴田　崇介</t>
    <rPh sb="0" eb="2">
      <t>ツルタ</t>
    </rPh>
    <rPh sb="3" eb="4">
      <t>タカシ</t>
    </rPh>
    <rPh sb="4" eb="5">
      <t>カイ</t>
    </rPh>
    <phoneticPr fontId="1"/>
  </si>
  <si>
    <t>665-0515</t>
    <phoneticPr fontId="1"/>
  </si>
  <si>
    <t>兵庫県宝塚市泉町32-1山本丸橋2-20-1-20-5</t>
    <rPh sb="12" eb="14">
      <t>ヤマモト</t>
    </rPh>
    <rPh sb="14" eb="16">
      <t>マルハシ</t>
    </rPh>
    <phoneticPr fontId="1"/>
  </si>
  <si>
    <t>Shusuke391@gmail.com</t>
    <phoneticPr fontId="1"/>
  </si>
  <si>
    <t>090-8572-8899</t>
    <phoneticPr fontId="1"/>
  </si>
  <si>
    <t>福田　潤</t>
    <rPh sb="0" eb="2">
      <t>フクダ</t>
    </rPh>
    <rPh sb="3" eb="4">
      <t>ジュン</t>
    </rPh>
    <phoneticPr fontId="1"/>
  </si>
  <si>
    <t>兵庫県伊丹市鴻池6-15-20-305</t>
    <rPh sb="0" eb="3">
      <t>ヒョウゴケン</t>
    </rPh>
    <rPh sb="3" eb="6">
      <t>イタミシ</t>
    </rPh>
    <rPh sb="6" eb="8">
      <t>コウノイケ</t>
    </rPh>
    <phoneticPr fontId="1"/>
  </si>
  <si>
    <t>080-6133-8336</t>
    <phoneticPr fontId="1"/>
  </si>
  <si>
    <t>髙橋　慶</t>
    <rPh sb="0" eb="2">
      <t>タカハシ</t>
    </rPh>
    <rPh sb="3" eb="4">
      <t>ケイ</t>
    </rPh>
    <phoneticPr fontId="1"/>
  </si>
  <si>
    <t>東　慎一郎</t>
    <rPh sb="0" eb="1">
      <t>アズマ</t>
    </rPh>
    <rPh sb="2" eb="5">
      <t>シンイチロウ</t>
    </rPh>
    <phoneticPr fontId="1"/>
  </si>
  <si>
    <t>兵庫県神戸市中央区二宮町2丁目12-12-102</t>
    <rPh sb="0" eb="3">
      <t>ヒョウゴケン</t>
    </rPh>
    <rPh sb="3" eb="6">
      <t>コウベシ</t>
    </rPh>
    <rPh sb="6" eb="9">
      <t>チュウオウク</t>
    </rPh>
    <rPh sb="9" eb="12">
      <t>ニノミヤチョウ</t>
    </rPh>
    <rPh sb="13" eb="15">
      <t>チョウメ</t>
    </rPh>
    <phoneticPr fontId="1"/>
  </si>
  <si>
    <t>azumax0407@gmail.com</t>
    <phoneticPr fontId="1"/>
  </si>
  <si>
    <t>090-3871-1011</t>
    <phoneticPr fontId="1"/>
  </si>
  <si>
    <t>明石　寿文</t>
    <rPh sb="0" eb="2">
      <t>アカシ</t>
    </rPh>
    <rPh sb="3" eb="5">
      <t>トシフミ</t>
    </rPh>
    <phoneticPr fontId="1"/>
  </si>
  <si>
    <t>兵庫県川西市南花屋敷4丁目6-15-110</t>
    <rPh sb="0" eb="3">
      <t>ヒョウゴケン</t>
    </rPh>
    <rPh sb="3" eb="6">
      <t>カワニシシ</t>
    </rPh>
    <rPh sb="6" eb="7">
      <t>ミナミ</t>
    </rPh>
    <rPh sb="7" eb="10">
      <t>ハナヤシキ</t>
    </rPh>
    <rPh sb="11" eb="13">
      <t>チョウメ</t>
    </rPh>
    <phoneticPr fontId="1"/>
  </si>
  <si>
    <t>aks076876@gmail.com</t>
    <phoneticPr fontId="1"/>
  </si>
  <si>
    <t>090-1674-1576</t>
    <phoneticPr fontId="1"/>
  </si>
  <si>
    <t>会員</t>
    <rPh sb="0" eb="2">
      <t>カイイン</t>
    </rPh>
    <phoneticPr fontId="1"/>
  </si>
  <si>
    <t>田中　真澄</t>
    <rPh sb="0" eb="2">
      <t>タナカ</t>
    </rPh>
    <rPh sb="3" eb="5">
      <t>マスミ</t>
    </rPh>
    <phoneticPr fontId="1"/>
  </si>
  <si>
    <t>594-0032</t>
    <phoneticPr fontId="1"/>
  </si>
  <si>
    <t>大阪府和泉市池田下町209-3-106</t>
    <rPh sb="0" eb="3">
      <t>オオサカフ</t>
    </rPh>
    <rPh sb="3" eb="6">
      <t>イズミシ</t>
    </rPh>
    <rPh sb="6" eb="10">
      <t>イケダシタマチ</t>
    </rPh>
    <phoneticPr fontId="1"/>
  </si>
  <si>
    <t>mtmonkees.11@gmail.com</t>
    <phoneticPr fontId="1"/>
  </si>
  <si>
    <t>090-9983-5329</t>
    <phoneticPr fontId="1"/>
  </si>
  <si>
    <t>戸田　茂之</t>
    <rPh sb="0" eb="2">
      <t>トダ</t>
    </rPh>
    <rPh sb="3" eb="5">
      <t>シゲユキ</t>
    </rPh>
    <phoneticPr fontId="1"/>
  </si>
  <si>
    <t>597-0044</t>
    <phoneticPr fontId="1"/>
  </si>
  <si>
    <t>大阪府貝塚市森541-9</t>
    <rPh sb="0" eb="2">
      <t>オオサカ</t>
    </rPh>
    <rPh sb="2" eb="3">
      <t>フ</t>
    </rPh>
    <rPh sb="3" eb="6">
      <t>カイヅカシ</t>
    </rPh>
    <rPh sb="6" eb="7">
      <t>モリ</t>
    </rPh>
    <phoneticPr fontId="1"/>
  </si>
  <si>
    <t>64.7㎞</t>
    <phoneticPr fontId="1"/>
  </si>
  <si>
    <t>090-2288-7432</t>
    <phoneticPr fontId="1"/>
  </si>
  <si>
    <t>奥田　健介</t>
    <rPh sb="0" eb="2">
      <t>オクダ</t>
    </rPh>
    <rPh sb="3" eb="5">
      <t>ケンスケ</t>
    </rPh>
    <phoneticPr fontId="1"/>
  </si>
  <si>
    <t>宝塚市栄町3-10-20　ザ・パークハウス宝塚512号室</t>
    <rPh sb="0" eb="3">
      <t>タカラヅカシ</t>
    </rPh>
    <rPh sb="3" eb="5">
      <t>サカエマチ</t>
    </rPh>
    <rPh sb="21" eb="23">
      <t>タカラヅカ</t>
    </rPh>
    <rPh sb="26" eb="28">
      <t>ゴウシツ</t>
    </rPh>
    <phoneticPr fontId="1"/>
  </si>
  <si>
    <t>scottle1016@yahoo.co.jp</t>
    <phoneticPr fontId="1"/>
  </si>
  <si>
    <t>080-1498-3498</t>
    <phoneticPr fontId="1"/>
  </si>
  <si>
    <t>堀　裕太</t>
    <rPh sb="0" eb="1">
      <t>ホリ</t>
    </rPh>
    <rPh sb="2" eb="4">
      <t>ユウタ</t>
    </rPh>
    <phoneticPr fontId="1"/>
  </si>
  <si>
    <t>兵庫県明石市魚住町清水530-4-305</t>
    <rPh sb="0" eb="3">
      <t>ヒョウゴケン</t>
    </rPh>
    <rPh sb="3" eb="6">
      <t>アカシシ</t>
    </rPh>
    <rPh sb="6" eb="9">
      <t>ウオズミチョウ</t>
    </rPh>
    <rPh sb="9" eb="11">
      <t>シミズ</t>
    </rPh>
    <phoneticPr fontId="1"/>
  </si>
  <si>
    <t>59.2㎞</t>
    <phoneticPr fontId="1"/>
  </si>
  <si>
    <t>674-0074</t>
    <phoneticPr fontId="1"/>
  </si>
  <si>
    <t>090-4581-5146</t>
    <phoneticPr fontId="1"/>
  </si>
  <si>
    <t>河端　正典</t>
    <rPh sb="0" eb="2">
      <t>カワバタ</t>
    </rPh>
    <rPh sb="3" eb="5">
      <t>マサノリ</t>
    </rPh>
    <phoneticPr fontId="1"/>
  </si>
  <si>
    <t>676-0082</t>
    <phoneticPr fontId="1"/>
  </si>
  <si>
    <t>兵庫県高砂市曽根町1130-2</t>
    <rPh sb="0" eb="3">
      <t>ヒョウゴケン</t>
    </rPh>
    <rPh sb="3" eb="6">
      <t>タカサゴシ</t>
    </rPh>
    <rPh sb="6" eb="9">
      <t>ソネチョウ</t>
    </rPh>
    <phoneticPr fontId="1"/>
  </si>
  <si>
    <t>080-3819-6232</t>
    <phoneticPr fontId="1"/>
  </si>
  <si>
    <t>80.1㎞</t>
    <phoneticPr fontId="1"/>
  </si>
  <si>
    <t>西村　純子</t>
    <rPh sb="0" eb="2">
      <t>ニシムラ</t>
    </rPh>
    <rPh sb="3" eb="5">
      <t>ジュンコ</t>
    </rPh>
    <phoneticPr fontId="1"/>
  </si>
  <si>
    <t>兵庫県芦屋市山手町2-11</t>
    <rPh sb="0" eb="3">
      <t>ヒョウゴケン</t>
    </rPh>
    <rPh sb="3" eb="6">
      <t>アシヤシ</t>
    </rPh>
    <rPh sb="6" eb="9">
      <t>ヤマテチョウ</t>
    </rPh>
    <phoneticPr fontId="1"/>
  </si>
  <si>
    <t>Junko.246.ra@docomo.ne.jp</t>
    <phoneticPr fontId="1"/>
  </si>
  <si>
    <t>090-4031-6931</t>
    <phoneticPr fontId="1"/>
  </si>
  <si>
    <t>和田　守</t>
    <rPh sb="0" eb="2">
      <t>ワダ</t>
    </rPh>
    <rPh sb="3" eb="4">
      <t>マモル</t>
    </rPh>
    <phoneticPr fontId="1"/>
  </si>
  <si>
    <t>636-0012</t>
    <phoneticPr fontId="1"/>
  </si>
  <si>
    <t>奈良県北葛城郡王寺町本町2-24-18-202</t>
    <rPh sb="0" eb="3">
      <t>ナラケン</t>
    </rPh>
    <rPh sb="3" eb="6">
      <t>キタカツラギ</t>
    </rPh>
    <rPh sb="6" eb="7">
      <t>グン</t>
    </rPh>
    <rPh sb="7" eb="9">
      <t>オウジ</t>
    </rPh>
    <rPh sb="9" eb="10">
      <t>チョウ</t>
    </rPh>
    <rPh sb="10" eb="12">
      <t>ホンマチ</t>
    </rPh>
    <phoneticPr fontId="1"/>
  </si>
  <si>
    <t>mamoruwada1112@au.com</t>
    <phoneticPr fontId="1"/>
  </si>
  <si>
    <t>090-9711-5005</t>
    <phoneticPr fontId="1"/>
  </si>
  <si>
    <t>志野さん紹介(半額)</t>
    <rPh sb="0" eb="2">
      <t>シノ</t>
    </rPh>
    <rPh sb="4" eb="6">
      <t>ショウカイ</t>
    </rPh>
    <rPh sb="7" eb="9">
      <t>ハンガク</t>
    </rPh>
    <phoneticPr fontId="1"/>
  </si>
  <si>
    <t>志野さん紹介(5,000円引き)</t>
    <rPh sb="0" eb="2">
      <t>シノ</t>
    </rPh>
    <rPh sb="4" eb="6">
      <t>ショウカイ</t>
    </rPh>
    <rPh sb="12" eb="13">
      <t>エン</t>
    </rPh>
    <rPh sb="13" eb="14">
      <t>ヒ</t>
    </rPh>
    <phoneticPr fontId="1"/>
  </si>
  <si>
    <t>神崎　二慎</t>
    <rPh sb="0" eb="2">
      <t>カンザキ</t>
    </rPh>
    <rPh sb="3" eb="4">
      <t>ニ</t>
    </rPh>
    <rPh sb="4" eb="5">
      <t>シン</t>
    </rPh>
    <phoneticPr fontId="1"/>
  </si>
  <si>
    <t>566-0046</t>
    <phoneticPr fontId="1"/>
  </si>
  <si>
    <t>大阪府摂津市別府2丁目29-18-104</t>
    <rPh sb="0" eb="3">
      <t>オオサカフ</t>
    </rPh>
    <rPh sb="3" eb="6">
      <t>セッツシ</t>
    </rPh>
    <rPh sb="6" eb="8">
      <t>ベップ</t>
    </rPh>
    <rPh sb="9" eb="11">
      <t>チョウメ</t>
    </rPh>
    <phoneticPr fontId="1"/>
  </si>
  <si>
    <t>090-5240-3801</t>
    <phoneticPr fontId="1"/>
  </si>
  <si>
    <t>YouTube</t>
    <phoneticPr fontId="1"/>
  </si>
  <si>
    <t>夫馬プロご紹介(2回目 2021/11/20)</t>
    <rPh sb="0" eb="2">
      <t>フマ</t>
    </rPh>
    <rPh sb="5" eb="7">
      <t>ショウカイ</t>
    </rPh>
    <rPh sb="9" eb="11">
      <t>カイメ</t>
    </rPh>
    <phoneticPr fontId="1"/>
  </si>
  <si>
    <t>3回目</t>
    <rPh sb="1" eb="3">
      <t>カイメ</t>
    </rPh>
    <phoneticPr fontId="1"/>
  </si>
  <si>
    <t>兵庫県宝塚市長尾町15-1-223</t>
    <phoneticPr fontId="1"/>
  </si>
  <si>
    <t>nao_11-11@Japantanner.co.jp</t>
    <phoneticPr fontId="1"/>
  </si>
  <si>
    <t>090-2553-8111</t>
    <phoneticPr fontId="1"/>
  </si>
  <si>
    <t>竹内　直之</t>
    <rPh sb="0" eb="2">
      <t>タケウチ</t>
    </rPh>
    <rPh sb="3" eb="5">
      <t>ナオユキ</t>
    </rPh>
    <phoneticPr fontId="1"/>
  </si>
  <si>
    <t>597-0044</t>
  </si>
  <si>
    <t>64.7㎞</t>
  </si>
  <si>
    <t>090-2288-7432</t>
  </si>
  <si>
    <t>2回目</t>
    <rPh sb="1" eb="3">
      <t>カイメ</t>
    </rPh>
    <phoneticPr fontId="1"/>
  </si>
  <si>
    <t>大阪府大阪市中央区の本橋2-20-3-503</t>
    <rPh sb="0" eb="3">
      <t>オオサカフ</t>
    </rPh>
    <rPh sb="3" eb="6">
      <t>オオサカシ</t>
    </rPh>
    <rPh sb="6" eb="9">
      <t>チュウオウク</t>
    </rPh>
    <rPh sb="10" eb="12">
      <t>ホンバシ</t>
    </rPh>
    <phoneticPr fontId="1"/>
  </si>
  <si>
    <t>廣瀬　真由子</t>
    <rPh sb="0" eb="2">
      <t>ヒロセ</t>
    </rPh>
    <rPh sb="3" eb="6">
      <t>マユコ</t>
    </rPh>
    <phoneticPr fontId="1"/>
  </si>
  <si>
    <t>大阪府豊中市本町2-4-73-305</t>
    <rPh sb="0" eb="3">
      <t>オオサカフ</t>
    </rPh>
    <rPh sb="3" eb="6">
      <t>トヨナカシ</t>
    </rPh>
    <rPh sb="6" eb="8">
      <t>ホンマチ</t>
    </rPh>
    <phoneticPr fontId="1"/>
  </si>
  <si>
    <t>080-5311-8742</t>
    <phoneticPr fontId="1"/>
  </si>
  <si>
    <t>渡邊　慎弥</t>
    <rPh sb="0" eb="2">
      <t>ワタナベ</t>
    </rPh>
    <rPh sb="3" eb="4">
      <t>シン</t>
    </rPh>
    <rPh sb="4" eb="5">
      <t>ヤ</t>
    </rPh>
    <phoneticPr fontId="1"/>
  </si>
  <si>
    <t>531-0072</t>
    <phoneticPr fontId="1"/>
  </si>
  <si>
    <t>大阪府大阪市北区豊崎3-11-6-901</t>
    <rPh sb="0" eb="3">
      <t>オオサカフ</t>
    </rPh>
    <rPh sb="3" eb="6">
      <t>オオサカシ</t>
    </rPh>
    <rPh sb="6" eb="8">
      <t>キタク</t>
    </rPh>
    <rPh sb="8" eb="10">
      <t>トヨサキ</t>
    </rPh>
    <phoneticPr fontId="1"/>
  </si>
  <si>
    <t>シャフト試打　藤田さん紹介</t>
    <rPh sb="4" eb="6">
      <t>シダ</t>
    </rPh>
    <rPh sb="7" eb="9">
      <t>フジタ</t>
    </rPh>
    <rPh sb="11" eb="13">
      <t>ショウカイ</t>
    </rPh>
    <phoneticPr fontId="1"/>
  </si>
  <si>
    <t>長嶺　勝斗</t>
    <rPh sb="0" eb="2">
      <t>ナガミネ</t>
    </rPh>
    <rPh sb="3" eb="4">
      <t>カツ</t>
    </rPh>
    <rPh sb="4" eb="5">
      <t>ト</t>
    </rPh>
    <phoneticPr fontId="1"/>
  </si>
  <si>
    <t>905-0503</t>
    <phoneticPr fontId="1"/>
  </si>
  <si>
    <t>沖縄県国頭郡伊江村川平346</t>
    <rPh sb="0" eb="3">
      <t>オキナワケン</t>
    </rPh>
    <phoneticPr fontId="1"/>
  </si>
  <si>
    <t>080-9243-4906</t>
  </si>
  <si>
    <t>社長の紹介</t>
    <rPh sb="0" eb="2">
      <t>シャチョウ</t>
    </rPh>
    <rPh sb="3" eb="5">
      <t>ショウカイ</t>
    </rPh>
    <phoneticPr fontId="1"/>
  </si>
  <si>
    <t>中野　和夫</t>
    <rPh sb="0" eb="2">
      <t>ナカノ</t>
    </rPh>
    <rPh sb="3" eb="5">
      <t>カズオ</t>
    </rPh>
    <phoneticPr fontId="1"/>
  </si>
  <si>
    <t>790-0874</t>
    <phoneticPr fontId="1"/>
  </si>
  <si>
    <t>愛媛県松山市南持田町53-3ウェリス南持田緑彩苑209</t>
    <rPh sb="0" eb="2">
      <t>エヒメ</t>
    </rPh>
    <rPh sb="2" eb="3">
      <t>ケン</t>
    </rPh>
    <rPh sb="3" eb="5">
      <t>マツヤマ</t>
    </rPh>
    <rPh sb="5" eb="6">
      <t>シ</t>
    </rPh>
    <rPh sb="6" eb="10">
      <t>ミナミモチダマチ</t>
    </rPh>
    <rPh sb="18" eb="19">
      <t>ミナミ</t>
    </rPh>
    <rPh sb="19" eb="21">
      <t>モチダ</t>
    </rPh>
    <rPh sb="21" eb="22">
      <t>ミドリ</t>
    </rPh>
    <rPh sb="22" eb="23">
      <t>イロドリ</t>
    </rPh>
    <rPh sb="23" eb="24">
      <t>エン</t>
    </rPh>
    <phoneticPr fontId="1"/>
  </si>
  <si>
    <t>090-8974-4113</t>
    <phoneticPr fontId="1"/>
  </si>
  <si>
    <t>藤原　利貞</t>
    <rPh sb="0" eb="2">
      <t>フジワラ</t>
    </rPh>
    <rPh sb="3" eb="4">
      <t>リ</t>
    </rPh>
    <rPh sb="4" eb="5">
      <t>サダ</t>
    </rPh>
    <phoneticPr fontId="1"/>
  </si>
  <si>
    <t>791-8031</t>
    <phoneticPr fontId="1"/>
  </si>
  <si>
    <t>愛媛県松山市北斎院町668-20</t>
    <rPh sb="6" eb="7">
      <t>キタ</t>
    </rPh>
    <rPh sb="7" eb="8">
      <t>サイ</t>
    </rPh>
    <rPh sb="8" eb="9">
      <t>イン</t>
    </rPh>
    <rPh sb="9" eb="10">
      <t>マチ</t>
    </rPh>
    <phoneticPr fontId="1"/>
  </si>
  <si>
    <t>t2toshi3@hotmail.com</t>
    <phoneticPr fontId="1"/>
  </si>
  <si>
    <t>090-8975-4113</t>
    <phoneticPr fontId="1"/>
  </si>
  <si>
    <t>髙垣　全晴</t>
    <rPh sb="0" eb="1">
      <t>ダカイ</t>
    </rPh>
    <rPh sb="1" eb="2">
      <t>ガキ</t>
    </rPh>
    <rPh sb="3" eb="4">
      <t>ゼン</t>
    </rPh>
    <rPh sb="4" eb="5">
      <t>ハレ</t>
    </rPh>
    <phoneticPr fontId="1"/>
  </si>
  <si>
    <t>兵庫県宝塚市平井1丁目23-5</t>
    <rPh sb="0" eb="3">
      <t>ヒョウゴケン</t>
    </rPh>
    <rPh sb="3" eb="5">
      <t>タカラヅカ</t>
    </rPh>
    <rPh sb="5" eb="6">
      <t>シ</t>
    </rPh>
    <rPh sb="6" eb="8">
      <t>ヒライ</t>
    </rPh>
    <rPh sb="9" eb="11">
      <t>チョウメ</t>
    </rPh>
    <phoneticPr fontId="1"/>
  </si>
  <si>
    <t>090-4565-6311</t>
    <phoneticPr fontId="1"/>
  </si>
  <si>
    <t>takagakima95@gmail.com</t>
    <phoneticPr fontId="1"/>
  </si>
  <si>
    <t>松原　基貞</t>
    <rPh sb="0" eb="2">
      <t>マツバラ</t>
    </rPh>
    <rPh sb="3" eb="4">
      <t>モト</t>
    </rPh>
    <rPh sb="4" eb="5">
      <t>サダ</t>
    </rPh>
    <phoneticPr fontId="1"/>
  </si>
  <si>
    <t>京都府宇治市伊勢田町南山51-16</t>
    <rPh sb="0" eb="3">
      <t>キョウトフ</t>
    </rPh>
    <rPh sb="3" eb="6">
      <t>ウジシ</t>
    </rPh>
    <rPh sb="6" eb="8">
      <t>イセ</t>
    </rPh>
    <rPh sb="10" eb="12">
      <t>ナンザン</t>
    </rPh>
    <phoneticPr fontId="1"/>
  </si>
  <si>
    <t>yellow@wao.or.jp</t>
    <phoneticPr fontId="1"/>
  </si>
  <si>
    <t>090-7365-7228</t>
    <phoneticPr fontId="1"/>
  </si>
  <si>
    <t>石田　直大</t>
    <rPh sb="0" eb="2">
      <t>イシダ</t>
    </rPh>
    <rPh sb="3" eb="4">
      <t>ナオ</t>
    </rPh>
    <rPh sb="4" eb="5">
      <t>ダイ</t>
    </rPh>
    <phoneticPr fontId="1"/>
  </si>
  <si>
    <t>669-2333</t>
    <phoneticPr fontId="1"/>
  </si>
  <si>
    <t>兵庫県丹波篠山市南新町303-2</t>
    <rPh sb="0" eb="3">
      <t>ヒョウゴケン</t>
    </rPh>
    <rPh sb="3" eb="8">
      <t>タンバササヤマシ</t>
    </rPh>
    <rPh sb="8" eb="11">
      <t>ミナミシンマチ</t>
    </rPh>
    <phoneticPr fontId="1"/>
  </si>
  <si>
    <t>090-8796-0963</t>
    <phoneticPr fontId="1"/>
  </si>
  <si>
    <t>月森　一延</t>
    <rPh sb="0" eb="2">
      <t>ツキモリ</t>
    </rPh>
    <rPh sb="3" eb="4">
      <t>イチ</t>
    </rPh>
    <rPh sb="4" eb="5">
      <t>ノ</t>
    </rPh>
    <phoneticPr fontId="1"/>
  </si>
  <si>
    <t>669-2346</t>
    <phoneticPr fontId="1"/>
  </si>
  <si>
    <t>兵庫県丹波篠山市西岡屋810</t>
    <rPh sb="8" eb="11">
      <t>ニシオカヤ</t>
    </rPh>
    <phoneticPr fontId="1"/>
  </si>
  <si>
    <t>090-3622-2742</t>
    <phoneticPr fontId="1"/>
  </si>
  <si>
    <t>同上</t>
    <rPh sb="0" eb="2">
      <t>ドウジョウ</t>
    </rPh>
    <phoneticPr fontId="1"/>
  </si>
  <si>
    <t>中村　忠夫</t>
    <rPh sb="0" eb="2">
      <t>ナカムラ</t>
    </rPh>
    <rPh sb="3" eb="5">
      <t>タダオ</t>
    </rPh>
    <phoneticPr fontId="1"/>
  </si>
  <si>
    <t>兵庫県伊丹市荻野5-141</t>
    <rPh sb="0" eb="3">
      <t>ヒョウゴケン</t>
    </rPh>
    <rPh sb="3" eb="6">
      <t>イタミシ</t>
    </rPh>
    <rPh sb="6" eb="8">
      <t>オギノ</t>
    </rPh>
    <phoneticPr fontId="1"/>
  </si>
  <si>
    <t>1.3㎞</t>
    <phoneticPr fontId="1"/>
  </si>
  <si>
    <t>090-78770399</t>
    <phoneticPr fontId="1"/>
  </si>
  <si>
    <t>小林　誠</t>
    <rPh sb="0" eb="2">
      <t>コバヤシ</t>
    </rPh>
    <rPh sb="3" eb="4">
      <t>マコト</t>
    </rPh>
    <phoneticPr fontId="1"/>
  </si>
  <si>
    <t>513-0025</t>
    <phoneticPr fontId="1"/>
  </si>
  <si>
    <t>三重県鈴鹿市竹野1-10-17</t>
    <rPh sb="0" eb="3">
      <t>ミエケン</t>
    </rPh>
    <rPh sb="3" eb="6">
      <t>スズカシ</t>
    </rPh>
    <rPh sb="6" eb="8">
      <t>タケノ</t>
    </rPh>
    <phoneticPr fontId="1"/>
  </si>
  <si>
    <t>090-6088-5525</t>
    <phoneticPr fontId="1"/>
  </si>
  <si>
    <t>スイングマシンを使ってみたかった</t>
    <rPh sb="8" eb="9">
      <t>ツカ</t>
    </rPh>
    <phoneticPr fontId="1"/>
  </si>
  <si>
    <t>三浦　和夫</t>
    <rPh sb="0" eb="2">
      <t>ミウラ</t>
    </rPh>
    <rPh sb="3" eb="5">
      <t>カズオ</t>
    </rPh>
    <phoneticPr fontId="1"/>
  </si>
  <si>
    <t>671-1523</t>
    <phoneticPr fontId="1"/>
  </si>
  <si>
    <t>兵庫県揖保郡太子町東南417-1-206</t>
    <phoneticPr fontId="1"/>
  </si>
  <si>
    <t>090-8934-1521</t>
    <phoneticPr fontId="1"/>
  </si>
  <si>
    <t>マイゴルフ</t>
    <phoneticPr fontId="1"/>
  </si>
  <si>
    <t>松林　由晃</t>
    <rPh sb="0" eb="2">
      <t>マツバヤシ</t>
    </rPh>
    <rPh sb="3" eb="4">
      <t>ユ</t>
    </rPh>
    <rPh sb="4" eb="5">
      <t>アキラ</t>
    </rPh>
    <phoneticPr fontId="1"/>
  </si>
  <si>
    <t>525-0032</t>
    <phoneticPr fontId="1"/>
  </si>
  <si>
    <t>滋賀県草津市大路2-1-5-1509</t>
    <rPh sb="0" eb="3">
      <t>シガケン</t>
    </rPh>
    <rPh sb="3" eb="6">
      <t>クサツシ</t>
    </rPh>
    <rPh sb="6" eb="7">
      <t>オオ</t>
    </rPh>
    <phoneticPr fontId="1"/>
  </si>
  <si>
    <t>y_matsub86@yahoo.co.jp</t>
    <phoneticPr fontId="1"/>
  </si>
  <si>
    <t>090-4304-9347</t>
    <phoneticPr fontId="1"/>
  </si>
  <si>
    <t>兵庫県宝塚市旭町1-12-1</t>
    <phoneticPr fontId="1"/>
  </si>
  <si>
    <t>傾斜地の練習がしたい</t>
    <rPh sb="0" eb="3">
      <t>ケイシャチ</t>
    </rPh>
    <rPh sb="4" eb="6">
      <t>レンシュウ</t>
    </rPh>
    <phoneticPr fontId="1"/>
  </si>
  <si>
    <t>舟元　佐京</t>
    <rPh sb="0" eb="2">
      <t>フナモト</t>
    </rPh>
    <rPh sb="3" eb="5">
      <t>サキョウ</t>
    </rPh>
    <phoneticPr fontId="1"/>
  </si>
  <si>
    <t>657-0011</t>
    <phoneticPr fontId="1"/>
  </si>
  <si>
    <t>兵庫県神戸市灘区鶴甲4-12-14</t>
    <rPh sb="0" eb="3">
      <t>ヒョウゴケン</t>
    </rPh>
    <rPh sb="3" eb="6">
      <t>コウベシ</t>
    </rPh>
    <rPh sb="6" eb="8">
      <t>ナダク</t>
    </rPh>
    <rPh sb="8" eb="9">
      <t>ツル</t>
    </rPh>
    <rPh sb="9" eb="10">
      <t>カブト</t>
    </rPh>
    <phoneticPr fontId="1"/>
  </si>
  <si>
    <t>flying.sakyo@gmail.com</t>
    <phoneticPr fontId="1"/>
  </si>
  <si>
    <t>090-7091-6446</t>
    <phoneticPr fontId="1"/>
  </si>
  <si>
    <t>村上 将司様の紹介</t>
    <rPh sb="0" eb="2">
      <t>ムラカミ</t>
    </rPh>
    <rPh sb="3" eb="5">
      <t>マサシ</t>
    </rPh>
    <rPh sb="5" eb="6">
      <t>サマ</t>
    </rPh>
    <rPh sb="7" eb="9">
      <t>ショウカイ</t>
    </rPh>
    <phoneticPr fontId="1"/>
  </si>
  <si>
    <t>松本　洋</t>
    <rPh sb="0" eb="2">
      <t>マツモト</t>
    </rPh>
    <rPh sb="3" eb="4">
      <t>ヨウ</t>
    </rPh>
    <phoneticPr fontId="1"/>
  </si>
  <si>
    <t>兵庫県尼崎市武庫之荘10-4-6</t>
    <rPh sb="0" eb="3">
      <t>ヒョウゴケン</t>
    </rPh>
    <rPh sb="3" eb="6">
      <t>アマガサキシ</t>
    </rPh>
    <rPh sb="6" eb="10">
      <t>ムコノソウ</t>
    </rPh>
    <phoneticPr fontId="1"/>
  </si>
  <si>
    <t>090-1592-0008</t>
    <phoneticPr fontId="1"/>
  </si>
  <si>
    <t>3.0㎞</t>
  </si>
  <si>
    <t>072-757-3222</t>
  </si>
  <si>
    <t>会員ご家族</t>
    <rPh sb="0" eb="2">
      <t>カイイン</t>
    </rPh>
    <rPh sb="3" eb="5">
      <t>カゾク</t>
    </rPh>
    <phoneticPr fontId="1"/>
  </si>
  <si>
    <t>山崎　剛司</t>
    <rPh sb="0" eb="2">
      <t>ヤマザキ</t>
    </rPh>
    <rPh sb="3" eb="5">
      <t>タケシツカサ</t>
    </rPh>
    <phoneticPr fontId="1"/>
  </si>
  <si>
    <t>大阪府豊中市東豊中町3-8-19</t>
    <rPh sb="0" eb="5">
      <t>オオサカフトヨナカ</t>
    </rPh>
    <rPh sb="5" eb="6">
      <t>シ</t>
    </rPh>
    <rPh sb="6" eb="7">
      <t>ヒガシ</t>
    </rPh>
    <rPh sb="7" eb="10">
      <t>トヨナカチョウ</t>
    </rPh>
    <phoneticPr fontId="1"/>
  </si>
  <si>
    <t>tyzaki@me.com</t>
    <phoneticPr fontId="1"/>
  </si>
  <si>
    <t>080-3869-2141</t>
    <phoneticPr fontId="1"/>
  </si>
  <si>
    <t>芦田様お支払い(ﾌｨﾃｨﾝｸﾞ料ご返金済み)</t>
    <rPh sb="0" eb="3">
      <t>アシダサマ</t>
    </rPh>
    <rPh sb="4" eb="6">
      <t>シハラ</t>
    </rPh>
    <rPh sb="15" eb="16">
      <t>リョウ</t>
    </rPh>
    <rPh sb="17" eb="19">
      <t>ヘンキン</t>
    </rPh>
    <rPh sb="19" eb="20">
      <t>スミ</t>
    </rPh>
    <phoneticPr fontId="1"/>
  </si>
  <si>
    <t>古川　伸吾</t>
    <rPh sb="0" eb="2">
      <t>フルカワ</t>
    </rPh>
    <rPh sb="3" eb="5">
      <t>シンゴ</t>
    </rPh>
    <phoneticPr fontId="1"/>
  </si>
  <si>
    <t>兵庫県宝塚市山本南1-4-30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</si>
  <si>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450m</t>
    <phoneticPr fontId="1"/>
  </si>
  <si>
    <t>fshingo1957@yahoo.ne.jp</t>
    <phoneticPr fontId="1"/>
  </si>
  <si>
    <t>080-3639-7703</t>
    <phoneticPr fontId="1"/>
  </si>
  <si>
    <t>大磯　宏己</t>
    <rPh sb="0" eb="2">
      <t>オオイソ</t>
    </rPh>
    <rPh sb="3" eb="4">
      <t>ヒロ</t>
    </rPh>
    <rPh sb="4" eb="5">
      <t>オノレ</t>
    </rPh>
    <phoneticPr fontId="1"/>
  </si>
  <si>
    <t>733-0036</t>
    <phoneticPr fontId="1"/>
  </si>
  <si>
    <t>090-7892-8398</t>
    <phoneticPr fontId="1"/>
  </si>
  <si>
    <t>佐藤　吉博</t>
    <rPh sb="0" eb="2">
      <t>サトウ</t>
    </rPh>
    <rPh sb="3" eb="4">
      <t>ヨシ</t>
    </rPh>
    <rPh sb="4" eb="5">
      <t>ヒロシ</t>
    </rPh>
    <phoneticPr fontId="1"/>
  </si>
  <si>
    <t>730-0004</t>
    <phoneticPr fontId="1"/>
  </si>
  <si>
    <t>広島県広島市中区東白島町１９−８７</t>
    <phoneticPr fontId="1"/>
  </si>
  <si>
    <t>090-6415-4416</t>
    <phoneticPr fontId="1"/>
  </si>
  <si>
    <t>小野　俊夫</t>
    <rPh sb="0" eb="2">
      <t>オノ</t>
    </rPh>
    <rPh sb="3" eb="5">
      <t>トシオ</t>
    </rPh>
    <phoneticPr fontId="1"/>
  </si>
  <si>
    <t>兵庫県宝塚市山手台西4丁目14-11</t>
    <rPh sb="0" eb="6">
      <t>ヒョウゴケンタカラヅカシ</t>
    </rPh>
    <rPh sb="6" eb="9">
      <t>ヤマテダイ</t>
    </rPh>
    <rPh sb="9" eb="10">
      <t>ニシ</t>
    </rPh>
    <rPh sb="11" eb="13">
      <t>チョウメ</t>
    </rPh>
    <phoneticPr fontId="1"/>
  </si>
  <si>
    <t>tiger0618@ezweb.ne.jp</t>
    <phoneticPr fontId="1"/>
  </si>
  <si>
    <t>090-4032-3306</t>
    <phoneticPr fontId="1"/>
  </si>
  <si>
    <t>鈴木　一伸</t>
    <rPh sb="0" eb="2">
      <t>スズキ</t>
    </rPh>
    <rPh sb="3" eb="5">
      <t>カズノブ</t>
    </rPh>
    <phoneticPr fontId="1"/>
  </si>
  <si>
    <t>兵庫県宝塚市武庫山1-3-7</t>
    <rPh sb="0" eb="3">
      <t>ヒョウゴケン</t>
    </rPh>
    <rPh sb="3" eb="6">
      <t>タカラヅカシ</t>
    </rPh>
    <rPh sb="6" eb="9">
      <t>ムコヤマ</t>
    </rPh>
    <phoneticPr fontId="1"/>
  </si>
  <si>
    <t>kihei.g.12@gmail.com</t>
    <phoneticPr fontId="1"/>
  </si>
  <si>
    <t>090-7116-5170</t>
    <phoneticPr fontId="1"/>
  </si>
  <si>
    <t>島本　遼平</t>
    <rPh sb="0" eb="2">
      <t>シマモト</t>
    </rPh>
    <rPh sb="3" eb="5">
      <t>リョウヘイ</t>
    </rPh>
    <phoneticPr fontId="1"/>
  </si>
  <si>
    <t>550-0003</t>
    <phoneticPr fontId="1"/>
  </si>
  <si>
    <t>大阪府大阪市西区京町堀1-14-1-609</t>
    <rPh sb="0" eb="3">
      <t>オオサカフ</t>
    </rPh>
    <rPh sb="3" eb="6">
      <t>オオサカシ</t>
    </rPh>
    <rPh sb="6" eb="8">
      <t>ニシク</t>
    </rPh>
    <rPh sb="8" eb="10">
      <t>キョウマチ</t>
    </rPh>
    <rPh sb="10" eb="11">
      <t>ホリ</t>
    </rPh>
    <phoneticPr fontId="1"/>
  </si>
  <si>
    <t>ryohei.shimamoto@gmail.com</t>
    <phoneticPr fontId="1"/>
  </si>
  <si>
    <t>080-8235-9400</t>
    <phoneticPr fontId="1"/>
  </si>
  <si>
    <t>岡田　海斗</t>
    <rPh sb="0" eb="2">
      <t>オカダ</t>
    </rPh>
    <rPh sb="3" eb="5">
      <t>カイト</t>
    </rPh>
    <phoneticPr fontId="1"/>
  </si>
  <si>
    <t>567-0835</t>
    <phoneticPr fontId="1"/>
  </si>
  <si>
    <t>大阪府茨木市新堂3-28-30</t>
    <rPh sb="0" eb="3">
      <t>オオサカフ</t>
    </rPh>
    <rPh sb="3" eb="6">
      <t>イバラキシ</t>
    </rPh>
    <rPh sb="6" eb="8">
      <t>シンドウ</t>
    </rPh>
    <phoneticPr fontId="1"/>
  </si>
  <si>
    <t>kaito0108514457@gmail.com</t>
    <phoneticPr fontId="1"/>
  </si>
  <si>
    <t>090-2646-1714</t>
    <phoneticPr fontId="1"/>
  </si>
  <si>
    <t>赤尾　泰司</t>
    <rPh sb="0" eb="2">
      <t>アカオ</t>
    </rPh>
    <rPh sb="3" eb="5">
      <t>ヤスシツカサ</t>
    </rPh>
    <phoneticPr fontId="1"/>
  </si>
  <si>
    <t>665-0021</t>
    <phoneticPr fontId="1"/>
  </si>
  <si>
    <t>兵庫県宝塚市中洲1-10-19</t>
    <rPh sb="0" eb="3">
      <t>ヒョウゴケン</t>
    </rPh>
    <rPh sb="3" eb="6">
      <t>タカラヅカシ</t>
    </rPh>
    <rPh sb="6" eb="8">
      <t>ナカス</t>
    </rPh>
    <phoneticPr fontId="1"/>
  </si>
  <si>
    <t>yasushi0021@gmail.com</t>
    <phoneticPr fontId="1"/>
  </si>
  <si>
    <t>090-8653</t>
    <phoneticPr fontId="1"/>
  </si>
  <si>
    <t>藪ノ　賢次</t>
    <rPh sb="0" eb="1">
      <t>ヤブ</t>
    </rPh>
    <rPh sb="3" eb="4">
      <t>ケン</t>
    </rPh>
    <rPh sb="4" eb="5">
      <t>ツギ</t>
    </rPh>
    <phoneticPr fontId="1"/>
  </si>
  <si>
    <t>兵庫県芦屋市山芦屋町17-21</t>
    <rPh sb="0" eb="3">
      <t>ヒョウゴケン</t>
    </rPh>
    <rPh sb="3" eb="6">
      <t>アシヤシ</t>
    </rPh>
    <rPh sb="6" eb="7">
      <t>ヤマ</t>
    </rPh>
    <rPh sb="7" eb="9">
      <t>アシヤ</t>
    </rPh>
    <rPh sb="9" eb="10">
      <t>マチ</t>
    </rPh>
    <phoneticPr fontId="1"/>
  </si>
  <si>
    <t>再来店（前回2020/9/7）</t>
    <phoneticPr fontId="1"/>
  </si>
  <si>
    <t>三浦　夕奈</t>
    <rPh sb="0" eb="2">
      <t>ミウラ</t>
    </rPh>
    <rPh sb="3" eb="5">
      <t>ユウナ</t>
    </rPh>
    <phoneticPr fontId="1"/>
  </si>
  <si>
    <t>665-0832</t>
    <phoneticPr fontId="1"/>
  </si>
  <si>
    <t>兵庫県宝塚市向月町12-1</t>
    <rPh sb="0" eb="3">
      <t>ヒョウゴケン</t>
    </rPh>
    <rPh sb="3" eb="6">
      <t>タカラヅカシ</t>
    </rPh>
    <rPh sb="6" eb="9">
      <t>コウゲツチョウ</t>
    </rPh>
    <phoneticPr fontId="1"/>
  </si>
  <si>
    <t>080-1473-0640</t>
    <phoneticPr fontId="1"/>
  </si>
  <si>
    <t>ビジター パーソナルレッスン55分 泉竜二様の紹介</t>
    <rPh sb="16" eb="17">
      <t>フン</t>
    </rPh>
    <rPh sb="18" eb="19">
      <t>イズミ</t>
    </rPh>
    <rPh sb="19" eb="21">
      <t>タツジ</t>
    </rPh>
    <rPh sb="21" eb="22">
      <t>サマ</t>
    </rPh>
    <rPh sb="23" eb="25">
      <t>ショウカイ</t>
    </rPh>
    <phoneticPr fontId="1"/>
  </si>
  <si>
    <t>川村　信子</t>
    <rPh sb="0" eb="2">
      <t>カワムラ</t>
    </rPh>
    <rPh sb="3" eb="5">
      <t>ノブコ</t>
    </rPh>
    <phoneticPr fontId="1"/>
  </si>
  <si>
    <t>662-0095</t>
    <phoneticPr fontId="1"/>
  </si>
  <si>
    <t>兵庫県西宮市剣谷町5-7</t>
    <rPh sb="0" eb="3">
      <t>ヒョウゴケン</t>
    </rPh>
    <rPh sb="3" eb="6">
      <t>ニシノミヤシ</t>
    </rPh>
    <rPh sb="6" eb="7">
      <t>ツルギ</t>
    </rPh>
    <rPh sb="7" eb="8">
      <t>タニ</t>
    </rPh>
    <rPh sb="8" eb="9">
      <t>マチ</t>
    </rPh>
    <phoneticPr fontId="1"/>
  </si>
  <si>
    <t>kojikawamuragain@gmail.com</t>
    <phoneticPr fontId="1"/>
  </si>
  <si>
    <t>090-1425-7219</t>
    <phoneticPr fontId="1"/>
  </si>
  <si>
    <t>田中　慎一</t>
    <rPh sb="0" eb="2">
      <t>タナカ</t>
    </rPh>
    <rPh sb="3" eb="5">
      <t>シンイチ</t>
    </rPh>
    <phoneticPr fontId="1"/>
  </si>
  <si>
    <t>662-0063</t>
    <phoneticPr fontId="1"/>
  </si>
  <si>
    <t>兵庫県西宮市相生町4-22-301</t>
    <rPh sb="0" eb="6">
      <t>ヒョウゴケンニシノミヤシ</t>
    </rPh>
    <rPh sb="6" eb="8">
      <t>アイオイ</t>
    </rPh>
    <rPh sb="8" eb="9">
      <t>チョウ</t>
    </rPh>
    <phoneticPr fontId="1"/>
  </si>
  <si>
    <t>090-3706-9312</t>
    <phoneticPr fontId="1"/>
  </si>
  <si>
    <t>山戸恵美子様紹介10％OFF</t>
    <rPh sb="0" eb="2">
      <t>ヤマト</t>
    </rPh>
    <rPh sb="2" eb="5">
      <t>エミコ</t>
    </rPh>
    <rPh sb="5" eb="6">
      <t>サマ</t>
    </rPh>
    <rPh sb="6" eb="8">
      <t>ショウカイ</t>
    </rPh>
    <phoneticPr fontId="1"/>
  </si>
  <si>
    <t>稲山　祐貴</t>
    <rPh sb="0" eb="2">
      <t>イネヤマ</t>
    </rPh>
    <rPh sb="3" eb="4">
      <t>ユウ</t>
    </rPh>
    <rPh sb="4" eb="5">
      <t>キ</t>
    </rPh>
    <phoneticPr fontId="1"/>
  </si>
  <si>
    <t>兵庫県川西市東久代2丁目21-12</t>
    <rPh sb="6" eb="7">
      <t>ヒガシ</t>
    </rPh>
    <rPh sb="7" eb="8">
      <t>ヒサ</t>
    </rPh>
    <rPh sb="8" eb="9">
      <t>ダイ</t>
    </rPh>
    <rPh sb="10" eb="12">
      <t>チョウメ</t>
    </rPh>
    <phoneticPr fontId="1"/>
  </si>
  <si>
    <t>090-5014-1010</t>
    <phoneticPr fontId="1"/>
  </si>
  <si>
    <t>北川　雄貴</t>
    <rPh sb="0" eb="2">
      <t>キタガワ</t>
    </rPh>
    <rPh sb="3" eb="4">
      <t>ユウ</t>
    </rPh>
    <rPh sb="4" eb="5">
      <t>キ</t>
    </rPh>
    <phoneticPr fontId="1"/>
  </si>
  <si>
    <t>兵庫県宝塚市山本東3-10-17-1プレジール山本204</t>
    <rPh sb="0" eb="3">
      <t>ヒョウゴケン</t>
    </rPh>
    <rPh sb="3" eb="6">
      <t>タカラヅカシ</t>
    </rPh>
    <rPh sb="6" eb="8">
      <t>ヤマモト</t>
    </rPh>
    <rPh sb="8" eb="9">
      <t>ヒガシ</t>
    </rPh>
    <rPh sb="23" eb="25">
      <t>ヤマモト</t>
    </rPh>
    <phoneticPr fontId="1"/>
  </si>
  <si>
    <t>090-6558-6426</t>
    <phoneticPr fontId="1"/>
  </si>
  <si>
    <t>i_o_dyomb_0.5@icloud.com</t>
    <phoneticPr fontId="1"/>
  </si>
  <si>
    <t>1.0km</t>
    <phoneticPr fontId="1"/>
  </si>
  <si>
    <t>内富　圭一</t>
    <rPh sb="0" eb="2">
      <t>ウチトミ</t>
    </rPh>
    <rPh sb="3" eb="5">
      <t>ケイイチ</t>
    </rPh>
    <phoneticPr fontId="1"/>
  </si>
  <si>
    <t>665-0014</t>
    <phoneticPr fontId="1"/>
  </si>
  <si>
    <t>兵庫県宝塚市青葉台1-12-11</t>
    <rPh sb="0" eb="3">
      <t>ヒョウゴケン</t>
    </rPh>
    <rPh sb="3" eb="6">
      <t>タカラヅカシ</t>
    </rPh>
    <rPh sb="6" eb="9">
      <t>アオバダイ</t>
    </rPh>
    <phoneticPr fontId="1"/>
  </si>
  <si>
    <t>080-3802-8868</t>
    <phoneticPr fontId="1"/>
  </si>
  <si>
    <t>uchikei0127@gmail.com</t>
    <phoneticPr fontId="1"/>
  </si>
  <si>
    <t>谷口　稔明</t>
    <rPh sb="0" eb="2">
      <t>タニグチ</t>
    </rPh>
    <rPh sb="3" eb="4">
      <t>ミノル</t>
    </rPh>
    <rPh sb="4" eb="5">
      <t>メイ</t>
    </rPh>
    <phoneticPr fontId="1"/>
  </si>
  <si>
    <t>639-0245</t>
    <phoneticPr fontId="1"/>
  </si>
  <si>
    <t>奈良県香芝市畑2-879-1</t>
    <rPh sb="0" eb="3">
      <t>ナラケン</t>
    </rPh>
    <rPh sb="3" eb="6">
      <t>カシバシ</t>
    </rPh>
    <rPh sb="6" eb="7">
      <t>ハタ</t>
    </rPh>
    <phoneticPr fontId="1"/>
  </si>
  <si>
    <t>54.5km</t>
    <phoneticPr fontId="1"/>
  </si>
  <si>
    <t>090-6325-1234</t>
    <phoneticPr fontId="1"/>
  </si>
  <si>
    <t>体験から入会</t>
    <rPh sb="0" eb="2">
      <t>タイケン</t>
    </rPh>
    <rPh sb="4" eb="6">
      <t>ニュウカイ</t>
    </rPh>
    <phoneticPr fontId="1"/>
  </si>
  <si>
    <t>寺田　圭太</t>
    <rPh sb="0" eb="2">
      <t>テラダ</t>
    </rPh>
    <rPh sb="3" eb="5">
      <t>ケイタ</t>
    </rPh>
    <phoneticPr fontId="1"/>
  </si>
  <si>
    <t>兵庫県宝塚市中山台1-17-15</t>
    <rPh sb="0" eb="6">
      <t>ヒョウゴケンタカラヅカシ</t>
    </rPh>
    <rPh sb="6" eb="9">
      <t>ナカヤマダイ</t>
    </rPh>
    <phoneticPr fontId="1"/>
  </si>
  <si>
    <t>090-3626-6524</t>
    <phoneticPr fontId="1"/>
  </si>
  <si>
    <t>3.5km</t>
    <phoneticPr fontId="1"/>
  </si>
  <si>
    <t>松岡　正紀</t>
    <rPh sb="0" eb="2">
      <t>マツオカ</t>
    </rPh>
    <rPh sb="3" eb="5">
      <t>マサノリ</t>
    </rPh>
    <phoneticPr fontId="1"/>
  </si>
  <si>
    <t>572-0843</t>
    <phoneticPr fontId="1"/>
  </si>
  <si>
    <t>大阪府寝屋川市太秦中町14-15-406</t>
    <rPh sb="0" eb="3">
      <t>オオサカフ</t>
    </rPh>
    <rPh sb="3" eb="7">
      <t>ネヤガワシ</t>
    </rPh>
    <rPh sb="7" eb="8">
      <t>フトイ</t>
    </rPh>
    <rPh sb="8" eb="9">
      <t>ハタ</t>
    </rPh>
    <rPh sb="9" eb="11">
      <t>ナカマチ</t>
    </rPh>
    <phoneticPr fontId="1"/>
  </si>
  <si>
    <t>080-5309-5241</t>
    <phoneticPr fontId="1"/>
  </si>
  <si>
    <t>寺崎　貴児</t>
    <rPh sb="0" eb="2">
      <t>テラサキ</t>
    </rPh>
    <rPh sb="3" eb="4">
      <t>タカ</t>
    </rPh>
    <rPh sb="4" eb="5">
      <t>ジ</t>
    </rPh>
    <phoneticPr fontId="1"/>
  </si>
  <si>
    <t>662-0951</t>
    <phoneticPr fontId="1"/>
  </si>
  <si>
    <t>兵庫県西宮市川西町6-16-404</t>
    <rPh sb="0" eb="3">
      <t>ヒョウゴケン</t>
    </rPh>
    <rPh sb="3" eb="6">
      <t>ニシノミヤシ</t>
    </rPh>
    <rPh sb="6" eb="9">
      <t>カワニシマチ</t>
    </rPh>
    <phoneticPr fontId="1"/>
  </si>
  <si>
    <t>les.arts.martiaux.tt@gmail.com</t>
    <phoneticPr fontId="1"/>
  </si>
  <si>
    <t>090-3864-0014</t>
    <phoneticPr fontId="1"/>
  </si>
  <si>
    <t>仲田　尚史</t>
    <rPh sb="0" eb="2">
      <t>ナカダ</t>
    </rPh>
    <rPh sb="3" eb="4">
      <t>ヒサシ</t>
    </rPh>
    <phoneticPr fontId="1"/>
  </si>
  <si>
    <t>080-6149-0078</t>
    <phoneticPr fontId="1"/>
  </si>
  <si>
    <t>兵庫県宝塚市武庫山2丁目16-1</t>
    <rPh sb="0" eb="3">
      <t>ヒョウゴケン</t>
    </rPh>
    <rPh sb="3" eb="5">
      <t>タカラヅカ</t>
    </rPh>
    <rPh sb="5" eb="6">
      <t>シ</t>
    </rPh>
    <rPh sb="6" eb="9">
      <t>ムコヤマ</t>
    </rPh>
    <rPh sb="10" eb="12">
      <t>チョウメ</t>
    </rPh>
    <phoneticPr fontId="1"/>
  </si>
  <si>
    <t>6.2km</t>
    <phoneticPr fontId="1"/>
  </si>
  <si>
    <t>makada-hisashi@outlook.jp</t>
    <phoneticPr fontId="1"/>
  </si>
  <si>
    <t>社長紹介フィッティング料金50％OFF</t>
    <rPh sb="0" eb="2">
      <t>シャチョウ</t>
    </rPh>
    <rPh sb="2" eb="4">
      <t>ショウカイ</t>
    </rPh>
    <rPh sb="11" eb="12">
      <t>リョウ</t>
    </rPh>
    <rPh sb="12" eb="13">
      <t>キン</t>
    </rPh>
    <phoneticPr fontId="1"/>
  </si>
  <si>
    <t>202/11/4パーソナルレッスン利用　 泉竜二様の紹介</t>
    <rPh sb="17" eb="19">
      <t>リヨウ</t>
    </rPh>
    <rPh sb="21" eb="22">
      <t>イズミ</t>
    </rPh>
    <rPh sb="22" eb="24">
      <t>タツジ</t>
    </rPh>
    <rPh sb="24" eb="25">
      <t>サマ</t>
    </rPh>
    <rPh sb="26" eb="28">
      <t>ショウカイ</t>
    </rPh>
    <phoneticPr fontId="1"/>
  </si>
  <si>
    <t>601-1406</t>
    <phoneticPr fontId="1"/>
  </si>
  <si>
    <t>京都市伏見区日野谷寺町19-1</t>
    <rPh sb="0" eb="3">
      <t>キョウトシ</t>
    </rPh>
    <rPh sb="3" eb="6">
      <t>フシミク</t>
    </rPh>
    <rPh sb="6" eb="8">
      <t>ヒノ</t>
    </rPh>
    <rPh sb="8" eb="9">
      <t>タニ</t>
    </rPh>
    <rPh sb="9" eb="11">
      <t>テラマチ</t>
    </rPh>
    <phoneticPr fontId="1"/>
  </si>
  <si>
    <t>52.0km</t>
    <phoneticPr fontId="1"/>
  </si>
  <si>
    <t>090-3722-5557</t>
    <phoneticPr fontId="1"/>
  </si>
  <si>
    <t>藤田さん紹介　練習　社長了承済み</t>
    <rPh sb="0" eb="2">
      <t>フジタ</t>
    </rPh>
    <rPh sb="4" eb="6">
      <t>ショウカイ</t>
    </rPh>
    <rPh sb="7" eb="9">
      <t>レンシュウ</t>
    </rPh>
    <rPh sb="10" eb="12">
      <t>シャチョウ</t>
    </rPh>
    <rPh sb="12" eb="15">
      <t>リョウショウズ</t>
    </rPh>
    <phoneticPr fontId="1"/>
  </si>
  <si>
    <t>松本　春香</t>
    <rPh sb="0" eb="2">
      <t>マツモト</t>
    </rPh>
    <rPh sb="3" eb="4">
      <t>ハル</t>
    </rPh>
    <rPh sb="4" eb="5">
      <t>カオ</t>
    </rPh>
    <phoneticPr fontId="1"/>
  </si>
  <si>
    <t>木下　健太</t>
    <rPh sb="0" eb="2">
      <t>キノシタ</t>
    </rPh>
    <rPh sb="3" eb="5">
      <t>ケンタ</t>
    </rPh>
    <phoneticPr fontId="1"/>
  </si>
  <si>
    <t>564-0039</t>
    <phoneticPr fontId="1"/>
  </si>
  <si>
    <t>吹田市清和園町4-15</t>
    <rPh sb="0" eb="3">
      <t>スイタシ</t>
    </rPh>
    <rPh sb="3" eb="7">
      <t>セイワエンチョウ</t>
    </rPh>
    <phoneticPr fontId="1"/>
  </si>
  <si>
    <t>kinoken81208120@gmail.com</t>
    <phoneticPr fontId="1"/>
  </si>
  <si>
    <t>090-8985-4774</t>
    <phoneticPr fontId="1"/>
  </si>
  <si>
    <t>16.5km</t>
    <phoneticPr fontId="1"/>
  </si>
  <si>
    <t>櫻井　知布</t>
    <rPh sb="0" eb="2">
      <t>サクライ</t>
    </rPh>
    <rPh sb="3" eb="4">
      <t>シ</t>
    </rPh>
    <rPh sb="4" eb="5">
      <t>ヌノ</t>
    </rPh>
    <phoneticPr fontId="1"/>
  </si>
  <si>
    <t>兵庫県宝塚市南口2-2-28-513</t>
    <rPh sb="0" eb="6">
      <t>ヒョウゴケンタカラヅカシ</t>
    </rPh>
    <rPh sb="6" eb="8">
      <t>ミナミグチ</t>
    </rPh>
    <phoneticPr fontId="1"/>
  </si>
  <si>
    <t>090-3996-4301</t>
    <phoneticPr fontId="1"/>
  </si>
  <si>
    <t>社長紹介50％off</t>
    <rPh sb="0" eb="4">
      <t>シャチョウショウカイ</t>
    </rPh>
    <phoneticPr fontId="1"/>
  </si>
  <si>
    <t>入澤　剛</t>
    <rPh sb="0" eb="2">
      <t>イリザワ</t>
    </rPh>
    <rPh sb="3" eb="4">
      <t>ツヨシ</t>
    </rPh>
    <phoneticPr fontId="1"/>
  </si>
  <si>
    <t>大阪府池田市満寿美町72-27-804</t>
    <rPh sb="0" eb="3">
      <t>オオサカフ</t>
    </rPh>
    <rPh sb="3" eb="6">
      <t>イケダシ</t>
    </rPh>
    <rPh sb="6" eb="10">
      <t>マスミチョウ</t>
    </rPh>
    <phoneticPr fontId="1"/>
  </si>
  <si>
    <t>iritsuyo0328@icloud.com</t>
    <phoneticPr fontId="1"/>
  </si>
  <si>
    <t>090-1799-3601</t>
    <phoneticPr fontId="1"/>
  </si>
  <si>
    <t>大川　詩穏</t>
    <rPh sb="0" eb="2">
      <t>オオカワ</t>
    </rPh>
    <rPh sb="3" eb="4">
      <t>シ</t>
    </rPh>
    <rPh sb="4" eb="5">
      <t>オン</t>
    </rPh>
    <phoneticPr fontId="1"/>
  </si>
  <si>
    <t>621-0261</t>
    <phoneticPr fontId="1"/>
  </si>
  <si>
    <t>090-6757-5868</t>
    <phoneticPr fontId="1"/>
  </si>
  <si>
    <t>京都府亀岡市畑野町千ヶ畑西山5-66</t>
    <rPh sb="0" eb="3">
      <t>キョウトフ</t>
    </rPh>
    <rPh sb="3" eb="6">
      <t>カメオカシ</t>
    </rPh>
    <rPh sb="6" eb="8">
      <t>ハタノ</t>
    </rPh>
    <rPh sb="8" eb="9">
      <t>マチ</t>
    </rPh>
    <rPh sb="9" eb="10">
      <t>セン</t>
    </rPh>
    <rPh sb="11" eb="12">
      <t>ハタケ</t>
    </rPh>
    <rPh sb="12" eb="14">
      <t>ニシヤマ</t>
    </rPh>
    <phoneticPr fontId="1"/>
  </si>
  <si>
    <t>090-8985-4774</t>
  </si>
  <si>
    <t>564-0039</t>
  </si>
  <si>
    <t>16.5km</t>
  </si>
  <si>
    <t>再来(2022/11/19)G430試打</t>
    <rPh sb="0" eb="2">
      <t>サイライ</t>
    </rPh>
    <rPh sb="18" eb="20">
      <t>シダ</t>
    </rPh>
    <phoneticPr fontId="1"/>
  </si>
  <si>
    <t>岡　一真</t>
    <rPh sb="0" eb="1">
      <t>オカ</t>
    </rPh>
    <rPh sb="2" eb="4">
      <t>カズマ</t>
    </rPh>
    <phoneticPr fontId="1"/>
  </si>
  <si>
    <t>伊丹市御願塚2-4-32-302</t>
    <rPh sb="0" eb="3">
      <t>イタミシ</t>
    </rPh>
    <rPh sb="3" eb="4">
      <t>オ</t>
    </rPh>
    <rPh sb="4" eb="5">
      <t>ネガイ</t>
    </rPh>
    <rPh sb="5" eb="6">
      <t>ヅカ</t>
    </rPh>
    <phoneticPr fontId="1"/>
  </si>
  <si>
    <t>cacao620@gmail.com</t>
    <phoneticPr fontId="1"/>
  </si>
  <si>
    <t>090-2869-5973</t>
    <phoneticPr fontId="1"/>
  </si>
  <si>
    <t>永田　正孝</t>
    <rPh sb="0" eb="2">
      <t>ナガタ</t>
    </rPh>
    <rPh sb="3" eb="5">
      <t>マサタカ</t>
    </rPh>
    <phoneticPr fontId="1"/>
  </si>
  <si>
    <t>宝塚市山手台西2丁目29-7</t>
    <rPh sb="0" eb="2">
      <t>タカラヅカ</t>
    </rPh>
    <rPh sb="2" eb="3">
      <t>シ</t>
    </rPh>
    <rPh sb="3" eb="6">
      <t>ヤマテダイ</t>
    </rPh>
    <rPh sb="6" eb="7">
      <t>ニシ</t>
    </rPh>
    <rPh sb="8" eb="10">
      <t>チョウメ</t>
    </rPh>
    <phoneticPr fontId="1"/>
  </si>
  <si>
    <t>masataka0227@yahoo.co.jp</t>
    <phoneticPr fontId="1"/>
  </si>
  <si>
    <t>080-3867-8346</t>
    <phoneticPr fontId="1"/>
  </si>
  <si>
    <t>入佐　仁美</t>
    <rPh sb="0" eb="2">
      <t>イリサ</t>
    </rPh>
    <rPh sb="3" eb="5">
      <t>ヒトミ</t>
    </rPh>
    <phoneticPr fontId="1"/>
  </si>
  <si>
    <t>666-0111</t>
    <phoneticPr fontId="1"/>
  </si>
  <si>
    <t>兵庫県川西市大和東2-6-2</t>
    <rPh sb="0" eb="3">
      <t>ヒョウゴケン</t>
    </rPh>
    <rPh sb="3" eb="6">
      <t>カワニシシ</t>
    </rPh>
    <rPh sb="6" eb="8">
      <t>ヤマト</t>
    </rPh>
    <rPh sb="8" eb="9">
      <t>ヒガシ</t>
    </rPh>
    <phoneticPr fontId="1"/>
  </si>
  <si>
    <t>072-794-9035</t>
    <phoneticPr fontId="1"/>
  </si>
  <si>
    <t>杉浦 斎 プロの紹介</t>
    <rPh sb="8" eb="10">
      <t>ショウカイ</t>
    </rPh>
    <phoneticPr fontId="1"/>
  </si>
  <si>
    <t>三原　安津美</t>
    <rPh sb="0" eb="2">
      <t>ミハラ</t>
    </rPh>
    <rPh sb="3" eb="4">
      <t>アン</t>
    </rPh>
    <rPh sb="4" eb="5">
      <t>ツ</t>
    </rPh>
    <rPh sb="5" eb="6">
      <t>ウツク</t>
    </rPh>
    <phoneticPr fontId="1"/>
  </si>
  <si>
    <t>556-0006</t>
    <phoneticPr fontId="1"/>
  </si>
  <si>
    <t>大阪府大阪市浪速区日本橋東2-7-21-805</t>
    <rPh sb="0" eb="3">
      <t>オオサカフ</t>
    </rPh>
    <rPh sb="3" eb="6">
      <t>オオサカシ</t>
    </rPh>
    <rPh sb="6" eb="9">
      <t>ナニワク</t>
    </rPh>
    <rPh sb="9" eb="12">
      <t>ニホンバシ</t>
    </rPh>
    <rPh sb="12" eb="13">
      <t>ヒガシ</t>
    </rPh>
    <phoneticPr fontId="1"/>
  </si>
  <si>
    <t>090-5126-0008</t>
    <phoneticPr fontId="1"/>
  </si>
  <si>
    <t>茂幾　大樹</t>
    <rPh sb="0" eb="1">
      <t>シゲル</t>
    </rPh>
    <rPh sb="1" eb="2">
      <t>キ</t>
    </rPh>
    <rPh sb="3" eb="5">
      <t>タイキ</t>
    </rPh>
    <phoneticPr fontId="1"/>
  </si>
  <si>
    <t>666-0016</t>
    <phoneticPr fontId="1"/>
  </si>
  <si>
    <t>兵庫県川西市中央町14-3-507</t>
    <rPh sb="0" eb="3">
      <t>ヒョウゴケン</t>
    </rPh>
    <rPh sb="3" eb="6">
      <t>カワニシシ</t>
    </rPh>
    <rPh sb="6" eb="8">
      <t>チュウオウ</t>
    </rPh>
    <rPh sb="8" eb="9">
      <t>チョウ</t>
    </rPh>
    <phoneticPr fontId="1"/>
  </si>
  <si>
    <t>080-2451-4637</t>
    <phoneticPr fontId="1"/>
  </si>
  <si>
    <t>和島様の紹介</t>
    <rPh sb="0" eb="2">
      <t>ワジマ</t>
    </rPh>
    <rPh sb="2" eb="3">
      <t>サマ</t>
    </rPh>
    <rPh sb="4" eb="6">
      <t>ショウカイ</t>
    </rPh>
    <phoneticPr fontId="1"/>
  </si>
  <si>
    <t>古賀　純一郎</t>
    <rPh sb="0" eb="2">
      <t>コガ</t>
    </rPh>
    <rPh sb="3" eb="4">
      <t>ジュン</t>
    </rPh>
    <rPh sb="4" eb="5">
      <t>イチ</t>
    </rPh>
    <rPh sb="5" eb="6">
      <t>ロウ</t>
    </rPh>
    <phoneticPr fontId="1"/>
  </si>
  <si>
    <t>666/0137</t>
    <phoneticPr fontId="1"/>
  </si>
  <si>
    <t>兵庫県川西市湯山台1-12-7</t>
    <rPh sb="0" eb="3">
      <t>ヒョウゴケン</t>
    </rPh>
    <rPh sb="3" eb="6">
      <t>カワニシシ</t>
    </rPh>
    <rPh sb="6" eb="8">
      <t>ユヤマ</t>
    </rPh>
    <rPh sb="8" eb="9">
      <t>ダイ</t>
    </rPh>
    <phoneticPr fontId="1"/>
  </si>
  <si>
    <t>090-6057-0165</t>
    <phoneticPr fontId="1"/>
  </si>
  <si>
    <t>兵庫県三田市福島501-20</t>
    <rPh sb="0" eb="6">
      <t>ヒョウゴケンサンダシ</t>
    </rPh>
    <rPh sb="6" eb="8">
      <t>フクシマ</t>
    </rPh>
    <phoneticPr fontId="1"/>
  </si>
  <si>
    <t>30.0km</t>
    <phoneticPr fontId="1"/>
  </si>
  <si>
    <t>社長ご友人　2019/6/28ﾌｨｯﾃｨﾝｸﾞ来店</t>
    <rPh sb="0" eb="2">
      <t>シャチョウ</t>
    </rPh>
    <rPh sb="3" eb="5">
      <t>ユウジン</t>
    </rPh>
    <rPh sb="23" eb="25">
      <t>ライテン</t>
    </rPh>
    <phoneticPr fontId="1"/>
  </si>
  <si>
    <t>坪田　尚己</t>
    <rPh sb="0" eb="2">
      <t>ツボタ</t>
    </rPh>
    <rPh sb="3" eb="4">
      <t>ナオ</t>
    </rPh>
    <rPh sb="4" eb="5">
      <t>オノレ</t>
    </rPh>
    <phoneticPr fontId="1"/>
  </si>
  <si>
    <t>兵庫県西宮市東山台3-30-7</t>
    <rPh sb="0" eb="3">
      <t>ヒョウゴケン</t>
    </rPh>
    <rPh sb="3" eb="6">
      <t>ニシノミヤシ</t>
    </rPh>
    <rPh sb="6" eb="9">
      <t>ヒガシヤマダイ</t>
    </rPh>
    <phoneticPr fontId="1"/>
  </si>
  <si>
    <t>naoki.0611.tsubota@gmail.com</t>
    <phoneticPr fontId="1"/>
  </si>
  <si>
    <t>090-6963-1663</t>
    <phoneticPr fontId="1"/>
  </si>
  <si>
    <t>無記入</t>
    <rPh sb="0" eb="3">
      <t>ムキニュウ</t>
    </rPh>
    <phoneticPr fontId="1"/>
  </si>
  <si>
    <t>藤田さん紹介　</t>
    <rPh sb="0" eb="2">
      <t>フジタ</t>
    </rPh>
    <rPh sb="4" eb="6">
      <t>ショウカイ</t>
    </rPh>
    <phoneticPr fontId="1"/>
  </si>
  <si>
    <t>北村　優奈</t>
    <rPh sb="0" eb="2">
      <t>キタムラ</t>
    </rPh>
    <rPh sb="3" eb="4">
      <t>ユウ</t>
    </rPh>
    <rPh sb="4" eb="5">
      <t>ナ</t>
    </rPh>
    <phoneticPr fontId="1"/>
  </si>
  <si>
    <t>601-8318</t>
    <phoneticPr fontId="1"/>
  </si>
  <si>
    <t>京都市南区吉祥院三ノ宮西町1</t>
    <rPh sb="0" eb="3">
      <t>キョウトシ</t>
    </rPh>
    <rPh sb="3" eb="5">
      <t>ミナミク</t>
    </rPh>
    <rPh sb="5" eb="8">
      <t>キッショウイン</t>
    </rPh>
    <rPh sb="8" eb="9">
      <t>サン</t>
    </rPh>
    <rPh sb="10" eb="11">
      <t>ミヤ</t>
    </rPh>
    <rPh sb="11" eb="13">
      <t>ニシマチ</t>
    </rPh>
    <phoneticPr fontId="1"/>
  </si>
  <si>
    <t>090-5254-0882</t>
    <phoneticPr fontId="1"/>
  </si>
  <si>
    <t>46.2km</t>
    <phoneticPr fontId="1"/>
  </si>
  <si>
    <t>坂口　智隆</t>
    <rPh sb="0" eb="2">
      <t>サカグチ</t>
    </rPh>
    <rPh sb="3" eb="5">
      <t>トモタカ</t>
    </rPh>
    <phoneticPr fontId="1"/>
  </si>
  <si>
    <t>158-0081</t>
    <phoneticPr fontId="1"/>
  </si>
  <si>
    <t>東京都世田谷区深沢2-1-2-803</t>
    <rPh sb="0" eb="3">
      <t>トウキョウト</t>
    </rPh>
    <rPh sb="3" eb="7">
      <t>セタガヤク</t>
    </rPh>
    <rPh sb="7" eb="9">
      <t>フカザワ</t>
    </rPh>
    <phoneticPr fontId="1"/>
  </si>
  <si>
    <t>487km</t>
    <phoneticPr fontId="1"/>
  </si>
  <si>
    <t>090-3160-2006</t>
    <phoneticPr fontId="1"/>
  </si>
  <si>
    <t>会員　上田さんご友人</t>
    <rPh sb="0" eb="2">
      <t>カイイン</t>
    </rPh>
    <rPh sb="3" eb="5">
      <t>ウエダ</t>
    </rPh>
    <rPh sb="8" eb="10">
      <t>ユウジン</t>
    </rPh>
    <phoneticPr fontId="1"/>
  </si>
  <si>
    <t>フリガナ</t>
    <phoneticPr fontId="1"/>
  </si>
  <si>
    <t>サカグチ　トモタカ</t>
    <phoneticPr fontId="1"/>
  </si>
  <si>
    <t>上田　充彦</t>
    <rPh sb="0" eb="2">
      <t>ウエダ</t>
    </rPh>
    <rPh sb="3" eb="5">
      <t>ミツヒコ</t>
    </rPh>
    <phoneticPr fontId="1"/>
  </si>
  <si>
    <t>ウエダ　ミツヒコ</t>
    <phoneticPr fontId="1"/>
  </si>
  <si>
    <t>665-0854</t>
    <phoneticPr fontId="1"/>
  </si>
  <si>
    <t>兵庫県宝塚市売布山手町５−３</t>
    <phoneticPr fontId="1"/>
  </si>
  <si>
    <t>090-3673-6614</t>
    <phoneticPr fontId="1"/>
  </si>
  <si>
    <t>前田實様の紹介</t>
    <rPh sb="0" eb="2">
      <t>マエダ</t>
    </rPh>
    <rPh sb="2" eb="3">
      <t>ミノル</t>
    </rPh>
    <rPh sb="3" eb="4">
      <t>サマ</t>
    </rPh>
    <rPh sb="5" eb="7">
      <t>ショウカイ</t>
    </rPh>
    <phoneticPr fontId="1"/>
  </si>
  <si>
    <t>井上　智秀</t>
    <rPh sb="0" eb="2">
      <t>イノウエ</t>
    </rPh>
    <rPh sb="3" eb="5">
      <t>トモヒデ</t>
    </rPh>
    <phoneticPr fontId="1"/>
  </si>
  <si>
    <t>イノウエ　トモヒデ</t>
    <phoneticPr fontId="1"/>
  </si>
  <si>
    <t>大阪府堺市西区鳳北町2-23-212</t>
    <rPh sb="0" eb="10">
      <t>593-8328</t>
    </rPh>
    <phoneticPr fontId="1"/>
  </si>
  <si>
    <t>itecinoue@gmail.com</t>
    <phoneticPr fontId="1"/>
  </si>
  <si>
    <t>090-5156-0411</t>
    <phoneticPr fontId="1"/>
  </si>
  <si>
    <t>山口　秀蔵</t>
    <rPh sb="0" eb="2">
      <t>ヤマグチ</t>
    </rPh>
    <rPh sb="3" eb="4">
      <t>シュウ</t>
    </rPh>
    <rPh sb="4" eb="5">
      <t>クラ</t>
    </rPh>
    <phoneticPr fontId="1"/>
  </si>
  <si>
    <t>ヤマグチ　シュウゾウ</t>
    <phoneticPr fontId="1"/>
  </si>
  <si>
    <t>兵庫県宝塚市野上1-5-41</t>
    <rPh sb="0" eb="8">
      <t>665-0022</t>
    </rPh>
    <phoneticPr fontId="1"/>
  </si>
  <si>
    <t>jugo921@gmail.com</t>
    <phoneticPr fontId="1"/>
  </si>
  <si>
    <t>070-4800-7668</t>
    <phoneticPr fontId="1"/>
  </si>
  <si>
    <t>コセ　ショウヤ</t>
    <phoneticPr fontId="1"/>
  </si>
  <si>
    <t>090-6971-9673</t>
    <phoneticPr fontId="1"/>
  </si>
  <si>
    <t>兵庫県宝塚市安倉中5-22-14</t>
    <rPh sb="0" eb="9">
      <t>665-0822</t>
    </rPh>
    <phoneticPr fontId="1"/>
  </si>
  <si>
    <t>ナカガワ　トオル</t>
    <phoneticPr fontId="1"/>
  </si>
  <si>
    <t>大黒　雄介</t>
    <rPh sb="0" eb="2">
      <t>ダイコク</t>
    </rPh>
    <rPh sb="3" eb="4">
      <t>ユウ</t>
    </rPh>
    <rPh sb="4" eb="5">
      <t>スケ</t>
    </rPh>
    <phoneticPr fontId="1"/>
  </si>
  <si>
    <t>ダイコク　ユウスケ</t>
    <phoneticPr fontId="1"/>
  </si>
  <si>
    <t>兵庫県川西市小戸3-21-15-16</t>
    <rPh sb="0" eb="3">
      <t>ヒョウゴケン</t>
    </rPh>
    <rPh sb="3" eb="6">
      <t>カワニシシ</t>
    </rPh>
    <rPh sb="6" eb="7">
      <t>ショウ</t>
    </rPh>
    <rPh sb="7" eb="8">
      <t>ド</t>
    </rPh>
    <phoneticPr fontId="1"/>
  </si>
  <si>
    <t>080-1128-0006</t>
    <phoneticPr fontId="1"/>
  </si>
  <si>
    <t>伊丹　晃</t>
    <rPh sb="0" eb="2">
      <t>イタミ</t>
    </rPh>
    <rPh sb="3" eb="4">
      <t>アキラ</t>
    </rPh>
    <phoneticPr fontId="1"/>
  </si>
  <si>
    <t>イタミ　アキラ</t>
    <phoneticPr fontId="1"/>
  </si>
  <si>
    <t>兵庫県尼崎市塚口町3-16-32</t>
    <rPh sb="0" eb="9">
      <t>661-0002</t>
    </rPh>
    <phoneticPr fontId="1"/>
  </si>
  <si>
    <t>arikaimati0627@gmail.com</t>
    <phoneticPr fontId="1"/>
  </si>
  <si>
    <t>080-3882-3866</t>
    <phoneticPr fontId="1"/>
  </si>
  <si>
    <t>藤岡　寛大</t>
    <phoneticPr fontId="1"/>
  </si>
  <si>
    <t>フジオカ　ヒロオ</t>
    <phoneticPr fontId="1"/>
  </si>
  <si>
    <t>兵庫県伊丹市西台5-4-21</t>
    <rPh sb="0" eb="8">
      <t>664-0858</t>
    </rPh>
    <phoneticPr fontId="1"/>
  </si>
  <si>
    <t>hiroo-fujioka@au.com</t>
    <phoneticPr fontId="1"/>
  </si>
  <si>
    <t>090-2705-9090</t>
    <phoneticPr fontId="1"/>
  </si>
  <si>
    <t>藤原　久嗣</t>
    <rPh sb="0" eb="2">
      <t>フジワラ</t>
    </rPh>
    <rPh sb="3" eb="5">
      <t>ヒサツグ</t>
    </rPh>
    <phoneticPr fontId="1"/>
  </si>
  <si>
    <t>フジワラ　ヒサツグ</t>
    <phoneticPr fontId="1"/>
  </si>
  <si>
    <t>664-0862</t>
    <phoneticPr fontId="1"/>
  </si>
  <si>
    <t>兵庫県伊丹市若菱町6-20-2</t>
    <rPh sb="0" eb="9">
      <t>664-0862</t>
    </rPh>
    <phoneticPr fontId="1"/>
  </si>
  <si>
    <t>hisatsugu@hotmail.co.jp</t>
    <phoneticPr fontId="1"/>
  </si>
  <si>
    <t>080-1449-5040</t>
    <phoneticPr fontId="1"/>
  </si>
  <si>
    <t>三井　翔</t>
    <rPh sb="0" eb="2">
      <t>ミツイ</t>
    </rPh>
    <rPh sb="3" eb="4">
      <t>ショウ</t>
    </rPh>
    <phoneticPr fontId="1"/>
  </si>
  <si>
    <t>ミツイ　ショウ</t>
    <phoneticPr fontId="1"/>
  </si>
  <si>
    <t>兵庫県宝塚市山本中3-8-19</t>
    <rPh sb="0" eb="9">
      <t>665-0883</t>
    </rPh>
    <phoneticPr fontId="1"/>
  </si>
  <si>
    <t>650m</t>
    <phoneticPr fontId="1"/>
  </si>
  <si>
    <t>080-4026-3028</t>
    <phoneticPr fontId="1"/>
  </si>
  <si>
    <t>三谷　美喜</t>
    <rPh sb="0" eb="2">
      <t>ミタニ</t>
    </rPh>
    <rPh sb="3" eb="5">
      <t>ミキ</t>
    </rPh>
    <phoneticPr fontId="1"/>
  </si>
  <si>
    <t>ミタニ　ミキ</t>
    <phoneticPr fontId="1"/>
  </si>
  <si>
    <t>兵庫県尼崎市塚口町1-18-7-704</t>
    <rPh sb="0" eb="9">
      <t>661-0002</t>
    </rPh>
    <phoneticPr fontId="1"/>
  </si>
  <si>
    <t>090-7883-8184</t>
    <phoneticPr fontId="1"/>
  </si>
  <si>
    <t>豊田様のご紹介</t>
    <rPh sb="0" eb="2">
      <t>トヨダ</t>
    </rPh>
    <rPh sb="2" eb="3">
      <t>サマ</t>
    </rPh>
    <rPh sb="5" eb="7">
      <t>ショウカイ</t>
    </rPh>
    <phoneticPr fontId="1"/>
  </si>
  <si>
    <t>三谷　啓二</t>
    <rPh sb="0" eb="2">
      <t>ミタニ</t>
    </rPh>
    <rPh sb="3" eb="5">
      <t>ケイジ</t>
    </rPh>
    <phoneticPr fontId="1"/>
  </si>
  <si>
    <t>ミタニ　ケイジ</t>
    <phoneticPr fontId="1"/>
  </si>
  <si>
    <t>06-6422-1153</t>
    <phoneticPr fontId="1"/>
  </si>
  <si>
    <t>岩見　美樹</t>
    <rPh sb="0" eb="2">
      <t>イワミ</t>
    </rPh>
    <rPh sb="3" eb="5">
      <t>ミキ</t>
    </rPh>
    <phoneticPr fontId="1"/>
  </si>
  <si>
    <t>イワミ　ミキ</t>
    <phoneticPr fontId="1"/>
  </si>
  <si>
    <t>兵庫県川西市錦松台16-28</t>
    <rPh sb="0" eb="9">
      <t>666-0135</t>
    </rPh>
    <phoneticPr fontId="1"/>
  </si>
  <si>
    <t>090-5974-4503</t>
    <phoneticPr fontId="1"/>
  </si>
  <si>
    <t>松岡　佑記臣</t>
    <rPh sb="0" eb="2">
      <t>マツオカ</t>
    </rPh>
    <rPh sb="3" eb="4">
      <t>ユウ</t>
    </rPh>
    <rPh sb="4" eb="5">
      <t>キ</t>
    </rPh>
    <rPh sb="5" eb="6">
      <t>ジン</t>
    </rPh>
    <phoneticPr fontId="1"/>
  </si>
  <si>
    <t>マツオカ　ユキオ</t>
    <phoneticPr fontId="1"/>
  </si>
  <si>
    <t>563-0024</t>
    <phoneticPr fontId="1"/>
  </si>
  <si>
    <t>大阪府池田市鉢塚3-4-12-103</t>
    <rPh sb="0" eb="3">
      <t>オオサカフ</t>
    </rPh>
    <rPh sb="3" eb="6">
      <t>イケダシ</t>
    </rPh>
    <rPh sb="6" eb="8">
      <t>ハチヅカ</t>
    </rPh>
    <phoneticPr fontId="1"/>
  </si>
  <si>
    <t>080-2658-3419</t>
    <phoneticPr fontId="1"/>
  </si>
  <si>
    <t>笠松　哲司</t>
    <rPh sb="0" eb="2">
      <t>カサマツ</t>
    </rPh>
    <rPh sb="3" eb="5">
      <t>テツジ</t>
    </rPh>
    <phoneticPr fontId="1"/>
  </si>
  <si>
    <t>カサマツ　テツジ</t>
    <phoneticPr fontId="1"/>
  </si>
  <si>
    <t>565-0842</t>
    <phoneticPr fontId="1"/>
  </si>
  <si>
    <t>大阪府吹田市千里山東4-40-38</t>
    <rPh sb="0" eb="3">
      <t>オオサカフ</t>
    </rPh>
    <rPh sb="3" eb="6">
      <t>スイタシ</t>
    </rPh>
    <rPh sb="6" eb="9">
      <t>センリヤマ</t>
    </rPh>
    <rPh sb="9" eb="10">
      <t>ヒガシ</t>
    </rPh>
    <phoneticPr fontId="1"/>
  </si>
  <si>
    <t>16.3㎞</t>
    <phoneticPr fontId="1"/>
  </si>
  <si>
    <t>ashini-plate2@docomo.ne.jp</t>
    <phoneticPr fontId="1"/>
  </si>
  <si>
    <t>090-6985-1564</t>
    <phoneticPr fontId="1"/>
  </si>
  <si>
    <t>社長ご紹介</t>
    <rPh sb="0" eb="2">
      <t>シャチョウ</t>
    </rPh>
    <rPh sb="3" eb="5">
      <t>ショウカイ</t>
    </rPh>
    <phoneticPr fontId="1"/>
  </si>
  <si>
    <t>小西　健太</t>
    <rPh sb="0" eb="2">
      <t>コニシ</t>
    </rPh>
    <rPh sb="3" eb="5">
      <t>ケンタ</t>
    </rPh>
    <phoneticPr fontId="1"/>
  </si>
  <si>
    <t>コニシ　ケンタ</t>
    <phoneticPr fontId="1"/>
  </si>
  <si>
    <t>679-4167</t>
    <phoneticPr fontId="1"/>
  </si>
  <si>
    <t>兵庫県たつの市龍野町富永90</t>
    <rPh sb="0" eb="12">
      <t>679-4167</t>
    </rPh>
    <phoneticPr fontId="1"/>
  </si>
  <si>
    <t>080-4245-2786</t>
    <phoneticPr fontId="1"/>
  </si>
  <si>
    <t>YouTubeを観て来店</t>
    <rPh sb="8" eb="9">
      <t>ミ</t>
    </rPh>
    <rPh sb="10" eb="12">
      <t>ライテン</t>
    </rPh>
    <phoneticPr fontId="1"/>
  </si>
  <si>
    <t>増井　美紀</t>
    <rPh sb="0" eb="2">
      <t>マスイ</t>
    </rPh>
    <rPh sb="3" eb="5">
      <t>ミキ</t>
    </rPh>
    <phoneticPr fontId="1"/>
  </si>
  <si>
    <t>マスイ　ミキ</t>
    <phoneticPr fontId="1"/>
  </si>
  <si>
    <t>兵庫県宝塚市梅野町5-16</t>
    <rPh sb="0" eb="9">
      <t>665-0004</t>
    </rPh>
    <phoneticPr fontId="1"/>
  </si>
  <si>
    <t>K.miki.0531@gmail.com</t>
    <phoneticPr fontId="1"/>
  </si>
  <si>
    <t>0797-81-0075</t>
    <phoneticPr fontId="1"/>
  </si>
  <si>
    <t>長田　美紀</t>
    <rPh sb="0" eb="2">
      <t>ナガタ</t>
    </rPh>
    <rPh sb="3" eb="5">
      <t>ミキ</t>
    </rPh>
    <phoneticPr fontId="1"/>
  </si>
  <si>
    <t>ナガタ　ミキ</t>
    <phoneticPr fontId="1"/>
  </si>
  <si>
    <t>兵庫県宝塚市山手台西2-14-12</t>
    <rPh sb="0" eb="10">
      <t>665-0886</t>
    </rPh>
    <phoneticPr fontId="1"/>
  </si>
  <si>
    <t>0797-80-1630</t>
    <phoneticPr fontId="1"/>
  </si>
  <si>
    <t>浮田　美樹子</t>
    <rPh sb="0" eb="2">
      <t>ウキタ</t>
    </rPh>
    <rPh sb="3" eb="6">
      <t>ミキコ</t>
    </rPh>
    <phoneticPr fontId="1"/>
  </si>
  <si>
    <t>ウキタ　ミキコ</t>
    <phoneticPr fontId="1"/>
  </si>
  <si>
    <t>兵庫県宝塚市山手台西2-30-8</t>
    <rPh sb="0" eb="10">
      <t>665-0886</t>
    </rPh>
    <phoneticPr fontId="1"/>
  </si>
  <si>
    <t>mi.ukita.1101@gmail.com</t>
    <phoneticPr fontId="1"/>
  </si>
  <si>
    <t>090-2384-5243</t>
    <phoneticPr fontId="1"/>
  </si>
  <si>
    <t>スミス　ユカ</t>
    <phoneticPr fontId="1"/>
  </si>
  <si>
    <t>兵庫県宝塚市花屋敷荘園3-4-16</t>
    <rPh sb="0" eb="3">
      <t>ヒョウゴケン</t>
    </rPh>
    <rPh sb="3" eb="6">
      <t>タカラヅカシ</t>
    </rPh>
    <rPh sb="6" eb="9">
      <t>ハナヤシキ</t>
    </rPh>
    <rPh sb="9" eb="10">
      <t>ソウ</t>
    </rPh>
    <rPh sb="10" eb="11">
      <t>エン</t>
    </rPh>
    <phoneticPr fontId="1"/>
  </si>
  <si>
    <t>yuka@sse-franchise.com</t>
    <phoneticPr fontId="1"/>
  </si>
  <si>
    <t>090-2702-1720</t>
    <phoneticPr fontId="1"/>
  </si>
  <si>
    <t>スミス　ソフィア</t>
    <phoneticPr fontId="1"/>
  </si>
  <si>
    <t>sophia@sse-franchise.com</t>
    <phoneticPr fontId="1"/>
  </si>
  <si>
    <t>080-4020-2121</t>
    <phoneticPr fontId="1"/>
  </si>
  <si>
    <r>
      <t>有田　繁裕</t>
    </r>
    <r>
      <rPr>
        <sz val="8"/>
        <color theme="1"/>
        <rFont val="游ゴシック"/>
        <family val="3"/>
        <charset val="128"/>
      </rPr>
      <t>（かとう内科法人）</t>
    </r>
    <rPh sb="0" eb="2">
      <t>アリタ</t>
    </rPh>
    <rPh sb="3" eb="4">
      <t>シゲル</t>
    </rPh>
    <rPh sb="4" eb="5">
      <t>ヒロ</t>
    </rPh>
    <rPh sb="9" eb="11">
      <t>ナイカ</t>
    </rPh>
    <rPh sb="11" eb="13">
      <t>ホウジン</t>
    </rPh>
    <phoneticPr fontId="1"/>
  </si>
  <si>
    <t>スミス　由華</t>
    <rPh sb="4" eb="5">
      <t>ヨシ</t>
    </rPh>
    <rPh sb="5" eb="6">
      <t>ハナ</t>
    </rPh>
    <phoneticPr fontId="1"/>
  </si>
  <si>
    <t>竹廣　恵</t>
    <rPh sb="0" eb="2">
      <t>タケヒロ</t>
    </rPh>
    <rPh sb="3" eb="4">
      <t>メグミ</t>
    </rPh>
    <phoneticPr fontId="1"/>
  </si>
  <si>
    <t>タケヒロ　ケイ</t>
    <phoneticPr fontId="1"/>
  </si>
  <si>
    <t>大阪府吹田市青山台1-1-1-201</t>
    <rPh sb="0" eb="6">
      <t>オオサカフスイタシ</t>
    </rPh>
    <rPh sb="6" eb="9">
      <t>アオヤマダイ</t>
    </rPh>
    <phoneticPr fontId="1"/>
  </si>
  <si>
    <t>ce77908@gmail.com</t>
    <phoneticPr fontId="1"/>
  </si>
  <si>
    <t>090-7734-3934</t>
    <phoneticPr fontId="1"/>
  </si>
  <si>
    <t>スミス　ソフィア</t>
  </si>
  <si>
    <t>665-0802</t>
  </si>
  <si>
    <t>4.4km</t>
  </si>
  <si>
    <t>080-4020-2121</t>
  </si>
  <si>
    <t>再来(2023/1/5)</t>
    <rPh sb="0" eb="2">
      <t>サイライ</t>
    </rPh>
    <phoneticPr fontId="1"/>
  </si>
  <si>
    <t>黒田　勝彦</t>
    <rPh sb="0" eb="2">
      <t>クロダ</t>
    </rPh>
    <rPh sb="3" eb="5">
      <t>カツヒコ</t>
    </rPh>
    <phoneticPr fontId="1"/>
  </si>
  <si>
    <t>クロダ　カツヒコ</t>
    <phoneticPr fontId="1"/>
  </si>
  <si>
    <t>兵庫県芦屋市岩園町13-14</t>
    <rPh sb="0" eb="9">
      <t>659-0013</t>
    </rPh>
    <phoneticPr fontId="1"/>
  </si>
  <si>
    <t>katsuchan.kurochan.525@ezweb.ne.jp</t>
    <phoneticPr fontId="1"/>
  </si>
  <si>
    <t>090-1958-5497</t>
    <phoneticPr fontId="1"/>
  </si>
  <si>
    <t>宮　敏文</t>
    <rPh sb="0" eb="1">
      <t>ミヤ</t>
    </rPh>
    <rPh sb="2" eb="4">
      <t>トシフミ</t>
    </rPh>
    <phoneticPr fontId="1"/>
  </si>
  <si>
    <t>ミヤ　トシフミ</t>
    <phoneticPr fontId="1"/>
  </si>
  <si>
    <t>574-0074</t>
    <phoneticPr fontId="1"/>
  </si>
  <si>
    <t>大阪府大東市谷川2-8-116</t>
    <rPh sb="0" eb="8">
      <t>574-0074</t>
    </rPh>
    <phoneticPr fontId="1"/>
  </si>
  <si>
    <t>090-1243-3527</t>
    <phoneticPr fontId="1"/>
  </si>
  <si>
    <t>桐野　純子</t>
    <rPh sb="0" eb="2">
      <t>キリノ</t>
    </rPh>
    <rPh sb="3" eb="5">
      <t>ジュンコ</t>
    </rPh>
    <phoneticPr fontId="1"/>
  </si>
  <si>
    <t>松浦　光徳</t>
    <rPh sb="0" eb="2">
      <t>マツウラ</t>
    </rPh>
    <rPh sb="3" eb="5">
      <t>コウトク</t>
    </rPh>
    <phoneticPr fontId="1"/>
  </si>
  <si>
    <t>キリノ　ジュンコ</t>
    <phoneticPr fontId="1"/>
  </si>
  <si>
    <t>マツウラ　ミツノリ</t>
    <phoneticPr fontId="1"/>
  </si>
  <si>
    <t>兵庫県川西市火打1-21-14-3</t>
    <rPh sb="0" eb="3">
      <t>ヒョウゴケン</t>
    </rPh>
    <rPh sb="3" eb="6">
      <t>カワニシシ</t>
    </rPh>
    <rPh sb="6" eb="8">
      <t>ヒウチ</t>
    </rPh>
    <phoneticPr fontId="1"/>
  </si>
  <si>
    <t>兵庫県川西市小花1丁目14-9-2</t>
    <rPh sb="0" eb="3">
      <t>ヒョウゴケン</t>
    </rPh>
    <rPh sb="3" eb="6">
      <t>カワニシシ</t>
    </rPh>
    <rPh sb="6" eb="8">
      <t>コハナ</t>
    </rPh>
    <rPh sb="9" eb="11">
      <t>チョウメ</t>
    </rPh>
    <phoneticPr fontId="1"/>
  </si>
  <si>
    <t>666-0015</t>
    <phoneticPr fontId="1"/>
  </si>
  <si>
    <t>090-3351-0235</t>
    <phoneticPr fontId="1"/>
  </si>
  <si>
    <t>090-3279-9149</t>
    <phoneticPr fontId="1"/>
  </si>
  <si>
    <t>松浦様お支払い</t>
    <rPh sb="0" eb="3">
      <t>マツウラサマ</t>
    </rPh>
    <rPh sb="4" eb="6">
      <t>シハラ</t>
    </rPh>
    <phoneticPr fontId="1"/>
  </si>
  <si>
    <t>入会興味の有無</t>
    <rPh sb="0" eb="2">
      <t>ニュウカイ</t>
    </rPh>
    <rPh sb="2" eb="4">
      <t>キョウミ</t>
    </rPh>
    <rPh sb="5" eb="7">
      <t>ウム</t>
    </rPh>
    <phoneticPr fontId="1"/>
  </si>
  <si>
    <t>有</t>
    <rPh sb="0" eb="1">
      <t>ア</t>
    </rPh>
    <phoneticPr fontId="1"/>
  </si>
  <si>
    <t>橋本　稔</t>
    <rPh sb="0" eb="2">
      <t>ハシモト</t>
    </rPh>
    <rPh sb="3" eb="4">
      <t>ミノル</t>
    </rPh>
    <phoneticPr fontId="1"/>
  </si>
  <si>
    <t>ハシモト　ミノル</t>
    <phoneticPr fontId="1"/>
  </si>
  <si>
    <t>665-0814</t>
    <phoneticPr fontId="1"/>
  </si>
  <si>
    <t>兵庫県宝塚市山本野里1-57-1-2-209</t>
    <rPh sb="0" eb="10">
      <t>665-0814</t>
    </rPh>
    <phoneticPr fontId="1"/>
  </si>
  <si>
    <t>090-1483-7458</t>
    <phoneticPr fontId="1"/>
  </si>
  <si>
    <t>ヒラサキ　ヒロシ</t>
    <phoneticPr fontId="1"/>
  </si>
  <si>
    <t>兵庫県明石市小久保4-8-1-303</t>
    <rPh sb="0" eb="9">
      <t>673-0005</t>
    </rPh>
    <phoneticPr fontId="1"/>
  </si>
  <si>
    <t>村上　茜</t>
    <rPh sb="0" eb="2">
      <t>ムラカミ</t>
    </rPh>
    <rPh sb="3" eb="4">
      <t>アカネ</t>
    </rPh>
    <phoneticPr fontId="1"/>
  </si>
  <si>
    <t>ムラカミ　アカネ</t>
    <phoneticPr fontId="1"/>
  </si>
  <si>
    <t>561-0801</t>
    <phoneticPr fontId="1"/>
  </si>
  <si>
    <t>大阪府豊中市曽根西町1-2-18-310</t>
    <rPh sb="0" eb="10">
      <t>561-0801</t>
    </rPh>
    <phoneticPr fontId="1"/>
  </si>
  <si>
    <t>090-6977-7014</t>
    <phoneticPr fontId="1"/>
  </si>
  <si>
    <t>岩見　真一郎</t>
    <rPh sb="0" eb="2">
      <t>イワミ</t>
    </rPh>
    <rPh sb="3" eb="6">
      <t>シンイチロウ</t>
    </rPh>
    <phoneticPr fontId="1"/>
  </si>
  <si>
    <t>イワミ　シンイチロウ</t>
    <phoneticPr fontId="1"/>
  </si>
  <si>
    <t>666-0135</t>
  </si>
  <si>
    <t>iwami-shin@nifty.com</t>
    <phoneticPr fontId="1"/>
  </si>
  <si>
    <t>090-2047-6345</t>
    <phoneticPr fontId="1"/>
  </si>
  <si>
    <t>有</t>
    <rPh sb="0" eb="1">
      <t>アリ</t>
    </rPh>
    <phoneticPr fontId="1"/>
  </si>
  <si>
    <t>tr228岩見美樹様のご主人</t>
    <rPh sb="5" eb="7">
      <t>イワミ</t>
    </rPh>
    <rPh sb="7" eb="9">
      <t>ヨシキ</t>
    </rPh>
    <rPh sb="9" eb="10">
      <t>サマ</t>
    </rPh>
    <rPh sb="12" eb="14">
      <t>シュジン</t>
    </rPh>
    <phoneticPr fontId="1"/>
  </si>
  <si>
    <t>荒木　啓輔</t>
    <rPh sb="0" eb="2">
      <t>アラキ</t>
    </rPh>
    <rPh sb="3" eb="4">
      <t>ケイ</t>
    </rPh>
    <rPh sb="4" eb="5">
      <t>スケ</t>
    </rPh>
    <phoneticPr fontId="1"/>
  </si>
  <si>
    <t>アラキ　ケイスケ</t>
    <phoneticPr fontId="1"/>
  </si>
  <si>
    <t>524-0022</t>
    <phoneticPr fontId="1"/>
  </si>
  <si>
    <t>滋賀県守山市守山2-7-18</t>
    <rPh sb="0" eb="2">
      <t>シガ</t>
    </rPh>
    <rPh sb="2" eb="3">
      <t>ケン</t>
    </rPh>
    <rPh sb="3" eb="5">
      <t>モリヤマ</t>
    </rPh>
    <rPh sb="5" eb="6">
      <t>シ</t>
    </rPh>
    <rPh sb="6" eb="8">
      <t>モリヤマ</t>
    </rPh>
    <phoneticPr fontId="1"/>
  </si>
  <si>
    <t>090-6437-1205</t>
    <phoneticPr fontId="1"/>
  </si>
  <si>
    <t>岸本　美帆</t>
    <rPh sb="0" eb="2">
      <t>キシモト</t>
    </rPh>
    <rPh sb="3" eb="5">
      <t>ミホ</t>
    </rPh>
    <phoneticPr fontId="1"/>
  </si>
  <si>
    <t>キシモト　ミホ</t>
    <phoneticPr fontId="1"/>
  </si>
  <si>
    <t>兵庫県宝塚市雲雀丘2丁目5-60-305</t>
    <rPh sb="0" eb="6">
      <t>ヒョウゴケンタカラヅカシ</t>
    </rPh>
    <rPh sb="6" eb="9">
      <t>ヒバリガオカ</t>
    </rPh>
    <rPh sb="10" eb="12">
      <t>チョウメ</t>
    </rPh>
    <phoneticPr fontId="1"/>
  </si>
  <si>
    <t>miho1008momo@icloud.com</t>
    <phoneticPr fontId="1"/>
  </si>
  <si>
    <t>090-5053-4991</t>
    <phoneticPr fontId="1"/>
  </si>
  <si>
    <t>キリノ　ジュンコ</t>
  </si>
  <si>
    <t>666-0015</t>
  </si>
  <si>
    <t>3.2㎞</t>
  </si>
  <si>
    <t>090-3351-0235</t>
  </si>
  <si>
    <t>畑野　士郎</t>
    <rPh sb="0" eb="2">
      <t>ハタノ</t>
    </rPh>
    <rPh sb="3" eb="5">
      <t>シロウ</t>
    </rPh>
    <phoneticPr fontId="1"/>
  </si>
  <si>
    <t>ハタノ　シロウ</t>
    <phoneticPr fontId="1"/>
  </si>
  <si>
    <t>662-0823</t>
    <phoneticPr fontId="1"/>
  </si>
  <si>
    <t>兵庫県西宮市神呪町14-20</t>
    <rPh sb="0" eb="9">
      <t>662-0823</t>
    </rPh>
    <phoneticPr fontId="1"/>
  </si>
  <si>
    <t>srhtn1972@gmail.com</t>
    <phoneticPr fontId="1"/>
  </si>
  <si>
    <t>090-3651-5867</t>
    <phoneticPr fontId="1"/>
  </si>
  <si>
    <t>平山　沢子</t>
    <rPh sb="0" eb="2">
      <t>ヒラヤマ</t>
    </rPh>
    <rPh sb="3" eb="5">
      <t>サワコ</t>
    </rPh>
    <phoneticPr fontId="1"/>
  </si>
  <si>
    <t>ヒラヤマ　サワコ</t>
    <phoneticPr fontId="1"/>
  </si>
  <si>
    <t>池田市伏尾台5-8-16</t>
    <rPh sb="0" eb="3">
      <t>イケダシ</t>
    </rPh>
    <rPh sb="3" eb="6">
      <t>フシオダイ</t>
    </rPh>
    <phoneticPr fontId="1"/>
  </si>
  <si>
    <t>090-6243-3233</t>
    <phoneticPr fontId="1"/>
  </si>
  <si>
    <t>tr232スミス由華様ご友人</t>
    <rPh sb="8" eb="10">
      <t>ユカ</t>
    </rPh>
    <rPh sb="10" eb="11">
      <t>サマ</t>
    </rPh>
    <rPh sb="12" eb="14">
      <t>ユウジン</t>
    </rPh>
    <phoneticPr fontId="1"/>
  </si>
  <si>
    <t>貞光　恵子</t>
    <rPh sb="0" eb="2">
      <t>サダミツ</t>
    </rPh>
    <rPh sb="3" eb="5">
      <t>ケイコ</t>
    </rPh>
    <phoneticPr fontId="1"/>
  </si>
  <si>
    <t>サダミツ　ケイコ</t>
    <phoneticPr fontId="1"/>
  </si>
  <si>
    <t>兵庫県姫路市書写2268-7</t>
    <phoneticPr fontId="1"/>
  </si>
  <si>
    <t>090-9095-4985</t>
    <phoneticPr fontId="1"/>
  </si>
  <si>
    <t>藤田さんのご紹介</t>
    <rPh sb="0" eb="2">
      <t>フジタ</t>
    </rPh>
    <rPh sb="6" eb="8">
      <t>ショウカイ</t>
    </rPh>
    <phoneticPr fontId="1"/>
  </si>
  <si>
    <t>sophia@sse-franchise.com</t>
  </si>
  <si>
    <t>藪　洋亮</t>
    <rPh sb="0" eb="1">
      <t>ヤブ</t>
    </rPh>
    <rPh sb="2" eb="4">
      <t>ヨウスケ</t>
    </rPh>
    <phoneticPr fontId="1"/>
  </si>
  <si>
    <t>596-0046</t>
    <phoneticPr fontId="1"/>
  </si>
  <si>
    <t>大阪府岸和田市藤井町3-13-9</t>
    <rPh sb="0" eb="3">
      <t>オオサカフ</t>
    </rPh>
    <rPh sb="3" eb="7">
      <t>キシワダシ</t>
    </rPh>
    <rPh sb="7" eb="10">
      <t>フジイマチ</t>
    </rPh>
    <phoneticPr fontId="1"/>
  </si>
  <si>
    <t>090-5258-1357</t>
    <phoneticPr fontId="1"/>
  </si>
  <si>
    <t>山田　隆之</t>
    <rPh sb="0" eb="2">
      <t>ヤマダ</t>
    </rPh>
    <rPh sb="3" eb="5">
      <t>タカユキ</t>
    </rPh>
    <phoneticPr fontId="1"/>
  </si>
  <si>
    <t>ヤマダ　タカユキ</t>
    <phoneticPr fontId="1"/>
  </si>
  <si>
    <t>兵庫県宝塚市旭町1-9-8</t>
    <rPh sb="0" eb="3">
      <t>ヒョウゴケン</t>
    </rPh>
    <rPh sb="3" eb="6">
      <t>タカラヅカシ</t>
    </rPh>
    <rPh sb="6" eb="8">
      <t>アサヒマチ</t>
    </rPh>
    <phoneticPr fontId="1"/>
  </si>
  <si>
    <t>BXL03120@nifty.ne.jp</t>
    <phoneticPr fontId="1"/>
  </si>
  <si>
    <t>090-8236-5767</t>
    <phoneticPr fontId="1"/>
  </si>
  <si>
    <t>岸本　百加</t>
    <rPh sb="0" eb="2">
      <t>キシモト</t>
    </rPh>
    <rPh sb="3" eb="5">
      <t>モモカ</t>
    </rPh>
    <phoneticPr fontId="1"/>
  </si>
  <si>
    <t>キシモト　モモカ</t>
    <phoneticPr fontId="1"/>
  </si>
  <si>
    <t>兵庫県宝塚市雲雀丘2丁目5-60-305</t>
    <rPh sb="0" eb="2">
      <t>ヒョウゴ</t>
    </rPh>
    <rPh sb="2" eb="3">
      <t>ケン</t>
    </rPh>
    <rPh sb="3" eb="5">
      <t>タカラヅカ</t>
    </rPh>
    <rPh sb="5" eb="6">
      <t>シ</t>
    </rPh>
    <rPh sb="6" eb="8">
      <t>ヒバリ</t>
    </rPh>
    <rPh sb="8" eb="9">
      <t>オカ</t>
    </rPh>
    <rPh sb="10" eb="12">
      <t>チョウメ</t>
    </rPh>
    <phoneticPr fontId="1"/>
  </si>
  <si>
    <t>K.momotaka@icloud.com</t>
    <phoneticPr fontId="1"/>
  </si>
  <si>
    <t>080-1407-0530</t>
    <phoneticPr fontId="1"/>
  </si>
  <si>
    <t>tr235 岸本 美帆様のご家族</t>
    <rPh sb="6" eb="8">
      <t>キシモト</t>
    </rPh>
    <rPh sb="9" eb="11">
      <t>ミホ</t>
    </rPh>
    <rPh sb="11" eb="12">
      <t>サマ</t>
    </rPh>
    <rPh sb="14" eb="16">
      <t>カゾク</t>
    </rPh>
    <phoneticPr fontId="1"/>
  </si>
  <si>
    <t>フクイ　アキヨシ</t>
    <phoneticPr fontId="1"/>
  </si>
  <si>
    <t>toko.8y2@gmail.com</t>
    <phoneticPr fontId="1"/>
  </si>
  <si>
    <t>ヤブ　ヨウスケ</t>
    <phoneticPr fontId="1"/>
  </si>
  <si>
    <t>西田　明子</t>
    <rPh sb="0" eb="2">
      <t>ニシダ</t>
    </rPh>
    <rPh sb="3" eb="5">
      <t>アキコ</t>
    </rPh>
    <phoneticPr fontId="1"/>
  </si>
  <si>
    <t>ニシダ　アキコ</t>
    <phoneticPr fontId="1"/>
  </si>
  <si>
    <t>702-8031</t>
    <phoneticPr fontId="1"/>
  </si>
  <si>
    <t>岡山県岡山市南区福富西1-1-14-304</t>
    <rPh sb="0" eb="11">
      <t>702-8031</t>
    </rPh>
    <phoneticPr fontId="1"/>
  </si>
  <si>
    <t>090-3772-7395</t>
    <phoneticPr fontId="1"/>
  </si>
  <si>
    <t>キシモト　モモカ</t>
  </si>
  <si>
    <t>665-0805</t>
  </si>
  <si>
    <t>080-1407-0530</t>
  </si>
  <si>
    <t>寺坂　雄翔</t>
    <rPh sb="0" eb="2">
      <t>テラサカ</t>
    </rPh>
    <rPh sb="3" eb="4">
      <t>オス</t>
    </rPh>
    <rPh sb="4" eb="5">
      <t>ショウ</t>
    </rPh>
    <phoneticPr fontId="1"/>
  </si>
  <si>
    <t>テラサカ　ユウショウ</t>
    <phoneticPr fontId="1"/>
  </si>
  <si>
    <t>大阪府大阪市西区新町3-4-11-1306</t>
    <rPh sb="0" eb="10">
      <t>550-0013</t>
    </rPh>
    <phoneticPr fontId="1"/>
  </si>
  <si>
    <t>090-3322-0077</t>
    <phoneticPr fontId="1"/>
  </si>
  <si>
    <t>丸岡　史弥</t>
    <rPh sb="0" eb="2">
      <t>マルオカ</t>
    </rPh>
    <rPh sb="3" eb="4">
      <t>シ</t>
    </rPh>
    <rPh sb="4" eb="5">
      <t>ヤ</t>
    </rPh>
    <phoneticPr fontId="1"/>
  </si>
  <si>
    <t>マルオカ　フミヤ</t>
    <phoneticPr fontId="1"/>
  </si>
  <si>
    <t>兵庫県川西市加茂2-1-15 2-0</t>
    <rPh sb="0" eb="8">
      <t>666-0025</t>
    </rPh>
    <phoneticPr fontId="1"/>
  </si>
  <si>
    <t>sghmbzmr2344@gmail.com</t>
    <phoneticPr fontId="1"/>
  </si>
  <si>
    <t>090-2042-9596</t>
    <phoneticPr fontId="1"/>
  </si>
  <si>
    <t>岸本　寛延</t>
    <rPh sb="0" eb="2">
      <t>キシモト</t>
    </rPh>
    <rPh sb="3" eb="4">
      <t>ヒロ</t>
    </rPh>
    <rPh sb="4" eb="5">
      <t>ノブ</t>
    </rPh>
    <phoneticPr fontId="1"/>
  </si>
  <si>
    <t>キシモト　ヒロノブ</t>
    <phoneticPr fontId="1"/>
  </si>
  <si>
    <t>675-0101</t>
    <phoneticPr fontId="1"/>
  </si>
  <si>
    <t>兵庫県加古川市平岡町新在家2066-19</t>
    <rPh sb="0" eb="3">
      <t>ヒョウゴケン</t>
    </rPh>
    <rPh sb="3" eb="7">
      <t>カコガワシ</t>
    </rPh>
    <rPh sb="7" eb="9">
      <t>ヒラオカ</t>
    </rPh>
    <rPh sb="9" eb="10">
      <t>チョウ</t>
    </rPh>
    <rPh sb="10" eb="13">
      <t>シンザイケ</t>
    </rPh>
    <phoneticPr fontId="1"/>
  </si>
  <si>
    <t>63.6km</t>
    <phoneticPr fontId="1"/>
  </si>
  <si>
    <t>090-3894-7135</t>
    <phoneticPr fontId="1"/>
  </si>
  <si>
    <t>フルフィッティングからドライバーのみに変更</t>
    <rPh sb="19" eb="21">
      <t>ヘンコウ</t>
    </rPh>
    <phoneticPr fontId="1"/>
  </si>
  <si>
    <t>飯尾　勝</t>
    <rPh sb="0" eb="2">
      <t>イイオ</t>
    </rPh>
    <rPh sb="3" eb="4">
      <t>マサル</t>
    </rPh>
    <phoneticPr fontId="1"/>
  </si>
  <si>
    <t>イイオ　マサル</t>
    <phoneticPr fontId="1"/>
  </si>
  <si>
    <t>792-0033</t>
    <phoneticPr fontId="1"/>
  </si>
  <si>
    <t>愛媛県新居浜市横水町7-2　リヴェールⅢ202号</t>
    <rPh sb="3" eb="4">
      <t>シン</t>
    </rPh>
    <rPh sb="6" eb="7">
      <t>シ</t>
    </rPh>
    <rPh sb="7" eb="10">
      <t>ヨコズイチョウ</t>
    </rPh>
    <rPh sb="23" eb="24">
      <t>ゴウ</t>
    </rPh>
    <phoneticPr fontId="1"/>
  </si>
  <si>
    <t>261km</t>
    <phoneticPr fontId="1"/>
  </si>
  <si>
    <t>080-3166-5490</t>
    <phoneticPr fontId="1"/>
  </si>
  <si>
    <t>アフターフォロー</t>
    <phoneticPr fontId="1"/>
  </si>
  <si>
    <t>ヒラカワ　タツキ</t>
    <phoneticPr fontId="1"/>
  </si>
  <si>
    <t>麻生　貴之</t>
    <rPh sb="0" eb="2">
      <t>アソウ</t>
    </rPh>
    <rPh sb="3" eb="5">
      <t>タカユキ</t>
    </rPh>
    <phoneticPr fontId="1"/>
  </si>
  <si>
    <t>アソウ　タカユキ</t>
    <phoneticPr fontId="1"/>
  </si>
  <si>
    <t>兵庫県宝塚市雲雀丘3丁目1-25-201</t>
    <rPh sb="0" eb="3">
      <t>ヒョウゴケン</t>
    </rPh>
    <rPh sb="3" eb="6">
      <t>タカラヅカシ</t>
    </rPh>
    <rPh sb="6" eb="9">
      <t>ヒバリガオカ</t>
    </rPh>
    <rPh sb="10" eb="12">
      <t>チョウメ</t>
    </rPh>
    <phoneticPr fontId="1"/>
  </si>
  <si>
    <t>3㎞</t>
    <phoneticPr fontId="1"/>
  </si>
  <si>
    <t>kyotokosen94@gmail.com</t>
    <phoneticPr fontId="1"/>
  </si>
  <si>
    <t>080-6115-2879</t>
    <phoneticPr fontId="1"/>
  </si>
  <si>
    <t>米田　涼子</t>
    <rPh sb="0" eb="2">
      <t>ヨネダ</t>
    </rPh>
    <rPh sb="3" eb="5">
      <t>リョウコ</t>
    </rPh>
    <phoneticPr fontId="1"/>
  </si>
  <si>
    <t>ヨネダ　リョウコ</t>
    <phoneticPr fontId="1"/>
  </si>
  <si>
    <t>663-8005</t>
    <phoneticPr fontId="1"/>
  </si>
  <si>
    <t>兵庫県西宮市下大市西町15-19</t>
    <rPh sb="0" eb="2">
      <t>ヒョウゴ</t>
    </rPh>
    <rPh sb="2" eb="3">
      <t>ケン</t>
    </rPh>
    <rPh sb="3" eb="5">
      <t>ニシノミヤ</t>
    </rPh>
    <rPh sb="5" eb="6">
      <t>シ</t>
    </rPh>
    <rPh sb="6" eb="11">
      <t>シモオオイチニシマチ</t>
    </rPh>
    <phoneticPr fontId="1"/>
  </si>
  <si>
    <t>enoyokoyr@gmail.com</t>
    <phoneticPr fontId="1"/>
  </si>
  <si>
    <t>090-6555-6144</t>
    <phoneticPr fontId="1"/>
  </si>
  <si>
    <t>宮脇　若菜</t>
    <rPh sb="0" eb="2">
      <t>ミヤワキ</t>
    </rPh>
    <rPh sb="3" eb="5">
      <t>ワカナ</t>
    </rPh>
    <phoneticPr fontId="1"/>
  </si>
  <si>
    <t>ミヤワキ　ワカナ</t>
    <phoneticPr fontId="1"/>
  </si>
  <si>
    <t>兵庫県川西市久代2-5-19</t>
    <rPh sb="0" eb="3">
      <t>ヒョウゴケン</t>
    </rPh>
    <rPh sb="3" eb="6">
      <t>カワニシシ</t>
    </rPh>
    <rPh sb="6" eb="8">
      <t>クシロ</t>
    </rPh>
    <phoneticPr fontId="1"/>
  </si>
  <si>
    <t>080-5302-8100</t>
    <phoneticPr fontId="1"/>
  </si>
  <si>
    <t>片山　英樹</t>
    <rPh sb="0" eb="2">
      <t>カタヤマ</t>
    </rPh>
    <rPh sb="3" eb="4">
      <t>ヒデ</t>
    </rPh>
    <rPh sb="4" eb="5">
      <t>キ</t>
    </rPh>
    <phoneticPr fontId="1"/>
  </si>
  <si>
    <t>カタヤマ　ヒデキ</t>
    <phoneticPr fontId="1"/>
  </si>
  <si>
    <t>664-0899</t>
    <phoneticPr fontId="1"/>
  </si>
  <si>
    <t>兵庫県伊丹市大鹿1-32</t>
    <rPh sb="0" eb="3">
      <t>ヒョウゴケン</t>
    </rPh>
    <rPh sb="3" eb="6">
      <t>イタミシ</t>
    </rPh>
    <rPh sb="6" eb="8">
      <t>オオシカ</t>
    </rPh>
    <phoneticPr fontId="1"/>
  </si>
  <si>
    <t>katayamazu@gmail.com</t>
    <phoneticPr fontId="1"/>
  </si>
  <si>
    <t>090-9164-3839</t>
    <phoneticPr fontId="1"/>
  </si>
  <si>
    <t>木下　広光</t>
    <rPh sb="0" eb="2">
      <t>キノシタ</t>
    </rPh>
    <rPh sb="3" eb="4">
      <t>ヒロ</t>
    </rPh>
    <rPh sb="4" eb="5">
      <t>ミツ</t>
    </rPh>
    <phoneticPr fontId="1"/>
  </si>
  <si>
    <t>キノシタ　ヒロミツ　</t>
    <phoneticPr fontId="1"/>
  </si>
  <si>
    <t>大阪府吹田市清和園町4-15</t>
    <rPh sb="0" eb="3">
      <t>オオサカフ</t>
    </rPh>
    <rPh sb="3" eb="6">
      <t>スイタシ</t>
    </rPh>
    <rPh sb="6" eb="8">
      <t>セイワ</t>
    </rPh>
    <rPh sb="8" eb="9">
      <t>ソノ</t>
    </rPh>
    <rPh sb="9" eb="10">
      <t>マチ</t>
    </rPh>
    <phoneticPr fontId="1"/>
  </si>
  <si>
    <t>090-3270-6684</t>
    <phoneticPr fontId="1"/>
  </si>
  <si>
    <t>宝塚GCメンバー　社長紹介</t>
    <rPh sb="0" eb="2">
      <t>タカラヅカ</t>
    </rPh>
    <rPh sb="9" eb="13">
      <t>シャチョウショウカイ</t>
    </rPh>
    <phoneticPr fontId="1"/>
  </si>
  <si>
    <t>別所　武</t>
    <rPh sb="0" eb="2">
      <t>ベッショ</t>
    </rPh>
    <rPh sb="3" eb="4">
      <t>タケシ</t>
    </rPh>
    <phoneticPr fontId="1"/>
  </si>
  <si>
    <t>ベッショ　タケシ</t>
    <phoneticPr fontId="1"/>
  </si>
  <si>
    <t>大阪府池田市室町10-17</t>
    <rPh sb="0" eb="3">
      <t>オオサカフ</t>
    </rPh>
    <rPh sb="3" eb="6">
      <t>イケダシ</t>
    </rPh>
    <rPh sb="6" eb="8">
      <t>ムロマチ</t>
    </rPh>
    <phoneticPr fontId="1"/>
  </si>
  <si>
    <t>5.4km</t>
    <phoneticPr fontId="1"/>
  </si>
  <si>
    <t>take4b1985@i.softbank.jp</t>
    <phoneticPr fontId="1"/>
  </si>
  <si>
    <t>090-6482-1131</t>
    <phoneticPr fontId="1"/>
  </si>
  <si>
    <t>阪本　宏樹</t>
    <rPh sb="0" eb="2">
      <t>サカモト</t>
    </rPh>
    <rPh sb="3" eb="5">
      <t>ヒロキ</t>
    </rPh>
    <phoneticPr fontId="1"/>
  </si>
  <si>
    <t>サカモト　ヒロキ</t>
    <phoneticPr fontId="1"/>
  </si>
  <si>
    <t>596-0825</t>
    <phoneticPr fontId="1"/>
  </si>
  <si>
    <t>大阪府岸和田市土生町3-3-8-303</t>
    <rPh sb="0" eb="10">
      <t>596-0825</t>
    </rPh>
    <phoneticPr fontId="1"/>
  </si>
  <si>
    <t>hirokisensei@i.softbank.jp</t>
    <phoneticPr fontId="1"/>
  </si>
  <si>
    <t>080-5300-0919</t>
    <phoneticPr fontId="1"/>
  </si>
  <si>
    <t>原田　和哉</t>
    <rPh sb="0" eb="2">
      <t>ハラダ</t>
    </rPh>
    <rPh sb="3" eb="5">
      <t>カズヤ</t>
    </rPh>
    <phoneticPr fontId="1"/>
  </si>
  <si>
    <t>ハラダ　カズヤ</t>
    <phoneticPr fontId="1"/>
  </si>
  <si>
    <t>兵庫県宝塚市湯本町10-382</t>
    <rPh sb="0" eb="9">
      <t>665-0003</t>
    </rPh>
    <phoneticPr fontId="1"/>
  </si>
  <si>
    <t>kzyaua117@gmail.com</t>
    <phoneticPr fontId="1"/>
  </si>
  <si>
    <t>090-3842-1203</t>
    <phoneticPr fontId="1"/>
  </si>
  <si>
    <t>中本　善久</t>
    <rPh sb="0" eb="2">
      <t>ナカモト</t>
    </rPh>
    <rPh sb="3" eb="5">
      <t>ヨシヒサ</t>
    </rPh>
    <phoneticPr fontId="1"/>
  </si>
  <si>
    <t>ナカモト　ヨシヒサ</t>
    <phoneticPr fontId="1"/>
  </si>
  <si>
    <t>大阪府大阪市北区野崎町1-30-1902</t>
    <rPh sb="0" eb="3">
      <t>オオサカフ</t>
    </rPh>
    <rPh sb="3" eb="6">
      <t>オオサカシ</t>
    </rPh>
    <rPh sb="6" eb="8">
      <t>キタク</t>
    </rPh>
    <rPh sb="8" eb="11">
      <t>ノザキチョウ</t>
    </rPh>
    <phoneticPr fontId="1"/>
  </si>
  <si>
    <t>090-5676-1799</t>
    <phoneticPr fontId="1"/>
  </si>
  <si>
    <t>原田和哉様　ご友人</t>
    <rPh sb="0" eb="2">
      <t>ハラダ</t>
    </rPh>
    <rPh sb="2" eb="4">
      <t>カズヤ</t>
    </rPh>
    <rPh sb="4" eb="5">
      <t>サマ</t>
    </rPh>
    <rPh sb="7" eb="9">
      <t>ユウジン</t>
    </rPh>
    <phoneticPr fontId="1"/>
  </si>
  <si>
    <t>架電の際は　090-9878-3839(仕事用)</t>
    <rPh sb="0" eb="2">
      <t>カデン</t>
    </rPh>
    <rPh sb="3" eb="4">
      <t>サイ</t>
    </rPh>
    <rPh sb="20" eb="23">
      <t>シゴトヨウ</t>
    </rPh>
    <phoneticPr fontId="1"/>
  </si>
  <si>
    <t>468-0074</t>
  </si>
  <si>
    <t>182㎞</t>
  </si>
  <si>
    <t>090-8864-5386</t>
  </si>
  <si>
    <t>再来(2021/9/3)</t>
    <rPh sb="0" eb="2">
      <t>サイライ</t>
    </rPh>
    <phoneticPr fontId="1"/>
  </si>
  <si>
    <t>イシブチ　コウイチ</t>
    <phoneticPr fontId="1"/>
  </si>
  <si>
    <t>八木　純平</t>
    <rPh sb="0" eb="2">
      <t>ヤギ</t>
    </rPh>
    <rPh sb="3" eb="5">
      <t>ジュンペイ</t>
    </rPh>
    <phoneticPr fontId="1"/>
  </si>
  <si>
    <t>ヤギ　ジュンペイ</t>
    <phoneticPr fontId="1"/>
  </si>
  <si>
    <t>大阪府池田市室町2-30</t>
    <rPh sb="6" eb="8">
      <t>ムロマチ</t>
    </rPh>
    <phoneticPr fontId="1"/>
  </si>
  <si>
    <t>5.1km</t>
    <phoneticPr fontId="1"/>
  </si>
  <si>
    <t>jyagi5876@cronos.ocn.ne.jp</t>
    <phoneticPr fontId="1"/>
  </si>
  <si>
    <t>090-3716-9086</t>
    <phoneticPr fontId="1"/>
  </si>
  <si>
    <t>水河　啓美</t>
    <rPh sb="0" eb="2">
      <t>ミズカワ</t>
    </rPh>
    <rPh sb="3" eb="5">
      <t>ヒロミ</t>
    </rPh>
    <phoneticPr fontId="1"/>
  </si>
  <si>
    <t>ミズカワ　ヒロミ</t>
    <phoneticPr fontId="1"/>
  </si>
  <si>
    <t>山下　真希</t>
    <rPh sb="0" eb="2">
      <t>ヤマシタ</t>
    </rPh>
    <rPh sb="3" eb="5">
      <t>マキ</t>
    </rPh>
    <phoneticPr fontId="1"/>
  </si>
  <si>
    <t>ヤマシタ　マサキ</t>
    <phoneticPr fontId="1"/>
  </si>
  <si>
    <t>562-0005</t>
    <phoneticPr fontId="1"/>
  </si>
  <si>
    <t>大阪府箕面市新稲7-7-6</t>
    <rPh sb="0" eb="3">
      <t>オオサカフ</t>
    </rPh>
    <rPh sb="3" eb="6">
      <t>ミノオシ</t>
    </rPh>
    <rPh sb="6" eb="8">
      <t>ニイナ</t>
    </rPh>
    <rPh sb="7" eb="8">
      <t>イネ</t>
    </rPh>
    <phoneticPr fontId="1"/>
  </si>
  <si>
    <t>兵庫県川西市けやき坂2-50-14</t>
    <rPh sb="0" eb="3">
      <t>ヒョウゴケン</t>
    </rPh>
    <rPh sb="3" eb="6">
      <t>カワニシシ</t>
    </rPh>
    <rPh sb="9" eb="10">
      <t>サカ</t>
    </rPh>
    <phoneticPr fontId="1"/>
  </si>
  <si>
    <t>10.1㎞</t>
    <phoneticPr fontId="1"/>
  </si>
  <si>
    <t>mizukawa-163@docomo.ne.jp</t>
    <phoneticPr fontId="1"/>
  </si>
  <si>
    <t>090-2389-7225</t>
    <phoneticPr fontId="1"/>
  </si>
  <si>
    <t>maki-yamashita@ann.hi-ho.ne.jp</t>
    <phoneticPr fontId="1"/>
  </si>
  <si>
    <t>090-8829-6444</t>
    <phoneticPr fontId="1"/>
  </si>
  <si>
    <t>三好　拓哉</t>
    <rPh sb="0" eb="2">
      <t>ミヨシ</t>
    </rPh>
    <rPh sb="3" eb="5">
      <t>タクヤ</t>
    </rPh>
    <phoneticPr fontId="1"/>
  </si>
  <si>
    <t>ミヨシ　タクヤ</t>
    <phoneticPr fontId="1"/>
  </si>
  <si>
    <t>664-0086</t>
    <phoneticPr fontId="1"/>
  </si>
  <si>
    <t>兵庫県伊丹市昆陽東1-2-27-1129</t>
    <rPh sb="0" eb="3">
      <t>ヒョウゴケン</t>
    </rPh>
    <rPh sb="3" eb="6">
      <t>イタミシ</t>
    </rPh>
    <rPh sb="6" eb="9">
      <t>コヤヒガシ</t>
    </rPh>
    <phoneticPr fontId="1"/>
  </si>
  <si>
    <t>tacn5296@gmail.com</t>
    <phoneticPr fontId="1"/>
  </si>
  <si>
    <t>090-9693-6216</t>
    <phoneticPr fontId="1"/>
  </si>
  <si>
    <t>戸川　順次</t>
    <rPh sb="0" eb="2">
      <t>トガワ</t>
    </rPh>
    <rPh sb="3" eb="5">
      <t>ジュンジ</t>
    </rPh>
    <phoneticPr fontId="1"/>
  </si>
  <si>
    <t>トガワ　ジュンジ</t>
    <phoneticPr fontId="1"/>
  </si>
  <si>
    <t>560-0024</t>
    <phoneticPr fontId="1"/>
  </si>
  <si>
    <t>大阪府豊中市末広町1-7-9</t>
    <rPh sb="0" eb="9">
      <t>560-0024</t>
    </rPh>
    <phoneticPr fontId="1"/>
  </si>
  <si>
    <t>090-3621-0769</t>
    <phoneticPr fontId="1"/>
  </si>
  <si>
    <t>逆井　良介</t>
    <rPh sb="0" eb="1">
      <t>サカ</t>
    </rPh>
    <rPh sb="1" eb="2">
      <t>イ</t>
    </rPh>
    <rPh sb="3" eb="5">
      <t>リョウスケ</t>
    </rPh>
    <phoneticPr fontId="1"/>
  </si>
  <si>
    <t>サカイ　リョウスケ</t>
    <phoneticPr fontId="1"/>
  </si>
  <si>
    <t>rs19901206@gmail.com</t>
    <phoneticPr fontId="1"/>
  </si>
  <si>
    <t>090-9977-2352</t>
    <phoneticPr fontId="1"/>
  </si>
  <si>
    <t>キノシタ　ケンタ</t>
    <phoneticPr fontId="1"/>
  </si>
  <si>
    <t>アフターフォロー　3/1レギュラー入会</t>
    <rPh sb="17" eb="19">
      <t>ニュウカイ</t>
    </rPh>
    <phoneticPr fontId="1"/>
  </si>
  <si>
    <t>吉田　一貴</t>
    <rPh sb="0" eb="2">
      <t>ヨシダ</t>
    </rPh>
    <rPh sb="3" eb="4">
      <t>イチ</t>
    </rPh>
    <rPh sb="4" eb="5">
      <t>キ</t>
    </rPh>
    <phoneticPr fontId="1"/>
  </si>
  <si>
    <t>ヨシダ　カズキ</t>
    <phoneticPr fontId="1"/>
  </si>
  <si>
    <t>兵庫県川西市小戸1-6-10-1</t>
    <rPh sb="0" eb="3">
      <t>ヒョウゴケン</t>
    </rPh>
    <rPh sb="3" eb="6">
      <t>カワニシシ</t>
    </rPh>
    <rPh sb="6" eb="7">
      <t>ショウ</t>
    </rPh>
    <rPh sb="7" eb="8">
      <t>ト</t>
    </rPh>
    <phoneticPr fontId="1"/>
  </si>
  <si>
    <t>090-9099-9741</t>
    <phoneticPr fontId="1"/>
  </si>
  <si>
    <t>石田　駿</t>
    <rPh sb="0" eb="2">
      <t>イシダ</t>
    </rPh>
    <rPh sb="3" eb="4">
      <t>シュン</t>
    </rPh>
    <phoneticPr fontId="1"/>
  </si>
  <si>
    <t>イシダ　シュン</t>
    <phoneticPr fontId="1"/>
  </si>
  <si>
    <t>大阪府池田市呉服町4-2-604</t>
    <rPh sb="0" eb="3">
      <t>オオサカフ</t>
    </rPh>
    <rPh sb="3" eb="6">
      <t>イケダシ</t>
    </rPh>
    <rPh sb="6" eb="9">
      <t>ゴフクチョウ</t>
    </rPh>
    <phoneticPr fontId="1"/>
  </si>
  <si>
    <t>ishun0404@yahoo.co.jp</t>
    <phoneticPr fontId="1"/>
  </si>
  <si>
    <t>090-1336-5069</t>
    <phoneticPr fontId="1"/>
  </si>
  <si>
    <t>冨士松　理奈</t>
    <rPh sb="0" eb="2">
      <t>フジ</t>
    </rPh>
    <rPh sb="2" eb="3">
      <t>マツ</t>
    </rPh>
    <rPh sb="4" eb="6">
      <t>リナ</t>
    </rPh>
    <phoneticPr fontId="1"/>
  </si>
  <si>
    <t>フジマツ　リナ</t>
    <phoneticPr fontId="1"/>
  </si>
  <si>
    <t>冨士松　大智</t>
    <rPh sb="0" eb="2">
      <t>フジ</t>
    </rPh>
    <rPh sb="2" eb="3">
      <t>マツ</t>
    </rPh>
    <rPh sb="4" eb="6">
      <t>タイチ</t>
    </rPh>
    <phoneticPr fontId="1"/>
  </si>
  <si>
    <t>フジマツ　タイチ</t>
    <phoneticPr fontId="1"/>
  </si>
  <si>
    <t>兵庫県宝塚市川面2-4-50</t>
    <rPh sb="0" eb="3">
      <t>ヒョウゴケン</t>
    </rPh>
    <rPh sb="3" eb="6">
      <t>タカラヅカシ</t>
    </rPh>
    <rPh sb="6" eb="8">
      <t>カワメン</t>
    </rPh>
    <phoneticPr fontId="1"/>
  </si>
  <si>
    <t>mspc1970@i.softbank.jp</t>
    <phoneticPr fontId="1"/>
  </si>
  <si>
    <t>090-8196-1238</t>
    <phoneticPr fontId="1"/>
  </si>
  <si>
    <t>090-2596-9477</t>
    <phoneticPr fontId="1"/>
  </si>
  <si>
    <t>オオノ　シュウイチロウ</t>
    <phoneticPr fontId="1"/>
  </si>
  <si>
    <t>兵庫県宝塚市山手台西2-2-24</t>
    <rPh sb="0" eb="3">
      <t>ヒョウゴケン</t>
    </rPh>
    <rPh sb="3" eb="6">
      <t>タカラヅカシ</t>
    </rPh>
    <rPh sb="6" eb="10">
      <t>ヤマテダイニシ</t>
    </rPh>
    <phoneticPr fontId="1"/>
  </si>
  <si>
    <t>五百尾　亮太</t>
    <rPh sb="0" eb="2">
      <t>ゴヒャク</t>
    </rPh>
    <rPh sb="2" eb="3">
      <t>オ</t>
    </rPh>
    <rPh sb="4" eb="6">
      <t>リョウタ</t>
    </rPh>
    <phoneticPr fontId="1"/>
  </si>
  <si>
    <t>イホオ　リョウタ</t>
    <phoneticPr fontId="1"/>
  </si>
  <si>
    <t>661-0003</t>
    <phoneticPr fontId="1"/>
  </si>
  <si>
    <t>兵庫県尼崎市富松町1-2-14</t>
    <rPh sb="0" eb="3">
      <t>ヒョウゴケン</t>
    </rPh>
    <rPh sb="3" eb="6">
      <t>アマガサキシ</t>
    </rPh>
    <rPh sb="6" eb="9">
      <t>トミマツチョウ</t>
    </rPh>
    <phoneticPr fontId="1"/>
  </si>
  <si>
    <t>i.500ryota@gmail.com</t>
    <phoneticPr fontId="1"/>
  </si>
  <si>
    <t>090-8164-6552</t>
    <phoneticPr fontId="1"/>
  </si>
  <si>
    <t>ノダ　シュウジ</t>
    <phoneticPr fontId="1"/>
  </si>
  <si>
    <t>2022/5/16　フィッティング再来</t>
    <rPh sb="17" eb="19">
      <t>サイライ</t>
    </rPh>
    <phoneticPr fontId="1"/>
  </si>
  <si>
    <t>永井　秀希</t>
    <rPh sb="0" eb="2">
      <t>ナガイ</t>
    </rPh>
    <rPh sb="3" eb="4">
      <t>シュウ</t>
    </rPh>
    <rPh sb="4" eb="5">
      <t>キ</t>
    </rPh>
    <phoneticPr fontId="1"/>
  </si>
  <si>
    <t>ナガイ　ヒデキ</t>
    <phoneticPr fontId="1"/>
  </si>
  <si>
    <t>770-0002</t>
    <phoneticPr fontId="1"/>
  </si>
  <si>
    <t>徳島県徳島市春日3-2-34</t>
    <rPh sb="0" eb="8">
      <t>770-0002</t>
    </rPh>
    <phoneticPr fontId="1"/>
  </si>
  <si>
    <t>tightclub.seven@gmail.com</t>
    <phoneticPr fontId="1"/>
  </si>
  <si>
    <t>090-1003-2005</t>
    <phoneticPr fontId="1"/>
  </si>
  <si>
    <t>TV番組</t>
    <rPh sb="2" eb="4">
      <t>バングミ</t>
    </rPh>
    <phoneticPr fontId="1"/>
  </si>
  <si>
    <t>光平　正人</t>
    <rPh sb="0" eb="1">
      <t>ヒカリ</t>
    </rPh>
    <rPh sb="1" eb="2">
      <t>タイラ</t>
    </rPh>
    <rPh sb="3" eb="5">
      <t>マサト</t>
    </rPh>
    <phoneticPr fontId="1"/>
  </si>
  <si>
    <t>ミツヒラ　マサト</t>
    <phoneticPr fontId="1"/>
  </si>
  <si>
    <t>779-3303</t>
    <phoneticPr fontId="1"/>
  </si>
  <si>
    <t>徳島県吉野川市川島町桑村178-62</t>
    <rPh sb="0" eb="12">
      <t>779-3303</t>
    </rPh>
    <phoneticPr fontId="1"/>
  </si>
  <si>
    <t>090-1328-2288</t>
    <phoneticPr fontId="1"/>
  </si>
  <si>
    <t>大阪府大阪市北区大淀南3-6-10-405</t>
    <rPh sb="0" eb="11">
      <t>531-0075</t>
    </rPh>
    <phoneticPr fontId="1"/>
  </si>
  <si>
    <t>FAX番号　088-632-0737</t>
    <rPh sb="3" eb="5">
      <t>バンゴウ</t>
    </rPh>
    <phoneticPr fontId="1"/>
  </si>
  <si>
    <t>広島県広島市西区観音新町１丁目１９−４</t>
    <phoneticPr fontId="1"/>
  </si>
  <si>
    <t>大野　健悟</t>
    <rPh sb="0" eb="2">
      <t>オオノ</t>
    </rPh>
    <rPh sb="3" eb="4">
      <t>タケシ</t>
    </rPh>
    <rPh sb="4" eb="5">
      <t>サトル</t>
    </rPh>
    <phoneticPr fontId="1"/>
  </si>
  <si>
    <t>オオノ　ケンゴ</t>
    <phoneticPr fontId="1"/>
  </si>
  <si>
    <t>080-3118-9910</t>
    <phoneticPr fontId="1"/>
  </si>
  <si>
    <t>tt017 大野眞実様ご家族</t>
    <rPh sb="6" eb="8">
      <t>オオノ</t>
    </rPh>
    <rPh sb="8" eb="9">
      <t>マコト</t>
    </rPh>
    <rPh sb="9" eb="10">
      <t>ミノル</t>
    </rPh>
    <rPh sb="10" eb="11">
      <t>サマ</t>
    </rPh>
    <rPh sb="12" eb="14">
      <t>カゾク</t>
    </rPh>
    <phoneticPr fontId="1"/>
  </si>
  <si>
    <t>徳永　拓也</t>
    <rPh sb="0" eb="2">
      <t>トクナガ</t>
    </rPh>
    <rPh sb="3" eb="5">
      <t>タクヤ</t>
    </rPh>
    <phoneticPr fontId="1"/>
  </si>
  <si>
    <t>トクナガ　タクヤ</t>
    <phoneticPr fontId="1"/>
  </si>
  <si>
    <t>兵庫県たつの市誉田町広山481-4</t>
    <rPh sb="0" eb="3">
      <t>ヒョウゴケン</t>
    </rPh>
    <rPh sb="6" eb="7">
      <t>シ</t>
    </rPh>
    <rPh sb="7" eb="8">
      <t>ホマレ</t>
    </rPh>
    <rPh sb="8" eb="9">
      <t>タ</t>
    </rPh>
    <rPh sb="9" eb="10">
      <t>チョウ</t>
    </rPh>
    <rPh sb="10" eb="12">
      <t>ヒロヤマ</t>
    </rPh>
    <phoneticPr fontId="1"/>
  </si>
  <si>
    <t>090-5362-8291</t>
    <phoneticPr fontId="1"/>
  </si>
  <si>
    <t>森尾　道豪</t>
    <rPh sb="0" eb="2">
      <t>モリオ</t>
    </rPh>
    <rPh sb="3" eb="4">
      <t>ミチ</t>
    </rPh>
    <rPh sb="4" eb="5">
      <t>ゴウ</t>
    </rPh>
    <phoneticPr fontId="1"/>
  </si>
  <si>
    <t>モリオ　ミチタケ</t>
    <phoneticPr fontId="1"/>
  </si>
  <si>
    <t>679-4311</t>
    <phoneticPr fontId="1"/>
  </si>
  <si>
    <t>679-4134</t>
    <phoneticPr fontId="1"/>
  </si>
  <si>
    <t>兵庫県たつの市新宮町宮内266-1</t>
    <rPh sb="0" eb="3">
      <t>ヒョウゴケン</t>
    </rPh>
    <rPh sb="6" eb="7">
      <t>シ</t>
    </rPh>
    <rPh sb="7" eb="10">
      <t>シングウチョウ</t>
    </rPh>
    <rPh sb="10" eb="12">
      <t>ミヤウチ</t>
    </rPh>
    <phoneticPr fontId="1"/>
  </si>
  <si>
    <t>94.4㎞</t>
    <phoneticPr fontId="1"/>
  </si>
  <si>
    <t>x-trail0903@ezweb.ne.jp</t>
    <phoneticPr fontId="1"/>
  </si>
  <si>
    <t>080-3133-8069</t>
    <phoneticPr fontId="1"/>
  </si>
  <si>
    <t>満園　俊</t>
    <rPh sb="0" eb="1">
      <t>マン</t>
    </rPh>
    <rPh sb="1" eb="2">
      <t>ソノ</t>
    </rPh>
    <rPh sb="3" eb="4">
      <t>シュン</t>
    </rPh>
    <phoneticPr fontId="1"/>
  </si>
  <si>
    <t>ミツゾノ　シュン</t>
    <phoneticPr fontId="1"/>
  </si>
  <si>
    <t>兵庫県宝塚市山本西2-8-18</t>
    <rPh sb="0" eb="6">
      <t>ヒョウゴケンタカラヅカシ</t>
    </rPh>
    <rPh sb="6" eb="8">
      <t>ヤマモト</t>
    </rPh>
    <rPh sb="8" eb="9">
      <t>ニシ</t>
    </rPh>
    <phoneticPr fontId="1"/>
  </si>
  <si>
    <t>shun0513@hotmail.com</t>
    <phoneticPr fontId="1"/>
  </si>
  <si>
    <t>080-1401-3367</t>
    <phoneticPr fontId="1"/>
  </si>
  <si>
    <t>松田　浩典</t>
    <rPh sb="0" eb="2">
      <t>マツダ</t>
    </rPh>
    <rPh sb="3" eb="4">
      <t>ヒロ</t>
    </rPh>
    <rPh sb="4" eb="5">
      <t>テン</t>
    </rPh>
    <phoneticPr fontId="1"/>
  </si>
  <si>
    <t>マツダ　ヒロノリ</t>
    <phoneticPr fontId="1"/>
  </si>
  <si>
    <t>675-0053</t>
    <phoneticPr fontId="1"/>
  </si>
  <si>
    <t>兵庫県加古川市米田町船頭537-1-318</t>
    <rPh sb="0" eb="7">
      <t>ヒョウゴケンカコガワシ</t>
    </rPh>
    <rPh sb="7" eb="10">
      <t>ヨネダチョウ</t>
    </rPh>
    <rPh sb="10" eb="11">
      <t>フネ</t>
    </rPh>
    <rPh sb="11" eb="12">
      <t>アタマ</t>
    </rPh>
    <phoneticPr fontId="1"/>
  </si>
  <si>
    <t>090-5054-9841</t>
    <phoneticPr fontId="1"/>
  </si>
  <si>
    <t>カナタニ　ユウダイ</t>
    <phoneticPr fontId="1"/>
  </si>
  <si>
    <t>金谷　裕大</t>
    <rPh sb="0" eb="2">
      <t>カナタニ</t>
    </rPh>
    <rPh sb="3" eb="4">
      <t>ユウ</t>
    </rPh>
    <rPh sb="4" eb="5">
      <t>ダイ</t>
    </rPh>
    <phoneticPr fontId="1"/>
  </si>
  <si>
    <t>yudai@kanatani.co.jp</t>
    <phoneticPr fontId="1"/>
  </si>
  <si>
    <t>090-5641-1103</t>
    <phoneticPr fontId="1"/>
  </si>
  <si>
    <t>宝塚GCメンバー</t>
    <rPh sb="0" eb="2">
      <t>タカラヅカ</t>
    </rPh>
    <phoneticPr fontId="1"/>
  </si>
  <si>
    <t>68.9km</t>
    <phoneticPr fontId="1"/>
  </si>
  <si>
    <t>7.6km</t>
    <phoneticPr fontId="1"/>
  </si>
  <si>
    <t>兵庫県宝塚市逆瀬台2-9-5</t>
  </si>
  <si>
    <t>8.2㎞</t>
    <phoneticPr fontId="1"/>
  </si>
  <si>
    <t>堀江　護</t>
    <rPh sb="0" eb="2">
      <t>ホリエ</t>
    </rPh>
    <rPh sb="3" eb="4">
      <t>マモル</t>
    </rPh>
    <phoneticPr fontId="1"/>
  </si>
  <si>
    <t>ホリエ　マモル</t>
    <phoneticPr fontId="1"/>
  </si>
  <si>
    <t>665-6809</t>
    <phoneticPr fontId="1"/>
  </si>
  <si>
    <t>兵庫県宝塚市雲雀丘山手1-18-18</t>
    <rPh sb="0" eb="3">
      <t>ヒョウゴケン</t>
    </rPh>
    <rPh sb="3" eb="6">
      <t>タカラヅカシ</t>
    </rPh>
    <rPh sb="6" eb="9">
      <t>ヒバリガオカ</t>
    </rPh>
    <rPh sb="9" eb="11">
      <t>ヤマテ</t>
    </rPh>
    <phoneticPr fontId="1"/>
  </si>
  <si>
    <t>holly0804_7@hotmail.com</t>
    <phoneticPr fontId="1"/>
  </si>
  <si>
    <t>072-743-2551</t>
    <phoneticPr fontId="1"/>
  </si>
  <si>
    <t>インナミ　ユウスケ</t>
    <phoneticPr fontId="1"/>
  </si>
  <si>
    <t>森　直樹</t>
    <rPh sb="0" eb="1">
      <t>モリ</t>
    </rPh>
    <rPh sb="2" eb="4">
      <t>ナオキ</t>
    </rPh>
    <phoneticPr fontId="1"/>
  </si>
  <si>
    <t>モリ　ナオキ</t>
    <phoneticPr fontId="1"/>
  </si>
  <si>
    <t>621-0824</t>
    <phoneticPr fontId="1"/>
  </si>
  <si>
    <t>京都府亀岡市篠町見晴6-6-3</t>
    <rPh sb="0" eb="10">
      <t>621-0824</t>
    </rPh>
    <phoneticPr fontId="1"/>
  </si>
  <si>
    <t>nmori100663@gmail.com</t>
    <phoneticPr fontId="1"/>
  </si>
  <si>
    <t>080-5335-0663</t>
    <phoneticPr fontId="1"/>
  </si>
  <si>
    <t>社長の知人</t>
    <rPh sb="0" eb="2">
      <t>シャチョウ</t>
    </rPh>
    <rPh sb="3" eb="5">
      <t>チジン</t>
    </rPh>
    <phoneticPr fontId="1"/>
  </si>
  <si>
    <t>塩入　正章</t>
    <rPh sb="0" eb="2">
      <t>シオイリ</t>
    </rPh>
    <rPh sb="3" eb="5">
      <t>マサアキ</t>
    </rPh>
    <phoneticPr fontId="1"/>
  </si>
  <si>
    <t>シオイリ　マサアキ</t>
    <phoneticPr fontId="1"/>
  </si>
  <si>
    <t>兵庫県西宮市名塩さくら台3-12-17</t>
    <rPh sb="0" eb="3">
      <t>ヒョウゴケン</t>
    </rPh>
    <rPh sb="3" eb="6">
      <t>ニシノミヤシ</t>
    </rPh>
    <rPh sb="6" eb="8">
      <t>ナジオ</t>
    </rPh>
    <rPh sb="11" eb="12">
      <t>ダイ</t>
    </rPh>
    <phoneticPr fontId="1"/>
  </si>
  <si>
    <t>090-3285-3961</t>
    <phoneticPr fontId="1"/>
  </si>
  <si>
    <t>ma-shioiri@emuzucom.co.jp</t>
    <phoneticPr fontId="1"/>
  </si>
  <si>
    <t>薮中　晋</t>
    <rPh sb="0" eb="2">
      <t>ヤブナカ</t>
    </rPh>
    <rPh sb="3" eb="4">
      <t>シン</t>
    </rPh>
    <phoneticPr fontId="1"/>
  </si>
  <si>
    <t>ヤブナカ　ススム</t>
    <phoneticPr fontId="1"/>
  </si>
  <si>
    <t>若原　佳子</t>
    <rPh sb="0" eb="2">
      <t>ワカハラ</t>
    </rPh>
    <rPh sb="3" eb="5">
      <t>ケイコ</t>
    </rPh>
    <phoneticPr fontId="1"/>
  </si>
  <si>
    <t>ワカハラ　ケイコ</t>
    <phoneticPr fontId="1"/>
  </si>
  <si>
    <t>665-0855</t>
    <phoneticPr fontId="1"/>
  </si>
  <si>
    <t>兵庫県宝塚市売布きよしが丘7-5</t>
    <rPh sb="0" eb="3">
      <t>ヒョウゴケン</t>
    </rPh>
    <rPh sb="3" eb="6">
      <t>タカラヅカシ</t>
    </rPh>
    <rPh sb="6" eb="8">
      <t>メフ</t>
    </rPh>
    <rPh sb="12" eb="13">
      <t>オカ</t>
    </rPh>
    <phoneticPr fontId="1"/>
  </si>
  <si>
    <t>658-0053</t>
    <phoneticPr fontId="1"/>
  </si>
  <si>
    <t>兵庫県神戸市東灘区西岡本2-7-1-161</t>
    <rPh sb="0" eb="2">
      <t>ヒョウゴ</t>
    </rPh>
    <rPh sb="2" eb="3">
      <t>ケン</t>
    </rPh>
    <rPh sb="3" eb="5">
      <t>コウベ</t>
    </rPh>
    <rPh sb="5" eb="6">
      <t>シ</t>
    </rPh>
    <rPh sb="6" eb="8">
      <t>ヒガシナダ</t>
    </rPh>
    <rPh sb="8" eb="9">
      <t>ク</t>
    </rPh>
    <rPh sb="9" eb="10">
      <t>ニシ</t>
    </rPh>
    <rPh sb="10" eb="12">
      <t>オカモト</t>
    </rPh>
    <phoneticPr fontId="1"/>
  </si>
  <si>
    <t>19㎞</t>
    <phoneticPr fontId="1"/>
  </si>
  <si>
    <t>080-4393-8069</t>
    <phoneticPr fontId="1"/>
  </si>
  <si>
    <t>090-1506-4916</t>
    <phoneticPr fontId="1"/>
  </si>
  <si>
    <t>岡本尚子様ご紹介　¥5,000OFF</t>
    <rPh sb="0" eb="4">
      <t>オカモトナオコ</t>
    </rPh>
    <rPh sb="4" eb="5">
      <t>サマ</t>
    </rPh>
    <rPh sb="6" eb="8">
      <t>ショウカイ</t>
    </rPh>
    <phoneticPr fontId="1"/>
  </si>
  <si>
    <t>田口　茂雄</t>
    <rPh sb="0" eb="2">
      <t>タグチ</t>
    </rPh>
    <rPh sb="3" eb="5">
      <t>シゲオ</t>
    </rPh>
    <phoneticPr fontId="1"/>
  </si>
  <si>
    <t>タグチ　シゲオ</t>
    <phoneticPr fontId="1"/>
  </si>
  <si>
    <t>兵庫県川西市花屋敷山手町13-5-9</t>
    <rPh sb="0" eb="3">
      <t>ヒョウゴケン</t>
    </rPh>
    <rPh sb="3" eb="6">
      <t>カワニシシ</t>
    </rPh>
    <rPh sb="6" eb="9">
      <t>ハナヤシキ</t>
    </rPh>
    <rPh sb="9" eb="12">
      <t>ヤマテチョウ</t>
    </rPh>
    <phoneticPr fontId="1"/>
  </si>
  <si>
    <t>tagechi1255@gmail.com</t>
    <phoneticPr fontId="1"/>
  </si>
  <si>
    <t>090-1246-1255</t>
    <phoneticPr fontId="1"/>
  </si>
  <si>
    <t>原田　大雅</t>
    <rPh sb="0" eb="2">
      <t>ハラダ</t>
    </rPh>
    <rPh sb="3" eb="4">
      <t>ダイ</t>
    </rPh>
    <rPh sb="4" eb="5">
      <t>ガ</t>
    </rPh>
    <phoneticPr fontId="1"/>
  </si>
  <si>
    <t>ハラダ　タイガ</t>
    <phoneticPr fontId="1"/>
  </si>
  <si>
    <t>兵庫県宝塚市湯本町10-38-2</t>
    <rPh sb="0" eb="9">
      <t>665-0003</t>
    </rPh>
    <phoneticPr fontId="1"/>
  </si>
  <si>
    <t>090-3842-1203</t>
  </si>
  <si>
    <t>tr239原田様 ご家族</t>
    <rPh sb="5" eb="8">
      <t>ハラダサマ</t>
    </rPh>
    <rPh sb="10" eb="12">
      <t>カゾク</t>
    </rPh>
    <phoneticPr fontId="1"/>
  </si>
  <si>
    <t>間所　伸央</t>
    <rPh sb="0" eb="2">
      <t>マドコロ</t>
    </rPh>
    <rPh sb="3" eb="4">
      <t>シン</t>
    </rPh>
    <rPh sb="4" eb="5">
      <t>オウ</t>
    </rPh>
    <phoneticPr fontId="1"/>
  </si>
  <si>
    <t>マドコロ　ノブオ</t>
    <phoneticPr fontId="1"/>
  </si>
  <si>
    <t>665-0843</t>
    <phoneticPr fontId="1"/>
  </si>
  <si>
    <t>兵庫県宝塚市宮の町4-23</t>
    <rPh sb="0" eb="3">
      <t>ヒョウゴケン</t>
    </rPh>
    <rPh sb="3" eb="6">
      <t>タカラヅカシ</t>
    </rPh>
    <rPh sb="6" eb="7">
      <t>ミヤ</t>
    </rPh>
    <rPh sb="8" eb="9">
      <t>チョウ</t>
    </rPh>
    <phoneticPr fontId="1"/>
  </si>
  <si>
    <t>090-3616-0400</t>
    <phoneticPr fontId="1"/>
  </si>
  <si>
    <t>駒木根様ご友人</t>
    <rPh sb="0" eb="3">
      <t>コマキネ</t>
    </rPh>
    <rPh sb="3" eb="4">
      <t>サマ</t>
    </rPh>
    <rPh sb="5" eb="7">
      <t>ユウジン</t>
    </rPh>
    <phoneticPr fontId="1"/>
  </si>
  <si>
    <t>堀江　真理子</t>
    <rPh sb="0" eb="2">
      <t>ホリエ</t>
    </rPh>
    <rPh sb="3" eb="6">
      <t>マリコ</t>
    </rPh>
    <phoneticPr fontId="1"/>
  </si>
  <si>
    <t>ホリエ　マリコ</t>
    <phoneticPr fontId="1"/>
  </si>
  <si>
    <t>兵庫県宝塚市雲雀丘山手1-18-18</t>
    <rPh sb="0" eb="3">
      <t>ヒョウゴケン</t>
    </rPh>
    <rPh sb="3" eb="6">
      <t>タカラヅカシ</t>
    </rPh>
    <rPh sb="6" eb="11">
      <t>ヒバリガオカヤマテ</t>
    </rPh>
    <phoneticPr fontId="1"/>
  </si>
  <si>
    <t>tr244　堀江護様　奥様</t>
    <rPh sb="6" eb="9">
      <t>ホリエマモル</t>
    </rPh>
    <rPh sb="9" eb="10">
      <t>サマ</t>
    </rPh>
    <rPh sb="11" eb="13">
      <t>オクサマ</t>
    </rPh>
    <phoneticPr fontId="1"/>
  </si>
  <si>
    <t>中家　大樹</t>
    <rPh sb="0" eb="2">
      <t>ナカイエ</t>
    </rPh>
    <rPh sb="3" eb="5">
      <t>ダイキ</t>
    </rPh>
    <phoneticPr fontId="1"/>
  </si>
  <si>
    <t>ナカイエ　ダイキ</t>
    <phoneticPr fontId="1"/>
  </si>
  <si>
    <t>大阪府池田市五月丘5-2-28</t>
    <rPh sb="0" eb="9">
      <t>563-0029</t>
    </rPh>
    <phoneticPr fontId="1"/>
  </si>
  <si>
    <t>080-2476-2624</t>
    <phoneticPr fontId="1"/>
  </si>
  <si>
    <t>tr239原田様 ご友人</t>
    <rPh sb="10" eb="12">
      <t>ユウジン</t>
    </rPh>
    <phoneticPr fontId="1"/>
  </si>
  <si>
    <t>眞田　昌司</t>
    <rPh sb="0" eb="2">
      <t>サナダ</t>
    </rPh>
    <rPh sb="3" eb="5">
      <t>ショウジ</t>
    </rPh>
    <phoneticPr fontId="1"/>
  </si>
  <si>
    <t>サナダ　マサシ</t>
    <phoneticPr fontId="1"/>
  </si>
  <si>
    <t>080-6118-0034</t>
    <phoneticPr fontId="1"/>
  </si>
  <si>
    <t>569-0085</t>
    <phoneticPr fontId="1"/>
  </si>
  <si>
    <t>大阪府高槻市南松原町1-3-111</t>
    <rPh sb="0" eb="10">
      <t>569-0085</t>
    </rPh>
    <phoneticPr fontId="1"/>
  </si>
  <si>
    <t>tr225北川様のご紹介</t>
    <rPh sb="5" eb="7">
      <t>キタガワ</t>
    </rPh>
    <rPh sb="7" eb="8">
      <t>サマ</t>
    </rPh>
    <rPh sb="10" eb="12">
      <t>ショウカイ</t>
    </rPh>
    <phoneticPr fontId="1"/>
  </si>
  <si>
    <t>大竹　敦子</t>
    <rPh sb="0" eb="2">
      <t>オオタケ</t>
    </rPh>
    <rPh sb="3" eb="5">
      <t>アツコ</t>
    </rPh>
    <phoneticPr fontId="1"/>
  </si>
  <si>
    <t>オオタケ　アツコ</t>
    <phoneticPr fontId="1"/>
  </si>
  <si>
    <t>兵庫県川西市南野坂2-30-2</t>
    <rPh sb="0" eb="9">
      <t>666-0136</t>
    </rPh>
    <phoneticPr fontId="1"/>
  </si>
  <si>
    <t>090-3826-1004</t>
    <phoneticPr fontId="1"/>
  </si>
  <si>
    <t>原田　伸郎</t>
    <rPh sb="0" eb="2">
      <t>ハラダ</t>
    </rPh>
    <rPh sb="3" eb="5">
      <t>ノブロウ</t>
    </rPh>
    <phoneticPr fontId="1"/>
  </si>
  <si>
    <t>ハラダ　ノブロウ</t>
    <phoneticPr fontId="1"/>
  </si>
  <si>
    <t>大阪府豊中市緑丘1-32-11-604</t>
    <rPh sb="0" eb="8">
      <t>560-0002</t>
    </rPh>
    <phoneticPr fontId="1"/>
  </si>
  <si>
    <t>090-3708-5444</t>
    <phoneticPr fontId="1"/>
  </si>
  <si>
    <t>太平サブロー様のご紹介</t>
    <rPh sb="0" eb="1">
      <t>フト</t>
    </rPh>
    <rPh sb="1" eb="2">
      <t>タイラ</t>
    </rPh>
    <rPh sb="6" eb="7">
      <t>サマ</t>
    </rPh>
    <rPh sb="9" eb="11">
      <t>ショウカイ</t>
    </rPh>
    <phoneticPr fontId="1"/>
  </si>
  <si>
    <t>シゲナリ　アキラ</t>
    <phoneticPr fontId="1"/>
  </si>
  <si>
    <t>兵庫県宝塚市口谷東1-1-10-102</t>
    <rPh sb="0" eb="9">
      <t>665-0812</t>
    </rPh>
    <phoneticPr fontId="1"/>
  </si>
  <si>
    <t>aksn170@gmail.com</t>
    <phoneticPr fontId="1"/>
  </si>
  <si>
    <t>元チケット会員様</t>
    <rPh sb="0" eb="1">
      <t>モト</t>
    </rPh>
    <rPh sb="5" eb="8">
      <t>カイインサマ</t>
    </rPh>
    <phoneticPr fontId="1"/>
  </si>
  <si>
    <t>タジマ　ヒロフミ</t>
    <phoneticPr fontId="1"/>
  </si>
  <si>
    <t>田島　博文</t>
    <rPh sb="0" eb="2">
      <t>タジマ</t>
    </rPh>
    <rPh sb="3" eb="5">
      <t>ヒロフミ</t>
    </rPh>
    <phoneticPr fontId="1"/>
  </si>
  <si>
    <t>663-8002</t>
    <phoneticPr fontId="1"/>
  </si>
  <si>
    <t>兵庫県西宮市一里山町7-11</t>
    <rPh sb="0" eb="3">
      <t>ヒョウゴケン</t>
    </rPh>
    <rPh sb="3" eb="6">
      <t>ニシノミヤシ</t>
    </rPh>
    <rPh sb="6" eb="7">
      <t>イチ</t>
    </rPh>
    <rPh sb="7" eb="8">
      <t>サト</t>
    </rPh>
    <rPh sb="8" eb="10">
      <t>ヤマチョウ</t>
    </rPh>
    <phoneticPr fontId="1"/>
  </si>
  <si>
    <t>6.5㎞</t>
    <phoneticPr fontId="1"/>
  </si>
  <si>
    <t>090-3923-2388</t>
    <phoneticPr fontId="1"/>
  </si>
  <si>
    <t>マツモト　ヒロシ</t>
    <phoneticPr fontId="1"/>
  </si>
  <si>
    <t>兵庫県尼崎市南武庫之荘10-4-6</t>
    <rPh sb="0" eb="11">
      <t>661-0033</t>
    </rPh>
    <phoneticPr fontId="1"/>
  </si>
  <si>
    <t>堀古　修平</t>
    <rPh sb="0" eb="1">
      <t>ホリ</t>
    </rPh>
    <rPh sb="1" eb="2">
      <t>コ</t>
    </rPh>
    <rPh sb="3" eb="5">
      <t>シュウヘイ</t>
    </rPh>
    <phoneticPr fontId="1"/>
  </si>
  <si>
    <t>ホリコ　シュウヘイ</t>
    <phoneticPr fontId="1"/>
  </si>
  <si>
    <t>兵庫県伊丹市荒牧1丁目11-24</t>
    <rPh sb="0" eb="3">
      <t>ヒョウゴケン</t>
    </rPh>
    <rPh sb="3" eb="6">
      <t>イタミシ</t>
    </rPh>
    <rPh sb="6" eb="8">
      <t>アラマキ</t>
    </rPh>
    <rPh sb="9" eb="11">
      <t>チョウメ</t>
    </rPh>
    <phoneticPr fontId="1"/>
  </si>
  <si>
    <t>080-1449-9155</t>
    <phoneticPr fontId="1"/>
  </si>
  <si>
    <t>?</t>
    <phoneticPr fontId="1"/>
  </si>
  <si>
    <t>中西　敏彦</t>
    <rPh sb="0" eb="2">
      <t>ナカニシ</t>
    </rPh>
    <rPh sb="3" eb="5">
      <t>トシヒコ</t>
    </rPh>
    <phoneticPr fontId="1"/>
  </si>
  <si>
    <t>ナカニシ　トシヒコ</t>
    <phoneticPr fontId="1"/>
  </si>
  <si>
    <t>669-3581</t>
    <phoneticPr fontId="1"/>
  </si>
  <si>
    <t>兵庫県丹波市氷上町稲畑563-1</t>
    <rPh sb="0" eb="3">
      <t>ヒョウゴケン</t>
    </rPh>
    <rPh sb="3" eb="6">
      <t>タンバシ</t>
    </rPh>
    <rPh sb="6" eb="9">
      <t>ヒョウジョウマチ</t>
    </rPh>
    <rPh sb="9" eb="11">
      <t>イナハタ</t>
    </rPh>
    <phoneticPr fontId="1"/>
  </si>
  <si>
    <t>090-2047-7718</t>
    <phoneticPr fontId="1"/>
  </si>
  <si>
    <t>74.6km</t>
    <phoneticPr fontId="1"/>
  </si>
  <si>
    <t>16.4㎞</t>
  </si>
  <si>
    <t>リピーター(2022/6/25)</t>
    <phoneticPr fontId="1"/>
  </si>
  <si>
    <t>ハセガワ　ヨシタカ</t>
    <phoneticPr fontId="1"/>
  </si>
  <si>
    <t>永井　ちせ</t>
    <rPh sb="0" eb="2">
      <t>ナガイ</t>
    </rPh>
    <phoneticPr fontId="1"/>
  </si>
  <si>
    <t>ナガイ　チセ</t>
    <phoneticPr fontId="1"/>
  </si>
  <si>
    <t>670-0973</t>
    <phoneticPr fontId="1"/>
  </si>
  <si>
    <t>兵庫県姫路市亀山1-200-6</t>
    <rPh sb="0" eb="3">
      <t>ヒョウゴケン</t>
    </rPh>
    <rPh sb="3" eb="6">
      <t>ヒメジシ</t>
    </rPh>
    <rPh sb="6" eb="8">
      <t>カメヤマ</t>
    </rPh>
    <phoneticPr fontId="1"/>
  </si>
  <si>
    <t>080-4231-0580</t>
    <phoneticPr fontId="1"/>
  </si>
  <si>
    <t>志野さんお知り合い リピーター</t>
    <rPh sb="0" eb="2">
      <t>シノ</t>
    </rPh>
    <rPh sb="5" eb="6">
      <t>シ</t>
    </rPh>
    <rPh sb="7" eb="8">
      <t>ア</t>
    </rPh>
    <phoneticPr fontId="1"/>
  </si>
  <si>
    <t>井上　貴晶</t>
    <rPh sb="0" eb="2">
      <t>イノウエ</t>
    </rPh>
    <rPh sb="3" eb="4">
      <t>タカシ</t>
    </rPh>
    <rPh sb="4" eb="5">
      <t>アキラ</t>
    </rPh>
    <phoneticPr fontId="1"/>
  </si>
  <si>
    <t>イノウエ　タカアキ</t>
    <phoneticPr fontId="1"/>
  </si>
  <si>
    <t>666-0116</t>
    <phoneticPr fontId="1"/>
  </si>
  <si>
    <t>兵庫県川西市水明台4-8-7</t>
    <rPh sb="0" eb="9">
      <t>666-0116</t>
    </rPh>
    <phoneticPr fontId="1"/>
  </si>
  <si>
    <t>takalv24@gmail.com</t>
    <phoneticPr fontId="1"/>
  </si>
  <si>
    <t>090-8795-8511</t>
    <phoneticPr fontId="1"/>
  </si>
  <si>
    <t>野田　優綺</t>
    <rPh sb="0" eb="2">
      <t>ノダ</t>
    </rPh>
    <rPh sb="3" eb="4">
      <t>ヤサ</t>
    </rPh>
    <rPh sb="4" eb="5">
      <t>アヤ</t>
    </rPh>
    <phoneticPr fontId="1"/>
  </si>
  <si>
    <t>ノダ　ユウキ</t>
    <phoneticPr fontId="1"/>
  </si>
  <si>
    <t>n-ty2.vip@ezweb.ne.jp</t>
    <phoneticPr fontId="1"/>
  </si>
  <si>
    <t>080-6169-8536</t>
    <phoneticPr fontId="1"/>
  </si>
  <si>
    <t>川邉　隆平</t>
    <rPh sb="0" eb="2">
      <t>カワベ</t>
    </rPh>
    <rPh sb="3" eb="4">
      <t>リュウ</t>
    </rPh>
    <rPh sb="4" eb="5">
      <t>ヘイ</t>
    </rPh>
    <phoneticPr fontId="1"/>
  </si>
  <si>
    <t>カワベ　リュウヘイ</t>
    <phoneticPr fontId="1"/>
  </si>
  <si>
    <t>兵庫県川西市萩原台西3丁目256番地</t>
    <rPh sb="0" eb="3">
      <t>ヒョウゴケン</t>
    </rPh>
    <rPh sb="3" eb="6">
      <t>カワニシシ</t>
    </rPh>
    <rPh sb="6" eb="9">
      <t>ハギワラダイ</t>
    </rPh>
    <rPh sb="9" eb="10">
      <t>ニシ</t>
    </rPh>
    <rPh sb="11" eb="13">
      <t>チョウメ</t>
    </rPh>
    <rPh sb="16" eb="18">
      <t>バンチ</t>
    </rPh>
    <phoneticPr fontId="1"/>
  </si>
  <si>
    <t>1956royj04@gmail.com</t>
    <phoneticPr fontId="1"/>
  </si>
  <si>
    <t>090-2387-5031</t>
    <phoneticPr fontId="1"/>
  </si>
  <si>
    <t>5.7km</t>
    <phoneticPr fontId="1"/>
  </si>
  <si>
    <t>佐藤　繁利</t>
    <rPh sb="0" eb="2">
      <t>サトウ</t>
    </rPh>
    <rPh sb="3" eb="4">
      <t>シゲ</t>
    </rPh>
    <rPh sb="4" eb="5">
      <t>リ</t>
    </rPh>
    <phoneticPr fontId="1"/>
  </si>
  <si>
    <t>サトウ　シゲトシ</t>
    <phoneticPr fontId="1"/>
  </si>
  <si>
    <t>兵庫県神戸市北区道場町日下部1762-1-105</t>
    <rPh sb="0" eb="3">
      <t>ヒョウゴケン</t>
    </rPh>
    <rPh sb="3" eb="8">
      <t>コウベシキタク</t>
    </rPh>
    <rPh sb="8" eb="10">
      <t>ドウジョウ</t>
    </rPh>
    <rPh sb="10" eb="11">
      <t>マチ</t>
    </rPh>
    <rPh sb="11" eb="14">
      <t>クサカベ</t>
    </rPh>
    <phoneticPr fontId="1"/>
  </si>
  <si>
    <t>21㎞</t>
    <phoneticPr fontId="1"/>
  </si>
  <si>
    <t>090-6020-0033</t>
    <phoneticPr fontId="1"/>
  </si>
  <si>
    <t>体験利用　+　シャフト試打</t>
    <rPh sb="0" eb="4">
      <t>タイケンリヨウ</t>
    </rPh>
    <rPh sb="11" eb="13">
      <t>シダ</t>
    </rPh>
    <phoneticPr fontId="1"/>
  </si>
  <si>
    <t>651-1505</t>
    <phoneticPr fontId="1"/>
  </si>
  <si>
    <t>山下　哲弘</t>
    <rPh sb="0" eb="2">
      <t>ヤマシタ</t>
    </rPh>
    <rPh sb="3" eb="4">
      <t>テツ</t>
    </rPh>
    <rPh sb="4" eb="5">
      <t>ヒロ</t>
    </rPh>
    <phoneticPr fontId="1"/>
  </si>
  <si>
    <t>ヤマシタ　テツヒロ</t>
    <phoneticPr fontId="1"/>
  </si>
  <si>
    <t>653-0643</t>
    <phoneticPr fontId="1"/>
  </si>
  <si>
    <t>兵庫県神戸市長田区御屋敷通3-1-34-1104</t>
    <rPh sb="0" eb="3">
      <t>ヒョウゴケン</t>
    </rPh>
    <rPh sb="3" eb="6">
      <t>コウベシ</t>
    </rPh>
    <rPh sb="6" eb="9">
      <t>ナガタク</t>
    </rPh>
    <rPh sb="9" eb="10">
      <t>ゴ</t>
    </rPh>
    <rPh sb="10" eb="12">
      <t>ヤシキ</t>
    </rPh>
    <rPh sb="12" eb="13">
      <t>トオ</t>
    </rPh>
    <phoneticPr fontId="1"/>
  </si>
  <si>
    <t>090-5154-3402</t>
    <phoneticPr fontId="1"/>
  </si>
  <si>
    <t>林　直樹</t>
    <rPh sb="0" eb="1">
      <t>ハヤシ</t>
    </rPh>
    <rPh sb="2" eb="4">
      <t>ナオキ</t>
    </rPh>
    <phoneticPr fontId="1"/>
  </si>
  <si>
    <t>ハヤシ　ナオキ</t>
    <phoneticPr fontId="1"/>
  </si>
  <si>
    <t>560-0033</t>
    <phoneticPr fontId="1"/>
  </si>
  <si>
    <t>大阪府豊中市蛍池中町1-12-21-503</t>
    <rPh sb="0" eb="3">
      <t>オオサカフ</t>
    </rPh>
    <rPh sb="3" eb="6">
      <t>トヨナカシ</t>
    </rPh>
    <rPh sb="6" eb="8">
      <t>ホタルガイケ</t>
    </rPh>
    <rPh sb="8" eb="10">
      <t>ナカマチ</t>
    </rPh>
    <phoneticPr fontId="1"/>
  </si>
  <si>
    <t>verybesy-naoki@softbank.ne.jp</t>
    <phoneticPr fontId="1"/>
  </si>
  <si>
    <t>090-5255-1718</t>
    <phoneticPr fontId="1"/>
  </si>
  <si>
    <t>社長の知り合い</t>
    <rPh sb="0" eb="2">
      <t>シャチョウ</t>
    </rPh>
    <rPh sb="3" eb="4">
      <t>シ</t>
    </rPh>
    <rPh sb="5" eb="6">
      <t>ア</t>
    </rPh>
    <phoneticPr fontId="1"/>
  </si>
  <si>
    <t>湯浅　順也</t>
    <rPh sb="0" eb="2">
      <t>ユアサ</t>
    </rPh>
    <rPh sb="3" eb="5">
      <t>ジュンヤ</t>
    </rPh>
    <phoneticPr fontId="1"/>
  </si>
  <si>
    <t>ユアサ　ジュンヤ</t>
    <phoneticPr fontId="1"/>
  </si>
  <si>
    <t>兵庫県宝塚市山本野里3丁目20-102</t>
    <rPh sb="0" eb="10">
      <t>665-0814</t>
    </rPh>
    <rPh sb="11" eb="13">
      <t>チョウメ</t>
    </rPh>
    <phoneticPr fontId="1"/>
  </si>
  <si>
    <t>onefortheroad8419@gmail.coom</t>
    <phoneticPr fontId="1"/>
  </si>
  <si>
    <t>090-7385-2150</t>
    <phoneticPr fontId="1"/>
  </si>
  <si>
    <t>白岩　英雄</t>
    <rPh sb="0" eb="2">
      <t>シライワ</t>
    </rPh>
    <rPh sb="3" eb="5">
      <t>ヒデオ</t>
    </rPh>
    <phoneticPr fontId="1"/>
  </si>
  <si>
    <t>シライワ　ヒデオ</t>
    <phoneticPr fontId="1"/>
  </si>
  <si>
    <t>兵庫県宝塚市米谷2丁目3-6-204</t>
    <rPh sb="0" eb="6">
      <t>ヒョウゴケンタカラヅカシ</t>
    </rPh>
    <rPh sb="6" eb="8">
      <t>ヨネタニ</t>
    </rPh>
    <rPh sb="9" eb="11">
      <t>チョウメ</t>
    </rPh>
    <phoneticPr fontId="1"/>
  </si>
  <si>
    <t>090-7554-0019</t>
    <phoneticPr fontId="1"/>
  </si>
  <si>
    <t>大谷　哲平</t>
    <rPh sb="0" eb="2">
      <t>オオタニ</t>
    </rPh>
    <rPh sb="3" eb="5">
      <t>テッペイ</t>
    </rPh>
    <phoneticPr fontId="1"/>
  </si>
  <si>
    <t>オオタニ　テッペイ</t>
    <phoneticPr fontId="1"/>
  </si>
  <si>
    <t>大阪府豊中市曽根西町2-5-22-2</t>
    <rPh sb="0" eb="3">
      <t>オオサカフ</t>
    </rPh>
    <rPh sb="3" eb="6">
      <t>トヨナカシ</t>
    </rPh>
    <rPh sb="6" eb="8">
      <t>ソネ</t>
    </rPh>
    <rPh sb="8" eb="10">
      <t>ニシマチ</t>
    </rPh>
    <phoneticPr fontId="1"/>
  </si>
  <si>
    <t>9.8km</t>
    <phoneticPr fontId="1"/>
  </si>
  <si>
    <t>090-4646-5593</t>
    <phoneticPr fontId="1"/>
  </si>
  <si>
    <t>田中　舞香</t>
    <rPh sb="0" eb="2">
      <t>タナカ</t>
    </rPh>
    <rPh sb="3" eb="4">
      <t>マイ</t>
    </rPh>
    <rPh sb="4" eb="5">
      <t>カオル</t>
    </rPh>
    <phoneticPr fontId="1"/>
  </si>
  <si>
    <t>タナカ　マイカ</t>
    <phoneticPr fontId="1"/>
  </si>
  <si>
    <t>大阪府豊中市服部豊町1-1-11 203</t>
    <rPh sb="0" eb="3">
      <t>オオサカフ</t>
    </rPh>
    <rPh sb="3" eb="6">
      <t>トヨナカシ</t>
    </rPh>
    <rPh sb="6" eb="10">
      <t>ハットリユタカマチ</t>
    </rPh>
    <phoneticPr fontId="1"/>
  </si>
  <si>
    <t>cocoru_2741@icloud.com</t>
    <phoneticPr fontId="1"/>
  </si>
  <si>
    <t>080-6154-2741</t>
    <phoneticPr fontId="1"/>
  </si>
  <si>
    <t>無</t>
    <rPh sb="0" eb="1">
      <t>ナ</t>
    </rPh>
    <phoneticPr fontId="1"/>
  </si>
  <si>
    <t>佐野　智</t>
    <rPh sb="0" eb="2">
      <t>サノ</t>
    </rPh>
    <rPh sb="3" eb="4">
      <t>サトル</t>
    </rPh>
    <phoneticPr fontId="1"/>
  </si>
  <si>
    <t>サノ　サトル</t>
    <phoneticPr fontId="1"/>
  </si>
  <si>
    <t>兵庫県宝塚市中山桜台4-17-2</t>
    <rPh sb="0" eb="3">
      <t>ヒョウゴケン</t>
    </rPh>
    <rPh sb="3" eb="6">
      <t>タカラヅカシ</t>
    </rPh>
    <rPh sb="6" eb="8">
      <t>ナカヤマ</t>
    </rPh>
    <rPh sb="8" eb="10">
      <t>サクラダイ</t>
    </rPh>
    <phoneticPr fontId="1"/>
  </si>
  <si>
    <t>090-8982-8229</t>
    <phoneticPr fontId="1"/>
  </si>
  <si>
    <t>豊田　めぐみ</t>
    <rPh sb="0" eb="2">
      <t>トヨダ</t>
    </rPh>
    <phoneticPr fontId="1"/>
  </si>
  <si>
    <t>トヨダ　メグミ</t>
    <phoneticPr fontId="1"/>
  </si>
  <si>
    <t>兵庫県神戸市東灘区鴨子ケ原3-2-50-102</t>
    <rPh sb="0" eb="3">
      <t>ヒョウゴケン</t>
    </rPh>
    <rPh sb="3" eb="6">
      <t>コウベシ</t>
    </rPh>
    <rPh sb="6" eb="9">
      <t>ヒガシナダク</t>
    </rPh>
    <phoneticPr fontId="1"/>
  </si>
  <si>
    <t>桑田　賢</t>
    <rPh sb="0" eb="2">
      <t>クワタ</t>
    </rPh>
    <rPh sb="3" eb="4">
      <t>ケン</t>
    </rPh>
    <phoneticPr fontId="1"/>
  </si>
  <si>
    <t>クワタ　ケン</t>
    <phoneticPr fontId="1"/>
  </si>
  <si>
    <t>兵庫県西宮市北口町26-7</t>
    <rPh sb="0" eb="3">
      <t>ヒョウゴケン</t>
    </rPh>
    <rPh sb="3" eb="6">
      <t>ニシノミヤシ</t>
    </rPh>
    <rPh sb="6" eb="9">
      <t>キタグチチョウ</t>
    </rPh>
    <phoneticPr fontId="1"/>
  </si>
  <si>
    <t>663-8035</t>
    <phoneticPr fontId="1"/>
  </si>
  <si>
    <t>090-5130-4040</t>
    <phoneticPr fontId="1"/>
  </si>
  <si>
    <t>岡野　慎也</t>
    <rPh sb="0" eb="2">
      <t>オカノ</t>
    </rPh>
    <rPh sb="3" eb="5">
      <t>シンヤ</t>
    </rPh>
    <phoneticPr fontId="1"/>
  </si>
  <si>
    <t>オカノ　シンヤ</t>
    <phoneticPr fontId="1"/>
  </si>
  <si>
    <t>兵庫県宝塚市川面6-1-3</t>
    <rPh sb="0" eb="3">
      <t>ヒョウゴケン</t>
    </rPh>
    <rPh sb="3" eb="6">
      <t>タカラヅカシ</t>
    </rPh>
    <rPh sb="6" eb="8">
      <t>カワメン</t>
    </rPh>
    <phoneticPr fontId="1"/>
  </si>
  <si>
    <t>s.okano.0214@gmail.com</t>
    <phoneticPr fontId="1"/>
  </si>
  <si>
    <t>080-5345-3293</t>
    <phoneticPr fontId="1"/>
  </si>
  <si>
    <t>貝住　大祐</t>
    <rPh sb="0" eb="2">
      <t>カイズミ</t>
    </rPh>
    <rPh sb="3" eb="5">
      <t>ダイスケ</t>
    </rPh>
    <phoneticPr fontId="1"/>
  </si>
  <si>
    <t>カイズミ　ダイスケ</t>
    <phoneticPr fontId="1"/>
  </si>
  <si>
    <t>665-0012</t>
    <phoneticPr fontId="1"/>
  </si>
  <si>
    <t>兵庫県宝塚市寿楽荘15-8-2</t>
    <rPh sb="0" eb="3">
      <t>ヒョウゴケン</t>
    </rPh>
    <rPh sb="3" eb="6">
      <t>タカラヅカシ</t>
    </rPh>
    <rPh sb="6" eb="9">
      <t>ジュラクソウ</t>
    </rPh>
    <phoneticPr fontId="1"/>
  </si>
  <si>
    <t>dk75125@yahoo.co.jp</t>
    <phoneticPr fontId="1"/>
  </si>
  <si>
    <t>090-8985-1867</t>
    <phoneticPr fontId="1"/>
  </si>
  <si>
    <t>567-0009</t>
  </si>
  <si>
    <t>23.2km</t>
  </si>
  <si>
    <t>090-2117-4423</t>
  </si>
  <si>
    <t>ｱﾌﾀｰﾌｫﾛｰ</t>
    <phoneticPr fontId="1"/>
  </si>
  <si>
    <t>宮城　智治</t>
    <rPh sb="0" eb="2">
      <t>ミヤギ</t>
    </rPh>
    <rPh sb="3" eb="5">
      <t>トモハル</t>
    </rPh>
    <phoneticPr fontId="1"/>
  </si>
  <si>
    <t>ミヤギ　トモハル</t>
    <phoneticPr fontId="1"/>
  </si>
  <si>
    <t>080-1097-1109</t>
    <phoneticPr fontId="1"/>
  </si>
  <si>
    <t>シャフトのみ購入　北六甲会員　社長知人</t>
    <rPh sb="6" eb="8">
      <t>コウニュウ</t>
    </rPh>
    <rPh sb="9" eb="12">
      <t>キタロッコウ</t>
    </rPh>
    <rPh sb="12" eb="14">
      <t>カイイン</t>
    </rPh>
    <rPh sb="15" eb="17">
      <t>シャチョウ</t>
    </rPh>
    <rPh sb="17" eb="19">
      <t>チジン</t>
    </rPh>
    <phoneticPr fontId="1"/>
  </si>
  <si>
    <t>渡邊</t>
    <rPh sb="0" eb="2">
      <t>ワタナベ</t>
    </rPh>
    <phoneticPr fontId="1"/>
  </si>
  <si>
    <t>090-3033-1513</t>
    <phoneticPr fontId="1"/>
  </si>
  <si>
    <t>GOLFWING内装工事の方　クラブご購入　社長知人</t>
    <rPh sb="8" eb="10">
      <t>ナイソウ</t>
    </rPh>
    <rPh sb="10" eb="12">
      <t>コウジ</t>
    </rPh>
    <rPh sb="13" eb="14">
      <t>カタ</t>
    </rPh>
    <rPh sb="19" eb="21">
      <t>コウニュウ</t>
    </rPh>
    <rPh sb="22" eb="24">
      <t>シャチョウ</t>
    </rPh>
    <rPh sb="24" eb="26">
      <t>チジン</t>
    </rPh>
    <phoneticPr fontId="1"/>
  </si>
  <si>
    <t>木村　史絵</t>
    <rPh sb="0" eb="2">
      <t>キムラ</t>
    </rPh>
    <rPh sb="3" eb="5">
      <t>フミエ</t>
    </rPh>
    <phoneticPr fontId="1"/>
  </si>
  <si>
    <t>キムラ　フミエ</t>
    <phoneticPr fontId="1"/>
  </si>
  <si>
    <t>兵庫県宝塚市弥生町5-1-508</t>
    <rPh sb="0" eb="3">
      <t>ヒョウゴケン</t>
    </rPh>
    <rPh sb="3" eb="6">
      <t>タカラヅカシ</t>
    </rPh>
    <rPh sb="6" eb="9">
      <t>ヤヨイチョウ</t>
    </rPh>
    <phoneticPr fontId="1"/>
  </si>
  <si>
    <t>fumie24@gmail.com</t>
    <phoneticPr fontId="1"/>
  </si>
  <si>
    <t>080-5330-7205</t>
    <phoneticPr fontId="1"/>
  </si>
  <si>
    <t>海部　和宏</t>
    <rPh sb="0" eb="1">
      <t>ウミ</t>
    </rPh>
    <rPh sb="3" eb="5">
      <t>カズヒロ</t>
    </rPh>
    <phoneticPr fontId="1"/>
  </si>
  <si>
    <t>カイフ　カズヒロ</t>
    <phoneticPr fontId="1"/>
  </si>
  <si>
    <t>662-0913</t>
    <phoneticPr fontId="1"/>
  </si>
  <si>
    <t>兵庫県西宮市染殿町10-36-302</t>
    <rPh sb="0" eb="9">
      <t>662-0913</t>
    </rPh>
    <phoneticPr fontId="1"/>
  </si>
  <si>
    <t>080-1433-8699</t>
    <phoneticPr fontId="1"/>
  </si>
  <si>
    <t>山本　守昭</t>
    <rPh sb="0" eb="2">
      <t>ヤマモト</t>
    </rPh>
    <rPh sb="3" eb="4">
      <t>モリ</t>
    </rPh>
    <rPh sb="4" eb="5">
      <t>アキラ</t>
    </rPh>
    <phoneticPr fontId="1"/>
  </si>
  <si>
    <t>ヤマモト　モリアキ</t>
    <phoneticPr fontId="1"/>
  </si>
  <si>
    <t>兵庫県宝塚市高松町15-13</t>
    <rPh sb="0" eb="9">
      <t>665-0043</t>
    </rPh>
    <phoneticPr fontId="1"/>
  </si>
  <si>
    <t>080-5368-4921</t>
    <phoneticPr fontId="1"/>
  </si>
  <si>
    <t>中嶋　裕二</t>
    <rPh sb="0" eb="2">
      <t>ナカシマ</t>
    </rPh>
    <rPh sb="3" eb="5">
      <t>ユウジ</t>
    </rPh>
    <phoneticPr fontId="1"/>
  </si>
  <si>
    <t>ナカシマ　ユウジ</t>
    <phoneticPr fontId="1"/>
  </si>
  <si>
    <t>兵庫県宝塚市中筋山手1-8-21</t>
    <rPh sb="0" eb="10">
      <t>665-0875</t>
    </rPh>
    <phoneticPr fontId="1"/>
  </si>
  <si>
    <t>you.nakasy@gmail.com</t>
    <phoneticPr fontId="1"/>
  </si>
  <si>
    <t>080-6107-8207</t>
    <phoneticPr fontId="1"/>
  </si>
  <si>
    <t>664-0086</t>
  </si>
  <si>
    <t>5.4㎞</t>
  </si>
  <si>
    <t>090-9693-6216</t>
  </si>
  <si>
    <t>松本　暁史</t>
    <rPh sb="0" eb="2">
      <t>マツモト</t>
    </rPh>
    <rPh sb="3" eb="4">
      <t>アキ</t>
    </rPh>
    <rPh sb="4" eb="5">
      <t>フミ</t>
    </rPh>
    <phoneticPr fontId="1"/>
  </si>
  <si>
    <t>マツモト　アキフミ</t>
    <phoneticPr fontId="1"/>
  </si>
  <si>
    <t>678-0256</t>
    <phoneticPr fontId="1"/>
  </si>
  <si>
    <t>兵庫県赤穂市鷆和1112-1</t>
    <rPh sb="0" eb="8">
      <t>678-0256</t>
    </rPh>
    <phoneticPr fontId="1"/>
  </si>
  <si>
    <t>214018.am@gmail.com</t>
    <phoneticPr fontId="1"/>
  </si>
  <si>
    <t>090-3496-8002</t>
    <phoneticPr fontId="1"/>
  </si>
  <si>
    <t>岡本　裕士</t>
    <rPh sb="0" eb="2">
      <t>オカモト</t>
    </rPh>
    <rPh sb="3" eb="4">
      <t>ユウ</t>
    </rPh>
    <rPh sb="4" eb="5">
      <t>シ</t>
    </rPh>
    <phoneticPr fontId="1"/>
  </si>
  <si>
    <t>オカモト　ユウジ</t>
    <phoneticPr fontId="1"/>
  </si>
  <si>
    <t>兵庫県宝塚市寿楽荘15-34</t>
    <rPh sb="0" eb="9">
      <t>665-0012</t>
    </rPh>
    <phoneticPr fontId="1"/>
  </si>
  <si>
    <t>09059264741@docomo.ne.jp</t>
    <phoneticPr fontId="1"/>
  </si>
  <si>
    <t>090-5926-4741</t>
    <phoneticPr fontId="1"/>
  </si>
  <si>
    <t>アカマツ　トシミツ</t>
    <phoneticPr fontId="1"/>
  </si>
  <si>
    <t>661-0031</t>
    <phoneticPr fontId="1"/>
  </si>
  <si>
    <t>兵庫県尼崎市武庫之荘4-12-10</t>
    <rPh sb="0" eb="3">
      <t>ヒョウゴケン</t>
    </rPh>
    <rPh sb="3" eb="6">
      <t>アマガサキシ</t>
    </rPh>
    <rPh sb="6" eb="10">
      <t>ムコノソウ</t>
    </rPh>
    <phoneticPr fontId="1"/>
  </si>
  <si>
    <t>古川社長のお知り合い</t>
    <rPh sb="0" eb="2">
      <t>フルカワ</t>
    </rPh>
    <rPh sb="2" eb="4">
      <t>シャチョウ</t>
    </rPh>
    <rPh sb="6" eb="7">
      <t>シ</t>
    </rPh>
    <rPh sb="8" eb="9">
      <t>ア</t>
    </rPh>
    <phoneticPr fontId="1"/>
  </si>
  <si>
    <t>竹原　慎太郎</t>
    <rPh sb="0" eb="2">
      <t>タケハラ</t>
    </rPh>
    <rPh sb="3" eb="6">
      <t>シンタロウ</t>
    </rPh>
    <phoneticPr fontId="1"/>
  </si>
  <si>
    <t>タケハラ　シンタロウ</t>
    <phoneticPr fontId="1"/>
  </si>
  <si>
    <t>669-1103</t>
    <phoneticPr fontId="1"/>
  </si>
  <si>
    <t>兵庫県西宮市生瀬東町5-22-409</t>
    <rPh sb="0" eb="10">
      <t>669-1103</t>
    </rPh>
    <phoneticPr fontId="1"/>
  </si>
  <si>
    <t>judy-garland@hotmail.co.jp</t>
    <phoneticPr fontId="1"/>
  </si>
  <si>
    <t>090-9162-7752</t>
    <phoneticPr fontId="1"/>
  </si>
  <si>
    <t>永井　秀希</t>
    <rPh sb="0" eb="2">
      <t>ナガイ</t>
    </rPh>
    <rPh sb="3" eb="4">
      <t>ヒデ</t>
    </rPh>
    <rPh sb="4" eb="5">
      <t>ノゾミ</t>
    </rPh>
    <phoneticPr fontId="1"/>
  </si>
  <si>
    <t>090-1003-2005</t>
  </si>
  <si>
    <t>体験後のコメント、フォロー状況</t>
    <rPh sb="0" eb="3">
      <t>タイケンゴ</t>
    </rPh>
    <rPh sb="13" eb="15">
      <t>ジョウキョウ</t>
    </rPh>
    <phoneticPr fontId="1"/>
  </si>
  <si>
    <t>久保　巧</t>
    <rPh sb="0" eb="2">
      <t>クボ</t>
    </rPh>
    <rPh sb="3" eb="4">
      <t>タクミ</t>
    </rPh>
    <phoneticPr fontId="1"/>
  </si>
  <si>
    <t>クボ　タクミ</t>
    <phoneticPr fontId="1"/>
  </si>
  <si>
    <t>665-0081</t>
    <phoneticPr fontId="1"/>
  </si>
  <si>
    <t>兵庫県宝塚市山本東3丁目7-27</t>
    <rPh sb="0" eb="3">
      <t>ヒョウゴケン</t>
    </rPh>
    <rPh sb="3" eb="6">
      <t>タカラヅカシ</t>
    </rPh>
    <rPh sb="6" eb="8">
      <t>ヤマモト</t>
    </rPh>
    <rPh sb="8" eb="9">
      <t>ヒガシ</t>
    </rPh>
    <rPh sb="10" eb="12">
      <t>チョウメ</t>
    </rPh>
    <phoneticPr fontId="1"/>
  </si>
  <si>
    <t>090-2111-5078</t>
    <phoneticPr fontId="1"/>
  </si>
  <si>
    <t>山根　平碁</t>
    <rPh sb="0" eb="2">
      <t>ヤマネ</t>
    </rPh>
    <rPh sb="3" eb="4">
      <t>タイラ</t>
    </rPh>
    <rPh sb="4" eb="5">
      <t>ゴ</t>
    </rPh>
    <phoneticPr fontId="1"/>
  </si>
  <si>
    <t>ヤマネ　ヘイゴ</t>
    <phoneticPr fontId="1"/>
  </si>
  <si>
    <t>573-0035</t>
    <phoneticPr fontId="1"/>
  </si>
  <si>
    <t>大阪市枚方市高塚町25-2-1105</t>
    <rPh sb="0" eb="3">
      <t>オオサカシ</t>
    </rPh>
    <rPh sb="3" eb="6">
      <t>ヒラカタシ</t>
    </rPh>
    <rPh sb="6" eb="9">
      <t>タカツカチョウ</t>
    </rPh>
    <phoneticPr fontId="1"/>
  </si>
  <si>
    <t>080-3834-6137</t>
    <phoneticPr fontId="1"/>
  </si>
  <si>
    <t>カニエ　トシロウ</t>
    <phoneticPr fontId="1"/>
  </si>
  <si>
    <t>愛知県西尾市八ツ面町貸売2-2</t>
    <rPh sb="0" eb="3">
      <t>アイチケン</t>
    </rPh>
    <rPh sb="3" eb="6">
      <t>ニシオシ</t>
    </rPh>
    <rPh sb="6" eb="7">
      <t>ヤ</t>
    </rPh>
    <rPh sb="8" eb="10">
      <t>オモテチョウ</t>
    </rPh>
    <rPh sb="10" eb="12">
      <t>カシウ</t>
    </rPh>
    <phoneticPr fontId="1"/>
  </si>
  <si>
    <t>2022/3/9　フィッテング来店</t>
    <rPh sb="15" eb="17">
      <t>ライテン</t>
    </rPh>
    <phoneticPr fontId="1"/>
  </si>
  <si>
    <t>再来　フィッティング料返金</t>
    <rPh sb="0" eb="2">
      <t>サイライ</t>
    </rPh>
    <rPh sb="10" eb="11">
      <t>リョウ</t>
    </rPh>
    <rPh sb="11" eb="13">
      <t>ヘンキン</t>
    </rPh>
    <phoneticPr fontId="1"/>
  </si>
  <si>
    <t>イリサ　ヒトミ</t>
    <phoneticPr fontId="1"/>
  </si>
  <si>
    <t>090-5369-4502</t>
    <phoneticPr fontId="1"/>
  </si>
  <si>
    <t>tomoaki1100@icloud.com</t>
    <phoneticPr fontId="1"/>
  </si>
  <si>
    <t>2021.1.16 体験利用</t>
    <rPh sb="10" eb="12">
      <t>タイケン</t>
    </rPh>
    <rPh sb="12" eb="14">
      <t>リヨウ</t>
    </rPh>
    <phoneticPr fontId="1"/>
  </si>
  <si>
    <t>イトウ　トモアキ</t>
    <phoneticPr fontId="1"/>
  </si>
  <si>
    <t>村田　俊彦</t>
    <rPh sb="0" eb="2">
      <t>ムラタ</t>
    </rPh>
    <rPh sb="3" eb="5">
      <t>トシヒコ</t>
    </rPh>
    <phoneticPr fontId="1"/>
  </si>
  <si>
    <t>ムラタ　トシヒコ</t>
    <phoneticPr fontId="1"/>
  </si>
  <si>
    <t>兵庫県武庫山2-19-1-606</t>
    <rPh sb="0" eb="3">
      <t>ヒョウゴケン</t>
    </rPh>
    <rPh sb="3" eb="6">
      <t>ムコヤマ</t>
    </rPh>
    <phoneticPr fontId="1"/>
  </si>
  <si>
    <t>murasyun@mx5.canvas.ne.jp</t>
    <phoneticPr fontId="1"/>
  </si>
  <si>
    <t>090-5364-1952</t>
    <phoneticPr fontId="1"/>
  </si>
  <si>
    <t>対応、藤田プロ</t>
    <rPh sb="0" eb="2">
      <t>タイオウ</t>
    </rPh>
    <rPh sb="3" eb="5">
      <t>フジタ</t>
    </rPh>
    <phoneticPr fontId="1"/>
  </si>
  <si>
    <t>上杉　光一</t>
    <rPh sb="0" eb="2">
      <t>ウエスギ</t>
    </rPh>
    <rPh sb="3" eb="5">
      <t>コウイチ</t>
    </rPh>
    <phoneticPr fontId="1"/>
  </si>
  <si>
    <t>ウエスギ　コウイチ</t>
    <phoneticPr fontId="1"/>
  </si>
  <si>
    <t>兵庫県西宮市高木東町15-32</t>
    <rPh sb="0" eb="3">
      <t>ヒョウゴケン</t>
    </rPh>
    <rPh sb="3" eb="5">
      <t>ニシノミヤ</t>
    </rPh>
    <rPh sb="5" eb="6">
      <t>シ</t>
    </rPh>
    <rPh sb="6" eb="10">
      <t>タカギヒガシマチ</t>
    </rPh>
    <phoneticPr fontId="1"/>
  </si>
  <si>
    <t>koichi.u@gmail.com</t>
    <phoneticPr fontId="1"/>
  </si>
  <si>
    <t>090-8577-5687</t>
    <phoneticPr fontId="1"/>
  </si>
  <si>
    <t>兵庫県川西市大和東2-6-2</t>
    <rPh sb="0" eb="9">
      <t>666-0111</t>
    </rPh>
    <phoneticPr fontId="1"/>
  </si>
  <si>
    <t>和島　一吉</t>
    <rPh sb="0" eb="2">
      <t>ワジマ</t>
    </rPh>
    <rPh sb="3" eb="4">
      <t>イチ</t>
    </rPh>
    <rPh sb="4" eb="5">
      <t>ヨシ</t>
    </rPh>
    <phoneticPr fontId="1"/>
  </si>
  <si>
    <t>ワジマ　カズヨシ</t>
    <phoneticPr fontId="1"/>
  </si>
  <si>
    <t>666-0013</t>
    <phoneticPr fontId="1"/>
  </si>
  <si>
    <t>兵庫県川西市美園町9-9</t>
    <rPh sb="0" eb="9">
      <t>666-0013</t>
    </rPh>
    <phoneticPr fontId="1"/>
  </si>
  <si>
    <t>072-757-0893</t>
    <phoneticPr fontId="1"/>
  </si>
  <si>
    <t>吉村　明日香</t>
    <rPh sb="0" eb="2">
      <t>ヨシムラ</t>
    </rPh>
    <rPh sb="3" eb="6">
      <t>アスカ</t>
    </rPh>
    <phoneticPr fontId="1"/>
  </si>
  <si>
    <t>ヨシムラ　アスカ</t>
    <phoneticPr fontId="1"/>
  </si>
  <si>
    <t>兵庫県宝塚市中筋6-11-8</t>
    <rPh sb="0" eb="8">
      <t>665-0874</t>
    </rPh>
    <phoneticPr fontId="1"/>
  </si>
  <si>
    <t>080-6186-9201</t>
    <phoneticPr fontId="1"/>
  </si>
  <si>
    <t>岡本　恵子</t>
    <rPh sb="0" eb="2">
      <t>オカモト</t>
    </rPh>
    <rPh sb="3" eb="5">
      <t>ケイコ</t>
    </rPh>
    <phoneticPr fontId="1"/>
  </si>
  <si>
    <t>オカモト　ケイコ</t>
    <phoneticPr fontId="1"/>
  </si>
  <si>
    <t>兵庫県宝塚市平井3-13-5</t>
    <rPh sb="0" eb="8">
      <t>665-0816</t>
    </rPh>
    <phoneticPr fontId="1"/>
  </si>
  <si>
    <t>haseyan307@hotmail.com</t>
    <phoneticPr fontId="1"/>
  </si>
  <si>
    <t>090-7347-3034</t>
    <phoneticPr fontId="1"/>
  </si>
  <si>
    <t>川原　博文</t>
    <rPh sb="0" eb="2">
      <t>カワハラ</t>
    </rPh>
    <rPh sb="3" eb="5">
      <t>ヒロフミ</t>
    </rPh>
    <phoneticPr fontId="1"/>
  </si>
  <si>
    <t>カワハラ　ヒロフミ</t>
    <phoneticPr fontId="1"/>
  </si>
  <si>
    <t>669-1121</t>
    <phoneticPr fontId="1"/>
  </si>
  <si>
    <t>兵庫県西宮市花の峯11-5</t>
    <rPh sb="0" eb="3">
      <t>ヒョウゴケン</t>
    </rPh>
    <rPh sb="3" eb="6">
      <t>ニシノミヤシ</t>
    </rPh>
    <phoneticPr fontId="1"/>
  </si>
  <si>
    <t>hiyomiyu1015@gmail.com</t>
    <phoneticPr fontId="1"/>
  </si>
  <si>
    <t>090-8651-6402</t>
    <phoneticPr fontId="1"/>
  </si>
  <si>
    <t>対応、藤田プロ。無理にスイングを直せと言わない姿勢が良かった。検討します。（前にレッスンに行ったところはあちこち直せと言われて嫌だった）今まであまり練習していなかったが、肩を痛めてから練習しようと思った。ただ、やみくもにやってもダメだと思って、体験を希望した。</t>
    <rPh sb="0" eb="2">
      <t>タイオウ</t>
    </rPh>
    <rPh sb="3" eb="5">
      <t>フジタ</t>
    </rPh>
    <rPh sb="8" eb="10">
      <t>ムリ</t>
    </rPh>
    <rPh sb="16" eb="17">
      <t>ナオ</t>
    </rPh>
    <rPh sb="19" eb="20">
      <t>イ</t>
    </rPh>
    <rPh sb="23" eb="25">
      <t>シセイ</t>
    </rPh>
    <rPh sb="26" eb="27">
      <t>ヨ</t>
    </rPh>
    <rPh sb="31" eb="33">
      <t>ケントウ</t>
    </rPh>
    <rPh sb="38" eb="39">
      <t>マエ</t>
    </rPh>
    <rPh sb="45" eb="46">
      <t>イ</t>
    </rPh>
    <rPh sb="56" eb="57">
      <t>ナオ</t>
    </rPh>
    <rPh sb="59" eb="60">
      <t>イ</t>
    </rPh>
    <rPh sb="63" eb="64">
      <t>イヤ</t>
    </rPh>
    <rPh sb="68" eb="69">
      <t>イマ</t>
    </rPh>
    <rPh sb="74" eb="76">
      <t>レンシュウ</t>
    </rPh>
    <rPh sb="85" eb="86">
      <t>カタ</t>
    </rPh>
    <rPh sb="87" eb="88">
      <t>イタ</t>
    </rPh>
    <rPh sb="92" eb="94">
      <t>レンシュウ</t>
    </rPh>
    <rPh sb="98" eb="99">
      <t>オモ</t>
    </rPh>
    <rPh sb="118" eb="119">
      <t>オモ</t>
    </rPh>
    <rPh sb="122" eb="124">
      <t>タイケン</t>
    </rPh>
    <rPh sb="125" eb="127">
      <t>キボウ</t>
    </rPh>
    <phoneticPr fontId="1"/>
  </si>
  <si>
    <t>村田　浩之</t>
    <rPh sb="0" eb="2">
      <t>ムラタ</t>
    </rPh>
    <rPh sb="3" eb="5">
      <t>ヒロユキ</t>
    </rPh>
    <phoneticPr fontId="1"/>
  </si>
  <si>
    <t>ムラタ　ヒロユキ</t>
    <phoneticPr fontId="1"/>
  </si>
  <si>
    <t>572-0002</t>
    <phoneticPr fontId="1"/>
  </si>
  <si>
    <t>大阪府寝屋川市成田東が丘11-18</t>
    <rPh sb="0" eb="12">
      <t>572-0002</t>
    </rPh>
    <phoneticPr fontId="1"/>
  </si>
  <si>
    <t>dendenmuramura@gmail.com</t>
    <phoneticPr fontId="1"/>
  </si>
  <si>
    <t>090-3050-6639</t>
    <phoneticPr fontId="1"/>
  </si>
  <si>
    <t>名山　豊</t>
    <rPh sb="0" eb="2">
      <t>ナヤマ</t>
    </rPh>
    <rPh sb="3" eb="4">
      <t>ユタカ</t>
    </rPh>
    <phoneticPr fontId="1"/>
  </si>
  <si>
    <t>ナヤマ　ユタカ</t>
    <phoneticPr fontId="1"/>
  </si>
  <si>
    <t>925-0141</t>
    <phoneticPr fontId="1"/>
  </si>
  <si>
    <t>石川県羽咋郡志賀町高浜町7-5-1</t>
    <rPh sb="0" eb="12">
      <t>925-0141</t>
    </rPh>
    <phoneticPr fontId="1"/>
  </si>
  <si>
    <t>090-1631-3014</t>
    <phoneticPr fontId="1"/>
  </si>
  <si>
    <t>フクダ　ユウジ</t>
    <phoneticPr fontId="1"/>
  </si>
  <si>
    <t>兵庫県西宮市上甲子園2-8-9</t>
    <rPh sb="0" eb="3">
      <t>ヒョウゴケン</t>
    </rPh>
    <rPh sb="3" eb="6">
      <t>ニシノミヤシ</t>
    </rPh>
    <rPh sb="6" eb="10">
      <t>カミコウシエン</t>
    </rPh>
    <phoneticPr fontId="1"/>
  </si>
  <si>
    <t>12.2km</t>
    <phoneticPr fontId="1"/>
  </si>
  <si>
    <t>eugee0048@yahoo.co.jp</t>
    <phoneticPr fontId="1"/>
  </si>
  <si>
    <t>対応、井殿プロ。来たいのは来たいけど、もう少し近ければな…</t>
    <rPh sb="0" eb="2">
      <t>タイオウ</t>
    </rPh>
    <rPh sb="3" eb="5">
      <t>イドノ</t>
    </rPh>
    <rPh sb="8" eb="9">
      <t>キ</t>
    </rPh>
    <rPh sb="13" eb="14">
      <t>キ</t>
    </rPh>
    <rPh sb="21" eb="22">
      <t>スコ</t>
    </rPh>
    <rPh sb="23" eb="24">
      <t>チカ</t>
    </rPh>
    <phoneticPr fontId="1"/>
  </si>
  <si>
    <t>奥田　利之</t>
    <rPh sb="0" eb="2">
      <t>オクダ</t>
    </rPh>
    <rPh sb="3" eb="5">
      <t>トシユキ</t>
    </rPh>
    <phoneticPr fontId="1"/>
  </si>
  <si>
    <t>オクダ　トシユキ</t>
    <phoneticPr fontId="1"/>
  </si>
  <si>
    <t>兵庫県宝塚市逆瀬川1-4-8-903</t>
    <rPh sb="0" eb="3">
      <t>ヒョウゴケン</t>
    </rPh>
    <rPh sb="3" eb="6">
      <t>タカラヅカシ</t>
    </rPh>
    <rPh sb="6" eb="9">
      <t>サカセガワ</t>
    </rPh>
    <phoneticPr fontId="1"/>
  </si>
  <si>
    <t>090-3618-9306</t>
    <phoneticPr fontId="1"/>
  </si>
  <si>
    <t>小杉様の紹介</t>
    <rPh sb="0" eb="3">
      <t>コスギサマ</t>
    </rPh>
    <rPh sb="4" eb="6">
      <t>ショウカイ</t>
    </rPh>
    <phoneticPr fontId="1"/>
  </si>
  <si>
    <t>今は車がないから来れない。車を購入したら検討する。</t>
    <rPh sb="0" eb="1">
      <t>イマ</t>
    </rPh>
    <rPh sb="2" eb="3">
      <t>クルマ</t>
    </rPh>
    <rPh sb="8" eb="9">
      <t>コ</t>
    </rPh>
    <rPh sb="13" eb="14">
      <t>クルマ</t>
    </rPh>
    <rPh sb="15" eb="17">
      <t>コウニュウ</t>
    </rPh>
    <rPh sb="20" eb="22">
      <t>ケントウ</t>
    </rPh>
    <phoneticPr fontId="1"/>
  </si>
  <si>
    <t>2023/6/1ﾌｨｯﾃｨﾝｸﾞ来店</t>
    <rPh sb="16" eb="18">
      <t>ライテン</t>
    </rPh>
    <phoneticPr fontId="1"/>
  </si>
  <si>
    <t>橋本　正幸</t>
    <rPh sb="0" eb="2">
      <t>ハシモト</t>
    </rPh>
    <rPh sb="3" eb="5">
      <t>マサユキ</t>
    </rPh>
    <phoneticPr fontId="1"/>
  </si>
  <si>
    <t>ハヤシ　マサユキ</t>
    <phoneticPr fontId="1"/>
  </si>
  <si>
    <t>兵庫県川西市栄町9-9　I-102</t>
    <rPh sb="0" eb="3">
      <t>ヒョウゴケン</t>
    </rPh>
    <rPh sb="3" eb="5">
      <t>カワニシ</t>
    </rPh>
    <rPh sb="5" eb="6">
      <t>シ</t>
    </rPh>
    <rPh sb="6" eb="8">
      <t>サカエマチ</t>
    </rPh>
    <phoneticPr fontId="1"/>
  </si>
  <si>
    <t>090-6507-3629</t>
    <phoneticPr fontId="1"/>
  </si>
  <si>
    <t>以前に見学に来られていた。体験後すぐに入会を決定。</t>
    <rPh sb="0" eb="2">
      <t>イゼン</t>
    </rPh>
    <rPh sb="3" eb="5">
      <t>ケンガク</t>
    </rPh>
    <rPh sb="6" eb="7">
      <t>コ</t>
    </rPh>
    <rPh sb="13" eb="16">
      <t>タイケンゴ</t>
    </rPh>
    <rPh sb="19" eb="21">
      <t>ニュウカイ</t>
    </rPh>
    <rPh sb="22" eb="24">
      <t>ケッテイ</t>
    </rPh>
    <phoneticPr fontId="1"/>
  </si>
  <si>
    <t>体験後すぐに入会を決定</t>
    <rPh sb="0" eb="3">
      <t>タイケンゴ</t>
    </rPh>
    <rPh sb="6" eb="8">
      <t>ニュウカイ</t>
    </rPh>
    <rPh sb="9" eb="11">
      <t>ケッテイ</t>
    </rPh>
    <phoneticPr fontId="1"/>
  </si>
  <si>
    <t>村田　奈々子</t>
    <rPh sb="0" eb="2">
      <t>ムラタ</t>
    </rPh>
    <rPh sb="3" eb="6">
      <t>ナナコ</t>
    </rPh>
    <phoneticPr fontId="1"/>
  </si>
  <si>
    <t>ムラタ　ナナコ</t>
    <phoneticPr fontId="1"/>
  </si>
  <si>
    <t>大阪府大阪市西区立売堀5-3-10</t>
    <rPh sb="0" eb="11">
      <t>550-0012</t>
    </rPh>
    <phoneticPr fontId="1"/>
  </si>
  <si>
    <t>090-7760-4406</t>
    <phoneticPr fontId="1"/>
  </si>
  <si>
    <t>志野さんご紹介</t>
    <rPh sb="0" eb="2">
      <t>シノ</t>
    </rPh>
    <rPh sb="5" eb="7">
      <t>ショウカイ</t>
    </rPh>
    <phoneticPr fontId="1"/>
  </si>
  <si>
    <t>井上　尚</t>
    <rPh sb="0" eb="2">
      <t>イノウエ</t>
    </rPh>
    <rPh sb="3" eb="4">
      <t>ナオ</t>
    </rPh>
    <phoneticPr fontId="1"/>
  </si>
  <si>
    <t>イノウエ　ナオ</t>
    <phoneticPr fontId="1"/>
  </si>
  <si>
    <t>大阪府大阪市平野区長吉長吉出戸1-11-12</t>
    <rPh sb="0" eb="3">
      <t>オオサカフ</t>
    </rPh>
    <rPh sb="3" eb="6">
      <t>オオサカシ</t>
    </rPh>
    <rPh sb="6" eb="9">
      <t>ヒラノク</t>
    </rPh>
    <rPh sb="9" eb="11">
      <t>ナガヨシ</t>
    </rPh>
    <phoneticPr fontId="1"/>
  </si>
  <si>
    <t>090-1150-7784</t>
    <phoneticPr fontId="1"/>
  </si>
  <si>
    <t>ツチヤマ　ミズキ</t>
    <phoneticPr fontId="1"/>
  </si>
  <si>
    <t>tm024土山様ご家族</t>
    <rPh sb="5" eb="7">
      <t>ツチヤマ</t>
    </rPh>
    <rPh sb="7" eb="8">
      <t>サマ</t>
    </rPh>
    <rPh sb="9" eb="11">
      <t>カゾク</t>
    </rPh>
    <phoneticPr fontId="1"/>
  </si>
  <si>
    <t>宇都宮　直生</t>
    <rPh sb="0" eb="3">
      <t>ウツノミヤ</t>
    </rPh>
    <rPh sb="4" eb="5">
      <t>ナオ</t>
    </rPh>
    <rPh sb="5" eb="6">
      <t>イ</t>
    </rPh>
    <phoneticPr fontId="1"/>
  </si>
  <si>
    <t>ウツノミヤナオキ</t>
    <phoneticPr fontId="1"/>
  </si>
  <si>
    <t>665-0016</t>
    <phoneticPr fontId="1"/>
  </si>
  <si>
    <t>兵庫県宝塚市宝松苑13-36-230</t>
    <rPh sb="0" eb="3">
      <t>ヒョウゴケン</t>
    </rPh>
    <rPh sb="3" eb="6">
      <t>タカラヅカシ</t>
    </rPh>
    <rPh sb="6" eb="9">
      <t>ホウショウエン</t>
    </rPh>
    <phoneticPr fontId="1"/>
  </si>
  <si>
    <t>naoki.utsunomiya@gmail.com</t>
    <phoneticPr fontId="1"/>
  </si>
  <si>
    <t>090-5666-5836</t>
    <phoneticPr fontId="1"/>
  </si>
  <si>
    <t>川西　悠汰</t>
    <rPh sb="0" eb="2">
      <t>カワニシ</t>
    </rPh>
    <rPh sb="3" eb="4">
      <t>ユウ</t>
    </rPh>
    <rPh sb="4" eb="5">
      <t>タ</t>
    </rPh>
    <phoneticPr fontId="1"/>
  </si>
  <si>
    <t>カワニシ　ハルタ</t>
    <phoneticPr fontId="1"/>
  </si>
  <si>
    <t>兵庫県宝塚市山本台1丁目10-28</t>
    <phoneticPr fontId="1"/>
  </si>
  <si>
    <t>1.7km</t>
    <phoneticPr fontId="1"/>
  </si>
  <si>
    <t>tr190川西様ご家族</t>
    <rPh sb="5" eb="8">
      <t>カワニシサマ</t>
    </rPh>
    <rPh sb="9" eb="11">
      <t>カゾク</t>
    </rPh>
    <phoneticPr fontId="1"/>
  </si>
  <si>
    <t>武井　文子</t>
    <rPh sb="0" eb="2">
      <t>タケイ</t>
    </rPh>
    <rPh sb="3" eb="5">
      <t>フミコ</t>
    </rPh>
    <phoneticPr fontId="1"/>
  </si>
  <si>
    <t>タケイ　フミコ</t>
    <phoneticPr fontId="1"/>
  </si>
  <si>
    <t>666-0037</t>
    <phoneticPr fontId="1"/>
  </si>
  <si>
    <t>兵庫県川西市松が丘町16-19</t>
    <rPh sb="0" eb="3">
      <t>ヒョウゴケン</t>
    </rPh>
    <rPh sb="3" eb="6">
      <t>カワニシシ</t>
    </rPh>
    <rPh sb="6" eb="7">
      <t>マツ</t>
    </rPh>
    <rPh sb="8" eb="9">
      <t>オカ</t>
    </rPh>
    <rPh sb="9" eb="10">
      <t>チョウ</t>
    </rPh>
    <phoneticPr fontId="1"/>
  </si>
  <si>
    <t>rk0119kt@icloud.com</t>
    <phoneticPr fontId="1"/>
  </si>
  <si>
    <t>090-1716-8037</t>
    <phoneticPr fontId="1"/>
  </si>
  <si>
    <t>検討してまた連絡します。チケットにするか、レギュラーにするか悩みどころ。</t>
    <rPh sb="0" eb="2">
      <t>ケントウ</t>
    </rPh>
    <rPh sb="6" eb="8">
      <t>レンラク</t>
    </rPh>
    <rPh sb="30" eb="31">
      <t>ナヤ</t>
    </rPh>
    <phoneticPr fontId="1"/>
  </si>
  <si>
    <t>621-0261</t>
  </si>
  <si>
    <t>090-6757-5868</t>
  </si>
  <si>
    <t>オオカワ　シオン</t>
    <phoneticPr fontId="1"/>
  </si>
  <si>
    <t>golf.tu.shion@gmail.com</t>
    <phoneticPr fontId="1"/>
  </si>
  <si>
    <t>櫻井　敬真(常務)</t>
    <rPh sb="0" eb="2">
      <t>サクライ</t>
    </rPh>
    <rPh sb="3" eb="4">
      <t>ケイ</t>
    </rPh>
    <rPh sb="4" eb="5">
      <t>シン</t>
    </rPh>
    <rPh sb="6" eb="8">
      <t>ジョウム</t>
    </rPh>
    <phoneticPr fontId="1"/>
  </si>
  <si>
    <t>山本　滋也</t>
    <rPh sb="0" eb="2">
      <t>ヤマモト</t>
    </rPh>
    <rPh sb="3" eb="5">
      <t>シゲナリ</t>
    </rPh>
    <phoneticPr fontId="1"/>
  </si>
  <si>
    <t>深谷　亜由美</t>
    <rPh sb="0" eb="2">
      <t>フカタニ</t>
    </rPh>
    <rPh sb="3" eb="6">
      <t>アユミ</t>
    </rPh>
    <phoneticPr fontId="1"/>
  </si>
  <si>
    <t>フカタニ　アユミ</t>
    <phoneticPr fontId="1"/>
  </si>
  <si>
    <t>640-1173</t>
    <phoneticPr fontId="1"/>
  </si>
  <si>
    <t>642-0632</t>
    <phoneticPr fontId="1"/>
  </si>
  <si>
    <t>和歌山県海南市名高508-3</t>
    <rPh sb="0" eb="4">
      <t>ワカヤマケン</t>
    </rPh>
    <rPh sb="4" eb="7">
      <t>カイナンシ</t>
    </rPh>
    <rPh sb="7" eb="9">
      <t>ナダカ</t>
    </rPh>
    <phoneticPr fontId="1"/>
  </si>
  <si>
    <t>和歌山県海南市椋木119-2</t>
    <rPh sb="0" eb="4">
      <t>ワカヤマケン</t>
    </rPh>
    <rPh sb="4" eb="7">
      <t>カイナンシ</t>
    </rPh>
    <rPh sb="7" eb="9">
      <t>クレキ</t>
    </rPh>
    <phoneticPr fontId="1"/>
  </si>
  <si>
    <t>090-1585-1204</t>
    <phoneticPr fontId="1"/>
  </si>
  <si>
    <t>080-3932-1350</t>
    <phoneticPr fontId="1"/>
  </si>
  <si>
    <t>櫻井常務お知り合い</t>
    <rPh sb="0" eb="2">
      <t>サクライ</t>
    </rPh>
    <rPh sb="2" eb="4">
      <t>ジョウム</t>
    </rPh>
    <rPh sb="5" eb="6">
      <t>シ</t>
    </rPh>
    <rPh sb="7" eb="8">
      <t>ア</t>
    </rPh>
    <phoneticPr fontId="1"/>
  </si>
  <si>
    <t>竹廣　恵</t>
    <phoneticPr fontId="1"/>
  </si>
  <si>
    <t>大阪府吹田市青山台1-1-1-201</t>
    <rPh sb="0" eb="9">
      <t>565-0875</t>
    </rPh>
    <phoneticPr fontId="1"/>
  </si>
  <si>
    <t>ハダラ　マホ</t>
    <phoneticPr fontId="1"/>
  </si>
  <si>
    <t>兵庫県芦屋市山手町19-6</t>
    <rPh sb="0" eb="3">
      <t>ヒョウゴケン</t>
    </rPh>
    <rPh sb="3" eb="6">
      <t>アシヤシ</t>
    </rPh>
    <rPh sb="6" eb="9">
      <t>ヤマテチョウ</t>
    </rPh>
    <phoneticPr fontId="1"/>
  </si>
  <si>
    <t>080-1529-1434</t>
    <phoneticPr fontId="1"/>
  </si>
  <si>
    <t>駒月　智菜</t>
    <rPh sb="0" eb="1">
      <t>コマ</t>
    </rPh>
    <rPh sb="1" eb="2">
      <t>ツキ</t>
    </rPh>
    <rPh sb="3" eb="4">
      <t>トモ</t>
    </rPh>
    <rPh sb="4" eb="5">
      <t>サイ</t>
    </rPh>
    <phoneticPr fontId="1"/>
  </si>
  <si>
    <t>コマツキ　チナ</t>
    <phoneticPr fontId="1"/>
  </si>
  <si>
    <t>兵庫県宝塚市逆瀬台1-8-D-114</t>
    <rPh sb="0" eb="3">
      <t>ヒョウゴケン</t>
    </rPh>
    <rPh sb="3" eb="6">
      <t>タカラヅカシ</t>
    </rPh>
    <rPh sb="6" eb="9">
      <t>サカセダイ</t>
    </rPh>
    <phoneticPr fontId="1"/>
  </si>
  <si>
    <t>080-1524-7058</t>
    <phoneticPr fontId="1"/>
  </si>
  <si>
    <t>やるならマスターかな。主人と相談して連絡します。</t>
    <rPh sb="11" eb="13">
      <t>シュジン</t>
    </rPh>
    <rPh sb="14" eb="16">
      <t>ソウダン</t>
    </rPh>
    <rPh sb="18" eb="20">
      <t>レンラク</t>
    </rPh>
    <phoneticPr fontId="1"/>
  </si>
  <si>
    <t>三村　一雄</t>
    <rPh sb="0" eb="2">
      <t>ミムラ</t>
    </rPh>
    <rPh sb="3" eb="4">
      <t>イチ</t>
    </rPh>
    <rPh sb="4" eb="5">
      <t>ユウ</t>
    </rPh>
    <phoneticPr fontId="1"/>
  </si>
  <si>
    <t>ミムラ　カズオ</t>
    <phoneticPr fontId="1"/>
  </si>
  <si>
    <t>666-0262</t>
    <phoneticPr fontId="1"/>
  </si>
  <si>
    <t>兵庫県川辺郡猪名川町伏見台5-2-44</t>
    <rPh sb="0" eb="13">
      <t>666-0262</t>
    </rPh>
    <phoneticPr fontId="1"/>
  </si>
  <si>
    <t>090-5122-3937</t>
    <phoneticPr fontId="1"/>
  </si>
  <si>
    <t>宮崎　樹里</t>
    <rPh sb="0" eb="2">
      <t>ミヤザキ</t>
    </rPh>
    <rPh sb="3" eb="5">
      <t>ジュリ</t>
    </rPh>
    <phoneticPr fontId="1"/>
  </si>
  <si>
    <t>ミヤザキ　ジュリ</t>
    <phoneticPr fontId="1"/>
  </si>
  <si>
    <t>兵庫県西宮市山口町上山口606サンハイツ北六甲五番館102</t>
    <rPh sb="0" eb="12">
      <t>651-1421</t>
    </rPh>
    <rPh sb="20" eb="23">
      <t>キタロッコウ</t>
    </rPh>
    <rPh sb="23" eb="26">
      <t>ゴバンカン</t>
    </rPh>
    <phoneticPr fontId="1"/>
  </si>
  <si>
    <t>080-2982-4262</t>
    <phoneticPr fontId="1"/>
  </si>
  <si>
    <t>無</t>
    <rPh sb="0" eb="1">
      <t>ナシ</t>
    </rPh>
    <phoneticPr fontId="1"/>
  </si>
  <si>
    <t>博さんのお知り合い</t>
    <rPh sb="0" eb="1">
      <t>ヒロシ</t>
    </rPh>
    <rPh sb="5" eb="6">
      <t>シ</t>
    </rPh>
    <rPh sb="7" eb="8">
      <t>ア</t>
    </rPh>
    <phoneticPr fontId="1"/>
  </si>
  <si>
    <t>再アプローチ
(日付)</t>
    <rPh sb="0" eb="1">
      <t>サイ</t>
    </rPh>
    <rPh sb="8" eb="10">
      <t>ヒヅケ</t>
    </rPh>
    <phoneticPr fontId="1"/>
  </si>
  <si>
    <t>柳井　祥吾</t>
    <rPh sb="0" eb="2">
      <t>ヤナイ</t>
    </rPh>
    <rPh sb="3" eb="5">
      <t>ショウゴ</t>
    </rPh>
    <phoneticPr fontId="1"/>
  </si>
  <si>
    <t>ヤナイ　ショウゴ</t>
    <phoneticPr fontId="1"/>
  </si>
  <si>
    <t>兵庫県西宮市豊楽町13-1</t>
    <rPh sb="0" eb="9">
      <t>662-0072</t>
    </rPh>
    <phoneticPr fontId="1"/>
  </si>
  <si>
    <t>fishboy8714405@i-softbank.jp</t>
    <phoneticPr fontId="1"/>
  </si>
  <si>
    <t>080-4762-4405</t>
    <phoneticPr fontId="1"/>
  </si>
  <si>
    <t>奥村　徳之</t>
    <rPh sb="0" eb="2">
      <t>オクムラ</t>
    </rPh>
    <rPh sb="3" eb="5">
      <t>ノリユキ</t>
    </rPh>
    <phoneticPr fontId="1"/>
  </si>
  <si>
    <t>オクムラ　ノリユキ</t>
    <phoneticPr fontId="1"/>
  </si>
  <si>
    <t>664-0864</t>
    <phoneticPr fontId="1"/>
  </si>
  <si>
    <t>兵庫県伊丹市安堂寺町2丁目1</t>
    <rPh sb="0" eb="3">
      <t>ヒョウゴケン</t>
    </rPh>
    <rPh sb="3" eb="6">
      <t>イタミシ</t>
    </rPh>
    <rPh sb="6" eb="9">
      <t>アンドウジ</t>
    </rPh>
    <rPh sb="9" eb="10">
      <t>チョウ</t>
    </rPh>
    <rPh sb="11" eb="13">
      <t>チョウメ</t>
    </rPh>
    <phoneticPr fontId="1"/>
  </si>
  <si>
    <t>noriyuki_01018@icloud.com</t>
    <phoneticPr fontId="1"/>
  </si>
  <si>
    <t>080-8916-6824</t>
    <phoneticPr fontId="1"/>
  </si>
  <si>
    <t>LINE¥500利用</t>
    <rPh sb="8" eb="10">
      <t>リヨウ</t>
    </rPh>
    <phoneticPr fontId="1"/>
  </si>
  <si>
    <t>三ツ矢　雅俊</t>
    <rPh sb="0" eb="1">
      <t>ミ</t>
    </rPh>
    <rPh sb="2" eb="3">
      <t>ヤ</t>
    </rPh>
    <rPh sb="4" eb="6">
      <t>マサトシ</t>
    </rPh>
    <phoneticPr fontId="1"/>
  </si>
  <si>
    <t>ミツヤ　マサトシ</t>
    <phoneticPr fontId="1"/>
  </si>
  <si>
    <t>宝塚市花屋敷松が丘21-20</t>
    <rPh sb="0" eb="2">
      <t>タカラヅカ</t>
    </rPh>
    <rPh sb="2" eb="3">
      <t>シ</t>
    </rPh>
    <rPh sb="3" eb="6">
      <t>ハナヤシキ</t>
    </rPh>
    <rPh sb="6" eb="7">
      <t>マツ</t>
    </rPh>
    <phoneticPr fontId="1"/>
  </si>
  <si>
    <t>m381128mjoho@yahoo.co.jp</t>
    <phoneticPr fontId="1"/>
  </si>
  <si>
    <t>080-6108-2772</t>
    <phoneticPr fontId="1"/>
  </si>
  <si>
    <t>7.0㎞</t>
    <phoneticPr fontId="1"/>
  </si>
  <si>
    <t>室星　直嗣</t>
    <rPh sb="0" eb="2">
      <t>ムロホシ</t>
    </rPh>
    <rPh sb="3" eb="5">
      <t>ナオツグ</t>
    </rPh>
    <phoneticPr fontId="1"/>
  </si>
  <si>
    <t>ムロホシ　ナオツグ</t>
    <phoneticPr fontId="1"/>
  </si>
  <si>
    <t>大阪府池田市神田1-4-8-107</t>
    <rPh sb="0" eb="3">
      <t>オオサカフ</t>
    </rPh>
    <rPh sb="3" eb="6">
      <t>イケダシ</t>
    </rPh>
    <rPh sb="6" eb="8">
      <t>カンダ</t>
    </rPh>
    <phoneticPr fontId="1"/>
  </si>
  <si>
    <t>m-u-r-o-p-o-n.0131@docomo.ne.jp</t>
    <phoneticPr fontId="1"/>
  </si>
  <si>
    <t>090-3058-3579</t>
    <phoneticPr fontId="1"/>
  </si>
  <si>
    <t>岩見　貴敏</t>
    <rPh sb="0" eb="2">
      <t>イワミ</t>
    </rPh>
    <rPh sb="3" eb="4">
      <t>タカ</t>
    </rPh>
    <rPh sb="4" eb="5">
      <t>トシ</t>
    </rPh>
    <phoneticPr fontId="1"/>
  </si>
  <si>
    <t>イワミ　タカトシ</t>
    <phoneticPr fontId="1"/>
  </si>
  <si>
    <t>兵庫県西宮市甲子園口4丁目4-4</t>
    <rPh sb="0" eb="3">
      <t>ヒョウゴケン</t>
    </rPh>
    <rPh sb="3" eb="6">
      <t>ニシノミヤシ</t>
    </rPh>
    <rPh sb="6" eb="10">
      <t>コウシエングチ</t>
    </rPh>
    <rPh sb="11" eb="13">
      <t>チョウメ</t>
    </rPh>
    <phoneticPr fontId="1"/>
  </si>
  <si>
    <t>12.4km</t>
    <phoneticPr fontId="1"/>
  </si>
  <si>
    <t>takatoshi.iwami@gmail.com</t>
    <phoneticPr fontId="1"/>
  </si>
  <si>
    <t>090-5246-8311</t>
    <phoneticPr fontId="1"/>
  </si>
  <si>
    <t>・</t>
    <phoneticPr fontId="1"/>
  </si>
  <si>
    <t>トラックマンを体験してみたかっただけ</t>
    <rPh sb="7" eb="9">
      <t>タイケン</t>
    </rPh>
    <phoneticPr fontId="1"/>
  </si>
  <si>
    <t>ササキ　トモミ</t>
    <phoneticPr fontId="1"/>
  </si>
  <si>
    <t>兵庫県宝塚市平井山荘22-3</t>
    <rPh sb="0" eb="3">
      <t>ヒョウゴケン</t>
    </rPh>
    <rPh sb="3" eb="6">
      <t>タカラヅカシ</t>
    </rPh>
    <rPh sb="6" eb="8">
      <t>ヒライ</t>
    </rPh>
    <rPh sb="8" eb="10">
      <t>サンソウ</t>
    </rPh>
    <phoneticPr fontId="1"/>
  </si>
  <si>
    <t>090-2577-3535</t>
    <phoneticPr fontId="1"/>
  </si>
  <si>
    <t>佐々木　知巳</t>
    <rPh sb="0" eb="3">
      <t>ササキ</t>
    </rPh>
    <rPh sb="4" eb="5">
      <t>トモ</t>
    </rPh>
    <rPh sb="5" eb="6">
      <t>ミ</t>
    </rPh>
    <phoneticPr fontId="1"/>
  </si>
  <si>
    <t>田中　維知子</t>
    <rPh sb="0" eb="2">
      <t>タナカ</t>
    </rPh>
    <rPh sb="3" eb="4">
      <t>イ</t>
    </rPh>
    <rPh sb="4" eb="6">
      <t>サトコ</t>
    </rPh>
    <phoneticPr fontId="1"/>
  </si>
  <si>
    <t>タナカ　イチコ</t>
    <phoneticPr fontId="1"/>
  </si>
  <si>
    <t>大阪府大阪市西区北堀江2-5-5-601</t>
    <rPh sb="0" eb="3">
      <t>オオサカフ</t>
    </rPh>
    <rPh sb="3" eb="6">
      <t>オオサカシ</t>
    </rPh>
    <rPh sb="6" eb="8">
      <t>ニシク</t>
    </rPh>
    <phoneticPr fontId="1"/>
  </si>
  <si>
    <t>ichiko055@docomo.ne.jp</t>
    <phoneticPr fontId="1"/>
  </si>
  <si>
    <t>志野さんのお知り合い</t>
    <rPh sb="0" eb="2">
      <t>シノ</t>
    </rPh>
    <rPh sb="6" eb="7">
      <t>シ</t>
    </rPh>
    <rPh sb="8" eb="9">
      <t>ア</t>
    </rPh>
    <phoneticPr fontId="1"/>
  </si>
  <si>
    <t>7/15 不在</t>
    <rPh sb="5" eb="7">
      <t>フザイ</t>
    </rPh>
    <phoneticPr fontId="1"/>
  </si>
  <si>
    <t>7/15腰痛めている</t>
    <rPh sb="4" eb="5">
      <t>コシ</t>
    </rPh>
    <rPh sb="5" eb="6">
      <t>イタ</t>
    </rPh>
    <phoneticPr fontId="1"/>
  </si>
  <si>
    <t>髙岡　克史</t>
    <rPh sb="0" eb="1">
      <t>ダカイ</t>
    </rPh>
    <rPh sb="1" eb="2">
      <t>オカ</t>
    </rPh>
    <rPh sb="3" eb="4">
      <t>カツ</t>
    </rPh>
    <rPh sb="4" eb="5">
      <t>フミ</t>
    </rPh>
    <phoneticPr fontId="1"/>
  </si>
  <si>
    <t>タカオカ　ヨシフミ</t>
    <phoneticPr fontId="1"/>
  </si>
  <si>
    <t>664-0022</t>
    <phoneticPr fontId="1"/>
  </si>
  <si>
    <t>兵庫県伊丹市中野東1丁目２９８パレ昆陽池公園1-211</t>
    <rPh sb="0" eb="3">
      <t>ヒョウゴケン</t>
    </rPh>
    <rPh sb="3" eb="6">
      <t>イタミシ</t>
    </rPh>
    <rPh sb="6" eb="9">
      <t>ナカノヒガシ</t>
    </rPh>
    <rPh sb="10" eb="12">
      <t>チョウメ</t>
    </rPh>
    <rPh sb="17" eb="20">
      <t>コヤイケ</t>
    </rPh>
    <rPh sb="20" eb="22">
      <t>コウエン</t>
    </rPh>
    <phoneticPr fontId="1"/>
  </si>
  <si>
    <t>kei7tai1@gmail.com</t>
    <phoneticPr fontId="1"/>
  </si>
  <si>
    <t>090-3845-4699</t>
    <phoneticPr fontId="1"/>
  </si>
  <si>
    <t>寺坂　雄翔</t>
    <rPh sb="0" eb="2">
      <t>テラサカ</t>
    </rPh>
    <rPh sb="3" eb="4">
      <t>ユウ</t>
    </rPh>
    <rPh sb="4" eb="5">
      <t>カケル</t>
    </rPh>
    <phoneticPr fontId="1"/>
  </si>
  <si>
    <t>纐纈　欣樹</t>
    <rPh sb="0" eb="2">
      <t>コウケツ</t>
    </rPh>
    <rPh sb="3" eb="4">
      <t>ヨシ</t>
    </rPh>
    <rPh sb="4" eb="5">
      <t>キ</t>
    </rPh>
    <phoneticPr fontId="1"/>
  </si>
  <si>
    <t>コウケツ　ヨシキ</t>
    <phoneticPr fontId="1"/>
  </si>
  <si>
    <t>大阪府西区南堀江2-10-15-501</t>
    <rPh sb="0" eb="2">
      <t>オオサカ</t>
    </rPh>
    <rPh sb="2" eb="3">
      <t>フ</t>
    </rPh>
    <rPh sb="3" eb="5">
      <t>ニシク</t>
    </rPh>
    <rPh sb="5" eb="6">
      <t>ミナミ</t>
    </rPh>
    <rPh sb="6" eb="8">
      <t>ホリエ</t>
    </rPh>
    <phoneticPr fontId="1"/>
  </si>
  <si>
    <t>26.4km</t>
    <phoneticPr fontId="1"/>
  </si>
  <si>
    <t>kokatsu321@icloud.com</t>
    <phoneticPr fontId="1"/>
  </si>
  <si>
    <t>080-3809-4232</t>
    <phoneticPr fontId="1"/>
  </si>
  <si>
    <t>社長さん</t>
    <rPh sb="0" eb="2">
      <t>シャチョウ</t>
    </rPh>
    <phoneticPr fontId="1"/>
  </si>
  <si>
    <t>ﾌｨｯﾃｨﾝｸﾞ　井殿プロ対応</t>
    <rPh sb="9" eb="11">
      <t>イドノ</t>
    </rPh>
    <rPh sb="13" eb="15">
      <t>タイオウ</t>
    </rPh>
    <phoneticPr fontId="1"/>
  </si>
  <si>
    <t>岡川　幸司</t>
    <rPh sb="0" eb="2">
      <t>オカガワ</t>
    </rPh>
    <rPh sb="3" eb="5">
      <t>コウジ</t>
    </rPh>
    <phoneticPr fontId="1"/>
  </si>
  <si>
    <t>オカガワ　コウジ</t>
    <phoneticPr fontId="1"/>
  </si>
  <si>
    <t>大阪府箕面市彩都粟生南6-6-32</t>
    <phoneticPr fontId="1"/>
  </si>
  <si>
    <t>prov1x9ball@yahoo.co.jp</t>
    <phoneticPr fontId="1"/>
  </si>
  <si>
    <t>090-9102-3384</t>
    <phoneticPr fontId="1"/>
  </si>
  <si>
    <t>山中　良夫</t>
    <rPh sb="0" eb="2">
      <t>ヤマナカ</t>
    </rPh>
    <rPh sb="3" eb="5">
      <t>ヨシオ</t>
    </rPh>
    <phoneticPr fontId="1"/>
  </si>
  <si>
    <t>ヤマナカ　ヨシオ</t>
    <phoneticPr fontId="1"/>
  </si>
  <si>
    <t>大阪府吹田市桃山台4-3-1-209</t>
    <rPh sb="0" eb="3">
      <t>オオサカフ</t>
    </rPh>
    <rPh sb="3" eb="5">
      <t>スイタ</t>
    </rPh>
    <rPh sb="5" eb="6">
      <t>シ</t>
    </rPh>
    <rPh sb="6" eb="9">
      <t>モモヤマダイ</t>
    </rPh>
    <phoneticPr fontId="1"/>
  </si>
  <si>
    <t>13.5㎞</t>
    <phoneticPr fontId="1"/>
  </si>
  <si>
    <t>090-8384-3235</t>
    <phoneticPr fontId="1"/>
  </si>
  <si>
    <t>19.3㎞</t>
    <phoneticPr fontId="1"/>
  </si>
  <si>
    <t>染谷さんご紹介。8月入会。友達割適用。</t>
    <rPh sb="0" eb="2">
      <t>ソメヤ</t>
    </rPh>
    <rPh sb="5" eb="7">
      <t>ショウカイ</t>
    </rPh>
    <rPh sb="9" eb="10">
      <t>ガツ</t>
    </rPh>
    <rPh sb="10" eb="12">
      <t>ニュウカイ</t>
    </rPh>
    <rPh sb="13" eb="16">
      <t>トモダチワリ</t>
    </rPh>
    <rPh sb="16" eb="18">
      <t>テキヨウ</t>
    </rPh>
    <phoneticPr fontId="1"/>
  </si>
  <si>
    <t>古川さん（社長）</t>
    <rPh sb="0" eb="2">
      <t>フルカワ</t>
    </rPh>
    <rPh sb="5" eb="7">
      <t>シャチョウ</t>
    </rPh>
    <phoneticPr fontId="1"/>
  </si>
  <si>
    <t>山口　昭人</t>
    <rPh sb="0" eb="2">
      <t>ヤマグチ</t>
    </rPh>
    <rPh sb="3" eb="5">
      <t>アキヒト</t>
    </rPh>
    <phoneticPr fontId="1"/>
  </si>
  <si>
    <t>ヤマグチ　アキヒト</t>
    <phoneticPr fontId="1"/>
  </si>
  <si>
    <t>兵庫県宝塚市旭町2-3-23-305</t>
    <rPh sb="0" eb="3">
      <t>ヒョウゴケン</t>
    </rPh>
    <rPh sb="3" eb="6">
      <t>タカラヅカシ</t>
    </rPh>
    <rPh sb="6" eb="8">
      <t>アサヒマチ</t>
    </rPh>
    <phoneticPr fontId="1"/>
  </si>
  <si>
    <t>090-3725-1551</t>
    <phoneticPr fontId="1"/>
  </si>
  <si>
    <t>ワンポイントレッスンの内容が良かった。月に何回来れるか分からないので、まずはチケットから始めます。</t>
    <rPh sb="11" eb="13">
      <t>ナイヨウ</t>
    </rPh>
    <rPh sb="14" eb="15">
      <t>ヨ</t>
    </rPh>
    <rPh sb="19" eb="20">
      <t>ツキ</t>
    </rPh>
    <rPh sb="21" eb="23">
      <t>ナンカイ</t>
    </rPh>
    <rPh sb="23" eb="24">
      <t>コ</t>
    </rPh>
    <rPh sb="27" eb="28">
      <t>ワ</t>
    </rPh>
    <rPh sb="44" eb="45">
      <t>ハジ</t>
    </rPh>
    <phoneticPr fontId="1"/>
  </si>
  <si>
    <t>山内　栄</t>
    <rPh sb="0" eb="2">
      <t>ヤマウチ</t>
    </rPh>
    <rPh sb="3" eb="4">
      <t>サカエ</t>
    </rPh>
    <phoneticPr fontId="1"/>
  </si>
  <si>
    <t>ヤマウチ　サカエ</t>
    <phoneticPr fontId="1"/>
  </si>
  <si>
    <t>岐阜県中津川市高山794-57</t>
    <rPh sb="0" eb="3">
      <t>ギフケン</t>
    </rPh>
    <rPh sb="3" eb="7">
      <t>ナカツガワシ</t>
    </rPh>
    <rPh sb="7" eb="9">
      <t>タカヤマ</t>
    </rPh>
    <phoneticPr fontId="1"/>
  </si>
  <si>
    <t>252㎞</t>
    <phoneticPr fontId="1"/>
  </si>
  <si>
    <t>508-0204</t>
    <phoneticPr fontId="1"/>
  </si>
  <si>
    <t>090-8077-7732</t>
    <phoneticPr fontId="1"/>
  </si>
  <si>
    <t>志野さん知人</t>
    <rPh sb="0" eb="2">
      <t>シノ</t>
    </rPh>
    <rPh sb="4" eb="6">
      <t>チジン</t>
    </rPh>
    <phoneticPr fontId="1"/>
  </si>
  <si>
    <t>松井　友美</t>
    <rPh sb="0" eb="2">
      <t>マツイ</t>
    </rPh>
    <rPh sb="3" eb="5">
      <t>トモミ</t>
    </rPh>
    <phoneticPr fontId="1"/>
  </si>
  <si>
    <t>マツイ　トモミ</t>
    <phoneticPr fontId="1"/>
  </si>
  <si>
    <t>兵庫県伊丹市瑞穂町3-37-A-6</t>
    <rPh sb="0" eb="9">
      <t>664-0013</t>
    </rPh>
    <phoneticPr fontId="1"/>
  </si>
  <si>
    <t>090-2085-0488</t>
    <phoneticPr fontId="1"/>
  </si>
  <si>
    <t>川村　恒康</t>
    <rPh sb="0" eb="2">
      <t>カワムラ</t>
    </rPh>
    <rPh sb="3" eb="4">
      <t>ヒサシ</t>
    </rPh>
    <rPh sb="4" eb="5">
      <t>ヤスシ</t>
    </rPh>
    <phoneticPr fontId="1"/>
  </si>
  <si>
    <t>カワムラ　ツネヤス</t>
    <phoneticPr fontId="1"/>
  </si>
  <si>
    <t>666-0133</t>
    <phoneticPr fontId="1"/>
  </si>
  <si>
    <t>兵庫県川西市鴬台2-25-3</t>
    <rPh sb="0" eb="8">
      <t>666-0133</t>
    </rPh>
    <phoneticPr fontId="1"/>
  </si>
  <si>
    <t>gan.dam19701014@gmail.com</t>
    <phoneticPr fontId="1"/>
  </si>
  <si>
    <t>090-9289-5402</t>
    <phoneticPr fontId="1"/>
  </si>
  <si>
    <t>澤田　貴広</t>
    <rPh sb="0" eb="2">
      <t>サワダ</t>
    </rPh>
    <rPh sb="3" eb="5">
      <t>タカヒロ</t>
    </rPh>
    <phoneticPr fontId="1"/>
  </si>
  <si>
    <t>サワダ　タカヒロ</t>
    <phoneticPr fontId="1"/>
  </si>
  <si>
    <t>577-0804</t>
    <phoneticPr fontId="1"/>
  </si>
  <si>
    <t>大阪府東大阪市中小阪1-18-17</t>
    <rPh sb="0" eb="10">
      <t>577-0804</t>
    </rPh>
    <phoneticPr fontId="1"/>
  </si>
  <si>
    <t>takahirosavada0714.ts@gmail.com</t>
    <phoneticPr fontId="1"/>
  </si>
  <si>
    <t>松田　博文</t>
    <rPh sb="0" eb="2">
      <t>マツダ</t>
    </rPh>
    <rPh sb="3" eb="5">
      <t>ヒロフミ</t>
    </rPh>
    <phoneticPr fontId="1"/>
  </si>
  <si>
    <t>マツダ　ヒロフミ</t>
    <phoneticPr fontId="1"/>
  </si>
  <si>
    <t>565-0804</t>
    <phoneticPr fontId="1"/>
  </si>
  <si>
    <t>大阪府吹田市新芦屋上17-J-908</t>
    <phoneticPr fontId="1"/>
  </si>
  <si>
    <t>080-9930-2530</t>
    <phoneticPr fontId="1"/>
  </si>
  <si>
    <t>070-3810-0714</t>
    <phoneticPr fontId="1"/>
  </si>
  <si>
    <t>高村　賢二</t>
    <rPh sb="0" eb="2">
      <t>タカムラ</t>
    </rPh>
    <rPh sb="3" eb="5">
      <t>ケンジ</t>
    </rPh>
    <phoneticPr fontId="1"/>
  </si>
  <si>
    <t>タカムラ　ケンジ</t>
    <phoneticPr fontId="1"/>
  </si>
  <si>
    <t>兵庫県神戸市中央区脇浜海岸通4-3-8-706</t>
    <rPh sb="0" eb="3">
      <t>ヒョウゴケン</t>
    </rPh>
    <rPh sb="3" eb="6">
      <t>コウベシ</t>
    </rPh>
    <rPh sb="6" eb="9">
      <t>チュウオウク</t>
    </rPh>
    <rPh sb="9" eb="11">
      <t>ワキハマ</t>
    </rPh>
    <rPh sb="11" eb="13">
      <t>カイガン</t>
    </rPh>
    <rPh sb="13" eb="14">
      <t>トオ</t>
    </rPh>
    <phoneticPr fontId="1"/>
  </si>
  <si>
    <t>ken0548ta@rb.ucom.ne.jp</t>
    <phoneticPr fontId="1"/>
  </si>
  <si>
    <t>080-8845-3109</t>
    <phoneticPr fontId="1"/>
  </si>
  <si>
    <t>有尾　清二郎</t>
    <rPh sb="0" eb="2">
      <t>アリオ</t>
    </rPh>
    <rPh sb="3" eb="6">
      <t>セイジロウ</t>
    </rPh>
    <phoneticPr fontId="1"/>
  </si>
  <si>
    <t>アリオ　セイジロウ</t>
    <phoneticPr fontId="1"/>
  </si>
  <si>
    <t>666-0125</t>
    <phoneticPr fontId="1"/>
  </si>
  <si>
    <t>兵庫県川西市新田3-8-21</t>
    <rPh sb="0" eb="3">
      <t>ヒョウゴケン</t>
    </rPh>
    <rPh sb="3" eb="6">
      <t>カワニシシ</t>
    </rPh>
    <rPh sb="6" eb="8">
      <t>ニッタ</t>
    </rPh>
    <phoneticPr fontId="1"/>
  </si>
  <si>
    <t>seijirouario@yahoo.co.jp</t>
    <phoneticPr fontId="1"/>
  </si>
  <si>
    <t>070-1826-8014</t>
    <phoneticPr fontId="1"/>
  </si>
  <si>
    <t>自分でやみくもに練習してもうまくならない事が良く分かった。すぐに始めます。</t>
    <rPh sb="0" eb="2">
      <t>ジブン</t>
    </rPh>
    <rPh sb="8" eb="10">
      <t>レンシュウ</t>
    </rPh>
    <rPh sb="20" eb="21">
      <t>コト</t>
    </rPh>
    <rPh sb="22" eb="23">
      <t>ヨ</t>
    </rPh>
    <rPh sb="24" eb="25">
      <t>ワ</t>
    </rPh>
    <rPh sb="32" eb="33">
      <t>ハジ</t>
    </rPh>
    <phoneticPr fontId="1"/>
  </si>
  <si>
    <t>春山　智也</t>
    <rPh sb="0" eb="2">
      <t>ハルヤマ</t>
    </rPh>
    <rPh sb="3" eb="5">
      <t>トモヤ</t>
    </rPh>
    <phoneticPr fontId="1"/>
  </si>
  <si>
    <t>ハルヤマ　トモヤ</t>
    <phoneticPr fontId="1"/>
  </si>
  <si>
    <t>兵庫県宝塚市中州1-11-9-102</t>
    <rPh sb="0" eb="8">
      <t>665-0021</t>
    </rPh>
    <phoneticPr fontId="1"/>
  </si>
  <si>
    <t>080-2430-1026</t>
    <phoneticPr fontId="1"/>
  </si>
  <si>
    <t>ヨシモト　ナオミ</t>
    <phoneticPr fontId="1"/>
  </si>
  <si>
    <t>673-1341</t>
    <phoneticPr fontId="1"/>
  </si>
  <si>
    <t>兵庫県加東市南山2-15-15</t>
    <rPh sb="0" eb="3">
      <t>ヒョウゴケン</t>
    </rPh>
    <rPh sb="3" eb="6">
      <t>カトウシ</t>
    </rPh>
    <rPh sb="6" eb="8">
      <t>ミナミヤマ</t>
    </rPh>
    <phoneticPr fontId="1"/>
  </si>
  <si>
    <t>志野さんお知り合い。クーポン利用</t>
    <rPh sb="0" eb="2">
      <t>シノ</t>
    </rPh>
    <rPh sb="5" eb="6">
      <t>シ</t>
    </rPh>
    <rPh sb="7" eb="8">
      <t>ア</t>
    </rPh>
    <rPh sb="14" eb="16">
      <t>リヨウ</t>
    </rPh>
    <phoneticPr fontId="1"/>
  </si>
  <si>
    <t>武井　淳子</t>
    <rPh sb="0" eb="2">
      <t>タケイ</t>
    </rPh>
    <rPh sb="3" eb="5">
      <t>ジュンコ</t>
    </rPh>
    <phoneticPr fontId="1"/>
  </si>
  <si>
    <t>タケイ　ジュンコ</t>
    <phoneticPr fontId="1"/>
  </si>
  <si>
    <t>兵庫県川西市けやき坂3-2-7</t>
    <rPh sb="0" eb="10">
      <t>666-0145</t>
    </rPh>
    <phoneticPr fontId="1"/>
  </si>
  <si>
    <t>kpilateshome@gmail.com</t>
    <phoneticPr fontId="1"/>
  </si>
  <si>
    <t>090-4174-7550</t>
    <phoneticPr fontId="1"/>
  </si>
  <si>
    <t>有</t>
    <rPh sb="0" eb="1">
      <t>ユウ</t>
    </rPh>
    <phoneticPr fontId="1"/>
  </si>
  <si>
    <t>水原　玉枝</t>
    <rPh sb="0" eb="2">
      <t>ミズハラ</t>
    </rPh>
    <rPh sb="3" eb="5">
      <t>タマエ</t>
    </rPh>
    <phoneticPr fontId="1"/>
  </si>
  <si>
    <t>ミズハラ　タマエ</t>
    <phoneticPr fontId="1"/>
  </si>
  <si>
    <t>540-0013</t>
    <phoneticPr fontId="1"/>
  </si>
  <si>
    <t>大阪府大阪市中央区内久宝寺町2-2-22-2301</t>
    <rPh sb="0" eb="14">
      <t>540-0013</t>
    </rPh>
    <phoneticPr fontId="1"/>
  </si>
  <si>
    <t>090-5652-6067</t>
    <phoneticPr fontId="1"/>
  </si>
  <si>
    <t>ヤマダ　ゴウ</t>
    <phoneticPr fontId="1"/>
  </si>
  <si>
    <t>兵庫県宝塚市泉町32-1</t>
  </si>
  <si>
    <t>1.8km</t>
  </si>
  <si>
    <t>yamago8050@gmail.com</t>
  </si>
  <si>
    <t>090-5136-6756</t>
  </si>
  <si>
    <t>体の正しい使い方を具体的に教えて頂けた</t>
    <rPh sb="0" eb="1">
      <t>カラダ</t>
    </rPh>
    <rPh sb="2" eb="3">
      <t>タダ</t>
    </rPh>
    <rPh sb="5" eb="6">
      <t>ツカ</t>
    </rPh>
    <rPh sb="7" eb="8">
      <t>カタ</t>
    </rPh>
    <rPh sb="9" eb="12">
      <t>グタイテキ</t>
    </rPh>
    <rPh sb="13" eb="14">
      <t>オシ</t>
    </rPh>
    <rPh sb="16" eb="17">
      <t>イタダ</t>
    </rPh>
    <phoneticPr fontId="1"/>
  </si>
  <si>
    <t>ナカクボ　カツヒロ</t>
    <phoneticPr fontId="1"/>
  </si>
  <si>
    <t>2021.2.6　ﾌｨｯﾃｨﾝｸﾞ来店。本日もﾌｨｯﾃｨﾝｸﾞ目的でご自身で打席予約されて来店。55分のみの予約だったので、ﾌｨｯﾃｨﾝｸﾞではなく体験に変更されました。</t>
    <rPh sb="17" eb="19">
      <t>ライテン</t>
    </rPh>
    <rPh sb="20" eb="22">
      <t>ホンジツ</t>
    </rPh>
    <rPh sb="31" eb="33">
      <t>モクテキ</t>
    </rPh>
    <rPh sb="35" eb="37">
      <t>ジシン</t>
    </rPh>
    <rPh sb="38" eb="42">
      <t>ダセキヨヤク</t>
    </rPh>
    <rPh sb="45" eb="47">
      <t>ライテン</t>
    </rPh>
    <rPh sb="50" eb="51">
      <t>フン</t>
    </rPh>
    <rPh sb="54" eb="56">
      <t>ヨヤク</t>
    </rPh>
    <rPh sb="74" eb="76">
      <t>タイケン</t>
    </rPh>
    <rPh sb="77" eb="79">
      <t>ヘンコウ</t>
    </rPh>
    <phoneticPr fontId="1"/>
  </si>
  <si>
    <t>ナカシマ　ユウジ</t>
  </si>
  <si>
    <t>665-0875</t>
  </si>
  <si>
    <t>you.nakasy@gmail.com</t>
  </si>
  <si>
    <t>080-6107-8207</t>
  </si>
  <si>
    <t>再体験</t>
    <rPh sb="0" eb="3">
      <t>サイタイケン</t>
    </rPh>
    <phoneticPr fontId="1"/>
  </si>
  <si>
    <t>考え中</t>
    <rPh sb="0" eb="1">
      <t>カンガ</t>
    </rPh>
    <rPh sb="2" eb="3">
      <t>チュウ</t>
    </rPh>
    <phoneticPr fontId="1"/>
  </si>
  <si>
    <t>不在</t>
    <rPh sb="0" eb="2">
      <t>フザイ</t>
    </rPh>
    <phoneticPr fontId="1"/>
  </si>
  <si>
    <t>2021/7/21 ﾌｨｯﾃｨﾝｸﾞ来店</t>
    <rPh sb="18" eb="20">
      <t>ライテン</t>
    </rPh>
    <phoneticPr fontId="1"/>
  </si>
  <si>
    <t>松田　隆兵</t>
    <rPh sb="0" eb="2">
      <t>マツダ</t>
    </rPh>
    <rPh sb="3" eb="4">
      <t>タカシ</t>
    </rPh>
    <rPh sb="4" eb="5">
      <t>ヘイ</t>
    </rPh>
    <phoneticPr fontId="1"/>
  </si>
  <si>
    <t>マツダ　リュウヘイ</t>
    <phoneticPr fontId="1"/>
  </si>
  <si>
    <t>兵庫県川西市南花屋敷3-18-10</t>
    <rPh sb="0" eb="10">
      <t>666-0026</t>
    </rPh>
    <phoneticPr fontId="1"/>
  </si>
  <si>
    <t>090-2281-5354</t>
    <phoneticPr fontId="1"/>
  </si>
  <si>
    <t>宮崎　聖子</t>
    <rPh sb="0" eb="2">
      <t>ミヤザキ</t>
    </rPh>
    <rPh sb="3" eb="5">
      <t>セイコ</t>
    </rPh>
    <phoneticPr fontId="1"/>
  </si>
  <si>
    <t>ミヤザキ　セイコ</t>
    <phoneticPr fontId="1"/>
  </si>
  <si>
    <t>兵庫県宝塚市宝松苑27-5</t>
    <rPh sb="0" eb="3">
      <t>ヒョウゴケン</t>
    </rPh>
    <rPh sb="3" eb="6">
      <t>タカラヅカシ</t>
    </rPh>
    <rPh sb="6" eb="9">
      <t>ホウショウエン</t>
    </rPh>
    <phoneticPr fontId="1"/>
  </si>
  <si>
    <t>wshuna-mama-seiko@gmail.com</t>
    <phoneticPr fontId="1"/>
  </si>
  <si>
    <t>090-4031-7675</t>
    <phoneticPr fontId="1"/>
  </si>
  <si>
    <t>サカイ　ショウケイ</t>
    <phoneticPr fontId="1"/>
  </si>
  <si>
    <t>小林　涼聖</t>
    <rPh sb="0" eb="2">
      <t>コバヤシ</t>
    </rPh>
    <rPh sb="3" eb="5">
      <t>リョウヒジリ</t>
    </rPh>
    <phoneticPr fontId="1"/>
  </si>
  <si>
    <t>コバヤシ　リョウセイ</t>
    <phoneticPr fontId="1"/>
  </si>
  <si>
    <t>673-0843</t>
    <phoneticPr fontId="1"/>
  </si>
  <si>
    <t>兵庫県明石市大寺大野町2720-1 301</t>
    <rPh sb="0" eb="3">
      <t>ヒョウゴケン</t>
    </rPh>
    <rPh sb="3" eb="6">
      <t>アカシシ</t>
    </rPh>
    <rPh sb="6" eb="8">
      <t>オオテラ</t>
    </rPh>
    <rPh sb="8" eb="10">
      <t>オオノ</t>
    </rPh>
    <rPh sb="10" eb="11">
      <t>チョウ</t>
    </rPh>
    <phoneticPr fontId="1"/>
  </si>
  <si>
    <t>50.7km</t>
    <phoneticPr fontId="1"/>
  </si>
  <si>
    <t>080-5360-0791</t>
    <phoneticPr fontId="1"/>
  </si>
  <si>
    <t>615-0001</t>
    <phoneticPr fontId="1"/>
  </si>
  <si>
    <t>京都府京都市右京区西院上今田町26</t>
    <rPh sb="0" eb="3">
      <t>キョウトフ</t>
    </rPh>
    <rPh sb="3" eb="6">
      <t>キョウトシ</t>
    </rPh>
    <rPh sb="6" eb="9">
      <t>ウキョウク</t>
    </rPh>
    <rPh sb="9" eb="11">
      <t>サイイン</t>
    </rPh>
    <rPh sb="11" eb="15">
      <t>カミコンダチョウ</t>
    </rPh>
    <phoneticPr fontId="1"/>
  </si>
  <si>
    <t>54.3km</t>
    <phoneticPr fontId="1"/>
  </si>
  <si>
    <t>paneratta735@gmail.com</t>
    <phoneticPr fontId="1"/>
  </si>
  <si>
    <t>090-3058-9563</t>
    <phoneticPr fontId="1"/>
  </si>
  <si>
    <t>ゴルフを始めて半年。変な癖がつく前に正しいスイングを身に付けたかった。アドバイスが的確でよかった。</t>
    <rPh sb="4" eb="5">
      <t>ハジ</t>
    </rPh>
    <rPh sb="7" eb="9">
      <t>ハントシ</t>
    </rPh>
    <rPh sb="10" eb="11">
      <t>ヘン</t>
    </rPh>
    <rPh sb="12" eb="13">
      <t>クセ</t>
    </rPh>
    <rPh sb="16" eb="17">
      <t>マエ</t>
    </rPh>
    <rPh sb="18" eb="19">
      <t>タダ</t>
    </rPh>
    <rPh sb="26" eb="27">
      <t>ミ</t>
    </rPh>
    <rPh sb="28" eb="29">
      <t>ツ</t>
    </rPh>
    <rPh sb="41" eb="43">
      <t>テキカク</t>
    </rPh>
    <phoneticPr fontId="1"/>
  </si>
  <si>
    <t>サカヒラ　タツヤ</t>
    <phoneticPr fontId="1"/>
  </si>
  <si>
    <t>坂平　達哉</t>
    <rPh sb="0" eb="2">
      <t>サカヒラ</t>
    </rPh>
    <rPh sb="3" eb="5">
      <t>タツヤ</t>
    </rPh>
    <phoneticPr fontId="1"/>
  </si>
  <si>
    <t>松井　啓輔</t>
    <rPh sb="0" eb="2">
      <t>マツイ</t>
    </rPh>
    <rPh sb="3" eb="5">
      <t>ケイスケ</t>
    </rPh>
    <phoneticPr fontId="1"/>
  </si>
  <si>
    <t>マツイ　ケイスケ</t>
    <phoneticPr fontId="1"/>
  </si>
  <si>
    <t>兵庫県芦屋市浜町7-12-1</t>
    <rPh sb="0" eb="3">
      <t>ヒョウゴケン</t>
    </rPh>
    <rPh sb="3" eb="5">
      <t>アシヤ</t>
    </rPh>
    <rPh sb="5" eb="6">
      <t>シ</t>
    </rPh>
    <rPh sb="6" eb="8">
      <t>ハマノマチ</t>
    </rPh>
    <phoneticPr fontId="1"/>
  </si>
  <si>
    <t>659-0025</t>
    <phoneticPr fontId="1"/>
  </si>
  <si>
    <t>28.5km</t>
    <phoneticPr fontId="1"/>
  </si>
  <si>
    <t>soranori123@gmail.com</t>
    <phoneticPr fontId="1"/>
  </si>
  <si>
    <t>080-446-4471</t>
    <phoneticPr fontId="1"/>
  </si>
  <si>
    <t>ウエオカ　ナオカズ</t>
    <phoneticPr fontId="1"/>
  </si>
  <si>
    <t>伊丹市緑ヶ丘6-43-1</t>
    <rPh sb="0" eb="3">
      <t>イタミシ</t>
    </rPh>
    <rPh sb="3" eb="4">
      <t>ミドリ</t>
    </rPh>
    <rPh sb="5" eb="6">
      <t>オカ</t>
    </rPh>
    <phoneticPr fontId="1"/>
  </si>
  <si>
    <t>n.ueoka@neo15.com</t>
    <phoneticPr fontId="1"/>
  </si>
  <si>
    <t>090-4299-8752</t>
    <phoneticPr fontId="1"/>
  </si>
  <si>
    <t>LINE¥500利用</t>
  </si>
  <si>
    <t>上岡　直和</t>
    <rPh sb="0" eb="2">
      <t>ウエオカ</t>
    </rPh>
    <rPh sb="3" eb="5">
      <t>ナオカズ</t>
    </rPh>
    <phoneticPr fontId="1"/>
  </si>
  <si>
    <t>木下　昌嗣</t>
    <rPh sb="0" eb="2">
      <t>キノシタ</t>
    </rPh>
    <rPh sb="3" eb="5">
      <t>マサツグ</t>
    </rPh>
    <phoneticPr fontId="1"/>
  </si>
  <si>
    <t>キノシタ　マサツグ</t>
    <phoneticPr fontId="1"/>
  </si>
  <si>
    <t>560-0043</t>
    <phoneticPr fontId="1"/>
  </si>
  <si>
    <t>大阪府豊中市待兼山町14-25</t>
    <rPh sb="0" eb="10">
      <t>560-0043</t>
    </rPh>
    <phoneticPr fontId="1"/>
  </si>
  <si>
    <t>kinomasa3@ymail.ne.jp</t>
    <phoneticPr fontId="1"/>
  </si>
  <si>
    <t>090-7492-2682</t>
    <phoneticPr fontId="1"/>
  </si>
  <si>
    <t>LINE¥500利用</t>
    <phoneticPr fontId="1"/>
  </si>
  <si>
    <t>山本　伸</t>
    <rPh sb="0" eb="2">
      <t>ヤマモト</t>
    </rPh>
    <rPh sb="3" eb="4">
      <t>シン</t>
    </rPh>
    <phoneticPr fontId="1"/>
  </si>
  <si>
    <t>ヤマモト　シン</t>
    <phoneticPr fontId="1"/>
  </si>
  <si>
    <t>596-0077</t>
    <phoneticPr fontId="1"/>
  </si>
  <si>
    <t>大阪府岸和田市上町47-18-404</t>
    <rPh sb="0" eb="3">
      <t>オオサカフ</t>
    </rPh>
    <rPh sb="3" eb="7">
      <t>キシワダシ</t>
    </rPh>
    <rPh sb="7" eb="9">
      <t>カミチョウ</t>
    </rPh>
    <phoneticPr fontId="1"/>
  </si>
  <si>
    <t>58.2㎞</t>
    <phoneticPr fontId="1"/>
  </si>
  <si>
    <t>090-8754-5692</t>
    <phoneticPr fontId="1"/>
  </si>
  <si>
    <t>プロ紹介割(藤田プロ)</t>
    <rPh sb="2" eb="4">
      <t>ショウカイ</t>
    </rPh>
    <rPh sb="4" eb="5">
      <t>ワリ</t>
    </rPh>
    <rPh sb="6" eb="8">
      <t>フジタ</t>
    </rPh>
    <phoneticPr fontId="1"/>
  </si>
  <si>
    <t>オオムラ　ヤスタカ</t>
    <phoneticPr fontId="1"/>
  </si>
  <si>
    <t>大村　喜代美</t>
    <rPh sb="0" eb="2">
      <t>オオムラ</t>
    </rPh>
    <rPh sb="3" eb="6">
      <t>キヨミ</t>
    </rPh>
    <phoneticPr fontId="1"/>
  </si>
  <si>
    <t>オオムラ　キヨミ</t>
    <phoneticPr fontId="1"/>
  </si>
  <si>
    <t>080-6115-4908</t>
    <phoneticPr fontId="1"/>
  </si>
  <si>
    <t>大村泰隆様　奥様</t>
    <rPh sb="0" eb="4">
      <t>オオムラヤスタカ</t>
    </rPh>
    <rPh sb="4" eb="5">
      <t>サマ</t>
    </rPh>
    <rPh sb="6" eb="8">
      <t>オクサマ</t>
    </rPh>
    <phoneticPr fontId="1"/>
  </si>
  <si>
    <t>原田　大雅</t>
    <rPh sb="0" eb="2">
      <t>ハラダ</t>
    </rPh>
    <rPh sb="3" eb="5">
      <t>タイガ</t>
    </rPh>
    <phoneticPr fontId="1"/>
  </si>
  <si>
    <t>宮本　一史</t>
    <rPh sb="0" eb="2">
      <t>ミヤモト</t>
    </rPh>
    <rPh sb="3" eb="5">
      <t>カズフミ</t>
    </rPh>
    <phoneticPr fontId="1"/>
  </si>
  <si>
    <t>ミヤモト　カズフミ</t>
    <phoneticPr fontId="1"/>
  </si>
  <si>
    <t>兵庫県宝塚市山手台東1-10-3</t>
    <rPh sb="0" eb="10">
      <t>665-0887</t>
    </rPh>
    <phoneticPr fontId="1"/>
  </si>
  <si>
    <t>miimii4734@gmail.com</t>
    <phoneticPr fontId="1"/>
  </si>
  <si>
    <t>090-4606-6428</t>
    <phoneticPr fontId="1"/>
  </si>
  <si>
    <t>近藤　一弥</t>
    <rPh sb="0" eb="2">
      <t>コンドウ</t>
    </rPh>
    <rPh sb="3" eb="4">
      <t>イチ</t>
    </rPh>
    <rPh sb="4" eb="5">
      <t>ヤ</t>
    </rPh>
    <phoneticPr fontId="1"/>
  </si>
  <si>
    <t>コンドウ　カズヤ</t>
    <phoneticPr fontId="1"/>
  </si>
  <si>
    <t>兵庫県宝塚市山手台東2-10-11</t>
    <rPh sb="0" eb="10">
      <t>665-0887</t>
    </rPh>
    <phoneticPr fontId="1"/>
  </si>
  <si>
    <t>kondou@house-one.co.jp</t>
    <phoneticPr fontId="1"/>
  </si>
  <si>
    <t>090-9617-0014</t>
    <phoneticPr fontId="1"/>
  </si>
  <si>
    <t>近藤　楓花</t>
    <rPh sb="0" eb="2">
      <t>コンドウ</t>
    </rPh>
    <rPh sb="3" eb="4">
      <t>フウ</t>
    </rPh>
    <rPh sb="4" eb="5">
      <t>ハナ</t>
    </rPh>
    <phoneticPr fontId="1"/>
  </si>
  <si>
    <t>コンドウ　フウカ</t>
    <phoneticPr fontId="1"/>
  </si>
  <si>
    <t>090-6977-3218</t>
    <phoneticPr fontId="1"/>
  </si>
  <si>
    <t>隈下　秀子</t>
    <rPh sb="0" eb="2">
      <t>クマシタ</t>
    </rPh>
    <rPh sb="3" eb="5">
      <t>ヒデコ</t>
    </rPh>
    <phoneticPr fontId="1"/>
  </si>
  <si>
    <t>クマシタ　ヒデコ</t>
    <phoneticPr fontId="1"/>
  </si>
  <si>
    <t>兵庫県宝塚市青葉台2-13-13</t>
    <rPh sb="0" eb="3">
      <t>ヒョウゴケン</t>
    </rPh>
    <rPh sb="3" eb="6">
      <t>タカラヅカシ</t>
    </rPh>
    <rPh sb="6" eb="9">
      <t>アオバダイ</t>
    </rPh>
    <phoneticPr fontId="1"/>
  </si>
  <si>
    <t>0797-77-0584</t>
    <phoneticPr fontId="1"/>
  </si>
  <si>
    <t>山中　英樹</t>
    <rPh sb="0" eb="2">
      <t>ヤマナカ</t>
    </rPh>
    <rPh sb="3" eb="5">
      <t>ヒデキ</t>
    </rPh>
    <phoneticPr fontId="1"/>
  </si>
  <si>
    <t>ヤマナカ　ヒデキ</t>
    <phoneticPr fontId="1"/>
  </si>
  <si>
    <t>663-8211</t>
    <phoneticPr fontId="1"/>
  </si>
  <si>
    <t>西宮市今津山中町7-32</t>
    <rPh sb="0" eb="3">
      <t>ニシノミヤシ</t>
    </rPh>
    <rPh sb="3" eb="5">
      <t>イマヅ</t>
    </rPh>
    <rPh sb="5" eb="7">
      <t>ヤマナカ</t>
    </rPh>
    <rPh sb="7" eb="8">
      <t>チョウ</t>
    </rPh>
    <phoneticPr fontId="1"/>
  </si>
  <si>
    <t>wise.yamanaka@gmail.com</t>
    <phoneticPr fontId="1"/>
  </si>
  <si>
    <t>090-3705-4310</t>
    <phoneticPr fontId="1"/>
  </si>
  <si>
    <t>廣瀬　康人</t>
    <rPh sb="0" eb="2">
      <t>ヒロセ</t>
    </rPh>
    <rPh sb="3" eb="5">
      <t>ヤスヒト</t>
    </rPh>
    <phoneticPr fontId="1"/>
  </si>
  <si>
    <t>ヒロセ　ヤスヒト</t>
    <phoneticPr fontId="1"/>
  </si>
  <si>
    <t>兵庫県西宮市高座町12-10-901</t>
    <rPh sb="0" eb="3">
      <t>ヒョウゴケン</t>
    </rPh>
    <rPh sb="3" eb="6">
      <t>ニシノミヤシ</t>
    </rPh>
    <rPh sb="6" eb="9">
      <t>コウザチョウ</t>
    </rPh>
    <phoneticPr fontId="1"/>
  </si>
  <si>
    <t>662-0872</t>
    <phoneticPr fontId="1"/>
  </si>
  <si>
    <t>090-5130-4359</t>
    <phoneticPr fontId="1"/>
  </si>
  <si>
    <t>濱田　哲平</t>
    <rPh sb="0" eb="2">
      <t>ハマダ</t>
    </rPh>
    <rPh sb="3" eb="5">
      <t>テッペイ</t>
    </rPh>
    <phoneticPr fontId="1"/>
  </si>
  <si>
    <t>ハマダ　テッペイ</t>
    <phoneticPr fontId="1"/>
  </si>
  <si>
    <t>兵庫県宝塚市中筋山手3-7-29</t>
    <rPh sb="0" eb="3">
      <t>ヒョウゴケン</t>
    </rPh>
    <rPh sb="3" eb="6">
      <t>タカラヅカシ</t>
    </rPh>
    <rPh sb="6" eb="10">
      <t>ナカスジヤマテ</t>
    </rPh>
    <phoneticPr fontId="1"/>
  </si>
  <si>
    <t>teppei1892416@gmail.com</t>
    <phoneticPr fontId="1"/>
  </si>
  <si>
    <t>080-2416-4484</t>
    <phoneticPr fontId="1"/>
  </si>
  <si>
    <t>近くに引っ越してくる。この辺りに練習場が無いので、レッスンに通ってみるのも良いと思っている。費用面で奥様と相談しますとのこと。9月中に返事します。</t>
    <rPh sb="0" eb="1">
      <t>チカ</t>
    </rPh>
    <rPh sb="3" eb="4">
      <t>ヒ</t>
    </rPh>
    <rPh sb="5" eb="6">
      <t>コ</t>
    </rPh>
    <rPh sb="13" eb="14">
      <t>アタ</t>
    </rPh>
    <rPh sb="16" eb="19">
      <t>レンシュウジョウ</t>
    </rPh>
    <rPh sb="20" eb="21">
      <t>ナ</t>
    </rPh>
    <rPh sb="30" eb="31">
      <t>カヨ</t>
    </rPh>
    <rPh sb="37" eb="38">
      <t>イ</t>
    </rPh>
    <rPh sb="40" eb="41">
      <t>オモ</t>
    </rPh>
    <rPh sb="46" eb="49">
      <t>ヒヨウメン</t>
    </rPh>
    <rPh sb="50" eb="52">
      <t>オクサマ</t>
    </rPh>
    <rPh sb="53" eb="55">
      <t>ソウダン</t>
    </rPh>
    <rPh sb="64" eb="66">
      <t>ガツチュウ</t>
    </rPh>
    <rPh sb="67" eb="69">
      <t>ヘンジ</t>
    </rPh>
    <phoneticPr fontId="1"/>
  </si>
  <si>
    <t>浅見　友晶</t>
    <rPh sb="0" eb="2">
      <t>アサミ</t>
    </rPh>
    <rPh sb="3" eb="4">
      <t>トモ</t>
    </rPh>
    <rPh sb="4" eb="5">
      <t>アキラ</t>
    </rPh>
    <phoneticPr fontId="1"/>
  </si>
  <si>
    <t>アサミ　トモアキ</t>
    <phoneticPr fontId="1"/>
  </si>
  <si>
    <t>大阪府池田市室町6-16</t>
    <rPh sb="0" eb="8">
      <t>563-0047</t>
    </rPh>
    <phoneticPr fontId="1"/>
  </si>
  <si>
    <t>tomo8528@gmail.com</t>
    <phoneticPr fontId="1"/>
  </si>
  <si>
    <t>090-5066-3367</t>
    <phoneticPr fontId="1"/>
  </si>
  <si>
    <t>コタニ　ノボル</t>
    <phoneticPr fontId="1"/>
  </si>
  <si>
    <t>大阪府吹田市江坂町2-4-25-607</t>
    <rPh sb="0" eb="9">
      <t>564-0063</t>
    </rPh>
    <phoneticPr fontId="1"/>
  </si>
  <si>
    <t>Utataya1215@gmail.com</t>
    <phoneticPr fontId="1"/>
  </si>
  <si>
    <t>フィッテイングできる実力ではなかったため、体験利用にした</t>
    <rPh sb="10" eb="12">
      <t>ジツリョク</t>
    </rPh>
    <rPh sb="21" eb="25">
      <t>タイケンリヨウ</t>
    </rPh>
    <phoneticPr fontId="1"/>
  </si>
  <si>
    <t>中村　明日香</t>
    <rPh sb="0" eb="2">
      <t>ナカムラ</t>
    </rPh>
    <rPh sb="3" eb="6">
      <t>アスカ</t>
    </rPh>
    <phoneticPr fontId="1"/>
  </si>
  <si>
    <t>ナカムラ　アスカ</t>
    <phoneticPr fontId="1"/>
  </si>
  <si>
    <t>617-0006</t>
    <phoneticPr fontId="1"/>
  </si>
  <si>
    <t>n.asuuuka.23@gmail.com</t>
    <phoneticPr fontId="1"/>
  </si>
  <si>
    <t>090-7768-0423</t>
    <phoneticPr fontId="1"/>
  </si>
  <si>
    <t>41.7㎞</t>
    <phoneticPr fontId="1"/>
  </si>
  <si>
    <t>京都府向日市上植野町南開11-18</t>
    <rPh sb="0" eb="3">
      <t>キョウトフ</t>
    </rPh>
    <rPh sb="3" eb="5">
      <t>ムコウ</t>
    </rPh>
    <rPh sb="5" eb="6">
      <t>シ</t>
    </rPh>
    <rPh sb="6" eb="7">
      <t>カミ</t>
    </rPh>
    <rPh sb="7" eb="9">
      <t>ウエノ</t>
    </rPh>
    <rPh sb="9" eb="10">
      <t>チョウ</t>
    </rPh>
    <rPh sb="10" eb="11">
      <t>ミナミ</t>
    </rPh>
    <phoneticPr fontId="1"/>
  </si>
  <si>
    <t>tm042小野雅也様　ご息女</t>
    <rPh sb="5" eb="9">
      <t>オノマサヤ</t>
    </rPh>
    <rPh sb="9" eb="10">
      <t>サマ</t>
    </rPh>
    <rPh sb="12" eb="14">
      <t>ソクジョ</t>
    </rPh>
    <phoneticPr fontId="1"/>
  </si>
  <si>
    <t>入会するとしたら10月から</t>
    <rPh sb="0" eb="2">
      <t>ニュウカイ</t>
    </rPh>
    <rPh sb="10" eb="11">
      <t>ガツ</t>
    </rPh>
    <phoneticPr fontId="1"/>
  </si>
  <si>
    <t>小谷　寛樹</t>
    <rPh sb="0" eb="2">
      <t>コタニ</t>
    </rPh>
    <rPh sb="3" eb="4">
      <t>カン</t>
    </rPh>
    <rPh sb="4" eb="5">
      <t>キ</t>
    </rPh>
    <phoneticPr fontId="1"/>
  </si>
  <si>
    <t>コタニ　ヒロキ</t>
    <phoneticPr fontId="1"/>
  </si>
  <si>
    <t>兵庫県伊丹市東野3-56-1-304</t>
    <rPh sb="0" eb="8">
      <t>664-0004</t>
    </rPh>
    <phoneticPr fontId="1"/>
  </si>
  <si>
    <t>kotani_h0415@yahoo.co.jp</t>
    <phoneticPr fontId="1"/>
  </si>
  <si>
    <t>090-4300-5994</t>
    <phoneticPr fontId="1"/>
  </si>
  <si>
    <t>鳳山　義一</t>
    <rPh sb="0" eb="1">
      <t>オオトリ</t>
    </rPh>
    <rPh sb="1" eb="2">
      <t>ヤマ</t>
    </rPh>
    <rPh sb="3" eb="5">
      <t>ヨシカズ</t>
    </rPh>
    <phoneticPr fontId="1"/>
  </si>
  <si>
    <t>トリヤマ　ヨシカズ</t>
    <phoneticPr fontId="1"/>
  </si>
  <si>
    <t>537-0021</t>
    <phoneticPr fontId="1"/>
  </si>
  <si>
    <t>大阪府大阪市東成区東中本2-1-3</t>
    <rPh sb="0" eb="3">
      <t>オオサカフ</t>
    </rPh>
    <rPh sb="3" eb="6">
      <t>オオサカシ</t>
    </rPh>
    <rPh sb="6" eb="9">
      <t>ヒガシナリク</t>
    </rPh>
    <rPh sb="9" eb="12">
      <t>ヒガシナカモト</t>
    </rPh>
    <phoneticPr fontId="1"/>
  </si>
  <si>
    <t>090-3920-7293</t>
    <phoneticPr fontId="1"/>
  </si>
  <si>
    <t>鳳山　佑二</t>
    <rPh sb="0" eb="1">
      <t>オオトリ</t>
    </rPh>
    <rPh sb="1" eb="2">
      <t>ヤマ</t>
    </rPh>
    <rPh sb="3" eb="5">
      <t>ユウジ</t>
    </rPh>
    <phoneticPr fontId="1"/>
  </si>
  <si>
    <t>トリヤマ　ユウジ</t>
    <phoneticPr fontId="1"/>
  </si>
  <si>
    <t>大阪府大阪市東成区深江南2-18-13-501</t>
    <rPh sb="0" eb="3">
      <t>オオサカフ</t>
    </rPh>
    <rPh sb="3" eb="5">
      <t>オオサカ</t>
    </rPh>
    <rPh sb="5" eb="6">
      <t>シ</t>
    </rPh>
    <rPh sb="6" eb="8">
      <t>ヒガシナリ</t>
    </rPh>
    <rPh sb="8" eb="9">
      <t>ク</t>
    </rPh>
    <rPh sb="9" eb="11">
      <t>フカエ</t>
    </rPh>
    <rPh sb="11" eb="12">
      <t>ミナミ</t>
    </rPh>
    <phoneticPr fontId="1"/>
  </si>
  <si>
    <t>090-9716-7960</t>
    <phoneticPr fontId="1"/>
  </si>
  <si>
    <t>山代　知彦</t>
    <rPh sb="0" eb="2">
      <t>ヤマシロ</t>
    </rPh>
    <rPh sb="3" eb="5">
      <t>トモヒコ</t>
    </rPh>
    <phoneticPr fontId="1"/>
  </si>
  <si>
    <t>ヤマシロ　トモヒコ</t>
    <phoneticPr fontId="1"/>
  </si>
  <si>
    <t>561-0872</t>
    <phoneticPr fontId="1"/>
  </si>
  <si>
    <t>大阪府豊中市寺内2丁目5-23-301</t>
    <rPh sb="0" eb="3">
      <t>オオサカフ</t>
    </rPh>
    <rPh sb="3" eb="6">
      <t>トヨナカシ</t>
    </rPh>
    <rPh sb="6" eb="8">
      <t>テラウチ</t>
    </rPh>
    <rPh sb="9" eb="11">
      <t>チョウメ</t>
    </rPh>
    <phoneticPr fontId="1"/>
  </si>
  <si>
    <t>080-9544-1392</t>
    <phoneticPr fontId="1"/>
  </si>
  <si>
    <t>LINE登録無し</t>
    <rPh sb="4" eb="7">
      <t>トウロクナ</t>
    </rPh>
    <phoneticPr fontId="1"/>
  </si>
  <si>
    <t>阪上　文子</t>
    <rPh sb="0" eb="2">
      <t>サカウエ</t>
    </rPh>
    <rPh sb="3" eb="5">
      <t>フミコ</t>
    </rPh>
    <phoneticPr fontId="1"/>
  </si>
  <si>
    <t>サカウエ　フミコ</t>
    <phoneticPr fontId="1"/>
  </si>
  <si>
    <t>兵庫県伊丹市荻野5-98-1</t>
    <rPh sb="0" eb="3">
      <t>ヒョウゴケン</t>
    </rPh>
    <rPh sb="3" eb="6">
      <t>イタミシ</t>
    </rPh>
    <rPh sb="6" eb="8">
      <t>オギノ</t>
    </rPh>
    <phoneticPr fontId="1"/>
  </si>
  <si>
    <t>090-5976-1908</t>
    <phoneticPr fontId="1"/>
  </si>
  <si>
    <t>fumi_68_fumi@yahoo.co.jp</t>
    <phoneticPr fontId="1"/>
  </si>
  <si>
    <t>14.7㎞</t>
    <phoneticPr fontId="1"/>
  </si>
  <si>
    <t>三浦　克樹</t>
    <rPh sb="0" eb="2">
      <t>ミウラ</t>
    </rPh>
    <rPh sb="3" eb="5">
      <t>カツキ</t>
    </rPh>
    <phoneticPr fontId="1"/>
  </si>
  <si>
    <t>ミウラ　カツキ</t>
    <phoneticPr fontId="1"/>
  </si>
  <si>
    <t>671-1255</t>
    <phoneticPr fontId="1"/>
  </si>
  <si>
    <t>姫路市網干区垣内南町238-1</t>
    <rPh sb="0" eb="3">
      <t>ヒメジシ</t>
    </rPh>
    <rPh sb="3" eb="4">
      <t>アミ</t>
    </rPh>
    <rPh sb="4" eb="5">
      <t>ホ</t>
    </rPh>
    <rPh sb="5" eb="6">
      <t>ク</t>
    </rPh>
    <rPh sb="6" eb="8">
      <t>カキウチ</t>
    </rPh>
    <rPh sb="8" eb="9">
      <t>ミナミ</t>
    </rPh>
    <rPh sb="9" eb="10">
      <t>チョウ</t>
    </rPh>
    <phoneticPr fontId="1"/>
  </si>
  <si>
    <t>080-1515-7379</t>
    <phoneticPr fontId="1"/>
  </si>
  <si>
    <t>インターネット</t>
    <phoneticPr fontId="1"/>
  </si>
  <si>
    <t>92.7㎞</t>
    <phoneticPr fontId="1"/>
  </si>
  <si>
    <t>ナカクボ　カツヒロ</t>
  </si>
  <si>
    <t>520-0026</t>
  </si>
  <si>
    <t>63.5㎞</t>
  </si>
  <si>
    <t>090-4907-8260</t>
  </si>
  <si>
    <t>←2コマご利用</t>
    <rPh sb="5" eb="7">
      <t>リヨウ</t>
    </rPh>
    <phoneticPr fontId="1"/>
  </si>
  <si>
    <t>中嶋　祐二</t>
    <rPh sb="0" eb="2">
      <t>ナカシマ</t>
    </rPh>
    <rPh sb="3" eb="5">
      <t>ユウジ</t>
    </rPh>
    <phoneticPr fontId="1"/>
  </si>
  <si>
    <t>佐藤　裕志</t>
    <rPh sb="0" eb="2">
      <t>サトウ</t>
    </rPh>
    <rPh sb="3" eb="4">
      <t>ヒロシ</t>
    </rPh>
    <rPh sb="4" eb="5">
      <t>シ</t>
    </rPh>
    <phoneticPr fontId="1"/>
  </si>
  <si>
    <t>サトウ　ヒロシ</t>
    <phoneticPr fontId="1"/>
  </si>
  <si>
    <t>596-0801</t>
    <phoneticPr fontId="1"/>
  </si>
  <si>
    <t>大阪府岸和田市箕土路町3-3-27</t>
    <phoneticPr fontId="1"/>
  </si>
  <si>
    <t>sato1@roza.co.jp</t>
    <phoneticPr fontId="1"/>
  </si>
  <si>
    <t>090-3057-0753</t>
    <phoneticPr fontId="1"/>
  </si>
  <si>
    <t>小池　博之</t>
    <rPh sb="0" eb="2">
      <t>コイケ</t>
    </rPh>
    <rPh sb="3" eb="5">
      <t>ヒロユキ</t>
    </rPh>
    <phoneticPr fontId="1"/>
  </si>
  <si>
    <t>夏田　瑠衣</t>
    <rPh sb="0" eb="2">
      <t>ナツダ</t>
    </rPh>
    <rPh sb="3" eb="5">
      <t>ルイ</t>
    </rPh>
    <phoneticPr fontId="1"/>
  </si>
  <si>
    <t>ナツダ　ルイ</t>
    <phoneticPr fontId="1"/>
  </si>
  <si>
    <t>660-0077</t>
    <phoneticPr fontId="1"/>
  </si>
  <si>
    <t>兵庫県尼崎市大庄西町3-13-18-1</t>
    <rPh sb="0" eb="3">
      <t>ヒョウゴケン</t>
    </rPh>
    <rPh sb="3" eb="6">
      <t>アマガサキシ</t>
    </rPh>
    <rPh sb="6" eb="8">
      <t>ダイショウ</t>
    </rPh>
    <rPh sb="8" eb="10">
      <t>ニシマチ</t>
    </rPh>
    <phoneticPr fontId="1"/>
  </si>
  <si>
    <t>兵庫県宝塚市安倉北2-10-20</t>
    <rPh sb="0" eb="3">
      <t>ヒョウゴケン</t>
    </rPh>
    <rPh sb="3" eb="6">
      <t>タカラヅカシ</t>
    </rPh>
    <rPh sb="6" eb="8">
      <t>アクラ</t>
    </rPh>
    <rPh sb="8" eb="9">
      <t>キタ</t>
    </rPh>
    <phoneticPr fontId="1"/>
  </si>
  <si>
    <t>080-5337-6657</t>
    <phoneticPr fontId="1"/>
  </si>
  <si>
    <t>080-4260-9694</t>
    <phoneticPr fontId="1"/>
  </si>
  <si>
    <t>コイケ　ヒロユキ</t>
    <phoneticPr fontId="1"/>
  </si>
  <si>
    <t>有(←小池博之様お支払い)</t>
    <rPh sb="0" eb="1">
      <t>ア</t>
    </rPh>
    <rPh sb="3" eb="5">
      <t>コイケ</t>
    </rPh>
    <rPh sb="5" eb="7">
      <t>ヒロユキ</t>
    </rPh>
    <rPh sb="7" eb="8">
      <t>サマ</t>
    </rPh>
    <rPh sb="9" eb="11">
      <t>シハラ</t>
    </rPh>
    <phoneticPr fontId="1"/>
  </si>
  <si>
    <t>お二方ともかなり入会に前向き。24時間営業なのがとても良いとの事。</t>
    <rPh sb="1" eb="3">
      <t>フタカタ</t>
    </rPh>
    <rPh sb="8" eb="10">
      <t>ニュウカイ</t>
    </rPh>
    <rPh sb="11" eb="13">
      <t>マエム</t>
    </rPh>
    <rPh sb="17" eb="21">
      <t>ジカンエイギョウ</t>
    </rPh>
    <rPh sb="27" eb="28">
      <t>ヨ</t>
    </rPh>
    <rPh sb="31" eb="32">
      <t>コト</t>
    </rPh>
    <phoneticPr fontId="1"/>
  </si>
  <si>
    <t>転勤になった</t>
    <rPh sb="0" eb="2">
      <t>テンキン</t>
    </rPh>
    <phoneticPr fontId="1"/>
  </si>
  <si>
    <t>伊賀　順平</t>
    <rPh sb="0" eb="2">
      <t>イガ</t>
    </rPh>
    <rPh sb="3" eb="5">
      <t>ジュンペイ</t>
    </rPh>
    <phoneticPr fontId="1"/>
  </si>
  <si>
    <t>イガ　ジュンペイ</t>
    <phoneticPr fontId="1"/>
  </si>
  <si>
    <t>兵庫県西宮市段上町6-20-32-5</t>
    <rPh sb="0" eb="9">
      <t>663-8006</t>
    </rPh>
    <phoneticPr fontId="1"/>
  </si>
  <si>
    <t>080-3030-0042</t>
    <phoneticPr fontId="1"/>
  </si>
  <si>
    <t>下坂　輝基</t>
    <rPh sb="0" eb="2">
      <t>シモサカ</t>
    </rPh>
    <rPh sb="3" eb="5">
      <t>テルモト</t>
    </rPh>
    <phoneticPr fontId="1"/>
  </si>
  <si>
    <t>シモサカ　テルモト</t>
    <phoneticPr fontId="1"/>
  </si>
  <si>
    <t>兵庫県宝塚市中筋2-9-12-804</t>
    <phoneticPr fontId="1"/>
  </si>
  <si>
    <t>0797-89-5705</t>
    <phoneticPr fontId="1"/>
  </si>
  <si>
    <t>千木良　恒平</t>
    <rPh sb="0" eb="3">
      <t>チキラ</t>
    </rPh>
    <rPh sb="4" eb="6">
      <t>コウヘイ</t>
    </rPh>
    <phoneticPr fontId="1"/>
  </si>
  <si>
    <t>チギラ　コウヘイ</t>
    <phoneticPr fontId="1"/>
  </si>
  <si>
    <t>兵庫県神戸市中央区中山手通8-5-12</t>
    <rPh sb="0" eb="13">
      <t>650-0004</t>
    </rPh>
    <phoneticPr fontId="1"/>
  </si>
  <si>
    <t>090-9712-5226</t>
    <phoneticPr fontId="1"/>
  </si>
  <si>
    <t>藤田プロの紹介</t>
    <rPh sb="0" eb="2">
      <t>フジタ</t>
    </rPh>
    <rPh sb="5" eb="7">
      <t>ショウカイ</t>
    </rPh>
    <phoneticPr fontId="1"/>
  </si>
  <si>
    <t>田村　俊浩</t>
    <rPh sb="0" eb="2">
      <t>タムラ</t>
    </rPh>
    <rPh sb="3" eb="5">
      <t>トシヒロ</t>
    </rPh>
    <phoneticPr fontId="1"/>
  </si>
  <si>
    <t>タムラ　トシヒロ</t>
    <phoneticPr fontId="1"/>
  </si>
  <si>
    <t>大阪府大阪市西区南堀江1-16-9-913</t>
    <rPh sb="0" eb="3">
      <t>オオサカフ</t>
    </rPh>
    <rPh sb="3" eb="6">
      <t>オオサカシ</t>
    </rPh>
    <rPh sb="6" eb="8">
      <t>ニシク</t>
    </rPh>
    <rPh sb="8" eb="11">
      <t>ミナミホリエ</t>
    </rPh>
    <phoneticPr fontId="1"/>
  </si>
  <si>
    <t>090-8763-5555</t>
    <phoneticPr fontId="1"/>
  </si>
  <si>
    <t>高野　真也</t>
    <rPh sb="0" eb="2">
      <t>タカノ</t>
    </rPh>
    <rPh sb="3" eb="4">
      <t>シン</t>
    </rPh>
    <rPh sb="4" eb="5">
      <t>ヤ</t>
    </rPh>
    <phoneticPr fontId="1"/>
  </si>
  <si>
    <t>タカノ　シンヤ</t>
    <phoneticPr fontId="1"/>
  </si>
  <si>
    <t>665-0071</t>
    <phoneticPr fontId="1"/>
  </si>
  <si>
    <t>兵庫県宝塚市社町6-6</t>
    <rPh sb="0" eb="3">
      <t>ヒョウゴケン</t>
    </rPh>
    <rPh sb="3" eb="6">
      <t>タカラヅカシ</t>
    </rPh>
    <rPh sb="6" eb="7">
      <t>ヤシロ</t>
    </rPh>
    <rPh sb="7" eb="8">
      <t>チョウ</t>
    </rPh>
    <phoneticPr fontId="1"/>
  </si>
  <si>
    <t>takano1030@golf.zag.jp</t>
    <phoneticPr fontId="1"/>
  </si>
  <si>
    <t>090-3353-2832</t>
    <phoneticPr fontId="1"/>
  </si>
  <si>
    <t>ご友人が会員。入会するなら友達割利用。11月からの方が得？とのこと。</t>
    <rPh sb="1" eb="3">
      <t>ユウジン</t>
    </rPh>
    <rPh sb="4" eb="6">
      <t>カイイン</t>
    </rPh>
    <rPh sb="7" eb="9">
      <t>ニュウカイ</t>
    </rPh>
    <rPh sb="13" eb="16">
      <t>トモダチワリ</t>
    </rPh>
    <rPh sb="16" eb="18">
      <t>リヨウ</t>
    </rPh>
    <rPh sb="21" eb="22">
      <t>ガツ</t>
    </rPh>
    <rPh sb="25" eb="26">
      <t>ホウ</t>
    </rPh>
    <rPh sb="27" eb="28">
      <t>トク</t>
    </rPh>
    <phoneticPr fontId="1"/>
  </si>
  <si>
    <t>吉岡　明彦</t>
    <rPh sb="0" eb="2">
      <t>ヨシオカ</t>
    </rPh>
    <rPh sb="3" eb="5">
      <t>アキヒコ</t>
    </rPh>
    <phoneticPr fontId="1"/>
  </si>
  <si>
    <t>ヨシオカ　アキヒコ</t>
    <phoneticPr fontId="1"/>
  </si>
  <si>
    <t>兵庫県神戸市垂水区五色山1-5-17-202</t>
    <rPh sb="0" eb="3">
      <t>ヒョウゴケン</t>
    </rPh>
    <rPh sb="3" eb="6">
      <t>コウベシ</t>
    </rPh>
    <rPh sb="6" eb="9">
      <t>タルミク</t>
    </rPh>
    <rPh sb="9" eb="12">
      <t>ゴシキヤマ</t>
    </rPh>
    <phoneticPr fontId="1"/>
  </si>
  <si>
    <t>ysokakhk@gmail.com</t>
    <phoneticPr fontId="1"/>
  </si>
  <si>
    <t>090-3928-2930</t>
    <phoneticPr fontId="1"/>
  </si>
  <si>
    <t>渡邊　勝巳</t>
    <rPh sb="0" eb="2">
      <t>ワタナベ</t>
    </rPh>
    <rPh sb="3" eb="5">
      <t>カツミ</t>
    </rPh>
    <phoneticPr fontId="1"/>
  </si>
  <si>
    <t>ワタナベ　カツミ</t>
    <phoneticPr fontId="1"/>
  </si>
  <si>
    <t>兵庫県川西市花屋敷1-14-12F-201</t>
    <rPh sb="0" eb="9">
      <t>666-0035</t>
    </rPh>
    <phoneticPr fontId="1"/>
  </si>
  <si>
    <t>080-3795-0719</t>
    <phoneticPr fontId="1"/>
  </si>
  <si>
    <t>渡邊　志乃</t>
    <rPh sb="0" eb="2">
      <t>ワタナベ</t>
    </rPh>
    <rPh sb="3" eb="5">
      <t>シノ</t>
    </rPh>
    <phoneticPr fontId="1"/>
  </si>
  <si>
    <t>ワタナベ　シノ</t>
    <phoneticPr fontId="1"/>
  </si>
  <si>
    <t>090-5015-9895</t>
    <phoneticPr fontId="1"/>
  </si>
  <si>
    <t>サカウエ　フミコ</t>
  </si>
  <si>
    <t>664-0002</t>
  </si>
  <si>
    <t>1.4㎞</t>
  </si>
  <si>
    <t>fumi_68_fumi@yahoo.co.jp</t>
  </si>
  <si>
    <t>能登原　眞知子</t>
    <rPh sb="0" eb="3">
      <t>ノトハラ</t>
    </rPh>
    <rPh sb="4" eb="7">
      <t>マチコ</t>
    </rPh>
    <phoneticPr fontId="1"/>
  </si>
  <si>
    <t>ノトハラ　マチコ</t>
    <phoneticPr fontId="1"/>
  </si>
  <si>
    <t>noto77asahinet.jp</t>
    <phoneticPr fontId="1"/>
  </si>
  <si>
    <t>叺田　本気</t>
    <rPh sb="0" eb="2">
      <t>カマスダ</t>
    </rPh>
    <rPh sb="3" eb="5">
      <t>ホンキ</t>
    </rPh>
    <phoneticPr fontId="1"/>
  </si>
  <si>
    <t>カマスダ　モトキ</t>
    <phoneticPr fontId="1"/>
  </si>
  <si>
    <t>599-8237</t>
    <phoneticPr fontId="1"/>
  </si>
  <si>
    <t>堺市中区深井水池町3143グレイスコート301</t>
    <rPh sb="0" eb="2">
      <t>サカイシ</t>
    </rPh>
    <rPh sb="2" eb="4">
      <t>ナカク</t>
    </rPh>
    <rPh sb="4" eb="6">
      <t>フカイ</t>
    </rPh>
    <rPh sb="6" eb="7">
      <t>ミズ</t>
    </rPh>
    <rPh sb="7" eb="9">
      <t>イケマチ</t>
    </rPh>
    <phoneticPr fontId="1"/>
  </si>
  <si>
    <t>44.4㎞</t>
    <phoneticPr fontId="1"/>
  </si>
  <si>
    <t>070-1348-7583</t>
    <phoneticPr fontId="1"/>
  </si>
  <si>
    <t>上田　豊</t>
    <rPh sb="0" eb="2">
      <t>ウエダ</t>
    </rPh>
    <rPh sb="3" eb="4">
      <t>ユタカ</t>
    </rPh>
    <phoneticPr fontId="1"/>
  </si>
  <si>
    <t>ウエダ　ユタカ</t>
    <phoneticPr fontId="1"/>
  </si>
  <si>
    <t>兵庫県川西市緑台3-3-54</t>
    <rPh sb="0" eb="3">
      <t>ヒョウゴケン</t>
    </rPh>
    <rPh sb="3" eb="6">
      <t>カワニシシ</t>
    </rPh>
    <rPh sb="6" eb="8">
      <t>ミドリダイ</t>
    </rPh>
    <phoneticPr fontId="1"/>
  </si>
  <si>
    <t>32㎞</t>
    <phoneticPr fontId="1"/>
  </si>
  <si>
    <t>yutaka.veda-1004@docomo.ne.jp</t>
    <phoneticPr fontId="1"/>
  </si>
  <si>
    <t>090-3168-2015</t>
    <phoneticPr fontId="1"/>
  </si>
  <si>
    <t>宮本　鷹平</t>
    <rPh sb="0" eb="2">
      <t>ミヤモト</t>
    </rPh>
    <rPh sb="3" eb="4">
      <t>タカ</t>
    </rPh>
    <rPh sb="4" eb="5">
      <t>タイラ</t>
    </rPh>
    <phoneticPr fontId="1"/>
  </si>
  <si>
    <t>ミヤモト　ヨウヘイ</t>
    <phoneticPr fontId="1"/>
  </si>
  <si>
    <t>664-0023</t>
    <phoneticPr fontId="1"/>
  </si>
  <si>
    <t>兵庫県伊丹市中野西1-155-9</t>
    <rPh sb="0" eb="9">
      <t>664-0023</t>
    </rPh>
    <phoneticPr fontId="1"/>
  </si>
  <si>
    <t>090-5667-8313</t>
    <phoneticPr fontId="1"/>
  </si>
  <si>
    <t>10/27　18時ご入会予定</t>
    <rPh sb="8" eb="9">
      <t>ジ</t>
    </rPh>
    <rPh sb="10" eb="12">
      <t>ニュウカイ</t>
    </rPh>
    <rPh sb="12" eb="14">
      <t>ヨテイ</t>
    </rPh>
    <phoneticPr fontId="1"/>
  </si>
  <si>
    <t>新名　清澄</t>
    <rPh sb="0" eb="2">
      <t>シンナ</t>
    </rPh>
    <rPh sb="3" eb="5">
      <t>キヨスミ</t>
    </rPh>
    <phoneticPr fontId="1"/>
  </si>
  <si>
    <t>シンミョウ　キヨスミ</t>
    <phoneticPr fontId="1"/>
  </si>
  <si>
    <t>大阪府池田市満寿美町8-5-204</t>
    <rPh sb="0" eb="3">
      <t>オオサカフ</t>
    </rPh>
    <rPh sb="3" eb="6">
      <t>イケダシ</t>
    </rPh>
    <rPh sb="6" eb="10">
      <t>マスミチョウ</t>
    </rPh>
    <phoneticPr fontId="1"/>
  </si>
  <si>
    <t>shin33115@gmail.com</t>
    <phoneticPr fontId="1"/>
  </si>
  <si>
    <t>090-1952-6835</t>
    <phoneticPr fontId="1"/>
  </si>
  <si>
    <t>オクダ　キョウゾウ</t>
    <phoneticPr fontId="1"/>
  </si>
  <si>
    <t>再来(2022/8/13　ﾌｨｯﾃｨﾝｸﾞ来店)</t>
    <rPh sb="0" eb="2">
      <t>サイライ</t>
    </rPh>
    <rPh sb="21" eb="23">
      <t>ライテン</t>
    </rPh>
    <phoneticPr fontId="1"/>
  </si>
  <si>
    <t>カワカミ　ヨシタカ</t>
    <phoneticPr fontId="1"/>
  </si>
  <si>
    <t>川上　佳孝</t>
    <rPh sb="0" eb="2">
      <t>カワカミ</t>
    </rPh>
    <rPh sb="3" eb="5">
      <t>ヨシタカ</t>
    </rPh>
    <phoneticPr fontId="1"/>
  </si>
  <si>
    <t>兵庫県川西市花屋敷2-9-3-201</t>
    <rPh sb="0" eb="3">
      <t>ヒョウゴケン</t>
    </rPh>
    <rPh sb="3" eb="6">
      <t>カワニシシ</t>
    </rPh>
    <rPh sb="6" eb="9">
      <t>ハナヤシキ</t>
    </rPh>
    <phoneticPr fontId="1"/>
  </si>
  <si>
    <t>y-kawakami@shinzuyo.jp</t>
    <phoneticPr fontId="1"/>
  </si>
  <si>
    <t>090-1679-6488</t>
    <phoneticPr fontId="1"/>
  </si>
  <si>
    <t>担当プロ</t>
    <rPh sb="0" eb="2">
      <t>タントウ</t>
    </rPh>
    <phoneticPr fontId="1"/>
  </si>
  <si>
    <t>古川プロ</t>
  </si>
  <si>
    <t>井殿プロ</t>
  </si>
  <si>
    <t>藤田プロ</t>
  </si>
  <si>
    <t>賀光　良太</t>
    <rPh sb="0" eb="1">
      <t>ガ</t>
    </rPh>
    <rPh sb="1" eb="2">
      <t>ヒカリ</t>
    </rPh>
    <rPh sb="3" eb="5">
      <t>リョウタ</t>
    </rPh>
    <phoneticPr fontId="1"/>
  </si>
  <si>
    <t>カコウ　リョウタ</t>
    <phoneticPr fontId="1"/>
  </si>
  <si>
    <t>兵庫県宝塚市安倉南2-8-15</t>
    <rPh sb="0" eb="3">
      <t>ヒョウゴケン</t>
    </rPh>
    <rPh sb="3" eb="6">
      <t>タカラヅカシ</t>
    </rPh>
    <rPh sb="6" eb="9">
      <t>アクラミナミ</t>
    </rPh>
    <phoneticPr fontId="1"/>
  </si>
  <si>
    <t>080-2414-6234</t>
    <phoneticPr fontId="1"/>
  </si>
  <si>
    <t>会員岩見様ご紹介</t>
    <rPh sb="0" eb="2">
      <t>カイイン</t>
    </rPh>
    <rPh sb="2" eb="5">
      <t>イワミサマ</t>
    </rPh>
    <rPh sb="6" eb="8">
      <t>ショウカイ</t>
    </rPh>
    <phoneticPr fontId="1"/>
  </si>
  <si>
    <t>片岡　徹夫</t>
    <rPh sb="0" eb="2">
      <t>カタオカ</t>
    </rPh>
    <rPh sb="3" eb="4">
      <t>テツ</t>
    </rPh>
    <rPh sb="4" eb="5">
      <t>オット</t>
    </rPh>
    <phoneticPr fontId="1"/>
  </si>
  <si>
    <t>カタオカ　テツオ</t>
    <phoneticPr fontId="1"/>
  </si>
  <si>
    <t>兵庫県宝塚市中筋山手2-9-17-2</t>
    <rPh sb="0" eb="10">
      <t>665-0875</t>
    </rPh>
    <phoneticPr fontId="1"/>
  </si>
  <si>
    <t>teka76315@yahoo.co.jp</t>
    <phoneticPr fontId="1"/>
  </si>
  <si>
    <t>090-6911-8635</t>
    <phoneticPr fontId="1"/>
  </si>
  <si>
    <t>1週間後に電話する</t>
    <rPh sb="1" eb="4">
      <t>シュウカンゴ</t>
    </rPh>
    <rPh sb="5" eb="7">
      <t>デンワ</t>
    </rPh>
    <phoneticPr fontId="1"/>
  </si>
  <si>
    <t>オカモト　ナオコ</t>
    <phoneticPr fontId="1"/>
  </si>
  <si>
    <t>政田　秀治</t>
    <rPh sb="0" eb="2">
      <t>マサダ</t>
    </rPh>
    <rPh sb="3" eb="5">
      <t>ヒデジ</t>
    </rPh>
    <phoneticPr fontId="1"/>
  </si>
  <si>
    <t>マサダ　シュウジ</t>
    <phoneticPr fontId="1"/>
  </si>
  <si>
    <t>662-0871</t>
    <phoneticPr fontId="1"/>
  </si>
  <si>
    <t>兵庫県西宮市愛宕山8-12</t>
    <rPh sb="0" eb="9">
      <t>662-0871</t>
    </rPh>
    <phoneticPr fontId="1"/>
  </si>
  <si>
    <t>Shujimasada0117@gmail.com</t>
    <phoneticPr fontId="1"/>
  </si>
  <si>
    <t>090-6327-5604</t>
    <phoneticPr fontId="1"/>
  </si>
  <si>
    <t>野口　大介</t>
    <rPh sb="0" eb="2">
      <t>ノグチ</t>
    </rPh>
    <rPh sb="3" eb="5">
      <t>ダイスケ</t>
    </rPh>
    <phoneticPr fontId="1"/>
  </si>
  <si>
    <t>ノグチ　ダイスケ</t>
    <phoneticPr fontId="1"/>
  </si>
  <si>
    <t>562-0036</t>
    <phoneticPr fontId="1"/>
  </si>
  <si>
    <t>大阪府箕面市船場西3-2-7-501</t>
    <rPh sb="0" eb="9">
      <t>562-0036</t>
    </rPh>
    <phoneticPr fontId="1"/>
  </si>
  <si>
    <t>33gogoo@gmail.com</t>
    <phoneticPr fontId="1"/>
  </si>
  <si>
    <t>090-1955-6014</t>
    <phoneticPr fontId="1"/>
  </si>
  <si>
    <t>山口　高司</t>
    <rPh sb="0" eb="2">
      <t>ヤマグチ</t>
    </rPh>
    <rPh sb="3" eb="5">
      <t>タカシ</t>
    </rPh>
    <phoneticPr fontId="1"/>
  </si>
  <si>
    <t>ヤマグチ　タカシ</t>
    <phoneticPr fontId="1"/>
  </si>
  <si>
    <t>大阪府吹田市山田東1-25-18-608</t>
    <rPh sb="0" eb="3">
      <t>オオサカフ</t>
    </rPh>
    <rPh sb="3" eb="6">
      <t>スイタシ</t>
    </rPh>
    <rPh sb="6" eb="9">
      <t>ヤマダヒガシ</t>
    </rPh>
    <phoneticPr fontId="1"/>
  </si>
  <si>
    <t>080-3847-8019</t>
    <phoneticPr fontId="1"/>
  </si>
  <si>
    <t>山口　萌子　</t>
    <rPh sb="0" eb="2">
      <t>ヤマグチ</t>
    </rPh>
    <rPh sb="3" eb="5">
      <t>モエコ</t>
    </rPh>
    <phoneticPr fontId="1"/>
  </si>
  <si>
    <t>ヤマグチ　モエコ</t>
    <phoneticPr fontId="1"/>
  </si>
  <si>
    <t>080-3035-0950</t>
    <phoneticPr fontId="1"/>
  </si>
  <si>
    <t>電話は出ない</t>
    <rPh sb="0" eb="2">
      <t>デンワ</t>
    </rPh>
    <rPh sb="3" eb="4">
      <t>デ</t>
    </rPh>
    <phoneticPr fontId="1"/>
  </si>
  <si>
    <t>445-0082</t>
  </si>
  <si>
    <t>233㎞</t>
  </si>
  <si>
    <t>再来(2023/5/11)</t>
    <rPh sb="0" eb="2">
      <t>サイライ</t>
    </rPh>
    <phoneticPr fontId="1"/>
  </si>
  <si>
    <t>瀧瀬　遥葵</t>
    <rPh sb="0" eb="2">
      <t>タキセ</t>
    </rPh>
    <rPh sb="3" eb="4">
      <t>ハルカ</t>
    </rPh>
    <rPh sb="4" eb="5">
      <t>アオイ</t>
    </rPh>
    <phoneticPr fontId="1"/>
  </si>
  <si>
    <t>タキセ　ハルキ</t>
    <phoneticPr fontId="1"/>
  </si>
  <si>
    <t>haruki15001590@yahoo.co.jp</t>
    <phoneticPr fontId="1"/>
  </si>
  <si>
    <t>090-1718-1590</t>
    <phoneticPr fontId="1"/>
  </si>
  <si>
    <t>兵庫県神戸市北区鹿の子台南町1-1-5-106</t>
    <rPh sb="0" eb="14">
      <t>651-1514</t>
    </rPh>
    <phoneticPr fontId="1"/>
  </si>
  <si>
    <t>シオイリ　マサアキ</t>
  </si>
  <si>
    <t>669-1146</t>
  </si>
  <si>
    <t>ma-shioiri@emuzucom.co.jp</t>
  </si>
  <si>
    <t>児玉　武史</t>
    <rPh sb="0" eb="2">
      <t>コダマ</t>
    </rPh>
    <rPh sb="3" eb="5">
      <t>タケシ</t>
    </rPh>
    <phoneticPr fontId="1"/>
  </si>
  <si>
    <t>コダマ　タケシ</t>
    <phoneticPr fontId="1"/>
  </si>
  <si>
    <t>兵庫県川西市松が丘町14-5</t>
    <rPh sb="0" eb="3">
      <t>ヒョウゴケン</t>
    </rPh>
    <rPh sb="3" eb="6">
      <t>カワニシシ</t>
    </rPh>
    <rPh sb="6" eb="7">
      <t>マツ</t>
    </rPh>
    <rPh sb="8" eb="10">
      <t>オカチョウ</t>
    </rPh>
    <phoneticPr fontId="1"/>
  </si>
  <si>
    <t>080-1446-4360</t>
    <phoneticPr fontId="1"/>
  </si>
  <si>
    <t>松井　隆</t>
    <rPh sb="0" eb="2">
      <t>マツイ</t>
    </rPh>
    <rPh sb="3" eb="4">
      <t>タカシ</t>
    </rPh>
    <phoneticPr fontId="1"/>
  </si>
  <si>
    <t>マツイ　タカシ</t>
    <phoneticPr fontId="1"/>
  </si>
  <si>
    <t>兵庫県宝塚市中山五月台3-2-1</t>
    <rPh sb="0" eb="3">
      <t>ヒョウゴケン</t>
    </rPh>
    <rPh sb="3" eb="6">
      <t>タカラヅカシ</t>
    </rPh>
    <rPh sb="6" eb="8">
      <t>ナカヤマ</t>
    </rPh>
    <rPh sb="8" eb="10">
      <t>ゴガツ</t>
    </rPh>
    <rPh sb="10" eb="11">
      <t>ダイ</t>
    </rPh>
    <phoneticPr fontId="1"/>
  </si>
  <si>
    <t>090-8855-5812</t>
    <phoneticPr fontId="1"/>
  </si>
  <si>
    <t>take.c812@gmail.com</t>
    <phoneticPr fontId="1"/>
  </si>
  <si>
    <t>堀　充樹</t>
    <rPh sb="0" eb="1">
      <t>ホリ</t>
    </rPh>
    <rPh sb="2" eb="3">
      <t>ジュウ</t>
    </rPh>
    <rPh sb="3" eb="4">
      <t>キ</t>
    </rPh>
    <phoneticPr fontId="1"/>
  </si>
  <si>
    <t>ホリ　アツキ　</t>
    <phoneticPr fontId="1"/>
  </si>
  <si>
    <t>679-4305</t>
    <phoneticPr fontId="1"/>
  </si>
  <si>
    <t>兵庫県たつの市新宮町吉島427-1</t>
    <rPh sb="0" eb="3">
      <t>ヒョウゴケン</t>
    </rPh>
    <rPh sb="6" eb="7">
      <t>シ</t>
    </rPh>
    <rPh sb="7" eb="10">
      <t>シンミヤチョウ</t>
    </rPh>
    <rPh sb="10" eb="12">
      <t>ヨシジマ</t>
    </rPh>
    <phoneticPr fontId="1"/>
  </si>
  <si>
    <t>080-1423-6993</t>
    <phoneticPr fontId="1"/>
  </si>
  <si>
    <t>matsui117@dokomo.ne.jp</t>
    <phoneticPr fontId="1"/>
  </si>
  <si>
    <t>山根　誉　</t>
    <rPh sb="0" eb="2">
      <t>ヤマネ</t>
    </rPh>
    <rPh sb="3" eb="4">
      <t>ホマレ</t>
    </rPh>
    <phoneticPr fontId="1"/>
  </si>
  <si>
    <t>ヤマネ　ホマレ　</t>
    <phoneticPr fontId="1"/>
  </si>
  <si>
    <t>671-2512</t>
    <phoneticPr fontId="1"/>
  </si>
  <si>
    <t>兵庫県宍粟市山崎町与位1088</t>
    <rPh sb="0" eb="3">
      <t>ヒョウゴケン</t>
    </rPh>
    <rPh sb="3" eb="6">
      <t>シソウシ</t>
    </rPh>
    <rPh sb="6" eb="9">
      <t>ヤマザキチョウ</t>
    </rPh>
    <rPh sb="9" eb="10">
      <t>アタ</t>
    </rPh>
    <rPh sb="10" eb="11">
      <t>クライ</t>
    </rPh>
    <phoneticPr fontId="1"/>
  </si>
  <si>
    <t>090-3030-9656</t>
    <phoneticPr fontId="1"/>
  </si>
  <si>
    <t>大山　浩史</t>
    <rPh sb="0" eb="2">
      <t>オオヤマ</t>
    </rPh>
    <rPh sb="3" eb="4">
      <t>ヒロシ</t>
    </rPh>
    <rPh sb="4" eb="5">
      <t>シ</t>
    </rPh>
    <phoneticPr fontId="1"/>
  </si>
  <si>
    <t>オオヤマ　ヒロシ</t>
    <phoneticPr fontId="1"/>
  </si>
  <si>
    <t>大阪府豊中市新千里南町2-21-4</t>
    <rPh sb="0" eb="6">
      <t>オオサカフトヨナカシ</t>
    </rPh>
    <rPh sb="6" eb="11">
      <t>シンセンリミナミマチ</t>
    </rPh>
    <phoneticPr fontId="1"/>
  </si>
  <si>
    <t>560-0084</t>
    <phoneticPr fontId="1"/>
  </si>
  <si>
    <t>090-6678-9989</t>
    <phoneticPr fontId="1"/>
  </si>
  <si>
    <t>滝澤　里菜</t>
    <rPh sb="0" eb="2">
      <t>タキザワ</t>
    </rPh>
    <rPh sb="3" eb="5">
      <t>リナ</t>
    </rPh>
    <phoneticPr fontId="1"/>
  </si>
  <si>
    <t>タキザワ　リナ</t>
    <phoneticPr fontId="1"/>
  </si>
  <si>
    <t>630-0201</t>
    <phoneticPr fontId="1"/>
  </si>
  <si>
    <t>奈良県生駒市小明町727-23</t>
    <rPh sb="0" eb="3">
      <t>ナラケン</t>
    </rPh>
    <rPh sb="3" eb="6">
      <t>イコマシ</t>
    </rPh>
    <rPh sb="6" eb="7">
      <t>ショウ</t>
    </rPh>
    <rPh sb="7" eb="8">
      <t>アカ</t>
    </rPh>
    <rPh sb="8" eb="9">
      <t>チョウ</t>
    </rPh>
    <phoneticPr fontId="1"/>
  </si>
  <si>
    <t>44.6㎞</t>
    <phoneticPr fontId="1"/>
  </si>
  <si>
    <t>gorina.0512@icloud.com</t>
    <phoneticPr fontId="1"/>
  </si>
  <si>
    <t>090-6662-5612</t>
    <phoneticPr fontId="1"/>
  </si>
  <si>
    <t>榎本プロの紹介</t>
    <rPh sb="0" eb="2">
      <t>エノモト</t>
    </rPh>
    <rPh sb="5" eb="7">
      <t>ショウカイ</t>
    </rPh>
    <phoneticPr fontId="1"/>
  </si>
  <si>
    <t>吉野　勲</t>
    <rPh sb="0" eb="2">
      <t>ヨシノ</t>
    </rPh>
    <rPh sb="3" eb="4">
      <t>イサオ</t>
    </rPh>
    <phoneticPr fontId="1"/>
  </si>
  <si>
    <t>棚田　恵太</t>
    <rPh sb="0" eb="2">
      <t>タナダ</t>
    </rPh>
    <rPh sb="3" eb="5">
      <t>ケイタ</t>
    </rPh>
    <phoneticPr fontId="1"/>
  </si>
  <si>
    <t>ヨシノ　イサオ</t>
    <phoneticPr fontId="1"/>
  </si>
  <si>
    <t>タナダ　ケイタ</t>
    <phoneticPr fontId="1"/>
  </si>
  <si>
    <t>520-2433</t>
    <phoneticPr fontId="1"/>
  </si>
  <si>
    <t>524-0045</t>
    <phoneticPr fontId="1"/>
  </si>
  <si>
    <t>滋賀県野洲市八夫646-2</t>
    <rPh sb="0" eb="3">
      <t>シガケン</t>
    </rPh>
    <rPh sb="3" eb="4">
      <t>ノ</t>
    </rPh>
    <rPh sb="4" eb="5">
      <t>ス</t>
    </rPh>
    <rPh sb="5" eb="6">
      <t>シ</t>
    </rPh>
    <rPh sb="6" eb="7">
      <t>ハチ</t>
    </rPh>
    <rPh sb="7" eb="8">
      <t>オット</t>
    </rPh>
    <phoneticPr fontId="1"/>
  </si>
  <si>
    <t>滋賀県守山金森町906</t>
    <rPh sb="0" eb="3">
      <t>シガケン</t>
    </rPh>
    <rPh sb="3" eb="5">
      <t>モリヤマ</t>
    </rPh>
    <rPh sb="5" eb="6">
      <t>キン</t>
    </rPh>
    <rPh sb="6" eb="7">
      <t>モリ</t>
    </rPh>
    <rPh sb="7" eb="8">
      <t>マチ</t>
    </rPh>
    <phoneticPr fontId="1"/>
  </si>
  <si>
    <t>84.6㎞</t>
    <phoneticPr fontId="1"/>
  </si>
  <si>
    <t>79.1㎞</t>
    <phoneticPr fontId="1"/>
  </si>
  <si>
    <t>090-2117-9786</t>
    <phoneticPr fontId="1"/>
  </si>
  <si>
    <t>090-3035-4174</t>
    <phoneticPr fontId="1"/>
  </si>
  <si>
    <t>望月　洋平</t>
    <rPh sb="0" eb="2">
      <t>モチヅキ</t>
    </rPh>
    <rPh sb="3" eb="5">
      <t>ヨウヘイ</t>
    </rPh>
    <phoneticPr fontId="1"/>
  </si>
  <si>
    <t>モチヅキ　ヨウヘイ</t>
    <phoneticPr fontId="1"/>
  </si>
  <si>
    <t>兵庫県宝塚市山手台東3-18-7</t>
    <rPh sb="0" eb="3">
      <t>ヒョウゴケン</t>
    </rPh>
    <rPh sb="3" eb="6">
      <t>タカラヅカシ</t>
    </rPh>
    <rPh sb="6" eb="10">
      <t>ヤマテダイヒガシ</t>
    </rPh>
    <phoneticPr fontId="1"/>
  </si>
  <si>
    <t>3.8㎞</t>
    <phoneticPr fontId="1"/>
  </si>
  <si>
    <t>090-3621-6256</t>
    <phoneticPr fontId="1"/>
  </si>
  <si>
    <t>榎本プロ</t>
  </si>
  <si>
    <t>LINE¥500利用、天野真知子様ご紹介</t>
    <rPh sb="11" eb="16">
      <t>アマノマチコ</t>
    </rPh>
    <rPh sb="16" eb="17">
      <t>サマ</t>
    </rPh>
    <rPh sb="18" eb="20">
      <t>ショウカイ</t>
    </rPh>
    <phoneticPr fontId="1"/>
  </si>
  <si>
    <t>岩見　涼太</t>
    <rPh sb="0" eb="2">
      <t>イワミ</t>
    </rPh>
    <rPh sb="3" eb="5">
      <t>リョウタ</t>
    </rPh>
    <phoneticPr fontId="1"/>
  </si>
  <si>
    <t>イワミ　リョウタ</t>
    <phoneticPr fontId="1"/>
  </si>
  <si>
    <t>ryota0506takajr@gmail.com</t>
    <phoneticPr fontId="1"/>
  </si>
  <si>
    <t>090-8196-3646</t>
    <phoneticPr fontId="1"/>
  </si>
  <si>
    <t>中西　祐二</t>
    <rPh sb="0" eb="2">
      <t>ナカニシ</t>
    </rPh>
    <rPh sb="3" eb="5">
      <t>ユウジ</t>
    </rPh>
    <phoneticPr fontId="1"/>
  </si>
  <si>
    <t>ナカニシ　ユウジ</t>
    <phoneticPr fontId="1"/>
  </si>
  <si>
    <t>兵庫県宝塚市中筋4-8-4</t>
    <phoneticPr fontId="1"/>
  </si>
  <si>
    <t>d.y.bergkamp@gmail.com</t>
    <phoneticPr fontId="1"/>
  </si>
  <si>
    <t>090-9056-1411</t>
    <phoneticPr fontId="1"/>
  </si>
  <si>
    <t>ヤマゾエ　タツヒコ</t>
    <phoneticPr fontId="1"/>
  </si>
  <si>
    <t>兵庫県川西市加茂3-11-13</t>
    <rPh sb="0" eb="8">
      <t>666-0025</t>
    </rPh>
    <phoneticPr fontId="1"/>
  </si>
  <si>
    <t>山副　達彦</t>
    <rPh sb="0" eb="1">
      <t>ヤマ</t>
    </rPh>
    <rPh sb="1" eb="2">
      <t>フク</t>
    </rPh>
    <rPh sb="3" eb="5">
      <t>タツヒコ</t>
    </rPh>
    <phoneticPr fontId="1"/>
  </si>
  <si>
    <t>080-4242-5909</t>
    <phoneticPr fontId="1"/>
  </si>
  <si>
    <t>鳥居　剛史</t>
    <rPh sb="0" eb="2">
      <t>トリイ</t>
    </rPh>
    <rPh sb="3" eb="5">
      <t>ツヨシ</t>
    </rPh>
    <phoneticPr fontId="1"/>
  </si>
  <si>
    <t>トリイ　タケシ</t>
    <phoneticPr fontId="1"/>
  </si>
  <si>
    <t>兵庫県宝塚市中山五月台5-5-3</t>
    <rPh sb="0" eb="3">
      <t>ヒョウゴケン</t>
    </rPh>
    <rPh sb="3" eb="6">
      <t>タカラヅカシ</t>
    </rPh>
    <rPh sb="6" eb="8">
      <t>ナカヤマ</t>
    </rPh>
    <rPh sb="8" eb="10">
      <t>ゴガツ</t>
    </rPh>
    <rPh sb="10" eb="11">
      <t>ダイ</t>
    </rPh>
    <phoneticPr fontId="1"/>
  </si>
  <si>
    <t>isc.u1015@gmail.com</t>
    <phoneticPr fontId="1"/>
  </si>
  <si>
    <t>090-2283-0964</t>
    <phoneticPr fontId="1"/>
  </si>
  <si>
    <t>鳥居　颯太</t>
    <rPh sb="0" eb="2">
      <t>トリイ</t>
    </rPh>
    <rPh sb="3" eb="5">
      <t>ソウタ</t>
    </rPh>
    <phoneticPr fontId="1"/>
  </si>
  <si>
    <t>トリイ　ソウタ</t>
    <phoneticPr fontId="1"/>
  </si>
  <si>
    <t>souta.t211@gmail.com</t>
    <phoneticPr fontId="1"/>
  </si>
  <si>
    <t>080-2528-0211</t>
    <phoneticPr fontId="1"/>
  </si>
  <si>
    <t>町田　達彦</t>
    <rPh sb="0" eb="2">
      <t>マチダ</t>
    </rPh>
    <rPh sb="3" eb="5">
      <t>タツヒコ</t>
    </rPh>
    <phoneticPr fontId="1"/>
  </si>
  <si>
    <t>マチダ　タツヒコ　</t>
    <phoneticPr fontId="1"/>
  </si>
  <si>
    <t>334-0013</t>
    <phoneticPr fontId="1"/>
  </si>
  <si>
    <t>埼玉県川口市南鳩ヶ谷6-9-12-402</t>
    <rPh sb="0" eb="3">
      <t>サイタマケン</t>
    </rPh>
    <rPh sb="3" eb="6">
      <t>カワグチシ</t>
    </rPh>
    <rPh sb="6" eb="10">
      <t>ミナミハトガヤ</t>
    </rPh>
    <phoneticPr fontId="1"/>
  </si>
  <si>
    <t>san.sanderiana@smail.com</t>
    <phoneticPr fontId="1"/>
  </si>
  <si>
    <t>8490-675-1184</t>
    <phoneticPr fontId="1"/>
  </si>
  <si>
    <t>スズキ　シロウ</t>
    <phoneticPr fontId="1"/>
  </si>
  <si>
    <t>兵庫県芦屋市山手町17-7</t>
    <rPh sb="0" eb="9">
      <t>659-0096</t>
    </rPh>
    <phoneticPr fontId="1"/>
  </si>
  <si>
    <t>イワミ　リョウタ</t>
  </si>
  <si>
    <t>ryota0506takajr@gmail.com</t>
  </si>
  <si>
    <t>090-8196-3646</t>
  </si>
  <si>
    <t>ワジマ　コウジ</t>
    <phoneticPr fontId="1"/>
  </si>
  <si>
    <t>和島　浩士　tr207</t>
    <rPh sb="0" eb="2">
      <t>ワジマ</t>
    </rPh>
    <rPh sb="3" eb="4">
      <t>ヒロ</t>
    </rPh>
    <rPh sb="4" eb="5">
      <t>シカイインサマ</t>
    </rPh>
    <phoneticPr fontId="1"/>
  </si>
  <si>
    <t>冨川　美香子</t>
    <rPh sb="0" eb="2">
      <t>トミカワ</t>
    </rPh>
    <rPh sb="3" eb="6">
      <t>ミカコ</t>
    </rPh>
    <phoneticPr fontId="1"/>
  </si>
  <si>
    <t>兵庫県宝塚市中筋5-15-4</t>
    <rPh sb="0" eb="8">
      <t>665-0874</t>
    </rPh>
    <phoneticPr fontId="1"/>
  </si>
  <si>
    <t>mkkaa.3576@ezweb.ne.jp</t>
    <phoneticPr fontId="1"/>
  </si>
  <si>
    <t>090-2706-3576</t>
    <phoneticPr fontId="1"/>
  </si>
  <si>
    <t>冨川　晃太郎</t>
    <rPh sb="0" eb="2">
      <t>トミカワ</t>
    </rPh>
    <rPh sb="3" eb="4">
      <t>アキラ</t>
    </rPh>
    <rPh sb="4" eb="6">
      <t>タロウ</t>
    </rPh>
    <phoneticPr fontId="1"/>
  </si>
  <si>
    <t>090-8981-0346</t>
    <phoneticPr fontId="1"/>
  </si>
  <si>
    <t>LINE¥500利用、冨川美香子様ご紹介</t>
    <rPh sb="11" eb="13">
      <t>トミカワ</t>
    </rPh>
    <rPh sb="13" eb="16">
      <t>ミカコ</t>
    </rPh>
    <rPh sb="16" eb="17">
      <t>サマ</t>
    </rPh>
    <rPh sb="18" eb="20">
      <t>ショウカイ</t>
    </rPh>
    <phoneticPr fontId="1"/>
  </si>
  <si>
    <t>トミカワ　ミカコ</t>
    <phoneticPr fontId="1"/>
  </si>
  <si>
    <t>トミカワ　コウタロウ</t>
    <phoneticPr fontId="1"/>
  </si>
  <si>
    <t>冨川美香子様ご主人</t>
    <rPh sb="0" eb="2">
      <t>トミカワ</t>
    </rPh>
    <rPh sb="2" eb="6">
      <t>ミカコサマ</t>
    </rPh>
    <rPh sb="7" eb="9">
      <t>シュジン</t>
    </rPh>
    <phoneticPr fontId="1"/>
  </si>
  <si>
    <t>土井　啓雄</t>
    <rPh sb="0" eb="2">
      <t>ドイ</t>
    </rPh>
    <rPh sb="3" eb="4">
      <t>ケイ</t>
    </rPh>
    <rPh sb="4" eb="5">
      <t>オ</t>
    </rPh>
    <phoneticPr fontId="1"/>
  </si>
  <si>
    <t>ドイ　ヒロオ</t>
    <phoneticPr fontId="1"/>
  </si>
  <si>
    <t>543-0043</t>
    <phoneticPr fontId="1"/>
  </si>
  <si>
    <t>大阪府大阪市天王寺区勝山2-2-10</t>
    <rPh sb="0" eb="12">
      <t>543-0043</t>
    </rPh>
    <phoneticPr fontId="1"/>
  </si>
  <si>
    <t>090-8659-7978</t>
    <phoneticPr fontId="1"/>
  </si>
  <si>
    <t>北川　瑞貴</t>
    <rPh sb="0" eb="2">
      <t>キタガワ</t>
    </rPh>
    <rPh sb="3" eb="5">
      <t>ミズキ</t>
    </rPh>
    <phoneticPr fontId="1"/>
  </si>
  <si>
    <t>キタガワ　ミズキ</t>
    <phoneticPr fontId="1"/>
  </si>
  <si>
    <t>兵庫県川西市水明台8-44</t>
    <rPh sb="0" eb="9">
      <t>666-0116</t>
    </rPh>
    <phoneticPr fontId="1"/>
  </si>
  <si>
    <t>080-3035-2611</t>
    <phoneticPr fontId="1"/>
  </si>
  <si>
    <t>自宅の庭で練習をしている、練習は好まない</t>
    <rPh sb="0" eb="2">
      <t>ジタク</t>
    </rPh>
    <rPh sb="3" eb="4">
      <t>ニワ</t>
    </rPh>
    <rPh sb="5" eb="7">
      <t>レンシュウ</t>
    </rPh>
    <rPh sb="13" eb="15">
      <t>レンシュウ</t>
    </rPh>
    <rPh sb="16" eb="17">
      <t>コノ</t>
    </rPh>
    <phoneticPr fontId="1"/>
  </si>
  <si>
    <t>電話したが不在</t>
    <rPh sb="0" eb="2">
      <t>デンワ</t>
    </rPh>
    <rPh sb="5" eb="7">
      <t>フザイ</t>
    </rPh>
    <phoneticPr fontId="1"/>
  </si>
  <si>
    <t>ウエダ　アイコ</t>
    <phoneticPr fontId="1"/>
  </si>
  <si>
    <t>090-2383-9583</t>
    <phoneticPr fontId="1"/>
  </si>
  <si>
    <t>権東　久喜</t>
    <rPh sb="0" eb="2">
      <t>ゴンドウ</t>
    </rPh>
    <rPh sb="3" eb="5">
      <t>クキ</t>
    </rPh>
    <phoneticPr fontId="1"/>
  </si>
  <si>
    <t>ゴンドウ　ヒサキ</t>
    <phoneticPr fontId="1"/>
  </si>
  <si>
    <t>664-0015</t>
    <phoneticPr fontId="1"/>
  </si>
  <si>
    <t>兵庫県伊丹市昆陽池2-33</t>
    <rPh sb="0" eb="3">
      <t>ヒョウゴケン</t>
    </rPh>
    <rPh sb="3" eb="6">
      <t>イタミシ</t>
    </rPh>
    <rPh sb="6" eb="9">
      <t>コヤイケ</t>
    </rPh>
    <phoneticPr fontId="1"/>
  </si>
  <si>
    <t>touken.s@gmail.com</t>
    <phoneticPr fontId="1"/>
  </si>
  <si>
    <t>080-1458-6137</t>
    <phoneticPr fontId="1"/>
  </si>
  <si>
    <t>上田　愛子</t>
    <rPh sb="0" eb="2">
      <t>ウエダ</t>
    </rPh>
    <rPh sb="3" eb="5">
      <t>アイコ</t>
    </rPh>
    <phoneticPr fontId="1"/>
  </si>
  <si>
    <t>石川　美由紀</t>
    <rPh sb="0" eb="2">
      <t>イシカワ</t>
    </rPh>
    <rPh sb="3" eb="6">
      <t>ミユキ</t>
    </rPh>
    <phoneticPr fontId="1"/>
  </si>
  <si>
    <t>イシカワ　ミユキ</t>
    <phoneticPr fontId="1"/>
  </si>
  <si>
    <t>665-0002</t>
    <phoneticPr fontId="1"/>
  </si>
  <si>
    <t>兵庫県宝塚市月見山1-16-2</t>
    <rPh sb="0" eb="9">
      <t>665-0002</t>
    </rPh>
    <phoneticPr fontId="1"/>
  </si>
  <si>
    <t>miyuki_815@yahoo.co.jp</t>
    <phoneticPr fontId="1"/>
  </si>
  <si>
    <t>090-3282-7426</t>
    <phoneticPr fontId="1"/>
  </si>
  <si>
    <t>全く当たらないアイアンが当たるようになった</t>
    <rPh sb="0" eb="1">
      <t>マッタ</t>
    </rPh>
    <rPh sb="2" eb="3">
      <t>ア</t>
    </rPh>
    <rPh sb="12" eb="13">
      <t>ア</t>
    </rPh>
    <phoneticPr fontId="1"/>
  </si>
  <si>
    <t>浦里　繫樹</t>
    <rPh sb="0" eb="2">
      <t>ウラサト</t>
    </rPh>
    <rPh sb="3" eb="5">
      <t>シゲキ</t>
    </rPh>
    <phoneticPr fontId="1"/>
  </si>
  <si>
    <t>ウラサト　シゲキ</t>
    <phoneticPr fontId="1"/>
  </si>
  <si>
    <t>634-0844</t>
    <phoneticPr fontId="1"/>
  </si>
  <si>
    <t>奈良県橿原市土橋町</t>
    <rPh sb="0" eb="3">
      <t>ナラケン</t>
    </rPh>
    <rPh sb="3" eb="6">
      <t>カシハラシ</t>
    </rPh>
    <rPh sb="6" eb="9">
      <t>ツチハシチョウ</t>
    </rPh>
    <phoneticPr fontId="1"/>
  </si>
  <si>
    <t>geruru0212@gmail.com</t>
    <phoneticPr fontId="1"/>
  </si>
  <si>
    <t>090-9620-0717</t>
    <phoneticPr fontId="1"/>
  </si>
  <si>
    <t>藤田プロ</t>
    <rPh sb="0" eb="2">
      <t>フジタ</t>
    </rPh>
    <phoneticPr fontId="1"/>
  </si>
  <si>
    <t>平岡　史生</t>
    <rPh sb="0" eb="2">
      <t>ヒラオカ</t>
    </rPh>
    <rPh sb="3" eb="4">
      <t>フミ</t>
    </rPh>
    <rPh sb="4" eb="5">
      <t>イキル</t>
    </rPh>
    <phoneticPr fontId="1"/>
  </si>
  <si>
    <t>ヒラオカ　フミオ</t>
    <phoneticPr fontId="1"/>
  </si>
  <si>
    <t>662-0078</t>
    <phoneticPr fontId="1"/>
  </si>
  <si>
    <t>兵庫県西宮市菊谷町4-24</t>
    <rPh sb="6" eb="8">
      <t>キクタニ</t>
    </rPh>
    <rPh sb="8" eb="9">
      <t>マチ</t>
    </rPh>
    <phoneticPr fontId="1"/>
  </si>
  <si>
    <t>090-8446-2040</t>
    <phoneticPr fontId="1"/>
  </si>
  <si>
    <t>hiraoka0704＠ezweb.ne.jp</t>
    <phoneticPr fontId="1"/>
  </si>
  <si>
    <t>藤澤　末恵子</t>
    <rPh sb="0" eb="2">
      <t>フジサワ</t>
    </rPh>
    <rPh sb="3" eb="4">
      <t>スエ</t>
    </rPh>
    <rPh sb="4" eb="6">
      <t>ケイコ</t>
    </rPh>
    <phoneticPr fontId="1"/>
  </si>
  <si>
    <t>フジサワ　スエコ</t>
    <phoneticPr fontId="1"/>
  </si>
  <si>
    <t>665-0033</t>
    <phoneticPr fontId="1"/>
  </si>
  <si>
    <t>兵庫県宝塚市伊子志4丁目2-60-422</t>
    <rPh sb="0" eb="2">
      <t>ヒョウゴ</t>
    </rPh>
    <rPh sb="2" eb="3">
      <t>ケン</t>
    </rPh>
    <rPh sb="3" eb="5">
      <t>タカラヅカ</t>
    </rPh>
    <rPh sb="5" eb="6">
      <t>シ</t>
    </rPh>
    <rPh sb="6" eb="7">
      <t>イ</t>
    </rPh>
    <rPh sb="7" eb="8">
      <t>コ</t>
    </rPh>
    <rPh sb="8" eb="9">
      <t>シ</t>
    </rPh>
    <rPh sb="10" eb="12">
      <t>チョウメ</t>
    </rPh>
    <phoneticPr fontId="1"/>
  </si>
  <si>
    <t>090-4644-8485</t>
    <phoneticPr fontId="1"/>
  </si>
  <si>
    <t>入会希望無</t>
    <rPh sb="0" eb="2">
      <t>ニュウカイ</t>
    </rPh>
    <rPh sb="2" eb="4">
      <t>キボウ</t>
    </rPh>
    <rPh sb="4" eb="5">
      <t>ナシ</t>
    </rPh>
    <phoneticPr fontId="1"/>
  </si>
  <si>
    <t>別の室内練習場に通っている</t>
    <rPh sb="0" eb="1">
      <t>ベツ</t>
    </rPh>
    <rPh sb="2" eb="7">
      <t>シツナイレンシュウジョウ</t>
    </rPh>
    <rPh sb="8" eb="9">
      <t>カヨ</t>
    </rPh>
    <phoneticPr fontId="1"/>
  </si>
  <si>
    <t>入会希望有</t>
    <rPh sb="0" eb="2">
      <t>ニュウカイ</t>
    </rPh>
    <rPh sb="2" eb="4">
      <t>キボウ</t>
    </rPh>
    <rPh sb="4" eb="5">
      <t>アリ</t>
    </rPh>
    <phoneticPr fontId="1"/>
  </si>
  <si>
    <t>西條　伸一郎</t>
    <rPh sb="0" eb="2">
      <t>サイジョウ</t>
    </rPh>
    <rPh sb="3" eb="6">
      <t>シンイチロウ</t>
    </rPh>
    <phoneticPr fontId="1"/>
  </si>
  <si>
    <t>サイジョウ　シンイチロウ</t>
    <phoneticPr fontId="1"/>
  </si>
  <si>
    <t>会員様</t>
    <rPh sb="0" eb="3">
      <t>カイインサマ</t>
    </rPh>
    <phoneticPr fontId="1"/>
  </si>
  <si>
    <t>駒月　智菜</t>
    <rPh sb="0" eb="2">
      <t>コマヅキ</t>
    </rPh>
    <rPh sb="3" eb="5">
      <t>チナ</t>
    </rPh>
    <phoneticPr fontId="1"/>
  </si>
  <si>
    <t>コマヅキ　チナ</t>
    <phoneticPr fontId="1"/>
  </si>
  <si>
    <t>齊藤　友則</t>
    <rPh sb="0" eb="2">
      <t>サイトウ</t>
    </rPh>
    <rPh sb="3" eb="4">
      <t>トモ</t>
    </rPh>
    <rPh sb="4" eb="5">
      <t>ノリ</t>
    </rPh>
    <phoneticPr fontId="1"/>
  </si>
  <si>
    <t>サイトウ　トモノリ</t>
    <phoneticPr fontId="1"/>
  </si>
  <si>
    <t>781-8122</t>
    <phoneticPr fontId="1"/>
  </si>
  <si>
    <t>高知県高須新町3丁目5-22ユンテ・ラ・メール302</t>
    <rPh sb="0" eb="3">
      <t>コウチケン</t>
    </rPh>
    <rPh sb="3" eb="7">
      <t>タカスシンマチ</t>
    </rPh>
    <rPh sb="8" eb="10">
      <t>チョウメ</t>
    </rPh>
    <phoneticPr fontId="1"/>
  </si>
  <si>
    <t>tomo19870708@icloud.com</t>
    <phoneticPr fontId="1"/>
  </si>
  <si>
    <t>090-9550-3473</t>
    <phoneticPr fontId="1"/>
  </si>
  <si>
    <t>永田　隆充</t>
    <rPh sb="0" eb="2">
      <t>ナガタ</t>
    </rPh>
    <rPh sb="3" eb="4">
      <t>タカシ</t>
    </rPh>
    <rPh sb="4" eb="5">
      <t>ミツル</t>
    </rPh>
    <phoneticPr fontId="1"/>
  </si>
  <si>
    <t>ナガタ　タカミツ</t>
    <phoneticPr fontId="1"/>
  </si>
  <si>
    <t>515-2321</t>
    <phoneticPr fontId="1"/>
  </si>
  <si>
    <t>三重県松阪市嬉野中川町818-1セゾンタケヒサ203号</t>
    <rPh sb="0" eb="3">
      <t>ミエケン</t>
    </rPh>
    <rPh sb="3" eb="6">
      <t>マツサカシ</t>
    </rPh>
    <rPh sb="6" eb="8">
      <t>ウレシノ</t>
    </rPh>
    <rPh sb="8" eb="11">
      <t>ナカガワチョウ</t>
    </rPh>
    <rPh sb="26" eb="27">
      <t>ゴウ</t>
    </rPh>
    <phoneticPr fontId="1"/>
  </si>
  <si>
    <t>090-8955-8458</t>
    <phoneticPr fontId="1"/>
  </si>
  <si>
    <t>155㎞</t>
    <phoneticPr fontId="1"/>
  </si>
  <si>
    <t>植竹　明人</t>
    <rPh sb="0" eb="2">
      <t>ウエタケ</t>
    </rPh>
    <rPh sb="3" eb="5">
      <t>アキヒト</t>
    </rPh>
    <phoneticPr fontId="1"/>
  </si>
  <si>
    <t>ウエタケ　アキヒト</t>
    <phoneticPr fontId="1"/>
  </si>
  <si>
    <t>兵庫県宝塚市売布1-25-24</t>
    <rPh sb="0" eb="6">
      <t>ヒョウゴケンタカラヅカシ</t>
    </rPh>
    <rPh sb="6" eb="8">
      <t>メフ</t>
    </rPh>
    <phoneticPr fontId="1"/>
  </si>
  <si>
    <t>nimbus0731@i.softbank.jp</t>
    <phoneticPr fontId="1"/>
  </si>
  <si>
    <t>080-2402-3645</t>
    <phoneticPr fontId="1"/>
  </si>
  <si>
    <t>再来(2019/5/18　ﾌｨｯﾃｨﾝｸﾞ来店)</t>
    <rPh sb="0" eb="2">
      <t>サイライ</t>
    </rPh>
    <rPh sb="21" eb="23">
      <t>ライテン</t>
    </rPh>
    <phoneticPr fontId="1"/>
  </si>
  <si>
    <t>ナカザト　シンヤ</t>
    <phoneticPr fontId="1"/>
  </si>
  <si>
    <t>原田　剛</t>
    <rPh sb="0" eb="2">
      <t>ハラダ</t>
    </rPh>
    <rPh sb="3" eb="4">
      <t>ゴウ</t>
    </rPh>
    <phoneticPr fontId="1"/>
  </si>
  <si>
    <t>ハラダ　ゴウ　</t>
    <phoneticPr fontId="1"/>
  </si>
  <si>
    <t>兵庫県宝塚市山本野里2-8-16</t>
    <rPh sb="0" eb="6">
      <t>ヒョウゴケンタカラヅカシ</t>
    </rPh>
    <rPh sb="6" eb="8">
      <t>ヤマモト</t>
    </rPh>
    <rPh sb="8" eb="9">
      <t>ノ</t>
    </rPh>
    <rPh sb="9" eb="10">
      <t>サト</t>
    </rPh>
    <phoneticPr fontId="1"/>
  </si>
  <si>
    <t>090-9052-5561</t>
    <phoneticPr fontId="1"/>
  </si>
  <si>
    <t>中村　慎一郎</t>
    <rPh sb="0" eb="2">
      <t>ナカムラ</t>
    </rPh>
    <rPh sb="3" eb="4">
      <t>シン</t>
    </rPh>
    <rPh sb="4" eb="6">
      <t>イチロウ</t>
    </rPh>
    <phoneticPr fontId="1"/>
  </si>
  <si>
    <t>ナカムラ　シンイチロウ</t>
    <phoneticPr fontId="1"/>
  </si>
  <si>
    <t>669-1122</t>
    <phoneticPr fontId="1"/>
  </si>
  <si>
    <t>兵庫県西宮市青葉台1-21-23</t>
    <rPh sb="0" eb="3">
      <t>ヒョウゴケン</t>
    </rPh>
    <rPh sb="3" eb="6">
      <t>ニシノミヤシ</t>
    </rPh>
    <rPh sb="6" eb="9">
      <t>アオバダイ</t>
    </rPh>
    <phoneticPr fontId="1"/>
  </si>
  <si>
    <t>080-5773-9985</t>
    <phoneticPr fontId="1"/>
  </si>
  <si>
    <t>奥西　一貴</t>
    <rPh sb="0" eb="2">
      <t>オクニシ</t>
    </rPh>
    <rPh sb="3" eb="5">
      <t>カズキ</t>
    </rPh>
    <phoneticPr fontId="1"/>
  </si>
  <si>
    <t>オクニシ　カズキ</t>
    <phoneticPr fontId="1"/>
  </si>
  <si>
    <t>665-0866</t>
    <phoneticPr fontId="1"/>
  </si>
  <si>
    <t>兵庫県宝塚市星の荘24-11-102</t>
    <rPh sb="0" eb="3">
      <t>ヒョウゴケン</t>
    </rPh>
    <rPh sb="3" eb="6">
      <t>タカラヅカシ</t>
    </rPh>
    <rPh sb="6" eb="7">
      <t>ホシ</t>
    </rPh>
    <rPh sb="8" eb="9">
      <t>ソウ</t>
    </rPh>
    <phoneticPr fontId="1"/>
  </si>
  <si>
    <t>2.4km</t>
    <phoneticPr fontId="1"/>
  </si>
  <si>
    <t>080-3854-0732</t>
    <phoneticPr fontId="1"/>
  </si>
  <si>
    <t>淵崎　和樹</t>
    <rPh sb="0" eb="2">
      <t>フチサキ</t>
    </rPh>
    <rPh sb="3" eb="5">
      <t>カズキ</t>
    </rPh>
    <phoneticPr fontId="1"/>
  </si>
  <si>
    <t>フチサキ　カズキ</t>
    <phoneticPr fontId="1"/>
  </si>
  <si>
    <t>672-8071</t>
    <phoneticPr fontId="1"/>
  </si>
  <si>
    <t>80.7㎞</t>
    <phoneticPr fontId="1"/>
  </si>
  <si>
    <t>兵庫県姫路市飾磨区構5-232</t>
    <rPh sb="0" eb="3">
      <t>ヒョウゴケン</t>
    </rPh>
    <rPh sb="3" eb="6">
      <t>ヒメジシ</t>
    </rPh>
    <rPh sb="6" eb="7">
      <t>カザ</t>
    </rPh>
    <rPh sb="7" eb="8">
      <t>マ</t>
    </rPh>
    <rPh sb="8" eb="9">
      <t>ク</t>
    </rPh>
    <rPh sb="9" eb="10">
      <t>カマ</t>
    </rPh>
    <phoneticPr fontId="1"/>
  </si>
  <si>
    <t>090-5362-6677</t>
    <phoneticPr fontId="1"/>
  </si>
  <si>
    <t>松永　健太</t>
    <rPh sb="0" eb="2">
      <t>マツナガ</t>
    </rPh>
    <rPh sb="3" eb="5">
      <t>ケンタ</t>
    </rPh>
    <phoneticPr fontId="1"/>
  </si>
  <si>
    <t>マツナガ　ケンタ</t>
    <phoneticPr fontId="1"/>
  </si>
  <si>
    <t>兵庫県宝塚市南口1-13-11</t>
    <rPh sb="0" eb="3">
      <t>ヒョウゴケン</t>
    </rPh>
    <rPh sb="3" eb="5">
      <t>タカラヅカ</t>
    </rPh>
    <rPh sb="5" eb="6">
      <t>シ</t>
    </rPh>
    <rPh sb="6" eb="8">
      <t>ミナミグチ</t>
    </rPh>
    <phoneticPr fontId="1"/>
  </si>
  <si>
    <t>kenta.matsu.1202@gmail.com</t>
    <phoneticPr fontId="1"/>
  </si>
  <si>
    <t>090-2190-0996</t>
    <phoneticPr fontId="1"/>
  </si>
  <si>
    <t>榎本プロ</t>
    <phoneticPr fontId="1"/>
  </si>
  <si>
    <t>亀井　義則</t>
    <rPh sb="0" eb="2">
      <t>カメイ</t>
    </rPh>
    <rPh sb="3" eb="5">
      <t>ヨシノリ</t>
    </rPh>
    <phoneticPr fontId="1"/>
  </si>
  <si>
    <t>カメイ　ヨシノリ</t>
    <phoneticPr fontId="1"/>
  </si>
  <si>
    <t>兵庫県宝塚市湯本町9-5-1603</t>
    <rPh sb="0" eb="9">
      <t>665-0003</t>
    </rPh>
    <phoneticPr fontId="1"/>
  </si>
  <si>
    <t>kamei_yoshinori@yahoo.ne.jp</t>
    <phoneticPr fontId="1"/>
  </si>
  <si>
    <t>090-9257-2022</t>
    <phoneticPr fontId="1"/>
  </si>
  <si>
    <t>090-5976-0037</t>
  </si>
  <si>
    <t>ナカヤマ　ミナ</t>
    <phoneticPr fontId="1"/>
  </si>
  <si>
    <t>659-0004</t>
  </si>
  <si>
    <t>18.9㎞</t>
  </si>
  <si>
    <t>37.nakayama@gmail.com</t>
  </si>
  <si>
    <t>前田　卓也</t>
    <rPh sb="0" eb="2">
      <t>マエダ</t>
    </rPh>
    <rPh sb="3" eb="5">
      <t>タクヤ</t>
    </rPh>
    <phoneticPr fontId="1"/>
  </si>
  <si>
    <t>マエダ　タクヤ</t>
    <phoneticPr fontId="1"/>
  </si>
  <si>
    <t>651-2277</t>
    <phoneticPr fontId="1"/>
  </si>
  <si>
    <t>兵庫県神戸市西区美賀多台1-9-2-2-708</t>
    <rPh sb="0" eb="6">
      <t>ヒョウゴケンコウベシ</t>
    </rPh>
    <rPh sb="6" eb="8">
      <t>ニシク</t>
    </rPh>
    <rPh sb="8" eb="9">
      <t>ウツク</t>
    </rPh>
    <rPh sb="9" eb="10">
      <t>ガ</t>
    </rPh>
    <rPh sb="10" eb="11">
      <t>オオ</t>
    </rPh>
    <rPh sb="11" eb="12">
      <t>ダイ</t>
    </rPh>
    <phoneticPr fontId="1"/>
  </si>
  <si>
    <t>caribou@true.ocn.ne.jp</t>
    <phoneticPr fontId="1"/>
  </si>
  <si>
    <t>090-2386-3864</t>
    <phoneticPr fontId="1"/>
  </si>
  <si>
    <t>中元　信行</t>
    <rPh sb="0" eb="2">
      <t>ナカモト</t>
    </rPh>
    <rPh sb="3" eb="5">
      <t>ノブユキ</t>
    </rPh>
    <phoneticPr fontId="1"/>
  </si>
  <si>
    <t>ナカモト　ノブユキ　</t>
    <phoneticPr fontId="1"/>
  </si>
  <si>
    <t>663-8023</t>
    <phoneticPr fontId="1"/>
  </si>
  <si>
    <t>兵庫県西宮市大森町6-56</t>
    <rPh sb="6" eb="8">
      <t>オオモリ</t>
    </rPh>
    <rPh sb="8" eb="9">
      <t>チョウ</t>
    </rPh>
    <phoneticPr fontId="1"/>
  </si>
  <si>
    <t>090-8938-0812</t>
    <phoneticPr fontId="1"/>
  </si>
  <si>
    <t>オオハシ　シンヤ</t>
    <phoneticPr fontId="1"/>
  </si>
  <si>
    <t>兵庫県宝塚市中筋4丁目9-25</t>
    <rPh sb="0" eb="3">
      <t>ヒョウゴケン</t>
    </rPh>
    <rPh sb="3" eb="6">
      <t>タカラヅカシ</t>
    </rPh>
    <rPh sb="6" eb="8">
      <t>ナカスジ</t>
    </rPh>
    <rPh sb="9" eb="11">
      <t>チョウメ</t>
    </rPh>
    <phoneticPr fontId="1"/>
  </si>
  <si>
    <t>shinyaohashi0226@gmail.com</t>
    <phoneticPr fontId="1"/>
  </si>
  <si>
    <t>080-3838-1217</t>
    <phoneticPr fontId="1"/>
  </si>
  <si>
    <t>大橋　慎哉</t>
    <rPh sb="4" eb="5">
      <t>ヤ</t>
    </rPh>
    <phoneticPr fontId="1"/>
  </si>
  <si>
    <t>𠮷川　正規</t>
    <rPh sb="0" eb="3">
      <t>ヨシカワ</t>
    </rPh>
    <rPh sb="4" eb="5">
      <t>マサ</t>
    </rPh>
    <rPh sb="5" eb="6">
      <t>キ</t>
    </rPh>
    <phoneticPr fontId="1"/>
  </si>
  <si>
    <t>ヨシカワ　マサノリ　</t>
    <phoneticPr fontId="1"/>
  </si>
  <si>
    <t>大阪府高槻市芝生町3丁目34-7</t>
    <rPh sb="0" eb="3">
      <t>オオサカフ</t>
    </rPh>
    <rPh sb="3" eb="6">
      <t>タカツキシ</t>
    </rPh>
    <rPh sb="6" eb="7">
      <t>シバ</t>
    </rPh>
    <rPh sb="7" eb="8">
      <t>イキル</t>
    </rPh>
    <rPh sb="8" eb="9">
      <t>マチ</t>
    </rPh>
    <rPh sb="10" eb="12">
      <t>チョウメ</t>
    </rPh>
    <phoneticPr fontId="1"/>
  </si>
  <si>
    <t>加納　久美</t>
    <rPh sb="0" eb="2">
      <t>カノウ</t>
    </rPh>
    <rPh sb="3" eb="5">
      <t>クミ</t>
    </rPh>
    <phoneticPr fontId="1"/>
  </si>
  <si>
    <t>カノウ　クミ</t>
    <phoneticPr fontId="1"/>
  </si>
  <si>
    <t>兵庫県宝塚市平井3-2-36</t>
    <rPh sb="0" eb="8">
      <t>665-0816</t>
    </rPh>
    <phoneticPr fontId="1"/>
  </si>
  <si>
    <t>kumi7375@gmail.com</t>
    <phoneticPr fontId="1"/>
  </si>
  <si>
    <t>090-8197-7280</t>
    <phoneticPr fontId="1"/>
  </si>
  <si>
    <t>現在他の施設に通っている</t>
    <rPh sb="0" eb="2">
      <t>ゲンザイ</t>
    </rPh>
    <rPh sb="2" eb="3">
      <t>ホカ</t>
    </rPh>
    <rPh sb="4" eb="6">
      <t>シセツ</t>
    </rPh>
    <rPh sb="7" eb="8">
      <t>カヨ</t>
    </rPh>
    <phoneticPr fontId="1"/>
  </si>
  <si>
    <t>2024.1.20　再来　ﾌｨｯﾃｨﾝｸﾞ料返金</t>
    <rPh sb="10" eb="12">
      <t>サイライ</t>
    </rPh>
    <rPh sb="21" eb="22">
      <t>リョウ</t>
    </rPh>
    <rPh sb="22" eb="24">
      <t>ヘンキン</t>
    </rPh>
    <phoneticPr fontId="1"/>
  </si>
  <si>
    <t>平岡　紀子</t>
    <rPh sb="0" eb="2">
      <t>ヒラオカ</t>
    </rPh>
    <rPh sb="3" eb="5">
      <t>ノリコ</t>
    </rPh>
    <phoneticPr fontId="1"/>
  </si>
  <si>
    <t>ヒラオカ　ノリコ</t>
    <phoneticPr fontId="1"/>
  </si>
  <si>
    <t>080-5709-3882</t>
    <phoneticPr fontId="1"/>
  </si>
  <si>
    <t>平岡　史生様奥様</t>
    <rPh sb="0" eb="2">
      <t>ヒラオカ</t>
    </rPh>
    <rPh sb="3" eb="4">
      <t>フミ</t>
    </rPh>
    <rPh sb="4" eb="5">
      <t>イキル</t>
    </rPh>
    <rPh sb="5" eb="6">
      <t>サマ</t>
    </rPh>
    <rPh sb="6" eb="8">
      <t>オクサマ</t>
    </rPh>
    <phoneticPr fontId="1"/>
  </si>
  <si>
    <t>小椋　寿希也</t>
    <rPh sb="0" eb="1">
      <t>チイ</t>
    </rPh>
    <rPh sb="1" eb="2">
      <t>リョウ</t>
    </rPh>
    <rPh sb="3" eb="5">
      <t>コトブキノゾミ</t>
    </rPh>
    <rPh sb="5" eb="6">
      <t>ヤ</t>
    </rPh>
    <phoneticPr fontId="1"/>
  </si>
  <si>
    <t>オグラ　ジュキヤ</t>
    <phoneticPr fontId="1"/>
  </si>
  <si>
    <t>兵庫県宝塚市中筋8-6-2-107</t>
    <rPh sb="0" eb="8">
      <t>665-0874</t>
    </rPh>
    <phoneticPr fontId="1"/>
  </si>
  <si>
    <t>jukiya.ogura@gmail.com</t>
    <phoneticPr fontId="1"/>
  </si>
  <si>
    <t>080-1634-2855</t>
    <phoneticPr fontId="1"/>
  </si>
  <si>
    <t>即入会</t>
    <rPh sb="0" eb="3">
      <t>ソクニュウカイ</t>
    </rPh>
    <phoneticPr fontId="1"/>
  </si>
  <si>
    <t>ナガタ　カズキ</t>
    <phoneticPr fontId="1"/>
  </si>
  <si>
    <t>兵庫県宝塚市山手台東5-18-9</t>
    <rPh sb="0" eb="10">
      <t>665-0887</t>
    </rPh>
    <phoneticPr fontId="1"/>
  </si>
  <si>
    <t>090-5133-3356</t>
    <phoneticPr fontId="1"/>
  </si>
  <si>
    <t>河村　茂樹</t>
    <rPh sb="0" eb="2">
      <t>カワムラ</t>
    </rPh>
    <rPh sb="3" eb="5">
      <t>シゲキ</t>
    </rPh>
    <phoneticPr fontId="1"/>
  </si>
  <si>
    <t>永田　一城</t>
    <rPh sb="0" eb="2">
      <t>ナガタ</t>
    </rPh>
    <rPh sb="3" eb="4">
      <t>ハジメ</t>
    </rPh>
    <rPh sb="4" eb="5">
      <t>シロ</t>
    </rPh>
    <phoneticPr fontId="1"/>
  </si>
  <si>
    <t>松井　拓</t>
    <rPh sb="0" eb="2">
      <t>マツイ</t>
    </rPh>
    <rPh sb="3" eb="4">
      <t>タク</t>
    </rPh>
    <phoneticPr fontId="1"/>
  </si>
  <si>
    <t>カワムラ　シゲキ</t>
    <phoneticPr fontId="1"/>
  </si>
  <si>
    <t>マツイ　タク</t>
    <phoneticPr fontId="1"/>
  </si>
  <si>
    <t>520-2361</t>
    <phoneticPr fontId="1"/>
  </si>
  <si>
    <t>520-2436</t>
    <phoneticPr fontId="1"/>
  </si>
  <si>
    <t>滋賀県野洲市北野1-1-18　アルタンスビル1B</t>
    <rPh sb="0" eb="3">
      <t>シガケン</t>
    </rPh>
    <rPh sb="3" eb="4">
      <t>ノ</t>
    </rPh>
    <rPh sb="4" eb="5">
      <t>ス</t>
    </rPh>
    <rPh sb="5" eb="6">
      <t>シ</t>
    </rPh>
    <rPh sb="6" eb="8">
      <t>キタノ</t>
    </rPh>
    <phoneticPr fontId="1"/>
  </si>
  <si>
    <t>滋賀県野洲市北比江35-1</t>
    <rPh sb="0" eb="3">
      <t>シガケン</t>
    </rPh>
    <rPh sb="3" eb="4">
      <t>ノ</t>
    </rPh>
    <rPh sb="4" eb="5">
      <t>ス</t>
    </rPh>
    <rPh sb="5" eb="6">
      <t>シ</t>
    </rPh>
    <rPh sb="6" eb="7">
      <t>キタ</t>
    </rPh>
    <rPh sb="7" eb="8">
      <t>ヒ</t>
    </rPh>
    <rPh sb="8" eb="9">
      <t>エ</t>
    </rPh>
    <phoneticPr fontId="1"/>
  </si>
  <si>
    <t>79.6㎞</t>
    <phoneticPr fontId="1"/>
  </si>
  <si>
    <t>83.2㎞</t>
    <phoneticPr fontId="1"/>
  </si>
  <si>
    <t>080-5639-8899</t>
    <phoneticPr fontId="1"/>
  </si>
  <si>
    <t>090-3659-6239</t>
    <phoneticPr fontId="1"/>
  </si>
  <si>
    <t>笹川　寛</t>
    <rPh sb="0" eb="2">
      <t>ササガワ</t>
    </rPh>
    <rPh sb="3" eb="4">
      <t>ヒロシ</t>
    </rPh>
    <phoneticPr fontId="1"/>
  </si>
  <si>
    <t>ササガワ　ヒロシ</t>
    <phoneticPr fontId="1"/>
  </si>
  <si>
    <t>兵庫県宝塚市栄町1-6-2-2043</t>
    <rPh sb="0" eb="8">
      <t>665-0845</t>
    </rPh>
    <phoneticPr fontId="1"/>
  </si>
  <si>
    <t>aoma1631@gmail.com</t>
    <phoneticPr fontId="1"/>
  </si>
  <si>
    <t>090-6245-2394</t>
    <phoneticPr fontId="1"/>
  </si>
  <si>
    <t>澤田　規晶</t>
    <rPh sb="0" eb="2">
      <t>サワダ</t>
    </rPh>
    <rPh sb="3" eb="4">
      <t>キ</t>
    </rPh>
    <rPh sb="4" eb="5">
      <t>アキラ</t>
    </rPh>
    <phoneticPr fontId="1"/>
  </si>
  <si>
    <t>サワダ　ノリアキ　</t>
    <phoneticPr fontId="1"/>
  </si>
  <si>
    <t>兵庫県宝塚市雲雀丘1-7-40</t>
    <rPh sb="0" eb="2">
      <t>ヒョウゴ</t>
    </rPh>
    <rPh sb="2" eb="3">
      <t>ケン</t>
    </rPh>
    <rPh sb="3" eb="5">
      <t>タカラヅカ</t>
    </rPh>
    <rPh sb="5" eb="6">
      <t>シ</t>
    </rPh>
    <rPh sb="6" eb="8">
      <t>ヒバリ</t>
    </rPh>
    <rPh sb="8" eb="9">
      <t>オカ</t>
    </rPh>
    <phoneticPr fontId="1"/>
  </si>
  <si>
    <t>nori.s19570827@icloud.com</t>
    <phoneticPr fontId="1"/>
  </si>
  <si>
    <t>080-1010-7070</t>
    <phoneticPr fontId="1"/>
  </si>
  <si>
    <t>ミヤザキ　コウジ</t>
    <phoneticPr fontId="1"/>
  </si>
  <si>
    <t>児玉　留美</t>
    <rPh sb="0" eb="2">
      <t>コダマ</t>
    </rPh>
    <rPh sb="3" eb="5">
      <t>ルミ</t>
    </rPh>
    <phoneticPr fontId="1"/>
  </si>
  <si>
    <t>コダマ　ルミ</t>
    <phoneticPr fontId="1"/>
  </si>
  <si>
    <t>大阪府大阪市阿倍野区文の里1-4-7</t>
    <rPh sb="0" eb="3">
      <t>オオサカフ</t>
    </rPh>
    <rPh sb="3" eb="6">
      <t>オオサカシ</t>
    </rPh>
    <rPh sb="6" eb="10">
      <t>アベノク</t>
    </rPh>
    <rPh sb="10" eb="11">
      <t>フミ</t>
    </rPh>
    <rPh sb="12" eb="13">
      <t>サト</t>
    </rPh>
    <phoneticPr fontId="1"/>
  </si>
  <si>
    <t>兵庫県宝塚市ふじガ丘26-13</t>
    <rPh sb="0" eb="6">
      <t>ヒョウゴケンタカラヅカシ</t>
    </rPh>
    <rPh sb="9" eb="10">
      <t>オカ</t>
    </rPh>
    <phoneticPr fontId="1"/>
  </si>
  <si>
    <t>rumi.mh0506@gmail.com</t>
    <phoneticPr fontId="1"/>
  </si>
  <si>
    <t>090-2702-0492</t>
    <phoneticPr fontId="1"/>
  </si>
  <si>
    <t>080-2530-8912</t>
    <phoneticPr fontId="1"/>
  </si>
  <si>
    <t>28.8㎞</t>
    <phoneticPr fontId="1"/>
  </si>
  <si>
    <t>665-0806</t>
    <phoneticPr fontId="1"/>
  </si>
  <si>
    <t>宮﨑　宏治</t>
    <rPh sb="0" eb="2">
      <t>ミヤザキ</t>
    </rPh>
    <rPh sb="3" eb="4">
      <t>ヒロ</t>
    </rPh>
    <rPh sb="4" eb="5">
      <t>チ</t>
    </rPh>
    <phoneticPr fontId="1"/>
  </si>
  <si>
    <t>↓児玉様分もお支払い</t>
    <rPh sb="1" eb="3">
      <t>コダマ</t>
    </rPh>
    <rPh sb="3" eb="4">
      <t>サマ</t>
    </rPh>
    <rPh sb="4" eb="5">
      <t>ブン</t>
    </rPh>
    <rPh sb="7" eb="9">
      <t>シハラ</t>
    </rPh>
    <phoneticPr fontId="1"/>
  </si>
  <si>
    <t>564-0063</t>
  </si>
  <si>
    <t>090-8753-0983</t>
  </si>
  <si>
    <t>円井　康弘</t>
    <rPh sb="0" eb="1">
      <t>エン</t>
    </rPh>
    <rPh sb="1" eb="2">
      <t>イ</t>
    </rPh>
    <rPh sb="3" eb="5">
      <t>ヤスヒロ</t>
    </rPh>
    <phoneticPr fontId="1"/>
  </si>
  <si>
    <t>マルイ　ヤスヒロ</t>
    <phoneticPr fontId="1"/>
  </si>
  <si>
    <t>604-0836</t>
    <phoneticPr fontId="1"/>
  </si>
  <si>
    <t>京都府京都市中京区船屋町412-1105</t>
    <rPh sb="0" eb="3">
      <t>キョウトフ</t>
    </rPh>
    <rPh sb="3" eb="5">
      <t>キョウト</t>
    </rPh>
    <rPh sb="5" eb="6">
      <t>シ</t>
    </rPh>
    <rPh sb="6" eb="8">
      <t>ナカギョウ</t>
    </rPh>
    <rPh sb="8" eb="9">
      <t>ク</t>
    </rPh>
    <rPh sb="9" eb="10">
      <t>フネ</t>
    </rPh>
    <rPh sb="10" eb="11">
      <t>ヤ</t>
    </rPh>
    <rPh sb="11" eb="12">
      <t>マチ</t>
    </rPh>
    <phoneticPr fontId="1"/>
  </si>
  <si>
    <t>marui@aqua.plala.or..jp</t>
    <phoneticPr fontId="1"/>
  </si>
  <si>
    <t>075-950-0797</t>
    <phoneticPr fontId="1"/>
  </si>
  <si>
    <t>オオバヤシ　マサヒロ</t>
    <phoneticPr fontId="1"/>
  </si>
  <si>
    <t>寺村　聡</t>
    <rPh sb="0" eb="2">
      <t>テラムラ</t>
    </rPh>
    <rPh sb="3" eb="4">
      <t>サトシ</t>
    </rPh>
    <phoneticPr fontId="1"/>
  </si>
  <si>
    <t>テラムラ　サトシ</t>
    <phoneticPr fontId="1"/>
  </si>
  <si>
    <t>525-0072</t>
    <phoneticPr fontId="1"/>
  </si>
  <si>
    <t>滋賀県草津市笠山3-17-40-401</t>
    <rPh sb="0" eb="8">
      <t>525-0072</t>
    </rPh>
    <phoneticPr fontId="1"/>
  </si>
  <si>
    <t>me19771024@gmail.com</t>
    <phoneticPr fontId="1"/>
  </si>
  <si>
    <t>090-1074-5189</t>
    <phoneticPr fontId="1"/>
  </si>
  <si>
    <t>吉田　敦</t>
    <rPh sb="0" eb="2">
      <t>ヨシダ</t>
    </rPh>
    <rPh sb="3" eb="4">
      <t>アツシ</t>
    </rPh>
    <phoneticPr fontId="1"/>
  </si>
  <si>
    <t>ヨシダ　アツシ</t>
    <phoneticPr fontId="1"/>
  </si>
  <si>
    <t>525-0051</t>
    <phoneticPr fontId="1"/>
  </si>
  <si>
    <t>滋賀県草津市木川町350-1ユニヴァリィルミナス105</t>
    <rPh sb="0" eb="9">
      <t>525-0051</t>
    </rPh>
    <phoneticPr fontId="1"/>
  </si>
  <si>
    <t>090-6208-1673</t>
    <phoneticPr fontId="1"/>
  </si>
  <si>
    <t>上野　年彦</t>
    <rPh sb="0" eb="2">
      <t>ウエノ</t>
    </rPh>
    <rPh sb="3" eb="5">
      <t>トシヒコ</t>
    </rPh>
    <phoneticPr fontId="1"/>
  </si>
  <si>
    <t>ウエノ　トシヒコ</t>
    <phoneticPr fontId="1"/>
  </si>
  <si>
    <t>兵庫県宝塚市すみれガ丘1-6-1-1305</t>
    <rPh sb="0" eb="11">
      <t>665-0847</t>
    </rPh>
    <phoneticPr fontId="1"/>
  </si>
  <si>
    <t>uenogumi314@yahoo.co.jp</t>
    <phoneticPr fontId="1"/>
  </si>
  <si>
    <t>090-3270-0348</t>
    <phoneticPr fontId="1"/>
  </si>
  <si>
    <t>岩根　みなみ</t>
    <rPh sb="0" eb="2">
      <t>イワネ</t>
    </rPh>
    <phoneticPr fontId="1"/>
  </si>
  <si>
    <t>イワネ　ミナミ</t>
    <phoneticPr fontId="1"/>
  </si>
  <si>
    <t>兵庫県川西市久代1-9-57</t>
    <rPh sb="0" eb="3">
      <t>ヒョウゴケン</t>
    </rPh>
    <rPh sb="3" eb="6">
      <t>カワニシシ</t>
    </rPh>
    <rPh sb="6" eb="7">
      <t>ヒサ</t>
    </rPh>
    <phoneticPr fontId="1"/>
  </si>
  <si>
    <t>鈴木　貴博</t>
    <rPh sb="0" eb="2">
      <t>スズキ</t>
    </rPh>
    <rPh sb="3" eb="5">
      <t>タカヒロ</t>
    </rPh>
    <phoneticPr fontId="1"/>
  </si>
  <si>
    <t>スズキ　タカヒロ</t>
    <phoneticPr fontId="1"/>
  </si>
  <si>
    <t>兵庫県宝塚市南口2-14-3-905</t>
    <rPh sb="0" eb="3">
      <t>ヒョウゴケン</t>
    </rPh>
    <rPh sb="3" eb="6">
      <t>タカラヅカシ</t>
    </rPh>
    <rPh sb="6" eb="8">
      <t>ミナミグチ</t>
    </rPh>
    <phoneticPr fontId="1"/>
  </si>
  <si>
    <t>090-7271-5240</t>
    <phoneticPr fontId="1"/>
  </si>
  <si>
    <t>かなり前向きです。主人と相談します。</t>
    <rPh sb="3" eb="5">
      <t>マエム</t>
    </rPh>
    <rPh sb="9" eb="11">
      <t>シュジン</t>
    </rPh>
    <rPh sb="12" eb="14">
      <t>ソウダン</t>
    </rPh>
    <phoneticPr fontId="1"/>
  </si>
  <si>
    <t>090-4300-5336（母弘子様携帯）</t>
    <rPh sb="14" eb="15">
      <t>ハハ</t>
    </rPh>
    <rPh sb="15" eb="17">
      <t>ヒロコ</t>
    </rPh>
    <rPh sb="17" eb="18">
      <t>サマ</t>
    </rPh>
    <rPh sb="18" eb="20">
      <t>ケイタイ</t>
    </rPh>
    <phoneticPr fontId="1"/>
  </si>
  <si>
    <t>西山　裕一</t>
    <rPh sb="0" eb="2">
      <t>ニシヤマ</t>
    </rPh>
    <rPh sb="3" eb="5">
      <t>ユウイチ</t>
    </rPh>
    <phoneticPr fontId="1"/>
  </si>
  <si>
    <t>ニシヤマ　ユウイチ</t>
    <phoneticPr fontId="1"/>
  </si>
  <si>
    <t>兵庫県宝塚市すみれガ丘2-3-1-105</t>
    <rPh sb="0" eb="11">
      <t>665-0847</t>
    </rPh>
    <phoneticPr fontId="1"/>
  </si>
  <si>
    <t>090-8759-2273</t>
    <phoneticPr fontId="1"/>
  </si>
  <si>
    <t>大花　俊介</t>
    <rPh sb="0" eb="2">
      <t>オオハナ</t>
    </rPh>
    <rPh sb="3" eb="5">
      <t>シュンスケ</t>
    </rPh>
    <phoneticPr fontId="1"/>
  </si>
  <si>
    <t>オオハナ　シュンスケ</t>
    <phoneticPr fontId="1"/>
  </si>
  <si>
    <t>兵庫県伊丹市荻野3丁目30番シャーメゾンラポール205</t>
    <rPh sb="0" eb="3">
      <t>ヒョウゴケン</t>
    </rPh>
    <rPh sb="3" eb="5">
      <t>イタミ</t>
    </rPh>
    <rPh sb="5" eb="6">
      <t>シ</t>
    </rPh>
    <rPh sb="6" eb="8">
      <t>オギノ</t>
    </rPh>
    <rPh sb="9" eb="11">
      <t>チョウメ</t>
    </rPh>
    <rPh sb="13" eb="14">
      <t>バン</t>
    </rPh>
    <phoneticPr fontId="1"/>
  </si>
  <si>
    <t>090-9886-9288</t>
    <phoneticPr fontId="1"/>
  </si>
  <si>
    <t>東京にいて、後日来店予定</t>
    <rPh sb="0" eb="2">
      <t>トウキョウ</t>
    </rPh>
    <rPh sb="6" eb="8">
      <t>ゴジツ</t>
    </rPh>
    <rPh sb="8" eb="12">
      <t>ライテンヨテイ</t>
    </rPh>
    <phoneticPr fontId="1"/>
  </si>
  <si>
    <t>古田　諒</t>
    <rPh sb="0" eb="2">
      <t>フルタ</t>
    </rPh>
    <rPh sb="3" eb="4">
      <t>リョウ</t>
    </rPh>
    <phoneticPr fontId="1"/>
  </si>
  <si>
    <t>大阪府豊中市新千里西町3-11-15</t>
    <rPh sb="0" eb="11">
      <t>560-0083</t>
    </rPh>
    <phoneticPr fontId="1"/>
  </si>
  <si>
    <t>sums.fsattss@gmail.com</t>
    <phoneticPr fontId="1"/>
  </si>
  <si>
    <t>080-6102-2422</t>
    <phoneticPr fontId="1"/>
  </si>
  <si>
    <t>フルタ　サトシ</t>
    <phoneticPr fontId="1"/>
  </si>
  <si>
    <t>唐木田　妃菜</t>
    <phoneticPr fontId="1"/>
  </si>
  <si>
    <t>カラキダ　ヒナ</t>
    <phoneticPr fontId="1"/>
  </si>
  <si>
    <t>566-0011</t>
    <phoneticPr fontId="1"/>
  </si>
  <si>
    <t>大阪府摂津市千里丘東1-6-26クオーレ千里102</t>
    <rPh sb="0" eb="10">
      <t>566-0011</t>
    </rPh>
    <rPh sb="20" eb="22">
      <t>センリ</t>
    </rPh>
    <phoneticPr fontId="1"/>
  </si>
  <si>
    <t>080-2931-6337</t>
    <phoneticPr fontId="1"/>
  </si>
  <si>
    <t>京治　慎</t>
    <rPh sb="0" eb="2">
      <t>ケイジ</t>
    </rPh>
    <rPh sb="3" eb="4">
      <t>シン</t>
    </rPh>
    <phoneticPr fontId="1"/>
  </si>
  <si>
    <t>キョウジ　シン</t>
    <phoneticPr fontId="1"/>
  </si>
  <si>
    <t>兵庫県伊丹市鴻池4-11-18</t>
    <rPh sb="0" eb="8">
      <t>664-0006</t>
    </rPh>
    <phoneticPr fontId="1"/>
  </si>
  <si>
    <t>ababakuku@gmail.com</t>
    <phoneticPr fontId="1"/>
  </si>
  <si>
    <t>080-5638-8954</t>
    <phoneticPr fontId="1"/>
  </si>
  <si>
    <t>松岡　堅二</t>
    <rPh sb="0" eb="2">
      <t>マツオカ</t>
    </rPh>
    <rPh sb="3" eb="4">
      <t>カタ</t>
    </rPh>
    <rPh sb="4" eb="5">
      <t>ニ</t>
    </rPh>
    <phoneticPr fontId="1"/>
  </si>
  <si>
    <t>マツオカ　ケンジ</t>
    <phoneticPr fontId="1"/>
  </si>
  <si>
    <t>兵庫県宝塚市雲雀丘山手2-5-3</t>
    <rPh sb="0" eb="3">
      <t>ヒョウゴケン</t>
    </rPh>
    <rPh sb="3" eb="6">
      <t>タカラヅカシ</t>
    </rPh>
    <rPh sb="6" eb="11">
      <t>ヒバリガオカヤマテ</t>
    </rPh>
    <phoneticPr fontId="1"/>
  </si>
  <si>
    <t>090-2113-3600</t>
    <phoneticPr fontId="1"/>
  </si>
  <si>
    <t>樽谷　清孝</t>
    <rPh sb="0" eb="2">
      <t>タルタニ</t>
    </rPh>
    <rPh sb="3" eb="5">
      <t>キヨタカ</t>
    </rPh>
    <phoneticPr fontId="1"/>
  </si>
  <si>
    <t>タルタニ　キヨタカ</t>
    <phoneticPr fontId="1"/>
  </si>
  <si>
    <t>兵庫県宝塚市野上3-1-16</t>
    <rPh sb="0" eb="8">
      <t>665-0022</t>
    </rPh>
    <phoneticPr fontId="1"/>
  </si>
  <si>
    <t>kiyotaka-t@tarutani.co.jp</t>
    <phoneticPr fontId="1"/>
  </si>
  <si>
    <t>090-3262-6565</t>
    <phoneticPr fontId="1"/>
  </si>
  <si>
    <t>上野　賢吾</t>
    <rPh sb="0" eb="2">
      <t>ウエノ</t>
    </rPh>
    <rPh sb="3" eb="5">
      <t>ケンゴ</t>
    </rPh>
    <phoneticPr fontId="1"/>
  </si>
  <si>
    <t>ウエノ　ケンゴ</t>
    <phoneticPr fontId="1"/>
  </si>
  <si>
    <t>666-0112</t>
    <phoneticPr fontId="1"/>
  </si>
  <si>
    <t>兵庫県川西市大和西3-9-1</t>
    <rPh sb="0" eb="9">
      <t>666-0112</t>
    </rPh>
    <phoneticPr fontId="1"/>
  </si>
  <si>
    <t>kengoueno78@i.softbank.jp</t>
    <phoneticPr fontId="1"/>
  </si>
  <si>
    <t>090-2048-6385</t>
    <phoneticPr fontId="1"/>
  </si>
  <si>
    <t>661-0961</t>
  </si>
  <si>
    <t>13.7㎞</t>
  </si>
  <si>
    <t>00028hitoshi@ezweb.ne.jp</t>
  </si>
  <si>
    <t>ヨシイ　ヒトシ</t>
    <phoneticPr fontId="1"/>
  </si>
  <si>
    <t>社長紹介</t>
    <rPh sb="0" eb="4">
      <t>シャチョウショウカイ</t>
    </rPh>
    <phoneticPr fontId="1"/>
  </si>
  <si>
    <t>小坪　勇人</t>
    <rPh sb="0" eb="2">
      <t>コツボ</t>
    </rPh>
    <rPh sb="3" eb="5">
      <t>ハヤト</t>
    </rPh>
    <phoneticPr fontId="1"/>
  </si>
  <si>
    <t>コツボ　ハヤト</t>
    <phoneticPr fontId="1"/>
  </si>
  <si>
    <t>664-0846</t>
    <phoneticPr fontId="1"/>
  </si>
  <si>
    <t>兵庫県伊丹市伊丹7-3-4</t>
    <rPh sb="0" eb="8">
      <t>664-0846</t>
    </rPh>
    <phoneticPr fontId="1"/>
  </si>
  <si>
    <t>090-9677-3227</t>
    <phoneticPr fontId="1"/>
  </si>
  <si>
    <t>根岸　里佳</t>
    <rPh sb="0" eb="2">
      <t>ネギシ</t>
    </rPh>
    <rPh sb="3" eb="5">
      <t>リカ</t>
    </rPh>
    <phoneticPr fontId="1"/>
  </si>
  <si>
    <t>ネギシ　リカ</t>
    <phoneticPr fontId="1"/>
  </si>
  <si>
    <t>兵庫県宝塚市山本南1-39-17</t>
    <rPh sb="0" eb="9">
      <t>665-0882</t>
    </rPh>
    <phoneticPr fontId="1"/>
  </si>
  <si>
    <t>350m</t>
    <phoneticPr fontId="1"/>
  </si>
  <si>
    <t>rika.h9110-2008@ezweb.ne.jp</t>
    <phoneticPr fontId="1"/>
  </si>
  <si>
    <t>090-3487-5850</t>
    <phoneticPr fontId="1"/>
  </si>
  <si>
    <t>蘆田　伍市</t>
    <rPh sb="0" eb="2">
      <t>アシダ</t>
    </rPh>
    <rPh sb="3" eb="5">
      <t>ゴイチ</t>
    </rPh>
    <phoneticPr fontId="1"/>
  </si>
  <si>
    <t>アシダ　ゴイチ</t>
    <phoneticPr fontId="1"/>
  </si>
  <si>
    <t>兵庫県川西市南花屋敷2-5-17</t>
    <rPh sb="0" eb="10">
      <t>666-0026</t>
    </rPh>
    <phoneticPr fontId="1"/>
  </si>
  <si>
    <t>090-7877-8051</t>
    <phoneticPr fontId="1"/>
  </si>
  <si>
    <t>伊藤　安耶</t>
    <rPh sb="0" eb="2">
      <t>イトウ</t>
    </rPh>
    <rPh sb="3" eb="4">
      <t>ヤス</t>
    </rPh>
    <rPh sb="4" eb="5">
      <t>ヤ</t>
    </rPh>
    <phoneticPr fontId="1"/>
  </si>
  <si>
    <t>イトウ　アヤ</t>
    <phoneticPr fontId="1"/>
  </si>
  <si>
    <t>530-0003</t>
    <phoneticPr fontId="1"/>
  </si>
  <si>
    <t>大阪府大阪市北区堂島2-2-8-3501</t>
    <rPh sb="0" eb="10">
      <t>530-0003</t>
    </rPh>
    <phoneticPr fontId="1"/>
  </si>
  <si>
    <t>080-3033-9268</t>
    <phoneticPr fontId="1"/>
  </si>
  <si>
    <t>河南様のご紹介</t>
    <rPh sb="0" eb="1">
      <t>カワ</t>
    </rPh>
    <rPh sb="1" eb="2">
      <t>ミナミ</t>
    </rPh>
    <rPh sb="2" eb="3">
      <t>サマ</t>
    </rPh>
    <rPh sb="5" eb="7">
      <t>ショウカイ</t>
    </rPh>
    <phoneticPr fontId="1"/>
  </si>
  <si>
    <t>ヨシイ　ノリコ</t>
    <phoneticPr fontId="1"/>
  </si>
  <si>
    <t>090-1443-4254</t>
  </si>
  <si>
    <t>入会希望無</t>
    <rPh sb="0" eb="2">
      <t>ニュウカイ</t>
    </rPh>
    <rPh sb="2" eb="4">
      <t>キボウ</t>
    </rPh>
    <rPh sb="4" eb="5">
      <t>ム</t>
    </rPh>
    <phoneticPr fontId="1"/>
  </si>
  <si>
    <t>3/3不在</t>
    <rPh sb="3" eb="5">
      <t>フザイ</t>
    </rPh>
    <phoneticPr fontId="1"/>
  </si>
  <si>
    <t>山下　実桜</t>
    <rPh sb="0" eb="2">
      <t>ヤマシタ</t>
    </rPh>
    <rPh sb="3" eb="4">
      <t>ミノル</t>
    </rPh>
    <rPh sb="4" eb="5">
      <t>サクラ</t>
    </rPh>
    <phoneticPr fontId="1"/>
  </si>
  <si>
    <t>ヤマシタ　ミオ</t>
    <phoneticPr fontId="1"/>
  </si>
  <si>
    <t>530-0052</t>
    <phoneticPr fontId="1"/>
  </si>
  <si>
    <t>大阪府大阪市北区南扇町2-11-401</t>
    <rPh sb="0" eb="11">
      <t>530-0052</t>
    </rPh>
    <phoneticPr fontId="1"/>
  </si>
  <si>
    <t>miooo0419@gmail.com</t>
    <phoneticPr fontId="1"/>
  </si>
  <si>
    <t>070-2314-9082</t>
    <phoneticPr fontId="1"/>
  </si>
  <si>
    <t>社長のご紹介</t>
    <rPh sb="0" eb="2">
      <t>シャチョウ</t>
    </rPh>
    <rPh sb="4" eb="6">
      <t>ショウカイ</t>
    </rPh>
    <phoneticPr fontId="1"/>
  </si>
  <si>
    <t>山下　優之</t>
    <rPh sb="0" eb="2">
      <t>ヤマシタ</t>
    </rPh>
    <rPh sb="3" eb="4">
      <t>ヤサ</t>
    </rPh>
    <rPh sb="4" eb="5">
      <t>ユキ</t>
    </rPh>
    <phoneticPr fontId="1"/>
  </si>
  <si>
    <t>ヤマシタ　マサユキ</t>
    <phoneticPr fontId="1"/>
  </si>
  <si>
    <t>大阪府大阪市旭区新森1-6-18-1404</t>
    <rPh sb="0" eb="10">
      <t>535-0022</t>
    </rPh>
    <phoneticPr fontId="1"/>
  </si>
  <si>
    <t>masa@yamashita.ne.jp</t>
    <phoneticPr fontId="1"/>
  </si>
  <si>
    <t>仲谷　帝音</t>
    <rPh sb="0" eb="2">
      <t>ナカタニ</t>
    </rPh>
    <rPh sb="3" eb="4">
      <t>テイ</t>
    </rPh>
    <rPh sb="4" eb="5">
      <t>オト</t>
    </rPh>
    <phoneticPr fontId="1"/>
  </si>
  <si>
    <t>ナカタニ　テオ</t>
    <phoneticPr fontId="1"/>
  </si>
  <si>
    <t>兵庫県宝塚市宝梅1-12-59</t>
    <rPh sb="0" eb="8">
      <t>665-0013</t>
    </rPh>
    <phoneticPr fontId="1"/>
  </si>
  <si>
    <t>0422.teo@gmail.com</t>
    <phoneticPr fontId="1"/>
  </si>
  <si>
    <t>090-7363-0422</t>
    <phoneticPr fontId="1"/>
  </si>
  <si>
    <t>小原　宏之</t>
    <rPh sb="0" eb="2">
      <t>コハラ</t>
    </rPh>
    <rPh sb="3" eb="5">
      <t>ヒロユキ</t>
    </rPh>
    <phoneticPr fontId="1"/>
  </si>
  <si>
    <t>コハラ　ヒロシ</t>
    <phoneticPr fontId="1"/>
  </si>
  <si>
    <t>兵庫県宝塚市安倉中3-5-2</t>
    <rPh sb="0" eb="9">
      <t>665-0822</t>
    </rPh>
    <phoneticPr fontId="1"/>
  </si>
  <si>
    <t>080-1482-3190</t>
    <phoneticPr fontId="1"/>
  </si>
  <si>
    <t>辻本　龍晃</t>
    <rPh sb="0" eb="2">
      <t>ツジモト</t>
    </rPh>
    <rPh sb="3" eb="4">
      <t>タツ</t>
    </rPh>
    <rPh sb="4" eb="5">
      <t>アキ</t>
    </rPh>
    <phoneticPr fontId="1"/>
  </si>
  <si>
    <t>ツジモト　タツアキ</t>
    <phoneticPr fontId="1"/>
  </si>
  <si>
    <t>619-0222</t>
    <phoneticPr fontId="1"/>
  </si>
  <si>
    <r>
      <t>京都府木津川市相楽大</t>
    </r>
    <r>
      <rPr>
        <sz val="12"/>
        <color theme="1"/>
        <rFont val="NSimSun"/>
        <family val="3"/>
        <charset val="134"/>
      </rPr>
      <t>綕</t>
    </r>
    <r>
      <rPr>
        <sz val="12"/>
        <color theme="1"/>
        <rFont val="游ゴシック"/>
        <family val="3"/>
        <charset val="128"/>
      </rPr>
      <t>10-14</t>
    </r>
    <rPh sb="0" eb="9">
      <t>619-0222</t>
    </rPh>
    <rPh sb="9" eb="10">
      <t>ダイ</t>
    </rPh>
    <phoneticPr fontId="1"/>
  </si>
  <si>
    <t>t_tatsuaki_nara@yahoo.co.jp</t>
    <phoneticPr fontId="1"/>
  </si>
  <si>
    <t>090-8194-1059</t>
    <phoneticPr fontId="1"/>
  </si>
  <si>
    <t>横山　光雄</t>
    <rPh sb="0" eb="2">
      <t>ヨコヤマ</t>
    </rPh>
    <rPh sb="3" eb="4">
      <t>ヒカリ</t>
    </rPh>
    <rPh sb="4" eb="5">
      <t>オス</t>
    </rPh>
    <phoneticPr fontId="1"/>
  </si>
  <si>
    <t>ヨコヤマ　ミツオ</t>
    <phoneticPr fontId="1"/>
  </si>
  <si>
    <t>兵庫県宝塚市平井1-11-15ローレルメゾン201</t>
    <rPh sb="0" eb="8">
      <t>665-0816</t>
    </rPh>
    <phoneticPr fontId="1"/>
  </si>
  <si>
    <t>mitsuo19670422@gmail.com</t>
    <phoneticPr fontId="1"/>
  </si>
  <si>
    <t>080-4992-6862</t>
    <phoneticPr fontId="1"/>
  </si>
  <si>
    <t>小川　剛志</t>
    <rPh sb="0" eb="2">
      <t>オガワ</t>
    </rPh>
    <rPh sb="3" eb="4">
      <t>ゴウ</t>
    </rPh>
    <rPh sb="4" eb="5">
      <t>ココロ</t>
    </rPh>
    <phoneticPr fontId="1"/>
  </si>
  <si>
    <t>オガワ　ゴウシ</t>
    <phoneticPr fontId="1"/>
  </si>
  <si>
    <t>大阪府大阪市中央区内平野町1-2-4-501</t>
    <rPh sb="0" eb="13">
      <t>540-0037</t>
    </rPh>
    <phoneticPr fontId="1"/>
  </si>
  <si>
    <t>goshi552@gmail.com</t>
    <phoneticPr fontId="1"/>
  </si>
  <si>
    <t>090-6481-0652</t>
    <phoneticPr fontId="1"/>
  </si>
  <si>
    <t>651-0077</t>
  </si>
  <si>
    <t>37.5㎞</t>
  </si>
  <si>
    <t>080-7961-4374</t>
  </si>
  <si>
    <t>ナガマ　ユウスケ</t>
    <phoneticPr fontId="1"/>
  </si>
  <si>
    <t>藤原　知広</t>
    <rPh sb="0" eb="2">
      <t>フジワラ</t>
    </rPh>
    <rPh sb="3" eb="4">
      <t>トモ</t>
    </rPh>
    <rPh sb="4" eb="5">
      <t>ヒロシ</t>
    </rPh>
    <phoneticPr fontId="1"/>
  </si>
  <si>
    <t>フジワラ　トモヒロ</t>
    <phoneticPr fontId="1"/>
  </si>
  <si>
    <t>兵庫県宝塚市山手台東1丁目10-6</t>
    <rPh sb="0" eb="3">
      <t>ヒョウゴケン</t>
    </rPh>
    <rPh sb="3" eb="6">
      <t>タカラヅカシ</t>
    </rPh>
    <rPh sb="6" eb="9">
      <t>ヤマテダイ</t>
    </rPh>
    <rPh sb="9" eb="10">
      <t>ヒガシ</t>
    </rPh>
    <rPh sb="11" eb="13">
      <t>チョウメ</t>
    </rPh>
    <phoneticPr fontId="1"/>
  </si>
  <si>
    <t>tomohirofujiwara0@gmail.com</t>
    <phoneticPr fontId="1"/>
  </si>
  <si>
    <t>090-8167-1456</t>
    <phoneticPr fontId="1"/>
  </si>
  <si>
    <t>元会員様</t>
    <rPh sb="0" eb="1">
      <t>モト</t>
    </rPh>
    <rPh sb="1" eb="4">
      <t>カイインサマ</t>
    </rPh>
    <phoneticPr fontId="1"/>
  </si>
  <si>
    <t>元会員様tf002</t>
    <rPh sb="0" eb="1">
      <t>モト</t>
    </rPh>
    <rPh sb="1" eb="4">
      <t>カイインサマ</t>
    </rPh>
    <phoneticPr fontId="1"/>
  </si>
  <si>
    <t>藤田　寛</t>
    <rPh sb="0" eb="2">
      <t>フジタ</t>
    </rPh>
    <rPh sb="3" eb="4">
      <t>カン</t>
    </rPh>
    <phoneticPr fontId="1"/>
  </si>
  <si>
    <t>フジタ　ヒロシ</t>
    <phoneticPr fontId="1"/>
  </si>
  <si>
    <t>兵庫県宝塚市平井4-19-7</t>
    <rPh sb="0" eb="8">
      <t>665-0816</t>
    </rPh>
    <phoneticPr fontId="1"/>
  </si>
  <si>
    <t>golf.hiroshi0414@gmail.com</t>
    <phoneticPr fontId="1"/>
  </si>
  <si>
    <t>080-5638-4736</t>
    <phoneticPr fontId="1"/>
  </si>
  <si>
    <t>宮下　正規</t>
    <rPh sb="0" eb="2">
      <t>ミヤシタ</t>
    </rPh>
    <rPh sb="3" eb="4">
      <t>タダシ</t>
    </rPh>
    <rPh sb="4" eb="5">
      <t>キ</t>
    </rPh>
    <phoneticPr fontId="1"/>
  </si>
  <si>
    <t>ミヤシタ　マサキ</t>
    <phoneticPr fontId="1"/>
  </si>
  <si>
    <t>兵庫県宝塚市山手台東3-20-7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</si>
  <si>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miyap.925@gmail.com</t>
    <phoneticPr fontId="1"/>
  </si>
  <si>
    <t>070-4806-6343</t>
    <phoneticPr fontId="1"/>
  </si>
  <si>
    <t>再来　2024.2.28</t>
    <rPh sb="0" eb="2">
      <t>サイライ</t>
    </rPh>
    <phoneticPr fontId="1"/>
  </si>
  <si>
    <t>福本　智博</t>
    <rPh sb="0" eb="2">
      <t>フクモト</t>
    </rPh>
    <rPh sb="3" eb="4">
      <t>トモ</t>
    </rPh>
    <phoneticPr fontId="1"/>
  </si>
  <si>
    <t>フクモト　トモヒロ</t>
    <phoneticPr fontId="1"/>
  </si>
  <si>
    <t>562-0023</t>
    <phoneticPr fontId="1"/>
  </si>
  <si>
    <t>大阪府箕面市粟生間谷西7-26-17</t>
    <rPh sb="0" eb="11">
      <t>562-0023</t>
    </rPh>
    <phoneticPr fontId="1"/>
  </si>
  <si>
    <t>090-3266-8832</t>
    <phoneticPr fontId="1"/>
  </si>
  <si>
    <t>高崎プロ紹介</t>
    <rPh sb="0" eb="2">
      <t>タカサキ</t>
    </rPh>
    <rPh sb="4" eb="6">
      <t>ショウカイ</t>
    </rPh>
    <phoneticPr fontId="1"/>
  </si>
  <si>
    <t>河合　慈英　</t>
    <rPh sb="0" eb="2">
      <t>カワイ</t>
    </rPh>
    <rPh sb="3" eb="5">
      <t>ジエイ</t>
    </rPh>
    <phoneticPr fontId="1"/>
  </si>
  <si>
    <t>カワイ　ジエイ　</t>
    <phoneticPr fontId="1"/>
  </si>
  <si>
    <t>大阪府吹田市千里山西6-23-10</t>
    <rPh sb="0" eb="3">
      <t>オオサカフ</t>
    </rPh>
    <rPh sb="3" eb="6">
      <t>スイタシ</t>
    </rPh>
    <rPh sb="6" eb="9">
      <t>センリヤマ</t>
    </rPh>
    <rPh sb="9" eb="10">
      <t>ニシ</t>
    </rPh>
    <phoneticPr fontId="1"/>
  </si>
  <si>
    <t>15km</t>
    <phoneticPr fontId="1"/>
  </si>
  <si>
    <t>080-8948-1528</t>
    <phoneticPr fontId="1"/>
  </si>
  <si>
    <t>福島　みゆき</t>
    <rPh sb="0" eb="2">
      <t>フクシマ</t>
    </rPh>
    <phoneticPr fontId="1"/>
  </si>
  <si>
    <t>フクシマ　ミユキ</t>
    <phoneticPr fontId="1"/>
  </si>
  <si>
    <t>兵庫県伊丹市荻野4丁目49-302</t>
    <rPh sb="0" eb="3">
      <t>ヒョウゴケン</t>
    </rPh>
    <rPh sb="3" eb="6">
      <t>イタミシ</t>
    </rPh>
    <rPh sb="6" eb="8">
      <t>オギノ</t>
    </rPh>
    <rPh sb="9" eb="11">
      <t>チョウメ</t>
    </rPh>
    <phoneticPr fontId="1"/>
  </si>
  <si>
    <t>090-2385-5867</t>
    <phoneticPr fontId="1"/>
  </si>
  <si>
    <t>郵送</t>
    <phoneticPr fontId="1"/>
  </si>
  <si>
    <t>チラシ利用</t>
    <rPh sb="3" eb="5">
      <t>リヨウ</t>
    </rPh>
    <phoneticPr fontId="1"/>
  </si>
  <si>
    <t>村上　貴康</t>
    <rPh sb="0" eb="2">
      <t>ムラカミ</t>
    </rPh>
    <rPh sb="3" eb="5">
      <t>タカヤス</t>
    </rPh>
    <phoneticPr fontId="1"/>
  </si>
  <si>
    <t>ムラカミ　タカヤス</t>
    <phoneticPr fontId="1"/>
  </si>
  <si>
    <t>大阪府吹田市江坂町2-4-1-505</t>
    <rPh sb="0" eb="9">
      <t>564-0063</t>
    </rPh>
    <phoneticPr fontId="1"/>
  </si>
  <si>
    <t>takayasu1979@gmail.com</t>
    <phoneticPr fontId="1"/>
  </si>
  <si>
    <t>090-3168-5994</t>
    <phoneticPr fontId="1"/>
  </si>
  <si>
    <t>北　秀実</t>
    <rPh sb="0" eb="1">
      <t>キタ</t>
    </rPh>
    <rPh sb="2" eb="4">
      <t>ヒデミ</t>
    </rPh>
    <phoneticPr fontId="1"/>
  </si>
  <si>
    <t>キタ　ヒデミ</t>
    <phoneticPr fontId="1"/>
  </si>
  <si>
    <t>兵庫県宝塚市清荒神5-99-1</t>
    <rPh sb="0" eb="9">
      <t>665-0836</t>
    </rPh>
    <phoneticPr fontId="1"/>
  </si>
  <si>
    <t>hidenosuke.22@softbank.ne.jp</t>
    <phoneticPr fontId="1"/>
  </si>
  <si>
    <t>080-3110-1233</t>
    <phoneticPr fontId="1"/>
  </si>
  <si>
    <t>スタッフ宮崎さんのご紹介</t>
    <rPh sb="4" eb="6">
      <t>ミヤザキ</t>
    </rPh>
    <rPh sb="10" eb="12">
      <t>ショウカイ</t>
    </rPh>
    <phoneticPr fontId="1"/>
  </si>
  <si>
    <t>仲　直樹</t>
    <rPh sb="0" eb="1">
      <t>ナカ</t>
    </rPh>
    <rPh sb="2" eb="4">
      <t>ナオキ</t>
    </rPh>
    <phoneticPr fontId="1"/>
  </si>
  <si>
    <t>ナカ　ナオキ</t>
    <phoneticPr fontId="1"/>
  </si>
  <si>
    <t>663-8106</t>
    <phoneticPr fontId="1"/>
  </si>
  <si>
    <t>兵庫県西宮市大屋町18-5</t>
    <rPh sb="0" eb="9">
      <t>663-8106</t>
    </rPh>
    <phoneticPr fontId="1"/>
  </si>
  <si>
    <t>naka-1010@i.softbank.jp</t>
    <phoneticPr fontId="1"/>
  </si>
  <si>
    <t>070-1763-8653</t>
    <phoneticPr fontId="1"/>
  </si>
  <si>
    <t>スタッフ卜部さんのご紹介</t>
    <rPh sb="4" eb="6">
      <t>ウラベ</t>
    </rPh>
    <rPh sb="10" eb="12">
      <t>ショウカイ</t>
    </rPh>
    <phoneticPr fontId="1"/>
  </si>
  <si>
    <t>松村　良佑</t>
    <rPh sb="0" eb="2">
      <t>マツムラ</t>
    </rPh>
    <rPh sb="3" eb="4">
      <t>リョウ</t>
    </rPh>
    <rPh sb="4" eb="5">
      <t>ユウ</t>
    </rPh>
    <phoneticPr fontId="1"/>
  </si>
  <si>
    <t>マツムラ　リョウスケ</t>
    <phoneticPr fontId="1"/>
  </si>
  <si>
    <t>兵庫県伊丹市荒牧2-9-9</t>
    <rPh sb="0" eb="8">
      <t>664-0001</t>
    </rPh>
    <phoneticPr fontId="1"/>
  </si>
  <si>
    <t>090-1910-7365</t>
    <phoneticPr fontId="1"/>
  </si>
  <si>
    <t>牧野　佑司</t>
    <rPh sb="0" eb="2">
      <t>マキノ</t>
    </rPh>
    <rPh sb="3" eb="4">
      <t>ユウ</t>
    </rPh>
    <rPh sb="4" eb="5">
      <t>ツカサ</t>
    </rPh>
    <phoneticPr fontId="1"/>
  </si>
  <si>
    <t>マキノ　ユウジ</t>
    <phoneticPr fontId="1"/>
  </si>
  <si>
    <t>兵庫県三田市駅前町6-10-902</t>
    <rPh sb="0" eb="9">
      <t>669-1528</t>
    </rPh>
    <phoneticPr fontId="1"/>
  </si>
  <si>
    <t>yuji61jr@gmail.com</t>
    <phoneticPr fontId="1"/>
  </si>
  <si>
    <t>杉本　健太郎</t>
    <rPh sb="0" eb="2">
      <t>スギモト</t>
    </rPh>
    <rPh sb="3" eb="6">
      <t>ケンタロウ</t>
    </rPh>
    <phoneticPr fontId="1"/>
  </si>
  <si>
    <t>スギモト　ケンタロウ　</t>
    <phoneticPr fontId="1"/>
  </si>
  <si>
    <t>兵庫県尼崎市富松町4-26-12</t>
    <rPh sb="0" eb="3">
      <t>ヒョウゴケン</t>
    </rPh>
    <rPh sb="3" eb="6">
      <t>アマガサキシ</t>
    </rPh>
    <rPh sb="6" eb="9">
      <t>トミマツチョウ</t>
    </rPh>
    <phoneticPr fontId="1"/>
  </si>
  <si>
    <t>090-5242-6684</t>
    <phoneticPr fontId="1"/>
  </si>
  <si>
    <t>古田　直也</t>
    <rPh sb="0" eb="2">
      <t>フルタ</t>
    </rPh>
    <rPh sb="3" eb="5">
      <t>ナオヤ</t>
    </rPh>
    <phoneticPr fontId="1"/>
  </si>
  <si>
    <t>フルタ　ナオヤ</t>
    <phoneticPr fontId="1"/>
  </si>
  <si>
    <t>661-0012</t>
    <phoneticPr fontId="1"/>
  </si>
  <si>
    <t>兵庫県尼崎市南塚口町2-1-3-1611</t>
    <rPh sb="0" eb="10">
      <t>661-0012</t>
    </rPh>
    <phoneticPr fontId="1"/>
  </si>
  <si>
    <t>山本　修</t>
    <rPh sb="0" eb="2">
      <t>ヤマモト</t>
    </rPh>
    <rPh sb="3" eb="4">
      <t>オサム</t>
    </rPh>
    <phoneticPr fontId="1"/>
  </si>
  <si>
    <t>ヤマモト　オサム</t>
    <phoneticPr fontId="1"/>
  </si>
  <si>
    <t>京都府京都市下京区本燈籠町11-1001</t>
    <rPh sb="0" eb="3">
      <t>キョウトフ</t>
    </rPh>
    <rPh sb="3" eb="6">
      <t>キョウトシ</t>
    </rPh>
    <rPh sb="6" eb="9">
      <t>シモギョウク</t>
    </rPh>
    <rPh sb="9" eb="10">
      <t>ホン</t>
    </rPh>
    <rPh sb="10" eb="12">
      <t>トウロウ</t>
    </rPh>
    <rPh sb="12" eb="13">
      <t>チョウ</t>
    </rPh>
    <phoneticPr fontId="1"/>
  </si>
  <si>
    <t>090-5049-0118</t>
    <phoneticPr fontId="1"/>
  </si>
  <si>
    <t>森井　淳司</t>
    <rPh sb="0" eb="2">
      <t>モリイ</t>
    </rPh>
    <rPh sb="3" eb="4">
      <t>ジュン</t>
    </rPh>
    <rPh sb="4" eb="5">
      <t>ツカサ</t>
    </rPh>
    <phoneticPr fontId="1"/>
  </si>
  <si>
    <t>モリイ　ジュンジ</t>
    <phoneticPr fontId="1"/>
  </si>
  <si>
    <t>岩佐　識</t>
    <rPh sb="0" eb="2">
      <t>イワサ</t>
    </rPh>
    <rPh sb="3" eb="4">
      <t>シキ</t>
    </rPh>
    <phoneticPr fontId="1"/>
  </si>
  <si>
    <t>イワサ　サトル</t>
    <phoneticPr fontId="1"/>
  </si>
  <si>
    <t>naoya163.base@gmail.com</t>
    <phoneticPr fontId="1"/>
  </si>
  <si>
    <t>090-6750-9718</t>
    <phoneticPr fontId="1"/>
  </si>
  <si>
    <t>トコロ　タカヒロ</t>
    <phoneticPr fontId="1"/>
  </si>
  <si>
    <t>大原　智雄</t>
    <rPh sb="0" eb="2">
      <t>オオハラ</t>
    </rPh>
    <rPh sb="3" eb="4">
      <t>トモ</t>
    </rPh>
    <rPh sb="4" eb="5">
      <t>オス</t>
    </rPh>
    <phoneticPr fontId="1"/>
  </si>
  <si>
    <t>オオハラ　トモオ</t>
    <phoneticPr fontId="1"/>
  </si>
  <si>
    <t>740-0034</t>
    <phoneticPr fontId="1"/>
  </si>
  <si>
    <t>山口県岩国市南岩国町4-57-52</t>
    <rPh sb="0" eb="10">
      <t>740-0034</t>
    </rPh>
    <phoneticPr fontId="1"/>
  </si>
  <si>
    <t>090-4570-2994</t>
    <phoneticPr fontId="1"/>
  </si>
  <si>
    <t>youtube</t>
  </si>
  <si>
    <t>youtube</t>
    <phoneticPr fontId="1"/>
  </si>
  <si>
    <t>大原　康介</t>
    <rPh sb="0" eb="2">
      <t>オオハラ</t>
    </rPh>
    <rPh sb="3" eb="5">
      <t>コウスケ</t>
    </rPh>
    <phoneticPr fontId="1"/>
  </si>
  <si>
    <t>オオハラ　コウスケ</t>
    <phoneticPr fontId="1"/>
  </si>
  <si>
    <t>大阪府大阪市港区弁天5-1-1-1303</t>
    <rPh sb="0" eb="10">
      <t>552-0007</t>
    </rPh>
    <phoneticPr fontId="1"/>
  </si>
  <si>
    <t>090-9868-3478</t>
    <phoneticPr fontId="1"/>
  </si>
  <si>
    <t>出水　允</t>
    <rPh sb="0" eb="2">
      <t>デミズ</t>
    </rPh>
    <rPh sb="3" eb="4">
      <t>ミツル</t>
    </rPh>
    <phoneticPr fontId="1"/>
  </si>
  <si>
    <t>デミズ　ミツル</t>
    <phoneticPr fontId="1"/>
  </si>
  <si>
    <t>大阪府大阪市住吉区我孫子4-16-5</t>
    <rPh sb="0" eb="12">
      <t>558-0014</t>
    </rPh>
    <phoneticPr fontId="1"/>
  </si>
  <si>
    <t>090-5047-7210</t>
    <phoneticPr fontId="1"/>
  </si>
  <si>
    <t>ライザップ西尾様の紹介</t>
    <rPh sb="5" eb="8">
      <t>ニシオサマ</t>
    </rPh>
    <rPh sb="9" eb="11">
      <t>ショウカイ</t>
    </rPh>
    <phoneticPr fontId="1"/>
  </si>
  <si>
    <t>徳丸　翔</t>
    <rPh sb="0" eb="2">
      <t>トクマル</t>
    </rPh>
    <rPh sb="3" eb="4">
      <t>ショウ</t>
    </rPh>
    <phoneticPr fontId="1"/>
  </si>
  <si>
    <t>トクマル　ショウ</t>
    <phoneticPr fontId="1"/>
  </si>
  <si>
    <t>兵庫県宝塚市旭町2-20-16-101</t>
    <rPh sb="0" eb="3">
      <t>ヒョウゴケン</t>
    </rPh>
    <rPh sb="3" eb="6">
      <t>タカラヅカシ</t>
    </rPh>
    <rPh sb="6" eb="8">
      <t>アサヒチョウ</t>
    </rPh>
    <phoneticPr fontId="1"/>
  </si>
  <si>
    <t>sempleshot@gmail.com</t>
    <phoneticPr fontId="1"/>
  </si>
  <si>
    <t>080-3855-0534</t>
    <phoneticPr fontId="1"/>
  </si>
  <si>
    <t>猪原　良</t>
    <rPh sb="0" eb="2">
      <t>イノハラ</t>
    </rPh>
    <rPh sb="3" eb="4">
      <t>ヨ</t>
    </rPh>
    <phoneticPr fontId="1"/>
  </si>
  <si>
    <t>イノハラリョウ</t>
    <phoneticPr fontId="1"/>
  </si>
  <si>
    <t>兵庫県宝塚市山本南3-15-1</t>
    <rPh sb="0" eb="9">
      <t>665-0882</t>
    </rPh>
    <phoneticPr fontId="1"/>
  </si>
  <si>
    <t>ryo3241631@docomo.ne.jp</t>
    <phoneticPr fontId="1"/>
  </si>
  <si>
    <t>090-7769-3665</t>
    <phoneticPr fontId="1"/>
  </si>
  <si>
    <t>今井　龍吾</t>
    <rPh sb="0" eb="2">
      <t>イマイ</t>
    </rPh>
    <rPh sb="3" eb="4">
      <t>リュウ</t>
    </rPh>
    <rPh sb="4" eb="5">
      <t>ゴ</t>
    </rPh>
    <phoneticPr fontId="1"/>
  </si>
  <si>
    <t>イマイ　リュウゴ</t>
    <phoneticPr fontId="1"/>
  </si>
  <si>
    <t>宝塚市口谷東3-8-1-404</t>
    <rPh sb="0" eb="3">
      <t>タカラヅカシ</t>
    </rPh>
    <rPh sb="3" eb="6">
      <t>クチタニヒガシ</t>
    </rPh>
    <phoneticPr fontId="1"/>
  </si>
  <si>
    <t>ryuydk@gmail.com</t>
    <phoneticPr fontId="1"/>
  </si>
  <si>
    <t>080-6208-0165</t>
    <phoneticPr fontId="1"/>
  </si>
  <si>
    <t>鷹見　伴枝</t>
    <rPh sb="0" eb="1">
      <t>タカ</t>
    </rPh>
    <rPh sb="1" eb="2">
      <t>ミ</t>
    </rPh>
    <rPh sb="3" eb="4">
      <t>バン</t>
    </rPh>
    <rPh sb="4" eb="5">
      <t>エ</t>
    </rPh>
    <phoneticPr fontId="1"/>
  </si>
  <si>
    <t>タカミ　トモエ</t>
    <phoneticPr fontId="1"/>
  </si>
  <si>
    <t>兵庫県川西市南花屋敷3-1-6</t>
    <rPh sb="0" eb="3">
      <t>ヒョウゴケン</t>
    </rPh>
    <rPh sb="3" eb="6">
      <t>カワニシシ</t>
    </rPh>
    <rPh sb="6" eb="7">
      <t>ミナミ</t>
    </rPh>
    <rPh sb="7" eb="10">
      <t>ハナヤシキ</t>
    </rPh>
    <phoneticPr fontId="1"/>
  </si>
  <si>
    <t>080-1464-1588</t>
    <phoneticPr fontId="1"/>
  </si>
  <si>
    <t>携帯忘れた</t>
    <rPh sb="0" eb="2">
      <t>ケイタイ</t>
    </rPh>
    <rPh sb="2" eb="3">
      <t>ワス</t>
    </rPh>
    <phoneticPr fontId="1"/>
  </si>
  <si>
    <t>濱田　憲孝</t>
    <rPh sb="0" eb="2">
      <t>ハマダ</t>
    </rPh>
    <rPh sb="3" eb="4">
      <t>ケン</t>
    </rPh>
    <rPh sb="4" eb="5">
      <t>タカシ</t>
    </rPh>
    <phoneticPr fontId="1"/>
  </si>
  <si>
    <t>ハマダ　ノリタカ</t>
    <phoneticPr fontId="1"/>
  </si>
  <si>
    <t>noritaka.hamada.bby@gmail.com</t>
    <phoneticPr fontId="1"/>
  </si>
  <si>
    <t>090-4033-8173</t>
    <phoneticPr fontId="1"/>
  </si>
  <si>
    <t>兵庫県川西市新田1-20-6-1</t>
    <phoneticPr fontId="1"/>
  </si>
  <si>
    <t>4/20不在</t>
    <rPh sb="4" eb="6">
      <t>フザイ</t>
    </rPh>
    <phoneticPr fontId="1"/>
  </si>
  <si>
    <t>4/20検討中</t>
    <rPh sb="4" eb="7">
      <t>ケントウチュウ</t>
    </rPh>
    <phoneticPr fontId="1"/>
  </si>
  <si>
    <t>白川　耕由</t>
    <rPh sb="0" eb="2">
      <t>シラカワ</t>
    </rPh>
    <rPh sb="3" eb="4">
      <t>タガヤス</t>
    </rPh>
    <rPh sb="4" eb="5">
      <t>ヨシ</t>
    </rPh>
    <phoneticPr fontId="1"/>
  </si>
  <si>
    <t>シラカワ　タカヨシ</t>
    <phoneticPr fontId="1"/>
  </si>
  <si>
    <t>639-0202</t>
    <phoneticPr fontId="1"/>
  </si>
  <si>
    <t>奈良県北葛城郡上牧町桜ケ丘2-28-9</t>
    <rPh sb="0" eb="13">
      <t>639-0202</t>
    </rPh>
    <phoneticPr fontId="1"/>
  </si>
  <si>
    <t>090-2102-3015</t>
    <phoneticPr fontId="1"/>
  </si>
  <si>
    <t>谷接骨院のご紹介</t>
    <rPh sb="0" eb="1">
      <t>タニ</t>
    </rPh>
    <rPh sb="1" eb="4">
      <t>セッコツイン</t>
    </rPh>
    <rPh sb="6" eb="8">
      <t>ショウカイ</t>
    </rPh>
    <phoneticPr fontId="1"/>
  </si>
  <si>
    <t>ヒロハマ　タクミ</t>
    <phoneticPr fontId="1"/>
  </si>
  <si>
    <t>井倉　由紀</t>
    <rPh sb="0" eb="2">
      <t>イグラ</t>
    </rPh>
    <rPh sb="3" eb="5">
      <t>ユキ</t>
    </rPh>
    <phoneticPr fontId="1"/>
  </si>
  <si>
    <t>兵庫県宝塚市山手台東2-12-2</t>
    <rPh sb="0" eb="2">
      <t>ヒョウゴ</t>
    </rPh>
    <rPh sb="2" eb="3">
      <t>ケン</t>
    </rPh>
    <rPh sb="3" eb="5">
      <t>タカラヅカ</t>
    </rPh>
    <rPh sb="5" eb="6">
      <t>シ</t>
    </rPh>
    <rPh sb="6" eb="8">
      <t>ヤマテ</t>
    </rPh>
    <rPh sb="8" eb="9">
      <t>ダイ</t>
    </rPh>
    <rPh sb="9" eb="10">
      <t>ヒガシ</t>
    </rPh>
    <phoneticPr fontId="1"/>
  </si>
  <si>
    <t>イグラ　ユキ</t>
    <phoneticPr fontId="1"/>
  </si>
  <si>
    <t>kaera633@gmail.com</t>
    <phoneticPr fontId="1"/>
  </si>
  <si>
    <t>080-1517-0083</t>
    <phoneticPr fontId="1"/>
  </si>
  <si>
    <t>ヨネダ　スグル</t>
    <phoneticPr fontId="1"/>
  </si>
  <si>
    <t>兵庫県川西市東久代2-8-5-3</t>
    <rPh sb="0" eb="9">
      <t>666-0023</t>
    </rPh>
    <phoneticPr fontId="1"/>
  </si>
  <si>
    <t>090-7550-1560</t>
    <phoneticPr fontId="1"/>
  </si>
  <si>
    <t>塩満　孝春</t>
    <rPh sb="0" eb="2">
      <t>シオミツ</t>
    </rPh>
    <rPh sb="3" eb="4">
      <t>タカ</t>
    </rPh>
    <rPh sb="4" eb="5">
      <t>ハル</t>
    </rPh>
    <phoneticPr fontId="1"/>
  </si>
  <si>
    <t>シオミツ　タカハル</t>
    <phoneticPr fontId="1"/>
  </si>
  <si>
    <t>大阪府豊中市東泉丘3-3-41</t>
    <rPh sb="0" eb="3">
      <t>オオサカフ</t>
    </rPh>
    <rPh sb="3" eb="6">
      <t>トヨナカシ</t>
    </rPh>
    <rPh sb="6" eb="7">
      <t>ヒガシ</t>
    </rPh>
    <rPh sb="7" eb="8">
      <t>イズミ</t>
    </rPh>
    <rPh sb="8" eb="9">
      <t>オカ</t>
    </rPh>
    <phoneticPr fontId="1"/>
  </si>
  <si>
    <t>090-1712-5123</t>
    <phoneticPr fontId="1"/>
  </si>
  <si>
    <t>奥嶋　卓也</t>
    <rPh sb="0" eb="2">
      <t>オクジマ</t>
    </rPh>
    <rPh sb="3" eb="5">
      <t>タクヤ</t>
    </rPh>
    <phoneticPr fontId="1"/>
  </si>
  <si>
    <t>オクジマ　タクヤ</t>
    <phoneticPr fontId="1"/>
  </si>
  <si>
    <t>519-1111</t>
    <phoneticPr fontId="1"/>
  </si>
  <si>
    <t>三重県亀山市関町新所1105-3　パインコート関203</t>
    <rPh sb="0" eb="3">
      <t>ミエケン</t>
    </rPh>
    <rPh sb="3" eb="6">
      <t>カメヤマシ</t>
    </rPh>
    <rPh sb="6" eb="8">
      <t>セキマチ</t>
    </rPh>
    <rPh sb="8" eb="9">
      <t>シン</t>
    </rPh>
    <rPh sb="9" eb="10">
      <t>トコロ</t>
    </rPh>
    <rPh sb="23" eb="24">
      <t>セキ</t>
    </rPh>
    <phoneticPr fontId="1"/>
  </si>
  <si>
    <t>080-3070-9977</t>
    <phoneticPr fontId="1"/>
  </si>
  <si>
    <t>福本　正美</t>
    <rPh sb="0" eb="2">
      <t>フクモト</t>
    </rPh>
    <rPh sb="3" eb="5">
      <t>マサミ</t>
    </rPh>
    <phoneticPr fontId="1"/>
  </si>
  <si>
    <t>フクモト　マサミ</t>
    <phoneticPr fontId="1"/>
  </si>
  <si>
    <t>520-3108</t>
    <phoneticPr fontId="1"/>
  </si>
  <si>
    <t>滋賀県湖南市石部南3丁目4-10-1</t>
    <rPh sb="0" eb="3">
      <t>シガケン</t>
    </rPh>
    <rPh sb="3" eb="6">
      <t>コナンシ</t>
    </rPh>
    <rPh sb="6" eb="8">
      <t>イシベ</t>
    </rPh>
    <rPh sb="8" eb="9">
      <t>ミナミ</t>
    </rPh>
    <rPh sb="10" eb="12">
      <t>チョウメ</t>
    </rPh>
    <phoneticPr fontId="1"/>
  </si>
  <si>
    <t>80.9㎞</t>
    <phoneticPr fontId="1"/>
  </si>
  <si>
    <t>090-9543-5011</t>
    <phoneticPr fontId="1"/>
  </si>
  <si>
    <t>池内　正行</t>
    <rPh sb="0" eb="2">
      <t>イケウチ</t>
    </rPh>
    <rPh sb="3" eb="5">
      <t>マサユキ</t>
    </rPh>
    <phoneticPr fontId="1"/>
  </si>
  <si>
    <t>イケウチ　マサユキ</t>
    <phoneticPr fontId="1"/>
  </si>
  <si>
    <t>兵庫県西宮市段上町5-11-10</t>
    <rPh sb="0" eb="3">
      <t>ヒョウゴケン</t>
    </rPh>
    <rPh sb="3" eb="6">
      <t>ニシノミヤシ</t>
    </rPh>
    <rPh sb="6" eb="9">
      <t>ダンジョウチョウ</t>
    </rPh>
    <phoneticPr fontId="1"/>
  </si>
  <si>
    <t>mikeuchi0319@ezweb.ne.jp</t>
    <phoneticPr fontId="1"/>
  </si>
  <si>
    <t>西村　淑子</t>
    <rPh sb="0" eb="2">
      <t>ニシムラ</t>
    </rPh>
    <rPh sb="3" eb="5">
      <t>ヨシコ</t>
    </rPh>
    <phoneticPr fontId="1"/>
  </si>
  <si>
    <t>ニシムラ　ヨシコ</t>
    <phoneticPr fontId="1"/>
  </si>
  <si>
    <t>兵庫県西宮市相生町5-5</t>
    <rPh sb="0" eb="9">
      <t>662-0063</t>
    </rPh>
    <phoneticPr fontId="1"/>
  </si>
  <si>
    <t>090-4497-1459</t>
    <phoneticPr fontId="1"/>
  </si>
  <si>
    <t>0798-73-8007</t>
    <phoneticPr fontId="1"/>
  </si>
  <si>
    <t>山本幸路プロの紹介</t>
    <rPh sb="0" eb="2">
      <t>ヤマモト</t>
    </rPh>
    <rPh sb="2" eb="3">
      <t>シアワ</t>
    </rPh>
    <rPh sb="3" eb="4">
      <t>ミチ</t>
    </rPh>
    <rPh sb="7" eb="9">
      <t>ショウカイ</t>
    </rPh>
    <phoneticPr fontId="1"/>
  </si>
  <si>
    <t>西村　啓三</t>
    <rPh sb="0" eb="2">
      <t>ニシムラ</t>
    </rPh>
    <rPh sb="3" eb="5">
      <t>ケイゾウ</t>
    </rPh>
    <phoneticPr fontId="1"/>
  </si>
  <si>
    <t>ニシムラ　ケイゾウ</t>
    <phoneticPr fontId="1"/>
  </si>
  <si>
    <t>vomeomx14@docomo.ne.jp</t>
    <phoneticPr fontId="1"/>
  </si>
  <si>
    <t>090-3490-4393</t>
    <phoneticPr fontId="1"/>
  </si>
  <si>
    <t>桑原　将志</t>
    <rPh sb="0" eb="2">
      <t>クワハラ</t>
    </rPh>
    <rPh sb="3" eb="5">
      <t>マサシ</t>
    </rPh>
    <phoneticPr fontId="1"/>
  </si>
  <si>
    <t>クワハラ　マサシ</t>
    <phoneticPr fontId="1"/>
  </si>
  <si>
    <t>兵庫県宝塚市平井2-9-8AMENITYCOURT K.I A103</t>
    <rPh sb="0" eb="8">
      <t>665-0816</t>
    </rPh>
    <phoneticPr fontId="1"/>
  </si>
  <si>
    <t>080-3978-0634</t>
    <phoneticPr fontId="1"/>
  </si>
  <si>
    <t>村上　梨理香</t>
    <rPh sb="0" eb="2">
      <t>ムラカミ</t>
    </rPh>
    <rPh sb="3" eb="4">
      <t>ナシ</t>
    </rPh>
    <rPh sb="4" eb="6">
      <t>リカ</t>
    </rPh>
    <phoneticPr fontId="1"/>
  </si>
  <si>
    <t>ムラカミ　リリカ</t>
    <phoneticPr fontId="1"/>
  </si>
  <si>
    <t>兵庫県川西市花屋敷1-21-12-16</t>
    <rPh sb="0" eb="9">
      <t>666-0035</t>
    </rPh>
    <phoneticPr fontId="1"/>
  </si>
  <si>
    <t>pooh_heidi@hotmail.com</t>
    <phoneticPr fontId="1"/>
  </si>
  <si>
    <t>080-4114-3343</t>
    <phoneticPr fontId="1"/>
  </si>
  <si>
    <t>665-0022</t>
  </si>
  <si>
    <t>090-8821-8537</t>
  </si>
  <si>
    <t>5.6㎞</t>
  </si>
  <si>
    <t>吉田　龍蔵</t>
    <rPh sb="0" eb="2">
      <t>ヨシダ</t>
    </rPh>
    <rPh sb="3" eb="5">
      <t>リュウゾウ</t>
    </rPh>
    <phoneticPr fontId="1"/>
  </si>
  <si>
    <t>ヨシダ　リュウゾウ</t>
    <phoneticPr fontId="1"/>
  </si>
  <si>
    <t>高橋　寧子</t>
    <rPh sb="0" eb="2">
      <t>タカハシ</t>
    </rPh>
    <rPh sb="3" eb="5">
      <t>ヤスコ</t>
    </rPh>
    <phoneticPr fontId="1"/>
  </si>
  <si>
    <t>タカハシ　ヤスコ</t>
    <phoneticPr fontId="1"/>
  </si>
  <si>
    <t>兵庫県宝塚市中山五月台4-9-3</t>
    <rPh sb="0" eb="6">
      <t>ヒョウゴケンタカラヅカシ</t>
    </rPh>
    <rPh sb="6" eb="8">
      <t>ナカヤマ</t>
    </rPh>
    <rPh sb="8" eb="11">
      <t>サツキダイ</t>
    </rPh>
    <phoneticPr fontId="1"/>
  </si>
  <si>
    <t>neikotk@yahoo.co.jp</t>
    <phoneticPr fontId="1"/>
  </si>
  <si>
    <t>080-1463-4004</t>
    <phoneticPr fontId="1"/>
  </si>
  <si>
    <t>藤原　令子</t>
    <rPh sb="0" eb="2">
      <t>フジワラ</t>
    </rPh>
    <rPh sb="3" eb="5">
      <t>レイコ</t>
    </rPh>
    <phoneticPr fontId="1"/>
  </si>
  <si>
    <t>フジワラ　レイコ</t>
    <phoneticPr fontId="1"/>
  </si>
  <si>
    <t>兵庫県宝塚市野上1-5-15-307</t>
    <rPh sb="0" eb="3">
      <t>ヒョウゴケン</t>
    </rPh>
    <rPh sb="3" eb="6">
      <t>タカラヅカシ</t>
    </rPh>
    <rPh sb="6" eb="8">
      <t>ノガミ</t>
    </rPh>
    <phoneticPr fontId="1"/>
  </si>
  <si>
    <t>rei7471973@hotmail.com</t>
    <phoneticPr fontId="1"/>
  </si>
  <si>
    <t>090-6980-3582</t>
    <phoneticPr fontId="1"/>
  </si>
  <si>
    <t>中村　寿光鈴</t>
    <rPh sb="0" eb="2">
      <t>ナカムラ</t>
    </rPh>
    <rPh sb="3" eb="4">
      <t>コトブキ</t>
    </rPh>
    <rPh sb="4" eb="5">
      <t>ヒカリ</t>
    </rPh>
    <rPh sb="5" eb="6">
      <t>スズ</t>
    </rPh>
    <phoneticPr fontId="1"/>
  </si>
  <si>
    <t>ナカムラ　スミレ</t>
    <phoneticPr fontId="1"/>
  </si>
  <si>
    <t>533-0002</t>
    <phoneticPr fontId="1"/>
  </si>
  <si>
    <t>大阪府大阪市東淀川区北江口4-18-13</t>
    <rPh sb="0" eb="3">
      <t>オオサカフ</t>
    </rPh>
    <rPh sb="3" eb="6">
      <t>オオサカシ</t>
    </rPh>
    <rPh sb="6" eb="7">
      <t>ヒガシ</t>
    </rPh>
    <rPh sb="7" eb="9">
      <t>ヨドガワ</t>
    </rPh>
    <rPh sb="9" eb="10">
      <t>ク</t>
    </rPh>
    <rPh sb="10" eb="11">
      <t>キタ</t>
    </rPh>
    <rPh sb="11" eb="13">
      <t>エグチ</t>
    </rPh>
    <phoneticPr fontId="1"/>
  </si>
  <si>
    <t>masuo-nkamura@sankyo-pl.co.jp</t>
    <phoneticPr fontId="1"/>
  </si>
  <si>
    <t>090-5964-8650</t>
    <phoneticPr fontId="1"/>
  </si>
  <si>
    <t>ハナハラ　ヒデキ</t>
    <phoneticPr fontId="1"/>
  </si>
  <si>
    <t>090-5359-0091</t>
    <phoneticPr fontId="1"/>
  </si>
  <si>
    <t>髙砂　行彦</t>
    <rPh sb="0" eb="1">
      <t>タカ</t>
    </rPh>
    <rPh sb="1" eb="2">
      <t>スナ</t>
    </rPh>
    <rPh sb="3" eb="5">
      <t>ユキヒコ</t>
    </rPh>
    <phoneticPr fontId="1"/>
  </si>
  <si>
    <t>タカサゴ　ユキヒコ</t>
    <phoneticPr fontId="1"/>
  </si>
  <si>
    <t>コンペ景品でフィッテイング料0</t>
    <rPh sb="3" eb="5">
      <t>ケイヒン</t>
    </rPh>
    <rPh sb="13" eb="14">
      <t>リョウ</t>
    </rPh>
    <phoneticPr fontId="1"/>
  </si>
  <si>
    <t>古川プロ</t>
    <phoneticPr fontId="1"/>
  </si>
  <si>
    <t>松田　猛</t>
    <rPh sb="0" eb="2">
      <t>マツダ</t>
    </rPh>
    <rPh sb="3" eb="4">
      <t>タケル</t>
    </rPh>
    <phoneticPr fontId="1"/>
  </si>
  <si>
    <t>マツダ　タケル</t>
    <phoneticPr fontId="1"/>
  </si>
  <si>
    <t>665-0825</t>
    <phoneticPr fontId="1"/>
  </si>
  <si>
    <t>兵庫県宝塚市安倉西4-2-23-3</t>
    <rPh sb="0" eb="9">
      <t>665-0825</t>
    </rPh>
    <phoneticPr fontId="1"/>
  </si>
  <si>
    <t>090-5016-4461</t>
    <phoneticPr fontId="1"/>
  </si>
  <si>
    <t>髙木　政宏</t>
    <rPh sb="0" eb="1">
      <t>タカ</t>
    </rPh>
    <rPh sb="1" eb="2">
      <t>キ</t>
    </rPh>
    <rPh sb="3" eb="4">
      <t>セイ</t>
    </rPh>
    <rPh sb="4" eb="5">
      <t>ヒロシ</t>
    </rPh>
    <phoneticPr fontId="1"/>
  </si>
  <si>
    <t>タカギ　マサヒロ</t>
    <phoneticPr fontId="1"/>
  </si>
  <si>
    <t>659-0092</t>
    <phoneticPr fontId="1"/>
  </si>
  <si>
    <t>兵庫県芦屋市大原町27-2-404</t>
    <rPh sb="0" eb="9">
      <t>659-0092</t>
    </rPh>
    <phoneticPr fontId="1"/>
  </si>
  <si>
    <t>090-3056-3533</t>
    <phoneticPr fontId="1"/>
  </si>
  <si>
    <t>宝塚メンバー</t>
    <rPh sb="0" eb="2">
      <t>タカラヅカ</t>
    </rPh>
    <phoneticPr fontId="1"/>
  </si>
  <si>
    <t>池田　伸次</t>
    <rPh sb="0" eb="2">
      <t>イケダ</t>
    </rPh>
    <rPh sb="3" eb="4">
      <t>ノ</t>
    </rPh>
    <rPh sb="4" eb="5">
      <t>ツギ</t>
    </rPh>
    <phoneticPr fontId="1"/>
  </si>
  <si>
    <t>イケダ　シンジ</t>
    <phoneticPr fontId="1"/>
  </si>
  <si>
    <t>兵庫県宝塚市すみれガ丘2-3-1-1007</t>
    <rPh sb="0" eb="11">
      <t>665-0847</t>
    </rPh>
    <phoneticPr fontId="1"/>
  </si>
  <si>
    <t>shinji39229@gmail.com</t>
    <phoneticPr fontId="1"/>
  </si>
  <si>
    <t>090-3722-5260</t>
    <phoneticPr fontId="1"/>
  </si>
  <si>
    <t>岩井　譜三</t>
    <rPh sb="0" eb="2">
      <t>イワイ</t>
    </rPh>
    <rPh sb="3" eb="4">
      <t>フ</t>
    </rPh>
    <rPh sb="4" eb="5">
      <t>サン</t>
    </rPh>
    <phoneticPr fontId="1"/>
  </si>
  <si>
    <t>イワイ　ツグミ</t>
    <phoneticPr fontId="1"/>
  </si>
  <si>
    <t>大阪府大阪市中央区南久宝寺町4-4-5　7F</t>
    <rPh sb="0" eb="3">
      <t>オオサカフ</t>
    </rPh>
    <rPh sb="3" eb="5">
      <t>オオサカ</t>
    </rPh>
    <rPh sb="5" eb="6">
      <t>シ</t>
    </rPh>
    <rPh sb="6" eb="9">
      <t>チュウオウク</t>
    </rPh>
    <rPh sb="9" eb="10">
      <t>ミナミ</t>
    </rPh>
    <rPh sb="10" eb="12">
      <t>クボウ</t>
    </rPh>
    <rPh sb="12" eb="14">
      <t>テラマチ</t>
    </rPh>
    <phoneticPr fontId="1"/>
  </si>
  <si>
    <t>541-0058</t>
    <phoneticPr fontId="1"/>
  </si>
  <si>
    <t>iwai.sanki@gmail.com</t>
    <phoneticPr fontId="1"/>
  </si>
  <si>
    <t>090-4494-8053</t>
    <phoneticPr fontId="1"/>
  </si>
  <si>
    <t>片岡　大</t>
    <rPh sb="0" eb="2">
      <t>カタオカ</t>
    </rPh>
    <rPh sb="3" eb="4">
      <t>オオ</t>
    </rPh>
    <phoneticPr fontId="1"/>
  </si>
  <si>
    <t>カタオカ　マサル</t>
    <phoneticPr fontId="1"/>
  </si>
  <si>
    <t>520-2542</t>
    <phoneticPr fontId="1"/>
  </si>
  <si>
    <t>滋賀県蒲生郡竜王町山中914-3</t>
    <rPh sb="0" eb="11">
      <t>520-2542</t>
    </rPh>
    <phoneticPr fontId="1"/>
  </si>
  <si>
    <t>090-2197-8960</t>
    <phoneticPr fontId="1"/>
  </si>
  <si>
    <t>福山　優希</t>
    <rPh sb="0" eb="2">
      <t>フクヤマ</t>
    </rPh>
    <rPh sb="3" eb="5">
      <t>ユウキ</t>
    </rPh>
    <phoneticPr fontId="1"/>
  </si>
  <si>
    <t>フクヤマ　ユウキ</t>
    <phoneticPr fontId="1"/>
  </si>
  <si>
    <t>大阪府池田市神田1-22-20-304</t>
    <rPh sb="0" eb="3">
      <t>オオサカフ</t>
    </rPh>
    <rPh sb="3" eb="6">
      <t>イケダシ</t>
    </rPh>
    <rPh sb="6" eb="8">
      <t>カンダ</t>
    </rPh>
    <phoneticPr fontId="1"/>
  </si>
  <si>
    <t>080-3087-1852</t>
    <phoneticPr fontId="1"/>
  </si>
  <si>
    <t>高永　兼司</t>
    <rPh sb="0" eb="2">
      <t>タカナガ</t>
    </rPh>
    <rPh sb="3" eb="5">
      <t>ケンジ</t>
    </rPh>
    <phoneticPr fontId="1"/>
  </si>
  <si>
    <t>タカナガ　ケンジ</t>
    <phoneticPr fontId="1"/>
  </si>
  <si>
    <t>兵庫県三木市緑が丘町西1-8-2</t>
    <rPh sb="0" eb="3">
      <t>ヒョウゴケン</t>
    </rPh>
    <rPh sb="3" eb="6">
      <t>ミキシ</t>
    </rPh>
    <rPh sb="6" eb="7">
      <t>ミドリ</t>
    </rPh>
    <rPh sb="8" eb="9">
      <t>オカ</t>
    </rPh>
    <rPh sb="9" eb="10">
      <t>チョウ</t>
    </rPh>
    <rPh sb="10" eb="11">
      <t>ニシ</t>
    </rPh>
    <phoneticPr fontId="1"/>
  </si>
  <si>
    <t>41.7km</t>
    <phoneticPr fontId="1"/>
  </si>
  <si>
    <t>080-2538-4977</t>
    <phoneticPr fontId="1"/>
  </si>
  <si>
    <t>西脇　俊文</t>
    <rPh sb="0" eb="2">
      <t>ニシワキ</t>
    </rPh>
    <rPh sb="3" eb="5">
      <t>トシフミ</t>
    </rPh>
    <phoneticPr fontId="1"/>
  </si>
  <si>
    <t>ニシワキ　トシフミ</t>
    <phoneticPr fontId="1"/>
  </si>
  <si>
    <t>558-0002</t>
    <phoneticPr fontId="1"/>
  </si>
  <si>
    <t>大阪府大阪市住吉区長居西3-4-16-206</t>
    <rPh sb="0" eb="12">
      <t>558-0002</t>
    </rPh>
    <phoneticPr fontId="1"/>
  </si>
  <si>
    <t>juvejuvejuve26@gmail.com</t>
    <phoneticPr fontId="1"/>
  </si>
  <si>
    <t>090-9092-3494</t>
    <phoneticPr fontId="1"/>
  </si>
  <si>
    <t>中川　浩二</t>
    <rPh sb="0" eb="2">
      <t>ナカガワ</t>
    </rPh>
    <rPh sb="3" eb="5">
      <t>コウジ</t>
    </rPh>
    <phoneticPr fontId="1"/>
  </si>
  <si>
    <t>ナカガワ　コウジ</t>
    <phoneticPr fontId="1"/>
  </si>
  <si>
    <t>兵庫県伊丹市梅ノ木6-1-16</t>
    <rPh sb="0" eb="3">
      <t>ヒョウゴケン</t>
    </rPh>
    <rPh sb="3" eb="6">
      <t>イタミシ</t>
    </rPh>
    <rPh sb="6" eb="7">
      <t>ウメ</t>
    </rPh>
    <phoneticPr fontId="1"/>
  </si>
  <si>
    <t>conoki.5-20.umenoki@docomo.ne.jp</t>
    <phoneticPr fontId="1"/>
  </si>
  <si>
    <t>090-3261-0600</t>
    <phoneticPr fontId="1"/>
  </si>
  <si>
    <t>伊藤　成泰</t>
    <rPh sb="0" eb="2">
      <t>イトウ</t>
    </rPh>
    <rPh sb="3" eb="5">
      <t>ナリヤス</t>
    </rPh>
    <phoneticPr fontId="1"/>
  </si>
  <si>
    <t>イトウ　ナリヤス</t>
    <phoneticPr fontId="1"/>
  </si>
  <si>
    <t>532-0006</t>
    <phoneticPr fontId="1"/>
  </si>
  <si>
    <t>大阪府大阪市淀川区西三国1-29-2-501</t>
    <rPh sb="0" eb="12">
      <t>532-0006</t>
    </rPh>
    <phoneticPr fontId="1"/>
  </si>
  <si>
    <t>15.4km</t>
    <phoneticPr fontId="1"/>
  </si>
  <si>
    <t>nariyasuito110@gmail.com</t>
    <phoneticPr fontId="1"/>
  </si>
  <si>
    <t>090-3056-2222</t>
    <phoneticPr fontId="1"/>
  </si>
  <si>
    <t>田邉　真由美</t>
    <rPh sb="0" eb="2">
      <t>タナベ</t>
    </rPh>
    <rPh sb="3" eb="6">
      <t>マユミ</t>
    </rPh>
    <phoneticPr fontId="1"/>
  </si>
  <si>
    <t>タナベ　マユミ</t>
    <phoneticPr fontId="1"/>
  </si>
  <si>
    <t>？？？/11/16</t>
    <phoneticPr fontId="1"/>
  </si>
  <si>
    <t>535-0003</t>
    <phoneticPr fontId="1"/>
  </si>
  <si>
    <t>大阪府大阪市旭区2-24-8</t>
    <rPh sb="0" eb="3">
      <t>オオサカフ</t>
    </rPh>
    <rPh sb="3" eb="6">
      <t>オオサカシ</t>
    </rPh>
    <rPh sb="6" eb="8">
      <t>アサヒク</t>
    </rPh>
    <phoneticPr fontId="1"/>
  </si>
  <si>
    <t>090-2700-6415</t>
    <phoneticPr fontId="1"/>
  </si>
  <si>
    <t>宮﨑さん紹介</t>
    <rPh sb="0" eb="2">
      <t>ミヤザキ</t>
    </rPh>
    <rPh sb="4" eb="6">
      <t>ショウカイ</t>
    </rPh>
    <phoneticPr fontId="1"/>
  </si>
  <si>
    <t>植原　由佳</t>
    <rPh sb="0" eb="2">
      <t>ウエハラ</t>
    </rPh>
    <rPh sb="3" eb="5">
      <t>ユカ</t>
    </rPh>
    <phoneticPr fontId="1"/>
  </si>
  <si>
    <t>ウエハラ　ユカ</t>
    <phoneticPr fontId="1"/>
  </si>
  <si>
    <t>573-0085</t>
    <phoneticPr fontId="1"/>
  </si>
  <si>
    <t>大阪府枚方市香里園東之町21-45</t>
    <rPh sb="0" eb="3">
      <t>オオサカフ</t>
    </rPh>
    <rPh sb="3" eb="6">
      <t>ヒラカタシ</t>
    </rPh>
    <rPh sb="6" eb="9">
      <t>コウリエン</t>
    </rPh>
    <phoneticPr fontId="1"/>
  </si>
  <si>
    <t>amipourlavie1201@gmail.com</t>
    <phoneticPr fontId="1"/>
  </si>
  <si>
    <t>090-1446-6559</t>
    <phoneticPr fontId="1"/>
  </si>
  <si>
    <t>髙村　淳子</t>
    <rPh sb="0" eb="2">
      <t>タカムラ</t>
    </rPh>
    <rPh sb="3" eb="5">
      <t>ジュンコ</t>
    </rPh>
    <phoneticPr fontId="1"/>
  </si>
  <si>
    <t>タカムラ　ジュンコ</t>
    <phoneticPr fontId="1"/>
  </si>
  <si>
    <t>591-8023</t>
    <phoneticPr fontId="1"/>
  </si>
  <si>
    <t>大阪府堺市北区中百舌鳥町6-1034-6-2-103</t>
    <rPh sb="0" eb="3">
      <t>オオサカフ</t>
    </rPh>
    <rPh sb="3" eb="4">
      <t>サカイ</t>
    </rPh>
    <rPh sb="4" eb="5">
      <t>シ</t>
    </rPh>
    <rPh sb="5" eb="6">
      <t>キタ</t>
    </rPh>
    <rPh sb="6" eb="7">
      <t>ク</t>
    </rPh>
    <rPh sb="7" eb="11">
      <t>ナカモズ</t>
    </rPh>
    <rPh sb="11" eb="12">
      <t>マチ</t>
    </rPh>
    <phoneticPr fontId="1"/>
  </si>
  <si>
    <t>080-3817-8595</t>
    <phoneticPr fontId="1"/>
  </si>
  <si>
    <t>佐々木　昭尋</t>
    <rPh sb="0" eb="3">
      <t>ササキ</t>
    </rPh>
    <rPh sb="4" eb="5">
      <t>アキ</t>
    </rPh>
    <rPh sb="5" eb="6">
      <t>ヒロ</t>
    </rPh>
    <phoneticPr fontId="1"/>
  </si>
  <si>
    <t>ササキ　チヒロ</t>
    <phoneticPr fontId="1"/>
  </si>
  <si>
    <t>兵庫県宝塚市美座2-15-13-3</t>
    <rPh sb="0" eb="3">
      <t>ヒョウゴケン</t>
    </rPh>
    <rPh sb="3" eb="5">
      <t>タカラヅカ</t>
    </rPh>
    <rPh sb="5" eb="6">
      <t>シ</t>
    </rPh>
    <rPh sb="6" eb="7">
      <t>ミ</t>
    </rPh>
    <rPh sb="7" eb="8">
      <t>ザ</t>
    </rPh>
    <phoneticPr fontId="1"/>
  </si>
  <si>
    <t>080-4248-1678</t>
    <phoneticPr fontId="1"/>
  </si>
  <si>
    <t>美馬　士勇斗</t>
    <rPh sb="0" eb="2">
      <t>ミマ</t>
    </rPh>
    <rPh sb="3" eb="4">
      <t>シ</t>
    </rPh>
    <rPh sb="4" eb="5">
      <t>ユウ</t>
    </rPh>
    <rPh sb="5" eb="6">
      <t>ト</t>
    </rPh>
    <phoneticPr fontId="1"/>
  </si>
  <si>
    <t>ミマ　シュート</t>
    <phoneticPr fontId="1"/>
  </si>
  <si>
    <t>563-0036</t>
    <phoneticPr fontId="1"/>
  </si>
  <si>
    <t>大阪府池田市豊島北1-6-6</t>
    <rPh sb="0" eb="3">
      <t>オオサカフ</t>
    </rPh>
    <rPh sb="3" eb="6">
      <t>イケダシ</t>
    </rPh>
    <rPh sb="6" eb="8">
      <t>トシマ</t>
    </rPh>
    <rPh sb="8" eb="9">
      <t>キタ</t>
    </rPh>
    <phoneticPr fontId="1"/>
  </si>
  <si>
    <t>4.8㎞</t>
    <phoneticPr fontId="1"/>
  </si>
  <si>
    <t>080-9603-3055</t>
    <phoneticPr fontId="1"/>
  </si>
  <si>
    <t>再来(5/16)</t>
    <rPh sb="0" eb="2">
      <t>サイライ</t>
    </rPh>
    <phoneticPr fontId="1"/>
  </si>
  <si>
    <t>本村　奏澄</t>
    <rPh sb="0" eb="2">
      <t>モトムラ</t>
    </rPh>
    <rPh sb="3" eb="4">
      <t>カナ</t>
    </rPh>
    <rPh sb="4" eb="5">
      <t>ス</t>
    </rPh>
    <phoneticPr fontId="1"/>
  </si>
  <si>
    <t>モトムラ　カスミ</t>
    <phoneticPr fontId="1"/>
  </si>
  <si>
    <t>665-0863</t>
    <phoneticPr fontId="1"/>
  </si>
  <si>
    <t>兵庫県宝塚市三笠町1-14</t>
    <rPh sb="0" eb="9">
      <t>665-0863</t>
    </rPh>
    <phoneticPr fontId="1"/>
  </si>
  <si>
    <t>080-1432-9284</t>
    <phoneticPr fontId="1"/>
  </si>
  <si>
    <t>旦那様と相談する</t>
    <rPh sb="0" eb="3">
      <t>ダンナサマ</t>
    </rPh>
    <rPh sb="4" eb="6">
      <t>ソウダン</t>
    </rPh>
    <phoneticPr fontId="1"/>
  </si>
  <si>
    <t>秋和　隆男</t>
    <rPh sb="0" eb="2">
      <t>アキワ</t>
    </rPh>
    <rPh sb="3" eb="5">
      <t>タカオ</t>
    </rPh>
    <phoneticPr fontId="1"/>
  </si>
  <si>
    <t>アキワ　タカオ</t>
    <phoneticPr fontId="1"/>
  </si>
  <si>
    <t>651-1413</t>
    <phoneticPr fontId="1"/>
  </si>
  <si>
    <t>兵庫県西宮市北六甲台2-27-3</t>
    <rPh sb="0" eb="10">
      <t>651-1413</t>
    </rPh>
    <phoneticPr fontId="1"/>
  </si>
  <si>
    <t>090-2613-0644</t>
    <phoneticPr fontId="1"/>
  </si>
  <si>
    <t>gsx1100e222@gmail.com</t>
    <phoneticPr fontId="1"/>
  </si>
  <si>
    <t>即入会　岡川様紹介</t>
    <rPh sb="0" eb="3">
      <t>ソクニュウカイ</t>
    </rPh>
    <rPh sb="4" eb="7">
      <t>オカガワサマ</t>
    </rPh>
    <rPh sb="7" eb="9">
      <t>ショウカイ</t>
    </rPh>
    <phoneticPr fontId="1"/>
  </si>
  <si>
    <t>橋　正幸</t>
    <rPh sb="0" eb="1">
      <t>ハシ</t>
    </rPh>
    <rPh sb="2" eb="4">
      <t>マサユキ</t>
    </rPh>
    <phoneticPr fontId="1"/>
  </si>
  <si>
    <t>兵庫県伊丹市荒牧7-9-15-301</t>
    <rPh sb="0" eb="8">
      <t>664-0001</t>
    </rPh>
    <phoneticPr fontId="1"/>
  </si>
  <si>
    <t>080-3841-5119</t>
    <phoneticPr fontId="1"/>
  </si>
  <si>
    <t>ハシ　ナオユキ</t>
    <phoneticPr fontId="1"/>
  </si>
  <si>
    <t>山本　明香</t>
    <rPh sb="0" eb="2">
      <t>ヤマモト</t>
    </rPh>
    <rPh sb="3" eb="4">
      <t>アカ</t>
    </rPh>
    <rPh sb="4" eb="5">
      <t>カオル</t>
    </rPh>
    <phoneticPr fontId="1"/>
  </si>
  <si>
    <t>大阪府大阪市天王寺区上本町7-1-16-3604</t>
    <rPh sb="0" eb="3">
      <t>オオサカフ</t>
    </rPh>
    <rPh sb="3" eb="6">
      <t>オオサカシ</t>
    </rPh>
    <rPh sb="6" eb="9">
      <t>テンノウジ</t>
    </rPh>
    <rPh sb="9" eb="10">
      <t>ク</t>
    </rPh>
    <rPh sb="10" eb="13">
      <t>ウエホンマチ</t>
    </rPh>
    <phoneticPr fontId="1"/>
  </si>
  <si>
    <t>090-5673-8487</t>
    <phoneticPr fontId="1"/>
  </si>
  <si>
    <t>料金社長了解済</t>
    <rPh sb="0" eb="2">
      <t>リョウキン</t>
    </rPh>
    <rPh sb="2" eb="4">
      <t>シャチョウ</t>
    </rPh>
    <rPh sb="4" eb="6">
      <t>リョウカイ</t>
    </rPh>
    <rPh sb="6" eb="7">
      <t>スミ</t>
    </rPh>
    <phoneticPr fontId="1"/>
  </si>
  <si>
    <t>ヤマモト　サヤカ</t>
    <phoneticPr fontId="1"/>
  </si>
  <si>
    <t>坂上　研二</t>
    <rPh sb="0" eb="2">
      <t>サカガミ</t>
    </rPh>
    <rPh sb="3" eb="5">
      <t>ケンジ</t>
    </rPh>
    <phoneticPr fontId="1"/>
  </si>
  <si>
    <t>サカガミ　ケンジ</t>
    <phoneticPr fontId="1"/>
  </si>
  <si>
    <t>639-0254</t>
    <phoneticPr fontId="1"/>
  </si>
  <si>
    <t>奈良県香芝市関屋北4-7-33-3</t>
    <rPh sb="0" eb="3">
      <t>ナラケン</t>
    </rPh>
    <rPh sb="3" eb="5">
      <t>カシバ</t>
    </rPh>
    <rPh sb="5" eb="6">
      <t>シ</t>
    </rPh>
    <rPh sb="6" eb="8">
      <t>セキヤ</t>
    </rPh>
    <rPh sb="8" eb="9">
      <t>キタ</t>
    </rPh>
    <phoneticPr fontId="1"/>
  </si>
  <si>
    <t>aloha.7777777@gmail.com</t>
    <phoneticPr fontId="1"/>
  </si>
  <si>
    <t>090-1914-6304</t>
    <phoneticPr fontId="1"/>
  </si>
  <si>
    <t>本村　紅音</t>
    <rPh sb="0" eb="2">
      <t>モトムラ</t>
    </rPh>
    <rPh sb="3" eb="5">
      <t>アカネ</t>
    </rPh>
    <phoneticPr fontId="1"/>
  </si>
  <si>
    <t>モトムラ　アカネ</t>
    <phoneticPr fontId="1"/>
  </si>
  <si>
    <t>090-6976-0985</t>
    <phoneticPr fontId="1"/>
  </si>
  <si>
    <t>平井　一郎</t>
    <rPh sb="0" eb="2">
      <t>ヒライ</t>
    </rPh>
    <rPh sb="3" eb="5">
      <t>イチロウ</t>
    </rPh>
    <phoneticPr fontId="1"/>
  </si>
  <si>
    <t>ヒライ　イチロウ</t>
    <phoneticPr fontId="1"/>
  </si>
  <si>
    <t>662-0812</t>
    <phoneticPr fontId="1"/>
  </si>
  <si>
    <t>兵庫県西宮市甲東園1-3-27</t>
    <rPh sb="0" eb="9">
      <t>662-0812</t>
    </rPh>
    <phoneticPr fontId="1"/>
  </si>
  <si>
    <t>i.hirai60@gmail.com</t>
    <phoneticPr fontId="1"/>
  </si>
  <si>
    <t>090-5011-3686</t>
    <phoneticPr fontId="1"/>
  </si>
  <si>
    <t>持ち帰って検討</t>
    <rPh sb="0" eb="1">
      <t>モ</t>
    </rPh>
    <rPh sb="2" eb="3">
      <t>カエ</t>
    </rPh>
    <rPh sb="5" eb="7">
      <t>ケントウ</t>
    </rPh>
    <phoneticPr fontId="1"/>
  </si>
  <si>
    <t>崎岡　英子</t>
    <rPh sb="0" eb="2">
      <t>サキオカ</t>
    </rPh>
    <rPh sb="3" eb="5">
      <t>エイコ</t>
    </rPh>
    <phoneticPr fontId="1"/>
  </si>
  <si>
    <t>サキオカ　エイコ</t>
    <phoneticPr fontId="1"/>
  </si>
  <si>
    <t>564-0061</t>
    <phoneticPr fontId="1"/>
  </si>
  <si>
    <t>大阪府吹田市円山町11-11</t>
    <rPh sb="0" eb="9">
      <t>564-0061</t>
    </rPh>
    <phoneticPr fontId="1"/>
  </si>
  <si>
    <t>sakiokaeiko@gmail.com</t>
    <phoneticPr fontId="1"/>
  </si>
  <si>
    <t>090-3672-1290</t>
    <phoneticPr fontId="1"/>
  </si>
  <si>
    <t>志野さん紹介</t>
    <rPh sb="0" eb="2">
      <t>シノ</t>
    </rPh>
    <rPh sb="4" eb="6">
      <t>ショウカイ</t>
    </rPh>
    <phoneticPr fontId="1"/>
  </si>
  <si>
    <t>フジワラ　レイコ</t>
  </si>
  <si>
    <t>5.2km</t>
  </si>
  <si>
    <t>rei7471973@hotmail.com</t>
  </si>
  <si>
    <t>090-6980-3582</t>
  </si>
  <si>
    <t>辻上　翔眞</t>
    <rPh sb="0" eb="1">
      <t>ツジ</t>
    </rPh>
    <rPh sb="1" eb="2">
      <t>ウエ</t>
    </rPh>
    <rPh sb="3" eb="4">
      <t>ショウ</t>
    </rPh>
    <rPh sb="4" eb="5">
      <t>マコト</t>
    </rPh>
    <phoneticPr fontId="1"/>
  </si>
  <si>
    <t>ツジガミ　ショウマ</t>
    <phoneticPr fontId="1"/>
  </si>
  <si>
    <t>637-0014</t>
    <phoneticPr fontId="1"/>
  </si>
  <si>
    <t>奈良県五條市住川町500-2</t>
    <rPh sb="0" eb="9">
      <t>637-0014</t>
    </rPh>
    <phoneticPr fontId="1"/>
  </si>
  <si>
    <t>080-8342-7596</t>
    <phoneticPr fontId="1"/>
  </si>
  <si>
    <t>665-0046</t>
    <phoneticPr fontId="1"/>
  </si>
  <si>
    <t>兵庫県宝塚市福井町26-21メゾンミサカ303</t>
    <rPh sb="0" eb="9">
      <t>665-0046</t>
    </rPh>
    <phoneticPr fontId="1"/>
  </si>
  <si>
    <t>hinayan20011125@icloud.com</t>
    <phoneticPr fontId="1"/>
  </si>
  <si>
    <t>石田　和義</t>
    <rPh sb="0" eb="2">
      <t>イシダ</t>
    </rPh>
    <rPh sb="3" eb="5">
      <t>カズヨシ</t>
    </rPh>
    <phoneticPr fontId="1"/>
  </si>
  <si>
    <t>イシダ　カズヨシ</t>
    <phoneticPr fontId="1"/>
  </si>
  <si>
    <t>兵庫県川西市緑台7-2-17</t>
    <phoneticPr fontId="1"/>
  </si>
  <si>
    <t>ishidakazu2000@gmail.com</t>
    <phoneticPr fontId="1"/>
  </si>
  <si>
    <t>090-6439-3503</t>
    <phoneticPr fontId="1"/>
  </si>
  <si>
    <t>三村　淳司</t>
    <rPh sb="0" eb="2">
      <t>ミムラ</t>
    </rPh>
    <rPh sb="3" eb="5">
      <t>ジュンツカサ</t>
    </rPh>
    <phoneticPr fontId="1"/>
  </si>
  <si>
    <t>ミムラ　ジュンジ</t>
    <phoneticPr fontId="1"/>
  </si>
  <si>
    <t>662-0826</t>
    <phoneticPr fontId="1"/>
  </si>
  <si>
    <t>兵庫県西宮市門戸岡田町11-48</t>
    <rPh sb="0" eb="11">
      <t>662-0826</t>
    </rPh>
    <phoneticPr fontId="1"/>
  </si>
  <si>
    <t>j078602@yahoo.co.jp</t>
    <phoneticPr fontId="1"/>
  </si>
  <si>
    <t>090-2199-9229</t>
    <phoneticPr fontId="1"/>
  </si>
  <si>
    <t>541-0058</t>
  </si>
  <si>
    <t>27.3km</t>
  </si>
  <si>
    <t>iwai.sanki@gmail.com</t>
  </si>
  <si>
    <t>090-4494-8053</t>
  </si>
  <si>
    <t>再来2024.5.17</t>
    <rPh sb="0" eb="2">
      <t>サイライ</t>
    </rPh>
    <phoneticPr fontId="1"/>
  </si>
  <si>
    <t>山下　昌子</t>
    <rPh sb="0" eb="2">
      <t>ヤマシタ</t>
    </rPh>
    <rPh sb="3" eb="5">
      <t>マサコ</t>
    </rPh>
    <phoneticPr fontId="1"/>
  </si>
  <si>
    <t>ヤマシタ　マサコ</t>
    <phoneticPr fontId="1"/>
  </si>
  <si>
    <t>兵庫県宝塚市山手台東3-4-11</t>
    <rPh sb="0" eb="10">
      <t>665-0887</t>
    </rPh>
    <phoneticPr fontId="1"/>
  </si>
  <si>
    <t>090-3896-7919</t>
    <phoneticPr fontId="1"/>
  </si>
  <si>
    <t>木内　啓文</t>
    <rPh sb="0" eb="2">
      <t>キウチ</t>
    </rPh>
    <rPh sb="3" eb="5">
      <t>ヒロフミ</t>
    </rPh>
    <phoneticPr fontId="1"/>
  </si>
  <si>
    <t>キウチ　フロフミ</t>
    <phoneticPr fontId="1"/>
  </si>
  <si>
    <t>兵庫県宝塚市山手台東3丁目19-2</t>
    <rPh sb="0" eb="3">
      <t>ヒョウゴケン</t>
    </rPh>
    <rPh sb="3" eb="6">
      <t>タカラヅカシ</t>
    </rPh>
    <rPh sb="6" eb="9">
      <t>ヤマテダイ</t>
    </rPh>
    <rPh sb="9" eb="10">
      <t>ヒガシ</t>
    </rPh>
    <rPh sb="11" eb="13">
      <t>チョウメ</t>
    </rPh>
    <phoneticPr fontId="1"/>
  </si>
  <si>
    <t>btf4044@gmail.com</t>
    <phoneticPr fontId="1"/>
  </si>
  <si>
    <t>090-7495-4547</t>
    <phoneticPr fontId="1"/>
  </si>
  <si>
    <t>井本　圭一郎</t>
    <rPh sb="0" eb="2">
      <t>イモト</t>
    </rPh>
    <phoneticPr fontId="2"/>
  </si>
  <si>
    <t>イモト　ケイイチロウ</t>
    <phoneticPr fontId="1"/>
  </si>
  <si>
    <t>上田　恭司</t>
    <rPh sb="0" eb="2">
      <t>ウエダ</t>
    </rPh>
    <rPh sb="3" eb="5">
      <t>キョウジ</t>
    </rPh>
    <phoneticPr fontId="1"/>
  </si>
  <si>
    <t>澤田　とし子</t>
    <rPh sb="0" eb="2">
      <t>サワダ</t>
    </rPh>
    <phoneticPr fontId="1"/>
  </si>
  <si>
    <t>サワダ　トシコ</t>
    <phoneticPr fontId="1"/>
  </si>
  <si>
    <t>hana.mama711@docomo.ne.jp</t>
    <phoneticPr fontId="1"/>
  </si>
  <si>
    <t>090-5465-4006</t>
    <phoneticPr fontId="1"/>
  </si>
  <si>
    <t>濵戸　裕昭</t>
    <rPh sb="0" eb="1">
      <t>ハマ</t>
    </rPh>
    <rPh sb="1" eb="2">
      <t>ト</t>
    </rPh>
    <rPh sb="3" eb="4">
      <t>ユタカ</t>
    </rPh>
    <rPh sb="4" eb="5">
      <t>アキラ</t>
    </rPh>
    <phoneticPr fontId="1"/>
  </si>
  <si>
    <t>ハマト　ヒロアキ</t>
    <phoneticPr fontId="1"/>
  </si>
  <si>
    <t>668-0023</t>
    <phoneticPr fontId="1"/>
  </si>
  <si>
    <t>兵庫県豊岡市加広町6-47</t>
    <rPh sb="0" eb="9">
      <t>668-0023</t>
    </rPh>
    <phoneticPr fontId="1"/>
  </si>
  <si>
    <t>090-3032-0554</t>
    <phoneticPr fontId="1"/>
  </si>
  <si>
    <t>野上　祐一</t>
    <rPh sb="0" eb="2">
      <t>ノガミ</t>
    </rPh>
    <rPh sb="3" eb="5">
      <t>ユウイチ</t>
    </rPh>
    <phoneticPr fontId="1"/>
  </si>
  <si>
    <t>ノガミ　ユウイチ</t>
    <phoneticPr fontId="1"/>
  </si>
  <si>
    <t>大阪府豊中市緑丘1-32-11-204</t>
    <rPh sb="0" eb="3">
      <t>オオサカフ</t>
    </rPh>
    <rPh sb="3" eb="6">
      <t>トヨナカシ</t>
    </rPh>
    <rPh sb="6" eb="8">
      <t>ミドリガオカ</t>
    </rPh>
    <phoneticPr fontId="1"/>
  </si>
  <si>
    <t>nogami2535@gmail.com</t>
    <phoneticPr fontId="1"/>
  </si>
  <si>
    <t>080-3109-1411</t>
    <phoneticPr fontId="1"/>
  </si>
  <si>
    <t>蟹江様　紹介</t>
    <rPh sb="0" eb="2">
      <t>カニエ</t>
    </rPh>
    <rPh sb="2" eb="3">
      <t>サマ</t>
    </rPh>
    <rPh sb="4" eb="6">
      <t>ショウカイ</t>
    </rPh>
    <phoneticPr fontId="1"/>
  </si>
  <si>
    <t>木原　正道</t>
    <rPh sb="0" eb="2">
      <t>キハラ</t>
    </rPh>
    <rPh sb="3" eb="5">
      <t>マサミチ</t>
    </rPh>
    <phoneticPr fontId="1"/>
  </si>
  <si>
    <t>キハラ　マサミチ</t>
    <phoneticPr fontId="1"/>
  </si>
  <si>
    <t>兵庫県宝塚市川面5-15-31-402</t>
    <rPh sb="0" eb="8">
      <t>665-0842</t>
    </rPh>
    <phoneticPr fontId="1"/>
  </si>
  <si>
    <t>kih_mrc@hotmail.com</t>
    <phoneticPr fontId="1"/>
  </si>
  <si>
    <t>090-9623-5402</t>
    <phoneticPr fontId="1"/>
  </si>
  <si>
    <t>近藤　友一朗</t>
    <rPh sb="0" eb="2">
      <t>コンドウ</t>
    </rPh>
    <rPh sb="3" eb="4">
      <t>トモ</t>
    </rPh>
    <rPh sb="4" eb="6">
      <t>イチロウ</t>
    </rPh>
    <phoneticPr fontId="1"/>
  </si>
  <si>
    <t>コンドウ　ユウイチロウ</t>
    <phoneticPr fontId="1"/>
  </si>
  <si>
    <t>444-0840</t>
    <phoneticPr fontId="1"/>
  </si>
  <si>
    <t>愛知県岡崎市戸崎町字牛転14-94</t>
    <rPh sb="0" eb="9">
      <t>444-0840</t>
    </rPh>
    <phoneticPr fontId="1"/>
  </si>
  <si>
    <t>yuichiro.ymaks@icloud.com</t>
    <phoneticPr fontId="1"/>
  </si>
  <si>
    <t>090-8950-4704</t>
    <phoneticPr fontId="1"/>
  </si>
  <si>
    <t>蟹江様のご紹介</t>
    <rPh sb="0" eb="2">
      <t>カニエ</t>
    </rPh>
    <rPh sb="2" eb="3">
      <t>サマ</t>
    </rPh>
    <rPh sb="5" eb="7">
      <t>ショウカイ</t>
    </rPh>
    <phoneticPr fontId="1"/>
  </si>
  <si>
    <t>坂東　俊哉</t>
    <rPh sb="0" eb="2">
      <t>バンドウ</t>
    </rPh>
    <rPh sb="3" eb="5">
      <t>トシヤ</t>
    </rPh>
    <phoneticPr fontId="1"/>
  </si>
  <si>
    <t>バンドウ　トシヤ</t>
    <phoneticPr fontId="1"/>
  </si>
  <si>
    <t>原田　侑真</t>
    <rPh sb="0" eb="2">
      <t>ハラダ</t>
    </rPh>
    <rPh sb="3" eb="4">
      <t>ユウ</t>
    </rPh>
    <rPh sb="4" eb="5">
      <t>マ</t>
    </rPh>
    <phoneticPr fontId="1"/>
  </si>
  <si>
    <t>ハラダ　ユウマ</t>
    <phoneticPr fontId="1"/>
  </si>
  <si>
    <t>兵庫県芦屋市山手町19-6</t>
    <rPh sb="0" eb="3">
      <t>ヒョウゴケン</t>
    </rPh>
    <rPh sb="3" eb="6">
      <t>アシヤシ</t>
    </rPh>
    <rPh sb="6" eb="9">
      <t>ヤマテマチ</t>
    </rPh>
    <phoneticPr fontId="1"/>
  </si>
  <si>
    <t>090-5162-5968</t>
    <phoneticPr fontId="1"/>
  </si>
  <si>
    <t>半額　志野さん了承済</t>
    <rPh sb="0" eb="2">
      <t>ハンガク</t>
    </rPh>
    <rPh sb="3" eb="5">
      <t>シノ</t>
    </rPh>
    <rPh sb="7" eb="9">
      <t>リョウショウ</t>
    </rPh>
    <rPh sb="9" eb="10">
      <t>スミ</t>
    </rPh>
    <phoneticPr fontId="1"/>
  </si>
  <si>
    <t>和島　将志</t>
    <rPh sb="0" eb="2">
      <t>ワジマ</t>
    </rPh>
    <rPh sb="3" eb="5">
      <t>マサシ</t>
    </rPh>
    <phoneticPr fontId="1"/>
  </si>
  <si>
    <t>ワジマ　マサシ　</t>
    <phoneticPr fontId="1"/>
  </si>
  <si>
    <t>カメイ　トモヒコ</t>
    <phoneticPr fontId="1"/>
  </si>
  <si>
    <t>1869/8/13</t>
  </si>
  <si>
    <t>534-0027</t>
  </si>
  <si>
    <t>26.6㎞</t>
  </si>
  <si>
    <t>中井　浩二朗</t>
    <rPh sb="0" eb="2">
      <t>ナカイ</t>
    </rPh>
    <rPh sb="3" eb="5">
      <t>コウジ</t>
    </rPh>
    <rPh sb="5" eb="6">
      <t>ロウ</t>
    </rPh>
    <phoneticPr fontId="1"/>
  </si>
  <si>
    <t>ナカイ　コウジロウ</t>
    <phoneticPr fontId="1"/>
  </si>
  <si>
    <t>655-0895</t>
    <phoneticPr fontId="1"/>
  </si>
  <si>
    <t>兵庫県神戸市垂水区坂上1-2-30</t>
    <rPh sb="0" eb="11">
      <t>655-0895</t>
    </rPh>
    <phoneticPr fontId="1"/>
  </si>
  <si>
    <t>nk-koujiro@nakai-kobe.co.jp</t>
    <phoneticPr fontId="1"/>
  </si>
  <si>
    <t>080-1506-0407</t>
    <phoneticPr fontId="1"/>
  </si>
  <si>
    <t>手塚　智也</t>
    <rPh sb="0" eb="2">
      <t>テヅカ</t>
    </rPh>
    <rPh sb="3" eb="5">
      <t>トモヤ</t>
    </rPh>
    <phoneticPr fontId="1"/>
  </si>
  <si>
    <t>テヅカ　トモヤ</t>
    <phoneticPr fontId="1"/>
  </si>
  <si>
    <t>兵庫県宝塚市山本西1丁目-11-7</t>
    <rPh sb="0" eb="3">
      <t>ヒョウゴケン</t>
    </rPh>
    <rPh sb="3" eb="6">
      <t>タカラヅカシ</t>
    </rPh>
    <rPh sb="6" eb="8">
      <t>ヤマモト</t>
    </rPh>
    <rPh sb="8" eb="9">
      <t>ニシ</t>
    </rPh>
    <rPh sb="10" eb="12">
      <t>チョウメ</t>
    </rPh>
    <phoneticPr fontId="1"/>
  </si>
  <si>
    <t>t.tomoya0326@gmail.com</t>
    <phoneticPr fontId="1"/>
  </si>
  <si>
    <t>090-8527-6763</t>
    <phoneticPr fontId="1"/>
  </si>
  <si>
    <t>タネムラ　ヤスイチ</t>
    <phoneticPr fontId="1"/>
  </si>
  <si>
    <t>柚木　誠司</t>
    <rPh sb="0" eb="2">
      <t>ユノキ</t>
    </rPh>
    <rPh sb="3" eb="5">
      <t>セイジ</t>
    </rPh>
    <phoneticPr fontId="1"/>
  </si>
  <si>
    <t>ユノキ　セイジ</t>
    <phoneticPr fontId="1"/>
  </si>
  <si>
    <t>大阪府大阪市旭区高殿6-18-41エクセレント高殿461</t>
    <rPh sb="0" eb="6">
      <t>オオサカフオオサカシ</t>
    </rPh>
    <rPh sb="6" eb="8">
      <t>アサヒク</t>
    </rPh>
    <rPh sb="8" eb="9">
      <t>タカ</t>
    </rPh>
    <rPh sb="9" eb="10">
      <t>トノ</t>
    </rPh>
    <rPh sb="23" eb="25">
      <t>タカトノ</t>
    </rPh>
    <phoneticPr fontId="1"/>
  </si>
  <si>
    <t>535-0031</t>
    <phoneticPr fontId="1"/>
  </si>
  <si>
    <t>y.s.e.r2323@gmail.com</t>
    <phoneticPr fontId="1"/>
  </si>
  <si>
    <t>080-1927-3646</t>
    <phoneticPr fontId="1"/>
  </si>
  <si>
    <t>tr119岩佐様ご紹介</t>
    <rPh sb="5" eb="8">
      <t>イワササマ</t>
    </rPh>
    <rPh sb="9" eb="11">
      <t>ショウカイ</t>
    </rPh>
    <phoneticPr fontId="1"/>
  </si>
  <si>
    <t>白谷　浩二</t>
    <rPh sb="0" eb="2">
      <t>シロタニ</t>
    </rPh>
    <rPh sb="3" eb="5">
      <t>コウジ</t>
    </rPh>
    <phoneticPr fontId="1"/>
  </si>
  <si>
    <t>シロタニ　コウジ</t>
    <phoneticPr fontId="1"/>
  </si>
  <si>
    <t>兵庫県宝塚市山本台3-16-1 クレール宝塚ベルエール814</t>
    <rPh sb="20" eb="22">
      <t>タカラヅカ</t>
    </rPh>
    <phoneticPr fontId="1"/>
  </si>
  <si>
    <t>shiro.3524505@gmail.com</t>
    <phoneticPr fontId="1"/>
  </si>
  <si>
    <t>090-1670-6166</t>
    <phoneticPr fontId="1"/>
  </si>
  <si>
    <t>ヨシカワ　マサノリ　</t>
  </si>
  <si>
    <t>遠山　智一</t>
    <rPh sb="0" eb="2">
      <t>トオヤマ</t>
    </rPh>
    <rPh sb="3" eb="5">
      <t>トモカズ</t>
    </rPh>
    <phoneticPr fontId="1"/>
  </si>
  <si>
    <t>トオヤマ　ノリカズ</t>
    <phoneticPr fontId="1"/>
  </si>
  <si>
    <t>569-0036</t>
    <phoneticPr fontId="1"/>
  </si>
  <si>
    <t>大阪府高槻市辻子1-16-13</t>
    <rPh sb="0" eb="8">
      <t>569-0036</t>
    </rPh>
    <phoneticPr fontId="1"/>
  </si>
  <si>
    <t>090-1149-0995</t>
    <phoneticPr fontId="1"/>
  </si>
  <si>
    <t>土岐　久美子</t>
    <rPh sb="0" eb="1">
      <t>ツチ</t>
    </rPh>
    <rPh sb="1" eb="2">
      <t>キ</t>
    </rPh>
    <rPh sb="3" eb="6">
      <t>クミコ</t>
    </rPh>
    <phoneticPr fontId="1"/>
  </si>
  <si>
    <t>トキ　クミコ</t>
    <phoneticPr fontId="1"/>
  </si>
  <si>
    <t>大阪府大阪市都島区中野町5-13-3-301</t>
    <phoneticPr fontId="1"/>
  </si>
  <si>
    <t>090-1354-2204</t>
    <phoneticPr fontId="1"/>
  </si>
  <si>
    <t>椎葉　さくら</t>
    <rPh sb="0" eb="2">
      <t>シイバ</t>
    </rPh>
    <phoneticPr fontId="1"/>
  </si>
  <si>
    <t>シイバ　サクラ</t>
    <phoneticPr fontId="1"/>
  </si>
  <si>
    <t>兵庫県西宮市名塩1-31-3</t>
    <rPh sb="0" eb="8">
      <t>669-1147</t>
    </rPh>
    <phoneticPr fontId="1"/>
  </si>
  <si>
    <t>mayudai1129@yahoo.co.jp</t>
    <phoneticPr fontId="1"/>
  </si>
  <si>
    <t>0797-75-5717</t>
    <phoneticPr fontId="1"/>
  </si>
  <si>
    <t>簗本　一裕</t>
    <rPh sb="0" eb="1">
      <t>ヤナ</t>
    </rPh>
    <rPh sb="1" eb="2">
      <t>ホン</t>
    </rPh>
    <rPh sb="3" eb="5">
      <t>カズヒロ</t>
    </rPh>
    <phoneticPr fontId="1"/>
  </si>
  <si>
    <t>ヤナモト　カズヒロ</t>
    <phoneticPr fontId="1"/>
  </si>
  <si>
    <t>661-0043</t>
    <phoneticPr fontId="1"/>
  </si>
  <si>
    <t>兵庫県尼崎市武庫元町2-12-11-303</t>
    <rPh sb="0" eb="10">
      <t>661-0043</t>
    </rPh>
    <phoneticPr fontId="1"/>
  </si>
  <si>
    <t>080-4242-4572</t>
    <phoneticPr fontId="1"/>
  </si>
  <si>
    <t>吉見　嶺</t>
    <rPh sb="0" eb="2">
      <t>ヨシミ</t>
    </rPh>
    <rPh sb="3" eb="4">
      <t>ミネ</t>
    </rPh>
    <phoneticPr fontId="1"/>
  </si>
  <si>
    <t>ヨシミ　レイ</t>
    <phoneticPr fontId="1"/>
  </si>
  <si>
    <t>兵庫県宝塚市中筋6-5-17カサビアンカ112</t>
    <rPh sb="0" eb="8">
      <t>665-0874</t>
    </rPh>
    <phoneticPr fontId="1"/>
  </si>
  <si>
    <t>080-3846-0877</t>
    <phoneticPr fontId="1"/>
  </si>
  <si>
    <t>合原　眞紀</t>
    <rPh sb="0" eb="2">
      <t>ゴウバル</t>
    </rPh>
    <rPh sb="3" eb="4">
      <t>マ</t>
    </rPh>
    <rPh sb="4" eb="5">
      <t>ノリ</t>
    </rPh>
    <phoneticPr fontId="1"/>
  </si>
  <si>
    <t>アイハラ　マキ</t>
    <phoneticPr fontId="1"/>
  </si>
  <si>
    <t>会員様</t>
    <rPh sb="0" eb="2">
      <t>カイイン</t>
    </rPh>
    <rPh sb="2" eb="3">
      <t>サマ</t>
    </rPh>
    <phoneticPr fontId="1"/>
  </si>
  <si>
    <t>井殿プロ</t>
    <phoneticPr fontId="1"/>
  </si>
  <si>
    <t>福山　英次</t>
    <rPh sb="0" eb="2">
      <t>フクヤマ</t>
    </rPh>
    <rPh sb="3" eb="5">
      <t>エイジ</t>
    </rPh>
    <phoneticPr fontId="1"/>
  </si>
  <si>
    <t>フクヤマ　エイジ</t>
    <phoneticPr fontId="1"/>
  </si>
  <si>
    <t>536-0005</t>
    <phoneticPr fontId="1"/>
  </si>
  <si>
    <t>大阪府大阪市城東区中央2-3-20-1801</t>
    <rPh sb="0" eb="11">
      <t>536-0005</t>
    </rPh>
    <phoneticPr fontId="1"/>
  </si>
  <si>
    <t>090-3873-8813</t>
    <phoneticPr fontId="1"/>
  </si>
  <si>
    <t>忠海　雅一</t>
    <rPh sb="0" eb="1">
      <t>タダシ</t>
    </rPh>
    <rPh sb="1" eb="2">
      <t>ウミ</t>
    </rPh>
    <rPh sb="3" eb="5">
      <t>マサカズ</t>
    </rPh>
    <phoneticPr fontId="1"/>
  </si>
  <si>
    <t>スナミ　マサカズ</t>
    <phoneticPr fontId="1"/>
  </si>
  <si>
    <t>大阪府池田市五月丘3-2-A-404</t>
    <rPh sb="0" eb="3">
      <t>オオサカフ</t>
    </rPh>
    <rPh sb="3" eb="6">
      <t>イケダシ</t>
    </rPh>
    <rPh sb="6" eb="9">
      <t>サツキガオカ</t>
    </rPh>
    <phoneticPr fontId="1"/>
  </si>
  <si>
    <t>080-6115-2174</t>
    <phoneticPr fontId="1"/>
  </si>
  <si>
    <t>井原　望</t>
    <rPh sb="0" eb="2">
      <t>イハラ</t>
    </rPh>
    <rPh sb="3" eb="4">
      <t>ノゾ</t>
    </rPh>
    <phoneticPr fontId="1"/>
  </si>
  <si>
    <t>イハラ　ノゾム</t>
    <phoneticPr fontId="1"/>
  </si>
  <si>
    <t>兵庫県宝塚市山本西3-8-1-704</t>
    <rPh sb="0" eb="9">
      <t>665-0884</t>
    </rPh>
    <phoneticPr fontId="1"/>
  </si>
  <si>
    <t>i2004926@me.com</t>
    <phoneticPr fontId="1"/>
  </si>
  <si>
    <t>090-3747-9186</t>
    <phoneticPr fontId="1"/>
  </si>
  <si>
    <t>増田　雅輝</t>
    <rPh sb="0" eb="2">
      <t>マスダ</t>
    </rPh>
    <rPh sb="3" eb="4">
      <t>マサ</t>
    </rPh>
    <rPh sb="4" eb="5">
      <t>テル</t>
    </rPh>
    <phoneticPr fontId="1"/>
  </si>
  <si>
    <t>マスダ　マサキ</t>
    <phoneticPr fontId="1"/>
  </si>
  <si>
    <t>661-0047</t>
    <phoneticPr fontId="1"/>
  </si>
  <si>
    <t>兵庫県尼崎市西昆陽2-37-5</t>
    <rPh sb="0" eb="9">
      <t>661-0047</t>
    </rPh>
    <phoneticPr fontId="1"/>
  </si>
  <si>
    <t>090-6069-3093</t>
    <phoneticPr fontId="1"/>
  </si>
  <si>
    <t>淡　浩人</t>
    <rPh sb="0" eb="1">
      <t>アワ</t>
    </rPh>
    <rPh sb="2" eb="4">
      <t>ヒロヒト</t>
    </rPh>
    <phoneticPr fontId="1"/>
  </si>
  <si>
    <t>アワ　ヒロト</t>
    <phoneticPr fontId="1"/>
  </si>
  <si>
    <t>兵庫県宝塚市中山桜台2-13-3</t>
    <rPh sb="0" eb="10">
      <t>665-0877</t>
    </rPh>
    <phoneticPr fontId="1"/>
  </si>
  <si>
    <t>jbthk763@yahoo.co.jp</t>
    <phoneticPr fontId="1"/>
  </si>
  <si>
    <t>090-1586-3270</t>
    <phoneticPr fontId="1"/>
  </si>
  <si>
    <t>塩谷　将規</t>
    <rPh sb="0" eb="2">
      <t>シオタニ</t>
    </rPh>
    <rPh sb="3" eb="4">
      <t>マサ</t>
    </rPh>
    <rPh sb="4" eb="5">
      <t>ノリ</t>
    </rPh>
    <phoneticPr fontId="1"/>
  </si>
  <si>
    <t>兵庫県芦屋市岩園町33-11</t>
    <rPh sb="0" eb="3">
      <t>ヒョウゴケン</t>
    </rPh>
    <rPh sb="3" eb="6">
      <t>アシヤシ</t>
    </rPh>
    <rPh sb="6" eb="9">
      <t>イワゾノチョウ</t>
    </rPh>
    <phoneticPr fontId="1"/>
  </si>
  <si>
    <t>シオタニ　マサノリ</t>
    <phoneticPr fontId="1"/>
  </si>
  <si>
    <t>m_shiotani@shiotani-glass.com</t>
    <phoneticPr fontId="1"/>
  </si>
  <si>
    <t>090-3289-9506</t>
    <phoneticPr fontId="1"/>
  </si>
  <si>
    <t>中村　亮太</t>
    <rPh sb="0" eb="2">
      <t>ナカムラ</t>
    </rPh>
    <rPh sb="3" eb="5">
      <t>リョウタ</t>
    </rPh>
    <phoneticPr fontId="1"/>
  </si>
  <si>
    <t>ヤマモト　リョウタ</t>
    <phoneticPr fontId="1"/>
  </si>
  <si>
    <t>兵庫県宝塚市山手台東4-17-5</t>
    <rPh sb="0" eb="3">
      <t>ヒョウゴケン</t>
    </rPh>
    <rPh sb="3" eb="4">
      <t>タカラ</t>
    </rPh>
    <rPh sb="4" eb="6">
      <t>ツカシ</t>
    </rPh>
    <rPh sb="6" eb="9">
      <t>ヤマテダイ</t>
    </rPh>
    <rPh sb="9" eb="10">
      <t>ヒガシ</t>
    </rPh>
    <phoneticPr fontId="1"/>
  </si>
  <si>
    <t>r.nkmr.work@gmail.com</t>
    <phoneticPr fontId="1"/>
  </si>
  <si>
    <t>090-5972-7851</t>
    <phoneticPr fontId="1"/>
  </si>
  <si>
    <t>西原　三芳子</t>
    <rPh sb="0" eb="2">
      <t>ニシハラ</t>
    </rPh>
    <rPh sb="3" eb="4">
      <t>サン</t>
    </rPh>
    <rPh sb="4" eb="5">
      <t>ヨシ</t>
    </rPh>
    <rPh sb="5" eb="6">
      <t>コ</t>
    </rPh>
    <phoneticPr fontId="1"/>
  </si>
  <si>
    <t>ニシハラ　ミオコ</t>
    <phoneticPr fontId="1"/>
  </si>
  <si>
    <t>大阪府池田市城南3-10-13</t>
    <rPh sb="0" eb="3">
      <t>オオサカフ</t>
    </rPh>
    <rPh sb="3" eb="6">
      <t>イケダシ</t>
    </rPh>
    <rPh sb="6" eb="8">
      <t>ジョウナン</t>
    </rPh>
    <phoneticPr fontId="1"/>
  </si>
  <si>
    <t>080-1432-5292</t>
    <phoneticPr fontId="1"/>
  </si>
  <si>
    <t>661-0033</t>
  </si>
  <si>
    <t>再来(2022.10.10)</t>
    <rPh sb="0" eb="2">
      <t>サイライ</t>
    </rPh>
    <phoneticPr fontId="1"/>
  </si>
  <si>
    <t>小橋　正弥</t>
    <rPh sb="0" eb="2">
      <t>コバシ</t>
    </rPh>
    <rPh sb="3" eb="5">
      <t>マサヤ</t>
    </rPh>
    <phoneticPr fontId="1"/>
  </si>
  <si>
    <t>コバシ　マサヤ</t>
    <phoneticPr fontId="1"/>
  </si>
  <si>
    <t>664-0898</t>
    <phoneticPr fontId="1"/>
  </si>
  <si>
    <t>兵庫県伊丹市千僧3-41-A2号</t>
    <rPh sb="0" eb="8">
      <t>664-0898</t>
    </rPh>
    <rPh sb="15" eb="16">
      <t>ゴウ</t>
    </rPh>
    <phoneticPr fontId="1"/>
  </si>
  <si>
    <t>090-3033-8942</t>
    <phoneticPr fontId="1"/>
  </si>
  <si>
    <t>山田　健二</t>
    <rPh sb="0" eb="2">
      <t>ヤマダ</t>
    </rPh>
    <rPh sb="3" eb="5">
      <t>ケンジ</t>
    </rPh>
    <phoneticPr fontId="1"/>
  </si>
  <si>
    <t>ヤマダ　ケンジ</t>
    <phoneticPr fontId="1"/>
  </si>
  <si>
    <t>兵庫県尼崎市東園田町3-27-1 ラフィーネⅢ201</t>
    <rPh sb="0" eb="10">
      <t>661-0953</t>
    </rPh>
    <phoneticPr fontId="1"/>
  </si>
  <si>
    <t>kkyy0723@gmail.com</t>
    <phoneticPr fontId="1"/>
  </si>
  <si>
    <t>080-6393-4815</t>
    <phoneticPr fontId="1"/>
  </si>
  <si>
    <t>新田　隆次</t>
    <rPh sb="0" eb="2">
      <t>ニッタ</t>
    </rPh>
    <rPh sb="3" eb="4">
      <t>タカシ</t>
    </rPh>
    <rPh sb="4" eb="5">
      <t>ジ</t>
    </rPh>
    <phoneticPr fontId="1"/>
  </si>
  <si>
    <t>ニッタ　リュウジ</t>
    <phoneticPr fontId="1"/>
  </si>
  <si>
    <t>兵庫県宝塚市星の荘28-32</t>
    <rPh sb="0" eb="9">
      <t>665-0866</t>
    </rPh>
    <phoneticPr fontId="1"/>
  </si>
  <si>
    <t>090-9099-0395</t>
    <phoneticPr fontId="1"/>
  </si>
  <si>
    <t>寺尾　勝</t>
    <rPh sb="0" eb="2">
      <t>テラオ</t>
    </rPh>
    <rPh sb="3" eb="4">
      <t>マサル</t>
    </rPh>
    <phoneticPr fontId="1"/>
  </si>
  <si>
    <t>テラオ　マサル</t>
    <phoneticPr fontId="1"/>
  </si>
  <si>
    <t>679-1201</t>
    <phoneticPr fontId="1"/>
  </si>
  <si>
    <t>兵庫県多可郡多可町加美区豊部1031</t>
    <rPh sb="0" eb="14">
      <t>679-1201</t>
    </rPh>
    <phoneticPr fontId="1"/>
  </si>
  <si>
    <t>m-terao135@docomo.ne.jp</t>
    <phoneticPr fontId="1"/>
  </si>
  <si>
    <t>090-2288-8991</t>
    <phoneticPr fontId="1"/>
  </si>
  <si>
    <t>川端　淑一</t>
    <rPh sb="0" eb="2">
      <t>カワバタ</t>
    </rPh>
    <rPh sb="3" eb="4">
      <t>シュク</t>
    </rPh>
    <rPh sb="4" eb="5">
      <t>ハジメ</t>
    </rPh>
    <phoneticPr fontId="1"/>
  </si>
  <si>
    <t>カワバタ　ヒデカズ</t>
    <phoneticPr fontId="1"/>
  </si>
  <si>
    <t>兵庫県荒牧南4-3-1-202</t>
    <rPh sb="0" eb="3">
      <t>ヒョウゴケン</t>
    </rPh>
    <rPh sb="3" eb="5">
      <t>アラマキ</t>
    </rPh>
    <rPh sb="5" eb="6">
      <t>ミナミ</t>
    </rPh>
    <phoneticPr fontId="1"/>
  </si>
  <si>
    <t>080-4705-9984</t>
    <phoneticPr fontId="1"/>
  </si>
  <si>
    <t>川端　柚茉</t>
    <rPh sb="0" eb="2">
      <t>カワバタ</t>
    </rPh>
    <rPh sb="3" eb="4">
      <t>ユズ</t>
    </rPh>
    <rPh sb="4" eb="5">
      <t>マツ</t>
    </rPh>
    <phoneticPr fontId="1"/>
  </si>
  <si>
    <t>カワバタ　ユマ</t>
    <phoneticPr fontId="1"/>
  </si>
  <si>
    <t>石原　立　</t>
    <rPh sb="0" eb="2">
      <t>イシハラ</t>
    </rPh>
    <rPh sb="3" eb="4">
      <t>タ</t>
    </rPh>
    <phoneticPr fontId="1"/>
  </si>
  <si>
    <t>イシハラ　リュウ</t>
    <phoneticPr fontId="1"/>
  </si>
  <si>
    <t>兵庫県宝塚市山手台東2-12-3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</si>
  <si>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090-3843-2663</t>
    <phoneticPr fontId="1"/>
  </si>
  <si>
    <t>ryu1486@gmail.com</t>
    <phoneticPr fontId="1"/>
  </si>
  <si>
    <t>ヤスダ　ユタカ</t>
    <phoneticPr fontId="1"/>
  </si>
  <si>
    <t>大阪府堺市北区百舌鳥赤畑町5-543</t>
    <rPh sb="0" eb="3">
      <t>オオサカフ</t>
    </rPh>
    <rPh sb="3" eb="5">
      <t>サカイシ</t>
    </rPh>
    <rPh sb="5" eb="7">
      <t>キタク</t>
    </rPh>
    <phoneticPr fontId="1"/>
  </si>
  <si>
    <t>39.9km</t>
    <phoneticPr fontId="1"/>
  </si>
  <si>
    <t>再来(2021/5/6)</t>
    <rPh sb="0" eb="2">
      <t>サイライ</t>
    </rPh>
    <phoneticPr fontId="1"/>
  </si>
  <si>
    <t>福山　洋子</t>
    <rPh sb="0" eb="2">
      <t>フクヤマ</t>
    </rPh>
    <rPh sb="3" eb="5">
      <t>ヨウコ</t>
    </rPh>
    <phoneticPr fontId="1"/>
  </si>
  <si>
    <t>フクヤマ　ヨウコ</t>
    <phoneticPr fontId="1"/>
  </si>
  <si>
    <t>090-6825-7535</t>
    <phoneticPr fontId="1"/>
  </si>
  <si>
    <t>公式LINE</t>
    <rPh sb="0" eb="2">
      <t>コウシキ</t>
    </rPh>
    <phoneticPr fontId="1"/>
  </si>
  <si>
    <t>山中　祥司</t>
    <rPh sb="0" eb="2">
      <t>ヤマナカ</t>
    </rPh>
    <rPh sb="3" eb="4">
      <t>ショウ</t>
    </rPh>
    <rPh sb="4" eb="5">
      <t>ツカサ</t>
    </rPh>
    <phoneticPr fontId="1"/>
  </si>
  <si>
    <t>ヤマナカ　ショウジ</t>
    <phoneticPr fontId="1"/>
  </si>
  <si>
    <t>大阪府大阪市阿倍野区帝塚山1-10-32-101</t>
    <rPh sb="0" eb="13">
      <t>545-0037</t>
    </rPh>
    <phoneticPr fontId="1"/>
  </si>
  <si>
    <t>setwing1025@gmail.com</t>
    <phoneticPr fontId="1"/>
  </si>
  <si>
    <t>090-5122-0084</t>
    <phoneticPr fontId="1"/>
  </si>
  <si>
    <t>5.9km</t>
  </si>
  <si>
    <t>木村　稔</t>
    <rPh sb="0" eb="2">
      <t>キムラ</t>
    </rPh>
    <rPh sb="3" eb="4">
      <t>ミノル</t>
    </rPh>
    <phoneticPr fontId="1"/>
  </si>
  <si>
    <t>キムラ　ミノル</t>
    <phoneticPr fontId="1"/>
  </si>
  <si>
    <t>池谷　渓大</t>
    <rPh sb="0" eb="2">
      <t>イケタニ</t>
    </rPh>
    <rPh sb="3" eb="4">
      <t>ケイ</t>
    </rPh>
    <rPh sb="4" eb="5">
      <t>オオ</t>
    </rPh>
    <phoneticPr fontId="1"/>
  </si>
  <si>
    <t>イケタニ　キョウタ</t>
    <phoneticPr fontId="1"/>
  </si>
  <si>
    <t>兵庫県宝塚市安倉中4-20-22-330</t>
    <rPh sb="0" eb="9">
      <t>665-0822</t>
    </rPh>
    <phoneticPr fontId="1"/>
  </si>
  <si>
    <t>keeeeita99@gmail.com</t>
    <phoneticPr fontId="1"/>
  </si>
  <si>
    <t>090-6237-7637</t>
    <phoneticPr fontId="1"/>
  </si>
  <si>
    <t>平田　卓</t>
    <rPh sb="0" eb="2">
      <t>ヒラタ</t>
    </rPh>
    <rPh sb="3" eb="4">
      <t>タク</t>
    </rPh>
    <phoneticPr fontId="1"/>
  </si>
  <si>
    <t>ヒラタ　タク</t>
    <phoneticPr fontId="1"/>
  </si>
  <si>
    <t>581-0091</t>
    <phoneticPr fontId="1"/>
  </si>
  <si>
    <t>大阪府八尾市南植松町5-131-12</t>
    <rPh sb="0" eb="10">
      <t>581-0091</t>
    </rPh>
    <phoneticPr fontId="1"/>
  </si>
  <si>
    <t>080-6117-3234</t>
    <phoneticPr fontId="1"/>
  </si>
  <si>
    <t>若林　あや</t>
    <rPh sb="0" eb="2">
      <t>ワカバヤシ</t>
    </rPh>
    <phoneticPr fontId="1"/>
  </si>
  <si>
    <t>ワカバヤシ　アヤ</t>
    <phoneticPr fontId="1"/>
  </si>
  <si>
    <t>兵庫県宝塚市平井5丁目8-8-103</t>
    <rPh sb="0" eb="3">
      <t>ヒョウゴケン</t>
    </rPh>
    <rPh sb="3" eb="6">
      <t>タカラヅカシ</t>
    </rPh>
    <rPh sb="6" eb="8">
      <t>ヒライ</t>
    </rPh>
    <rPh sb="9" eb="11">
      <t>チョウメ</t>
    </rPh>
    <phoneticPr fontId="1"/>
  </si>
  <si>
    <t>aw.t.kns1015@gmail.com</t>
    <phoneticPr fontId="1"/>
  </si>
  <si>
    <t>080-6213-6824</t>
    <phoneticPr fontId="1"/>
  </si>
  <si>
    <t>吉田　咲笑</t>
    <rPh sb="0" eb="2">
      <t>ヨシダ</t>
    </rPh>
    <rPh sb="3" eb="4">
      <t>サ</t>
    </rPh>
    <rPh sb="4" eb="5">
      <t>ワラ</t>
    </rPh>
    <phoneticPr fontId="1"/>
  </si>
  <si>
    <t>ヨシダ　サエ</t>
    <phoneticPr fontId="1"/>
  </si>
  <si>
    <t>兵庫県宝塚市栄町3-1-11-207</t>
    <rPh sb="0" eb="8">
      <t>665-0845</t>
    </rPh>
    <phoneticPr fontId="1"/>
  </si>
  <si>
    <t>090-1444-8901</t>
    <phoneticPr fontId="1"/>
  </si>
  <si>
    <t>住地ゴルフ紹介</t>
    <rPh sb="0" eb="2">
      <t>ジュウチ</t>
    </rPh>
    <rPh sb="5" eb="7">
      <t>ショウカイ</t>
    </rPh>
    <phoneticPr fontId="1"/>
  </si>
  <si>
    <t>小脇　謙治</t>
    <rPh sb="0" eb="2">
      <t>コワキ</t>
    </rPh>
    <rPh sb="3" eb="5">
      <t>ケンジ</t>
    </rPh>
    <phoneticPr fontId="1"/>
  </si>
  <si>
    <t>コワキ　ケンジ</t>
    <phoneticPr fontId="1"/>
  </si>
  <si>
    <t>兵庫県伊丹市荻野4-74-402</t>
    <rPh sb="0" eb="8">
      <t>664-0002</t>
    </rPh>
    <phoneticPr fontId="1"/>
  </si>
  <si>
    <t>kowaki_kj@icloud.com</t>
    <phoneticPr fontId="1"/>
  </si>
  <si>
    <t>090-2103-9244</t>
    <phoneticPr fontId="1"/>
  </si>
  <si>
    <t>岡部　正和</t>
    <rPh sb="0" eb="2">
      <t>オカベ</t>
    </rPh>
    <rPh sb="3" eb="4">
      <t>マサ</t>
    </rPh>
    <rPh sb="4" eb="5">
      <t>カズ</t>
    </rPh>
    <phoneticPr fontId="1"/>
  </si>
  <si>
    <t>オカベ　マサカズ</t>
    <phoneticPr fontId="1"/>
  </si>
  <si>
    <t>611-0042</t>
    <phoneticPr fontId="1"/>
  </si>
  <si>
    <t>京都府宇治市小倉町西山5レディエント111</t>
    <rPh sb="0" eb="3">
      <t>キョウトフ</t>
    </rPh>
    <rPh sb="3" eb="6">
      <t>ウジシ</t>
    </rPh>
    <rPh sb="6" eb="9">
      <t>オグラマチ</t>
    </rPh>
    <rPh sb="9" eb="11">
      <t>ニシヤマ</t>
    </rPh>
    <phoneticPr fontId="1"/>
  </si>
  <si>
    <t>080-4007-7285</t>
    <phoneticPr fontId="1"/>
  </si>
  <si>
    <t>masakazu.okabe@hoymail.com</t>
    <phoneticPr fontId="1"/>
  </si>
  <si>
    <t>佐々木　貴朗</t>
    <rPh sb="0" eb="3">
      <t>ササキ</t>
    </rPh>
    <rPh sb="4" eb="5">
      <t>タカ</t>
    </rPh>
    <rPh sb="5" eb="6">
      <t>ロウ</t>
    </rPh>
    <phoneticPr fontId="1"/>
  </si>
  <si>
    <t>ササキ　タカオ　</t>
    <phoneticPr fontId="1"/>
  </si>
  <si>
    <t>兵庫県宝塚市売布4丁目3-30-4105</t>
    <rPh sb="6" eb="8">
      <t>メフ</t>
    </rPh>
    <rPh sb="9" eb="11">
      <t>チョウメ</t>
    </rPh>
    <phoneticPr fontId="1"/>
  </si>
  <si>
    <t>takao370928@gmail.com</t>
    <phoneticPr fontId="1"/>
  </si>
  <si>
    <t>090-2709-1872</t>
    <phoneticPr fontId="1"/>
  </si>
  <si>
    <t>田中　珠欄</t>
    <rPh sb="0" eb="2">
      <t>タナカ</t>
    </rPh>
    <rPh sb="3" eb="4">
      <t>タマ</t>
    </rPh>
    <rPh sb="4" eb="5">
      <t>ラン</t>
    </rPh>
    <phoneticPr fontId="1"/>
  </si>
  <si>
    <t>タナカ　ジュラ</t>
    <phoneticPr fontId="1"/>
  </si>
  <si>
    <t>489-0980</t>
    <phoneticPr fontId="1"/>
  </si>
  <si>
    <t>愛知県瀬戸市やまて坂1-55</t>
    <rPh sb="0" eb="10">
      <t>489-0980</t>
    </rPh>
    <phoneticPr fontId="1"/>
  </si>
  <si>
    <t>080-2616-5561</t>
    <phoneticPr fontId="1"/>
  </si>
  <si>
    <t>河村　誠司</t>
    <rPh sb="0" eb="2">
      <t>カワムラ</t>
    </rPh>
    <rPh sb="3" eb="5">
      <t>セイジ</t>
    </rPh>
    <phoneticPr fontId="1"/>
  </si>
  <si>
    <t>カワムラ　セイジ</t>
    <phoneticPr fontId="1"/>
  </si>
  <si>
    <t>兵庫県川西市湯山台1-87-1</t>
    <rPh sb="0" eb="3">
      <t>ヒョウゴケン</t>
    </rPh>
    <rPh sb="3" eb="6">
      <t>カワニシシ</t>
    </rPh>
    <rPh sb="6" eb="9">
      <t>ユヤマダイ</t>
    </rPh>
    <phoneticPr fontId="1"/>
  </si>
  <si>
    <t>triple-dragon.ks@i.softbank.jp</t>
    <phoneticPr fontId="1"/>
  </si>
  <si>
    <t>080-5077-6310</t>
    <phoneticPr fontId="1"/>
  </si>
  <si>
    <t>福武　采実</t>
    <rPh sb="0" eb="2">
      <t>フクタケ</t>
    </rPh>
    <rPh sb="3" eb="4">
      <t>サイ</t>
    </rPh>
    <rPh sb="4" eb="5">
      <t>ジツ</t>
    </rPh>
    <phoneticPr fontId="1"/>
  </si>
  <si>
    <t>フクタケ　コトミ</t>
    <phoneticPr fontId="1"/>
  </si>
  <si>
    <t>631-0032</t>
    <phoneticPr fontId="1"/>
  </si>
  <si>
    <t>奈良県奈良市あやめ池北1-21-3</t>
    <rPh sb="0" eb="11">
      <t>631-0032</t>
    </rPh>
    <phoneticPr fontId="1"/>
  </si>
  <si>
    <t>kotomifukutake@gmail.com</t>
    <phoneticPr fontId="1"/>
  </si>
  <si>
    <t>090-5095-7241</t>
    <phoneticPr fontId="1"/>
  </si>
  <si>
    <t>辻本様の紹介</t>
    <rPh sb="0" eb="2">
      <t>ツジモト</t>
    </rPh>
    <rPh sb="2" eb="3">
      <t>サマ</t>
    </rPh>
    <rPh sb="4" eb="6">
      <t>ショウカイ</t>
    </rPh>
    <phoneticPr fontId="1"/>
  </si>
  <si>
    <t>即入会決断翌月入会</t>
    <rPh sb="0" eb="3">
      <t>ソクニュウカイ</t>
    </rPh>
    <rPh sb="3" eb="5">
      <t>ケツダン</t>
    </rPh>
    <rPh sb="5" eb="9">
      <t>ヨクツキニュウカイ</t>
    </rPh>
    <phoneticPr fontId="1"/>
  </si>
  <si>
    <t>北　秀実</t>
    <rPh sb="0" eb="1">
      <t>キタ</t>
    </rPh>
    <rPh sb="2" eb="3">
      <t>ヒデ</t>
    </rPh>
    <rPh sb="3" eb="4">
      <t>ミ</t>
    </rPh>
    <phoneticPr fontId="1"/>
  </si>
  <si>
    <t>ノムラ　カズキ</t>
    <phoneticPr fontId="1"/>
  </si>
  <si>
    <t>兵庫県宝塚市高司1丁目2-9-203</t>
    <rPh sb="0" eb="3">
      <t>ヒョウゴケン</t>
    </rPh>
    <rPh sb="3" eb="6">
      <t>タカラヅカシ</t>
    </rPh>
    <rPh sb="6" eb="8">
      <t>タカツカサ</t>
    </rPh>
    <rPh sb="9" eb="11">
      <t>チョウメ</t>
    </rPh>
    <phoneticPr fontId="1"/>
  </si>
  <si>
    <t>080-1637-7952</t>
    <phoneticPr fontId="1"/>
  </si>
  <si>
    <t>kazuki89baseball@yahoo.co.jp</t>
    <phoneticPr fontId="1"/>
  </si>
  <si>
    <t>10/10 入会予定</t>
    <rPh sb="6" eb="8">
      <t>ニュウカイ</t>
    </rPh>
    <rPh sb="8" eb="10">
      <t>ヨテイ</t>
    </rPh>
    <phoneticPr fontId="1"/>
  </si>
  <si>
    <t>10/11 入会予定</t>
    <rPh sb="6" eb="8">
      <t>ニュウカイ</t>
    </rPh>
    <rPh sb="8" eb="10">
      <t>ヨテイ</t>
    </rPh>
    <phoneticPr fontId="1"/>
  </si>
  <si>
    <t>松尾　裕之</t>
    <rPh sb="0" eb="2">
      <t>マツオ</t>
    </rPh>
    <rPh sb="3" eb="5">
      <t>ヒロユキ</t>
    </rPh>
    <phoneticPr fontId="1"/>
  </si>
  <si>
    <t>野村　一貴</t>
    <rPh sb="0" eb="2">
      <t>ノムラ</t>
    </rPh>
    <rPh sb="3" eb="5">
      <t>カズキ</t>
    </rPh>
    <phoneticPr fontId="1"/>
  </si>
  <si>
    <t>マツオ　ヒロユキ</t>
    <phoneticPr fontId="1"/>
  </si>
  <si>
    <t>大阪府池田市室町6-46</t>
    <rPh sb="0" eb="3">
      <t>オオサカフ</t>
    </rPh>
    <rPh sb="3" eb="6">
      <t>イケダシ</t>
    </rPh>
    <rPh sb="6" eb="8">
      <t>ムロマチ</t>
    </rPh>
    <phoneticPr fontId="1"/>
  </si>
  <si>
    <t>chicagomatsuo@icloud.com</t>
    <phoneticPr fontId="1"/>
  </si>
  <si>
    <t>080-3809-5288</t>
    <phoneticPr fontId="1"/>
  </si>
  <si>
    <t>再来　2023.1/7、6/26</t>
    <rPh sb="0" eb="2">
      <t>サイライ</t>
    </rPh>
    <phoneticPr fontId="1"/>
  </si>
  <si>
    <t>児玉　桃</t>
    <rPh sb="0" eb="2">
      <t>コダマ</t>
    </rPh>
    <rPh sb="3" eb="4">
      <t>モモ</t>
    </rPh>
    <phoneticPr fontId="1"/>
  </si>
  <si>
    <t>コダマ　モモ</t>
    <phoneticPr fontId="1"/>
  </si>
  <si>
    <t>滋賀県犬上群豊郷町沢168-9</t>
    <rPh sb="0" eb="3">
      <t>シガケン</t>
    </rPh>
    <rPh sb="3" eb="5">
      <t>イヌウエ</t>
    </rPh>
    <rPh sb="5" eb="6">
      <t>グン</t>
    </rPh>
    <rPh sb="6" eb="8">
      <t>トヨサト</t>
    </rPh>
    <rPh sb="8" eb="9">
      <t>チョウ</t>
    </rPh>
    <rPh sb="9" eb="10">
      <t>サワ</t>
    </rPh>
    <phoneticPr fontId="1"/>
  </si>
  <si>
    <t>529-1175</t>
    <phoneticPr fontId="1"/>
  </si>
  <si>
    <t>080-3799-3539</t>
    <phoneticPr fontId="1"/>
  </si>
  <si>
    <t>葛井　啓三</t>
    <rPh sb="0" eb="2">
      <t>クズイ</t>
    </rPh>
    <rPh sb="3" eb="5">
      <t>ケイゾウ</t>
    </rPh>
    <phoneticPr fontId="1"/>
  </si>
  <si>
    <t>カツイ　ケイゾウ</t>
    <phoneticPr fontId="1"/>
  </si>
  <si>
    <t>661-0031</t>
  </si>
  <si>
    <t>8.2㎞</t>
  </si>
  <si>
    <t>aka9999toshi@gmail.com</t>
  </si>
  <si>
    <t>090-4516-9999</t>
  </si>
  <si>
    <t>川口　昌彦</t>
    <rPh sb="0" eb="2">
      <t>カワグチ</t>
    </rPh>
    <rPh sb="3" eb="5">
      <t>マサヒコ</t>
    </rPh>
    <phoneticPr fontId="1"/>
  </si>
  <si>
    <t>カワグチ　マサヒコ</t>
    <phoneticPr fontId="1"/>
  </si>
  <si>
    <t>286-0048</t>
    <phoneticPr fontId="1"/>
  </si>
  <si>
    <t>千葉県成田市公津の杜2-8-2</t>
    <rPh sb="0" eb="10">
      <t>286-0048</t>
    </rPh>
    <phoneticPr fontId="1"/>
  </si>
  <si>
    <t>090-7343-4730</t>
    <phoneticPr fontId="1"/>
  </si>
  <si>
    <t>八木　康史</t>
    <rPh sb="0" eb="2">
      <t>ヤギ</t>
    </rPh>
    <rPh sb="3" eb="5">
      <t>コウジ</t>
    </rPh>
    <phoneticPr fontId="1"/>
  </si>
  <si>
    <t>ヤギ　ヤスシ</t>
    <phoneticPr fontId="1"/>
  </si>
  <si>
    <t>659-0074</t>
    <phoneticPr fontId="1"/>
  </si>
  <si>
    <t>兵庫県芦屋市平田町4-20</t>
    <rPh sb="0" eb="9">
      <t>659-0074</t>
    </rPh>
    <phoneticPr fontId="1"/>
  </si>
  <si>
    <t>yagi@am.sanken.osaka-u.ac.jp</t>
    <phoneticPr fontId="1"/>
  </si>
  <si>
    <t>090-6550-2689</t>
    <phoneticPr fontId="1"/>
  </si>
  <si>
    <t>福本　優子</t>
    <rPh sb="0" eb="2">
      <t>フクモト</t>
    </rPh>
    <rPh sb="3" eb="5">
      <t>ユウコ</t>
    </rPh>
    <phoneticPr fontId="1"/>
  </si>
  <si>
    <t>フクモト　ユウコ</t>
    <phoneticPr fontId="1"/>
  </si>
  <si>
    <t>662-0097</t>
    <phoneticPr fontId="1"/>
  </si>
  <si>
    <t>兵庫県西宮市柏堂町1-8-404</t>
    <rPh sb="0" eb="9">
      <t>662-0097</t>
    </rPh>
    <phoneticPr fontId="1"/>
  </si>
  <si>
    <t>090-3672-8396</t>
    <phoneticPr fontId="1"/>
  </si>
  <si>
    <t>ヤウ　カワイ</t>
    <phoneticPr fontId="1"/>
  </si>
  <si>
    <t>邱　嘉慧</t>
    <rPh sb="0" eb="1">
      <t>キュウ</t>
    </rPh>
    <rPh sb="2" eb="3">
      <t>カ</t>
    </rPh>
    <rPh sb="3" eb="4">
      <t>サトシ</t>
    </rPh>
    <phoneticPr fontId="1"/>
  </si>
  <si>
    <t>兵庫県宝塚市中山五月台5-8-16</t>
    <rPh sb="0" eb="3">
      <t>ヒョウゴケン</t>
    </rPh>
    <rPh sb="3" eb="6">
      <t>タカラヅカシ</t>
    </rPh>
    <rPh sb="6" eb="11">
      <t>ナカヤマサツキダイ</t>
    </rPh>
    <phoneticPr fontId="1"/>
  </si>
  <si>
    <t>kathyyau2003@yahoo.com.hk</t>
    <phoneticPr fontId="1"/>
  </si>
  <si>
    <t>080-2378-1944</t>
    <phoneticPr fontId="1"/>
  </si>
  <si>
    <t>ワンポイントレッスンが短い</t>
    <rPh sb="11" eb="12">
      <t>ミジカ</t>
    </rPh>
    <phoneticPr fontId="1"/>
  </si>
  <si>
    <t>清水　謙次</t>
    <rPh sb="0" eb="2">
      <t>シミズ</t>
    </rPh>
    <rPh sb="3" eb="4">
      <t>ケン</t>
    </rPh>
    <rPh sb="4" eb="5">
      <t>ツギ</t>
    </rPh>
    <phoneticPr fontId="1"/>
  </si>
  <si>
    <t>シミズ　ケンジ</t>
    <phoneticPr fontId="1"/>
  </si>
  <si>
    <t>兵庫県宝塚市福井町24-6 パルティール101</t>
    <rPh sb="0" eb="9">
      <t>665-0046</t>
    </rPh>
    <phoneticPr fontId="1"/>
  </si>
  <si>
    <t>simizu@yahoo.co.jp</t>
    <phoneticPr fontId="1"/>
  </si>
  <si>
    <t>090-3720-4871</t>
    <phoneticPr fontId="1"/>
  </si>
  <si>
    <t>11/9日に入会予定</t>
    <rPh sb="4" eb="5">
      <t>ニチ</t>
    </rPh>
    <rPh sb="6" eb="10">
      <t>ニュウカイヨテイ</t>
    </rPh>
    <phoneticPr fontId="1"/>
  </si>
  <si>
    <t>本田　貴司</t>
    <rPh sb="0" eb="2">
      <t>ホンダ</t>
    </rPh>
    <rPh sb="3" eb="4">
      <t>タカシ</t>
    </rPh>
    <rPh sb="4" eb="5">
      <t>ツカサ</t>
    </rPh>
    <phoneticPr fontId="1"/>
  </si>
  <si>
    <t>ホンダ　タカシ</t>
    <phoneticPr fontId="1"/>
  </si>
  <si>
    <t>兵庫県宝塚市中筋7-3-1</t>
    <phoneticPr fontId="1"/>
  </si>
  <si>
    <t>takt___honda@softbank.ne.jp</t>
    <phoneticPr fontId="1"/>
  </si>
  <si>
    <t>090-4289-8871</t>
    <phoneticPr fontId="1"/>
  </si>
  <si>
    <t>福島　一輝</t>
    <rPh sb="0" eb="2">
      <t>フクシマ</t>
    </rPh>
    <rPh sb="3" eb="5">
      <t>カズテル</t>
    </rPh>
    <phoneticPr fontId="1"/>
  </si>
  <si>
    <t>フクシマ　カズキ</t>
    <phoneticPr fontId="1"/>
  </si>
  <si>
    <t>670-0921</t>
    <phoneticPr fontId="1"/>
  </si>
  <si>
    <t>兵庫県姫路市綿町69-905</t>
    <rPh sb="0" eb="3">
      <t>ヒョウゴケン</t>
    </rPh>
    <rPh sb="3" eb="6">
      <t>ヒメジシ</t>
    </rPh>
    <rPh sb="6" eb="7">
      <t>ワタ</t>
    </rPh>
    <rPh sb="7" eb="8">
      <t>チョウ</t>
    </rPh>
    <phoneticPr fontId="1"/>
  </si>
  <si>
    <t>75.2km</t>
    <phoneticPr fontId="1"/>
  </si>
  <si>
    <t>mikuni-fukushima@ezweb.ne.jp</t>
    <phoneticPr fontId="1"/>
  </si>
  <si>
    <t>090-2280-0005</t>
    <phoneticPr fontId="1"/>
  </si>
  <si>
    <t>オクダ　ケンスケ</t>
    <phoneticPr fontId="1"/>
  </si>
  <si>
    <t>田中　厳至</t>
    <rPh sb="0" eb="2">
      <t>タナカ</t>
    </rPh>
    <rPh sb="3" eb="4">
      <t>ゲン</t>
    </rPh>
    <rPh sb="4" eb="5">
      <t>イタル</t>
    </rPh>
    <phoneticPr fontId="1"/>
  </si>
  <si>
    <t>タナカ　ツヨシ</t>
    <phoneticPr fontId="1"/>
  </si>
  <si>
    <t>兵庫県伊丹市寺本6-232-23</t>
    <rPh sb="0" eb="3">
      <t>ヒョウゴケン</t>
    </rPh>
    <rPh sb="3" eb="6">
      <t>イタミシ</t>
    </rPh>
    <rPh sb="6" eb="8">
      <t>テラモト</t>
    </rPh>
    <phoneticPr fontId="1"/>
  </si>
  <si>
    <t>080-1504-1823</t>
    <phoneticPr fontId="1"/>
  </si>
  <si>
    <t>桑田賢様紹介（2023/4/28　来店）</t>
    <rPh sb="0" eb="2">
      <t>クワタ</t>
    </rPh>
    <rPh sb="2" eb="3">
      <t>ケン</t>
    </rPh>
    <rPh sb="3" eb="4">
      <t>サマ</t>
    </rPh>
    <rPh sb="4" eb="6">
      <t>ショウカイ</t>
    </rPh>
    <rPh sb="17" eb="19">
      <t>ライテン</t>
    </rPh>
    <phoneticPr fontId="1"/>
  </si>
  <si>
    <t>蔵本　治孝</t>
    <rPh sb="0" eb="2">
      <t>クラモト</t>
    </rPh>
    <rPh sb="3" eb="4">
      <t>ハル</t>
    </rPh>
    <rPh sb="4" eb="5">
      <t>タカ</t>
    </rPh>
    <phoneticPr fontId="1"/>
  </si>
  <si>
    <t>クラモト　ハルタカ</t>
    <phoneticPr fontId="1"/>
  </si>
  <si>
    <t>兵庫県伊丹市荒牧1-6-8</t>
    <rPh sb="0" eb="3">
      <t>ヒョウゴケン</t>
    </rPh>
    <rPh sb="3" eb="6">
      <t>イタミシ</t>
    </rPh>
    <rPh sb="6" eb="8">
      <t>アラマキ</t>
    </rPh>
    <phoneticPr fontId="1"/>
  </si>
  <si>
    <t>090-2597-0516</t>
    <phoneticPr fontId="1"/>
  </si>
  <si>
    <t>大濱　義弘</t>
    <rPh sb="0" eb="2">
      <t>オオハマ</t>
    </rPh>
    <rPh sb="3" eb="4">
      <t>ヨシ</t>
    </rPh>
    <rPh sb="4" eb="5">
      <t>ヒロ</t>
    </rPh>
    <phoneticPr fontId="1"/>
  </si>
  <si>
    <t>オオハマ　ヨシヒロ</t>
    <phoneticPr fontId="1"/>
  </si>
  <si>
    <t>大阪府門真市末広町9-15シャーメゾンTAKARA101</t>
    <rPh sb="0" eb="9">
      <t>571-0030</t>
    </rPh>
    <phoneticPr fontId="1"/>
  </si>
  <si>
    <t>080-3825-3672</t>
    <phoneticPr fontId="1"/>
  </si>
  <si>
    <t>(株)ビロー田中様のご紹介</t>
    <rPh sb="0" eb="3">
      <t>カブシキガイシャ</t>
    </rPh>
    <rPh sb="6" eb="9">
      <t>タナカサマ</t>
    </rPh>
    <rPh sb="11" eb="13">
      <t>ショウカイ</t>
    </rPh>
    <phoneticPr fontId="1"/>
  </si>
  <si>
    <t>筒井　良一</t>
    <rPh sb="0" eb="2">
      <t>ツツイ</t>
    </rPh>
    <rPh sb="3" eb="5">
      <t>リョウイチ</t>
    </rPh>
    <phoneticPr fontId="1"/>
  </si>
  <si>
    <t>ツツイ　リョウイチ</t>
    <phoneticPr fontId="1"/>
  </si>
  <si>
    <t>663-8184</t>
    <phoneticPr fontId="1"/>
  </si>
  <si>
    <t>兵庫県西宮市鳴尾町1-3-27-201</t>
    <rPh sb="0" eb="9">
      <t>663-8184</t>
    </rPh>
    <phoneticPr fontId="1"/>
  </si>
  <si>
    <t>2hundred21@gmail.com</t>
    <phoneticPr fontId="1"/>
  </si>
  <si>
    <t>090-3650-9188</t>
    <phoneticPr fontId="1"/>
  </si>
  <si>
    <t>会員西條様ご紹介</t>
    <rPh sb="0" eb="2">
      <t>カイイン</t>
    </rPh>
    <rPh sb="2" eb="5">
      <t>サイジョウサマ</t>
    </rPh>
    <rPh sb="6" eb="8">
      <t>ショウカイ</t>
    </rPh>
    <phoneticPr fontId="1"/>
  </si>
  <si>
    <t>大仲　世紘</t>
    <rPh sb="0" eb="2">
      <t>オオナカ</t>
    </rPh>
    <rPh sb="3" eb="4">
      <t>ヨ</t>
    </rPh>
    <rPh sb="4" eb="5">
      <t>ヒロ</t>
    </rPh>
    <phoneticPr fontId="1"/>
  </si>
  <si>
    <t>オオナカ　トシヒロ</t>
    <phoneticPr fontId="1"/>
  </si>
  <si>
    <t>580-0043</t>
    <phoneticPr fontId="1"/>
  </si>
  <si>
    <t>大阪府松原市阿保2-74-8</t>
    <rPh sb="0" eb="8">
      <t>580-0043</t>
    </rPh>
    <phoneticPr fontId="1"/>
  </si>
  <si>
    <t>daikikogyo2002@yahoo.co.jp</t>
    <phoneticPr fontId="1"/>
  </si>
  <si>
    <t>090-1130-0903</t>
    <phoneticPr fontId="1"/>
  </si>
  <si>
    <t>住地ゴルフご紹介</t>
    <rPh sb="0" eb="2">
      <t>ジュウチ</t>
    </rPh>
    <rPh sb="6" eb="8">
      <t>ショウカイ</t>
    </rPh>
    <phoneticPr fontId="1"/>
  </si>
  <si>
    <t>イシバシ　マサノブ</t>
    <phoneticPr fontId="1"/>
  </si>
  <si>
    <t>665-0886</t>
  </si>
  <si>
    <t>2.5㎞</t>
  </si>
  <si>
    <t>masanobu177@gmail.com</t>
  </si>
  <si>
    <t>090-4030-5586</t>
  </si>
  <si>
    <t>カトウ　タツノブ</t>
    <phoneticPr fontId="1"/>
  </si>
  <si>
    <t>ﾌｨｯﾃｨﾝｸﾞ料金返金</t>
    <rPh sb="8" eb="10">
      <t>リョウキン</t>
    </rPh>
    <rPh sb="10" eb="12">
      <t>ヘンキンタイケン</t>
    </rPh>
    <phoneticPr fontId="1"/>
  </si>
  <si>
    <t>仕立　和博</t>
    <rPh sb="0" eb="2">
      <t>シタテ</t>
    </rPh>
    <rPh sb="3" eb="5">
      <t>カズヒロ</t>
    </rPh>
    <phoneticPr fontId="1"/>
  </si>
  <si>
    <t>シタテ　カズヒロ</t>
    <phoneticPr fontId="1"/>
  </si>
  <si>
    <t>685-0016</t>
    <phoneticPr fontId="1"/>
  </si>
  <si>
    <t>島根県隠岐郡隠岐の島町城北町392</t>
    <rPh sb="0" eb="14">
      <t>685-0016</t>
    </rPh>
    <phoneticPr fontId="1"/>
  </si>
  <si>
    <t>onji.19571211@docomo.ne.jp</t>
    <phoneticPr fontId="1"/>
  </si>
  <si>
    <t>090-9065-2748</t>
    <phoneticPr fontId="1"/>
  </si>
  <si>
    <t>松村　千代勝</t>
    <rPh sb="0" eb="2">
      <t>マツムラ</t>
    </rPh>
    <rPh sb="3" eb="6">
      <t>チヨカツ</t>
    </rPh>
    <phoneticPr fontId="1"/>
  </si>
  <si>
    <t>植手　桃子</t>
    <rPh sb="0" eb="1">
      <t>ウ</t>
    </rPh>
    <rPh sb="1" eb="2">
      <t>テ</t>
    </rPh>
    <rPh sb="3" eb="5">
      <t>モモコ</t>
    </rPh>
    <phoneticPr fontId="1"/>
  </si>
  <si>
    <t>マツムラ　チヨカツ</t>
    <phoneticPr fontId="1"/>
  </si>
  <si>
    <t>ウエテ　モモコ</t>
    <phoneticPr fontId="1"/>
  </si>
  <si>
    <t>543-0023</t>
    <phoneticPr fontId="1"/>
  </si>
  <si>
    <t>650-0046</t>
    <phoneticPr fontId="1"/>
  </si>
  <si>
    <t>大阪府大阪市天王寺区味原町1-4</t>
    <rPh sb="0" eb="3">
      <t>オオサカフ</t>
    </rPh>
    <rPh sb="3" eb="6">
      <t>オオサカシ</t>
    </rPh>
    <rPh sb="6" eb="9">
      <t>テンノウジ</t>
    </rPh>
    <rPh sb="9" eb="10">
      <t>ク</t>
    </rPh>
    <rPh sb="10" eb="12">
      <t>アジハラ</t>
    </rPh>
    <rPh sb="12" eb="13">
      <t>チョウ</t>
    </rPh>
    <phoneticPr fontId="1"/>
  </si>
  <si>
    <t>兵庫県神戸市中央区港島中町6-14</t>
    <rPh sb="0" eb="3">
      <t>ヒョウゴケン</t>
    </rPh>
    <rPh sb="3" eb="6">
      <t>コウベシ</t>
    </rPh>
    <rPh sb="6" eb="9">
      <t>チュウオウク</t>
    </rPh>
    <rPh sb="9" eb="10">
      <t>ミナト</t>
    </rPh>
    <rPh sb="10" eb="11">
      <t>シマ</t>
    </rPh>
    <rPh sb="11" eb="13">
      <t>ナカマチ</t>
    </rPh>
    <phoneticPr fontId="1"/>
  </si>
  <si>
    <t>090-3350-1133</t>
    <phoneticPr fontId="1"/>
  </si>
  <si>
    <t>080-5349-1460</t>
    <phoneticPr fontId="1"/>
  </si>
  <si>
    <t>26.1km</t>
    <phoneticPr fontId="1"/>
  </si>
  <si>
    <t>イノハラ　リョウ</t>
    <phoneticPr fontId="1"/>
  </si>
  <si>
    <t>兵庫県神戸市灘区宮山町2-6-25グランメゾン六甲宮山町503</t>
    <rPh sb="0" eb="3">
      <t>ヒョウゴケン</t>
    </rPh>
    <rPh sb="3" eb="6">
      <t>コウベシ</t>
    </rPh>
    <rPh sb="6" eb="7">
      <t>ナダ</t>
    </rPh>
    <rPh sb="7" eb="8">
      <t>ク</t>
    </rPh>
    <rPh sb="8" eb="11">
      <t>ミヤヤマチョウ</t>
    </rPh>
    <rPh sb="23" eb="25">
      <t>ロッコウ</t>
    </rPh>
    <rPh sb="25" eb="28">
      <t>ミヤヤママチ</t>
    </rPh>
    <phoneticPr fontId="1"/>
  </si>
  <si>
    <t>657-0065</t>
    <phoneticPr fontId="1"/>
  </si>
  <si>
    <t>酒井　豊</t>
    <rPh sb="0" eb="2">
      <t>サカイ</t>
    </rPh>
    <rPh sb="3" eb="4">
      <t>ユタカ</t>
    </rPh>
    <phoneticPr fontId="1"/>
  </si>
  <si>
    <t>サカイ　ユタカ</t>
    <phoneticPr fontId="1"/>
  </si>
  <si>
    <t>兵庫県宝塚市星の荘30-22モンクール2 202</t>
    <phoneticPr fontId="1"/>
  </si>
  <si>
    <t>azs.gmn@gmail.com</t>
    <phoneticPr fontId="1"/>
  </si>
  <si>
    <t>080-3818-5254</t>
    <phoneticPr fontId="1"/>
  </si>
  <si>
    <t>射場　学</t>
    <rPh sb="0" eb="2">
      <t>イバ</t>
    </rPh>
    <rPh sb="3" eb="4">
      <t>マナブ</t>
    </rPh>
    <phoneticPr fontId="1"/>
  </si>
  <si>
    <t>イバ　マナブ</t>
    <phoneticPr fontId="1"/>
  </si>
  <si>
    <t>兵庫県宝塚市雲雀丘2-12-6</t>
    <rPh sb="0" eb="9">
      <t>665-0805</t>
    </rPh>
    <phoneticPr fontId="1"/>
  </si>
  <si>
    <t>iba@kajima.com</t>
    <phoneticPr fontId="1"/>
  </si>
  <si>
    <t>090-8573-4073</t>
    <phoneticPr fontId="1"/>
  </si>
  <si>
    <t>前原　脩人</t>
    <rPh sb="0" eb="2">
      <t>マエハラ</t>
    </rPh>
    <rPh sb="3" eb="5">
      <t>シュウヒト</t>
    </rPh>
    <phoneticPr fontId="1"/>
  </si>
  <si>
    <t>マエハラ　シュウト</t>
    <phoneticPr fontId="1"/>
  </si>
  <si>
    <t>661-0032</t>
    <phoneticPr fontId="1"/>
  </si>
  <si>
    <t>兵庫県尼崎市武庫之荘東2-15-21-202</t>
    <rPh sb="6" eb="10">
      <t>ムコノソウ</t>
    </rPh>
    <rPh sb="10" eb="11">
      <t>ヒガシ</t>
    </rPh>
    <phoneticPr fontId="1"/>
  </si>
  <si>
    <t>hhcwf-shu-ch@docomo.ne.jp</t>
    <phoneticPr fontId="1"/>
  </si>
  <si>
    <t>080-1478-9307</t>
    <phoneticPr fontId="1"/>
  </si>
  <si>
    <t>松本　瑶</t>
    <rPh sb="0" eb="2">
      <t>マツモト</t>
    </rPh>
    <rPh sb="3" eb="4">
      <t>ヨウ</t>
    </rPh>
    <phoneticPr fontId="1"/>
  </si>
  <si>
    <t>マツモト　ヨウ</t>
    <phoneticPr fontId="1"/>
  </si>
  <si>
    <t>560-0046</t>
    <phoneticPr fontId="1"/>
  </si>
  <si>
    <t>大阪府豊中市千里園1-11-36</t>
    <rPh sb="0" eb="3">
      <t>オオサカフ</t>
    </rPh>
    <rPh sb="3" eb="6">
      <t>トヨナカシ</t>
    </rPh>
    <rPh sb="6" eb="9">
      <t>センリエン</t>
    </rPh>
    <phoneticPr fontId="1"/>
  </si>
  <si>
    <t>xjqabtg485zfsh0e94jx@docomo.ne.jp</t>
    <phoneticPr fontId="1"/>
  </si>
  <si>
    <t>080-8349-0077</t>
    <phoneticPr fontId="1"/>
  </si>
  <si>
    <t>原　剛</t>
    <rPh sb="0" eb="1">
      <t>ハラ</t>
    </rPh>
    <rPh sb="2" eb="3">
      <t>ツヨシ</t>
    </rPh>
    <phoneticPr fontId="1"/>
  </si>
  <si>
    <t>ハラ　ツヨシ</t>
    <phoneticPr fontId="1"/>
  </si>
  <si>
    <t>兵庫県宝塚市山本丸橋1-13-7-403</t>
    <rPh sb="0" eb="3">
      <t>ヒョウゴケン</t>
    </rPh>
    <rPh sb="3" eb="4">
      <t>タカラ</t>
    </rPh>
    <rPh sb="4" eb="5">
      <t>ツカ</t>
    </rPh>
    <rPh sb="5" eb="6">
      <t>シ</t>
    </rPh>
    <rPh sb="6" eb="10">
      <t>ヤマモトマルハシ</t>
    </rPh>
    <phoneticPr fontId="1"/>
  </si>
  <si>
    <t>respect.com1@gmail.com</t>
    <phoneticPr fontId="1"/>
  </si>
  <si>
    <t>090-1585-9688</t>
    <phoneticPr fontId="1"/>
  </si>
  <si>
    <t>永田　明美</t>
    <rPh sb="0" eb="2">
      <t>ナガタ</t>
    </rPh>
    <rPh sb="3" eb="5">
      <t>アケミ</t>
    </rPh>
    <phoneticPr fontId="1"/>
  </si>
  <si>
    <t>ナガタ　アケミ</t>
    <phoneticPr fontId="1"/>
  </si>
  <si>
    <t>兵庫県宝塚市泉ヶ丘17-15</t>
    <rPh sb="6" eb="9">
      <t>イズミガオカ</t>
    </rPh>
    <phoneticPr fontId="1"/>
  </si>
  <si>
    <t>090-1960-1504</t>
    <phoneticPr fontId="1"/>
  </si>
  <si>
    <t>何で知ったか
(その他)</t>
    <rPh sb="0" eb="1">
      <t>ナニ</t>
    </rPh>
    <rPh sb="2" eb="3">
      <t>シ</t>
    </rPh>
    <rPh sb="10" eb="11">
      <t>タ</t>
    </rPh>
    <phoneticPr fontId="1"/>
  </si>
  <si>
    <t>購入</t>
    <rPh sb="0" eb="2">
      <t>コウニュウ</t>
    </rPh>
    <phoneticPr fontId="1"/>
  </si>
  <si>
    <t>性別</t>
    <rPh sb="0" eb="2">
      <t>セイベツ</t>
    </rPh>
    <phoneticPr fontId="1"/>
  </si>
  <si>
    <t>支払い方法（店頭、WEB）</t>
    <rPh sb="0" eb="2">
      <t>シハラ</t>
    </rPh>
    <rPh sb="3" eb="5">
      <t>ホウホウ</t>
    </rPh>
    <rPh sb="6" eb="8">
      <t>テントウ</t>
    </rPh>
    <phoneticPr fontId="1"/>
  </si>
  <si>
    <t>担当受付</t>
    <rPh sb="0" eb="2">
      <t>タントウ</t>
    </rPh>
    <rPh sb="2" eb="4">
      <t>ウケツケ</t>
    </rPh>
    <phoneticPr fontId="1"/>
  </si>
  <si>
    <t>割引（公式ライン、社長紹介、ロータリー関連、再来）</t>
    <rPh sb="0" eb="2">
      <t>ワリビキ</t>
    </rPh>
    <rPh sb="3" eb="5">
      <t>コウシキ</t>
    </rPh>
    <rPh sb="9" eb="13">
      <t>シャチョウショウカイ</t>
    </rPh>
    <rPh sb="19" eb="21">
      <t>カンレン</t>
    </rPh>
    <rPh sb="22" eb="24">
      <t>サイライ</t>
    </rPh>
    <phoneticPr fontId="1"/>
  </si>
  <si>
    <t>再来の場合日付記入</t>
    <rPh sb="0" eb="2">
      <t>サイライ</t>
    </rPh>
    <rPh sb="3" eb="5">
      <t>バアイ</t>
    </rPh>
    <rPh sb="5" eb="7">
      <t>ヒヅケ</t>
    </rPh>
    <rPh sb="7" eb="9">
      <t>キニュウ</t>
    </rPh>
    <phoneticPr fontId="1"/>
  </si>
  <si>
    <t>入会</t>
  </si>
  <si>
    <t>金岡　真</t>
    <rPh sb="0" eb="2">
      <t>カナオカ</t>
    </rPh>
    <phoneticPr fontId="1"/>
  </si>
  <si>
    <t>兵庫県宝塚市成町4-8-5</t>
    <rPh sb="0" eb="3">
      <t>ヒョウゴケン</t>
    </rPh>
    <rPh sb="3" eb="6">
      <t>タカラヅカシ</t>
    </rPh>
    <rPh sb="6" eb="7">
      <t>セイ</t>
    </rPh>
    <rPh sb="7" eb="8">
      <t>チョウ</t>
    </rPh>
    <phoneticPr fontId="1"/>
  </si>
  <si>
    <t>入会(翌月)</t>
    <rPh sb="3" eb="5">
      <t>ヨクツキ</t>
    </rPh>
    <phoneticPr fontId="1"/>
  </si>
  <si>
    <t>入会翌々月</t>
    <rPh sb="2" eb="4">
      <t>ヨクヨク</t>
    </rPh>
    <rPh sb="4" eb="5">
      <t>ツキ</t>
    </rPh>
    <phoneticPr fontId="1"/>
  </si>
  <si>
    <t>成約（入会、購入）</t>
    <rPh sb="0" eb="2">
      <t>セイヤク</t>
    </rPh>
    <rPh sb="3" eb="5">
      <t>ニュウカイ</t>
    </rPh>
    <rPh sb="6" eb="8">
      <t>コウニュウ</t>
    </rPh>
    <phoneticPr fontId="1"/>
  </si>
  <si>
    <t>入会</t>
    <phoneticPr fontId="1"/>
  </si>
  <si>
    <t>1　（フィッティング）</t>
    <phoneticPr fontId="1"/>
  </si>
  <si>
    <t>2　（フィッティング）</t>
  </si>
  <si>
    <t>3　（フィッティング）</t>
  </si>
  <si>
    <t>4　（フィッティング）</t>
  </si>
  <si>
    <t>5　（フィッティング）</t>
  </si>
  <si>
    <t>尾田　清</t>
    <rPh sb="0" eb="2">
      <t>オダ</t>
    </rPh>
    <rPh sb="3" eb="4">
      <t>キヨシ</t>
    </rPh>
    <phoneticPr fontId="1"/>
  </si>
  <si>
    <t>オダ　ヤスシ</t>
    <phoneticPr fontId="1"/>
  </si>
  <si>
    <t>大阪府吹田市桃山台2-3-2-302</t>
    <phoneticPr fontId="1"/>
  </si>
  <si>
    <t>090-3484-8401</t>
    <phoneticPr fontId="1"/>
  </si>
  <si>
    <t>odayasusi79@gmail.com</t>
    <phoneticPr fontId="1"/>
  </si>
  <si>
    <t>WEB</t>
  </si>
  <si>
    <t>WEB</t>
    <phoneticPr fontId="1"/>
  </si>
  <si>
    <t>店頭</t>
    <rPh sb="0" eb="2">
      <t>テントウ</t>
    </rPh>
    <phoneticPr fontId="1"/>
  </si>
  <si>
    <t>杉田</t>
    <rPh sb="0" eb="2">
      <t>スギタ</t>
    </rPh>
    <phoneticPr fontId="1"/>
  </si>
  <si>
    <t>卜部</t>
    <rPh sb="0" eb="2">
      <t>ウラベ</t>
    </rPh>
    <phoneticPr fontId="1"/>
  </si>
  <si>
    <t>谷川</t>
    <rPh sb="0" eb="2">
      <t>タニガワ</t>
    </rPh>
    <phoneticPr fontId="1"/>
  </si>
  <si>
    <t>古川</t>
    <rPh sb="0" eb="2">
      <t>フルカワ</t>
    </rPh>
    <phoneticPr fontId="1"/>
  </si>
  <si>
    <t>公式ライン</t>
    <phoneticPr fontId="1"/>
  </si>
  <si>
    <t>社長紹介</t>
    <phoneticPr fontId="1"/>
  </si>
  <si>
    <t>ロータリー関連</t>
    <phoneticPr fontId="1"/>
  </si>
  <si>
    <t>再来</t>
    <phoneticPr fontId="1"/>
  </si>
  <si>
    <t>公式LINE　ｱﾌﾀｰﾌｫﾛｰ実施日</t>
    <rPh sb="0" eb="6">
      <t>コウシキライン</t>
    </rPh>
    <rPh sb="15" eb="17">
      <t>ジッシ</t>
    </rPh>
    <rPh sb="17" eb="18">
      <t>ビ</t>
    </rPh>
    <phoneticPr fontId="1"/>
  </si>
  <si>
    <t>岡本　茂樹</t>
    <rPh sb="0" eb="2">
      <t>オカモト</t>
    </rPh>
    <rPh sb="3" eb="5">
      <t>シゲキ</t>
    </rPh>
    <phoneticPr fontId="1"/>
  </si>
  <si>
    <t>オカモト　シゲキ</t>
    <phoneticPr fontId="1"/>
  </si>
  <si>
    <t>兵庫県宝塚市山本台3-16-1-317</t>
    <rPh sb="0" eb="3">
      <t>ヒョウゴケン</t>
    </rPh>
    <rPh sb="3" eb="6">
      <t>タカラヅカシ</t>
    </rPh>
    <rPh sb="6" eb="8">
      <t>ヤマモト</t>
    </rPh>
    <rPh sb="8" eb="9">
      <t>ダイ</t>
    </rPh>
    <phoneticPr fontId="1"/>
  </si>
  <si>
    <t>090-8388-8433</t>
    <phoneticPr fontId="1"/>
  </si>
  <si>
    <t>bp-ing@ezweb.ne.jp</t>
    <phoneticPr fontId="1"/>
  </si>
  <si>
    <t>通りすがり</t>
  </si>
  <si>
    <t>ワンポイントレッスンを受けてみたい　　</t>
  </si>
  <si>
    <t>ワンポイントレッスンを受けてみたい　　</t>
    <phoneticPr fontId="1"/>
  </si>
  <si>
    <t>PGAプロに習ってみたい</t>
    <phoneticPr fontId="1"/>
  </si>
  <si>
    <t>インドアゴルフを利用してみたい　　</t>
  </si>
  <si>
    <t>インドアゴルフを利用してみたい　　</t>
    <phoneticPr fontId="1"/>
  </si>
  <si>
    <t>シュミレーションを利用してみたい　　</t>
    <phoneticPr fontId="1"/>
  </si>
  <si>
    <t>スイングロボを利用してみたい</t>
    <phoneticPr fontId="1"/>
  </si>
  <si>
    <t>1（体験理由）</t>
    <rPh sb="2" eb="4">
      <t>タイケン</t>
    </rPh>
    <rPh sb="4" eb="6">
      <t>リユウ</t>
    </rPh>
    <phoneticPr fontId="1"/>
  </si>
  <si>
    <t>2（体験理由）</t>
    <rPh sb="2" eb="4">
      <t>タイケン</t>
    </rPh>
    <rPh sb="4" eb="6">
      <t>リユウ</t>
    </rPh>
    <phoneticPr fontId="1"/>
  </si>
  <si>
    <t>3（体験理由）</t>
    <rPh sb="2" eb="4">
      <t>タイケン</t>
    </rPh>
    <rPh sb="4" eb="6">
      <t>リユウ</t>
    </rPh>
    <phoneticPr fontId="1"/>
  </si>
  <si>
    <t>4（体験理由）</t>
    <rPh sb="2" eb="4">
      <t>タイケン</t>
    </rPh>
    <rPh sb="4" eb="6">
      <t>リユウ</t>
    </rPh>
    <phoneticPr fontId="1"/>
  </si>
  <si>
    <t>5（体験理由）</t>
    <rPh sb="2" eb="4">
      <t>タイケン</t>
    </rPh>
    <rPh sb="4" eb="6">
      <t>リユウ</t>
    </rPh>
    <phoneticPr fontId="1"/>
  </si>
  <si>
    <t>ゴルフスクールに通う目的　1</t>
    <rPh sb="8" eb="9">
      <t>カヨ</t>
    </rPh>
    <rPh sb="10" eb="12">
      <t>モクテキ</t>
    </rPh>
    <phoneticPr fontId="1"/>
  </si>
  <si>
    <t>ゴルフスクールに通う目的　2</t>
    <rPh sb="8" eb="9">
      <t>カヨ</t>
    </rPh>
    <rPh sb="10" eb="12">
      <t>モクテキ</t>
    </rPh>
    <phoneticPr fontId="1"/>
  </si>
  <si>
    <t>定期的に体を動かしたい　　</t>
    <phoneticPr fontId="1"/>
  </si>
  <si>
    <t>スコアアップを目指したい</t>
    <phoneticPr fontId="1"/>
  </si>
  <si>
    <t>今よりも飛距離を伸ばしたい　　</t>
  </si>
  <si>
    <t>今よりも飛距離を伸ばしたい　　</t>
    <phoneticPr fontId="1"/>
  </si>
  <si>
    <t>気軽に練習できる環境が欲しい</t>
    <phoneticPr fontId="1"/>
  </si>
  <si>
    <t>ゴルフスイングの理論やテクニックに関する理解を深めたい</t>
    <phoneticPr fontId="1"/>
  </si>
  <si>
    <t>ホームページ</t>
    <phoneticPr fontId="1"/>
  </si>
  <si>
    <t>木下　佳香</t>
    <rPh sb="0" eb="2">
      <t>キノシタ</t>
    </rPh>
    <rPh sb="3" eb="4">
      <t>カ</t>
    </rPh>
    <rPh sb="4" eb="5">
      <t>カオリ</t>
    </rPh>
    <phoneticPr fontId="1"/>
  </si>
  <si>
    <t>上原　嘉連</t>
    <rPh sb="0" eb="2">
      <t>ウエハラ</t>
    </rPh>
    <rPh sb="3" eb="4">
      <t>カ</t>
    </rPh>
    <rPh sb="4" eb="5">
      <t>レン</t>
    </rPh>
    <phoneticPr fontId="1"/>
  </si>
  <si>
    <t>建畑　誠</t>
    <rPh sb="0" eb="1">
      <t>ケン</t>
    </rPh>
    <rPh sb="1" eb="2">
      <t>ハタ</t>
    </rPh>
    <rPh sb="3" eb="4">
      <t>マコト</t>
    </rPh>
    <phoneticPr fontId="1"/>
  </si>
  <si>
    <t>村尾　健一</t>
    <rPh sb="0" eb="2">
      <t>ムラオ</t>
    </rPh>
    <rPh sb="3" eb="5">
      <t>ケンイチ</t>
    </rPh>
    <phoneticPr fontId="1"/>
  </si>
  <si>
    <t>尾上　勇介</t>
    <rPh sb="0" eb="2">
      <t>オノウエ</t>
    </rPh>
    <rPh sb="3" eb="5">
      <t>ユウスケ</t>
    </rPh>
    <phoneticPr fontId="1"/>
  </si>
  <si>
    <t>藤本　宏美</t>
    <rPh sb="0" eb="2">
      <t>フジモト</t>
    </rPh>
    <rPh sb="3" eb="5">
      <t>ヒロミ</t>
    </rPh>
    <phoneticPr fontId="1"/>
  </si>
  <si>
    <t>ウエハラ　カレン</t>
    <phoneticPr fontId="1"/>
  </si>
  <si>
    <t>タテハタ　マコト</t>
    <phoneticPr fontId="1"/>
  </si>
  <si>
    <t>ムラオ　ケンイチ</t>
    <phoneticPr fontId="1"/>
  </si>
  <si>
    <t>オノウエ　ユウスケ</t>
    <phoneticPr fontId="1"/>
  </si>
  <si>
    <t>フジモト　ヒロミ</t>
    <phoneticPr fontId="1"/>
  </si>
  <si>
    <t>662-0874</t>
    <phoneticPr fontId="1"/>
  </si>
  <si>
    <t>兵庫県西宮市六軒町2-17 504</t>
    <rPh sb="0" eb="9">
      <t>662-0874</t>
    </rPh>
    <phoneticPr fontId="1"/>
  </si>
  <si>
    <t>670-0063</t>
    <phoneticPr fontId="1"/>
  </si>
  <si>
    <t>兵庫県姫路市下手野3-11-56</t>
    <rPh sb="0" eb="3">
      <t>ヒョウゴケン</t>
    </rPh>
    <rPh sb="3" eb="6">
      <t>ヒメジシ</t>
    </rPh>
    <rPh sb="6" eb="8">
      <t>シモテ</t>
    </rPh>
    <rPh sb="8" eb="9">
      <t>ノ</t>
    </rPh>
    <phoneticPr fontId="1"/>
  </si>
  <si>
    <t>兵庫県宝塚市桜ガ丘9-5</t>
    <rPh sb="0" eb="9">
      <t>665-0846</t>
    </rPh>
    <phoneticPr fontId="1"/>
  </si>
  <si>
    <t>兵庫県宝塚市中筋7-3-1</t>
    <rPh sb="0" eb="8">
      <t>665-0874</t>
    </rPh>
    <phoneticPr fontId="1"/>
  </si>
  <si>
    <t>兵庫県宝塚市山手台東5-27-6</t>
    <rPh sb="0" eb="10">
      <t>665-0887</t>
    </rPh>
    <phoneticPr fontId="1"/>
  </si>
  <si>
    <t>兵庫県宝塚市山本南3-28-30</t>
    <rPh sb="0" eb="9">
      <t>665-0882</t>
    </rPh>
    <phoneticPr fontId="1"/>
  </si>
  <si>
    <t>karen0719@gmail.com</t>
    <phoneticPr fontId="1"/>
  </si>
  <si>
    <t>ken10300903@gmail.com</t>
    <phoneticPr fontId="1"/>
  </si>
  <si>
    <t>070-7796-0719</t>
    <phoneticPr fontId="1"/>
  </si>
  <si>
    <t>090-3496-6024</t>
    <phoneticPr fontId="1"/>
  </si>
  <si>
    <t>090-8797-0606</t>
    <phoneticPr fontId="1"/>
  </si>
  <si>
    <t>080-1508-0009</t>
    <phoneticPr fontId="1"/>
  </si>
  <si>
    <t>090-5667-9852</t>
    <phoneticPr fontId="1"/>
  </si>
  <si>
    <t>LINE500円利用</t>
    <rPh sb="7" eb="8">
      <t>エン</t>
    </rPh>
    <rPh sb="8" eb="10">
      <t>リヨウ</t>
    </rPh>
    <phoneticPr fontId="1"/>
  </si>
  <si>
    <t>知人の紹介</t>
  </si>
  <si>
    <t>会員木下昌重様ご家族</t>
    <rPh sb="0" eb="2">
      <t>カイイン</t>
    </rPh>
    <rPh sb="2" eb="4">
      <t>キノシタ</t>
    </rPh>
    <rPh sb="4" eb="5">
      <t>アキラ</t>
    </rPh>
    <rPh sb="5" eb="6">
      <t>シゲ</t>
    </rPh>
    <rPh sb="6" eb="7">
      <t>サマ</t>
    </rPh>
    <rPh sb="8" eb="10">
      <t>カゾク</t>
    </rPh>
    <phoneticPr fontId="1"/>
  </si>
  <si>
    <t>トラックマン等計測設備の利用</t>
  </si>
  <si>
    <t>トラックマン等計測設備の利用</t>
    <phoneticPr fontId="1"/>
  </si>
  <si>
    <t>なんとなく来てみた</t>
    <rPh sb="5" eb="6">
      <t>キ</t>
    </rPh>
    <phoneticPr fontId="1"/>
  </si>
  <si>
    <t>入会（翌月）</t>
    <rPh sb="0" eb="2">
      <t>ニュウカイ</t>
    </rPh>
    <rPh sb="3" eb="5">
      <t>ヨクゲツ</t>
    </rPh>
    <phoneticPr fontId="1"/>
  </si>
  <si>
    <t>柏原　直生</t>
    <rPh sb="0" eb="2">
      <t>カシハラ</t>
    </rPh>
    <rPh sb="3" eb="4">
      <t>ナオ</t>
    </rPh>
    <rPh sb="4" eb="5">
      <t>ショウ</t>
    </rPh>
    <phoneticPr fontId="1"/>
  </si>
  <si>
    <t>カシワバラ　ナオキ</t>
    <phoneticPr fontId="1"/>
  </si>
  <si>
    <t>兵庫県宝塚市中筋1-11-46</t>
    <rPh sb="0" eb="3">
      <t>ヒョウゴケン</t>
    </rPh>
    <rPh sb="3" eb="6">
      <t>タカラヅカシ</t>
    </rPh>
    <rPh sb="6" eb="8">
      <t>ナカスジ</t>
    </rPh>
    <phoneticPr fontId="1"/>
  </si>
  <si>
    <t>090-1483-4128</t>
  </si>
  <si>
    <t>kashikashi0302@gmail.com</t>
    <phoneticPr fontId="1"/>
  </si>
  <si>
    <t>スコアアップを目指したい</t>
  </si>
  <si>
    <t>ゴルフスクールに通う目的　3</t>
    <rPh sb="8" eb="9">
      <t>カヨ</t>
    </rPh>
    <rPh sb="10" eb="12">
      <t>モクテキ</t>
    </rPh>
    <phoneticPr fontId="1"/>
  </si>
  <si>
    <t>気軽に練習できる環境が欲しい</t>
  </si>
  <si>
    <t>鎖骨のボルトを抜くのでそれ以降に入会します</t>
    <phoneticPr fontId="1"/>
  </si>
  <si>
    <t>西尾　武晃</t>
    <rPh sb="0" eb="2">
      <t>ニシオ</t>
    </rPh>
    <rPh sb="3" eb="4">
      <t>タケシ</t>
    </rPh>
    <rPh sb="4" eb="5">
      <t>アキラ</t>
    </rPh>
    <phoneticPr fontId="1"/>
  </si>
  <si>
    <t>ニシオ　タケアキ</t>
  </si>
  <si>
    <t>552-0016</t>
  </si>
  <si>
    <t>大阪府大阪市港区三先1-8-14</t>
    <rPh sb="0" eb="10">
      <t>552-0016</t>
    </rPh>
    <phoneticPr fontId="1"/>
  </si>
  <si>
    <t>090-8821-4851</t>
  </si>
  <si>
    <t>丸山　剛</t>
    <rPh sb="0" eb="2">
      <t>マルヤマ</t>
    </rPh>
    <rPh sb="3" eb="4">
      <t>タケシ</t>
    </rPh>
    <phoneticPr fontId="1"/>
  </si>
  <si>
    <t>マルヤマ　タケシ</t>
    <phoneticPr fontId="1"/>
  </si>
  <si>
    <t>大阪府守口市豊秀町1-8-3</t>
    <rPh sb="0" eb="9">
      <t>570-0082</t>
    </rPh>
    <phoneticPr fontId="1"/>
  </si>
  <si>
    <t>080-1407-0054</t>
    <phoneticPr fontId="1"/>
  </si>
  <si>
    <t>LINE500円利用</t>
    <phoneticPr fontId="1"/>
  </si>
  <si>
    <t>PGAプロに習ってみたい</t>
  </si>
  <si>
    <t>ゴルフスイングの理論やテクニックに関する理解を深めたい</t>
  </si>
  <si>
    <t>田中　瞭汰</t>
    <rPh sb="0" eb="2">
      <t>タナカ</t>
    </rPh>
    <rPh sb="3" eb="5">
      <t>リョウタ</t>
    </rPh>
    <phoneticPr fontId="1"/>
  </si>
  <si>
    <t>タナカ　リョウタ</t>
    <phoneticPr fontId="1"/>
  </si>
  <si>
    <t>679-2214</t>
    <phoneticPr fontId="1"/>
  </si>
  <si>
    <t>兵庫県神崎郡福崎町福崎新364 ルーレストⅡ 102</t>
    <rPh sb="0" eb="12">
      <t>679-2214</t>
    </rPh>
    <phoneticPr fontId="1"/>
  </si>
  <si>
    <t>080-6160-6411</t>
    <phoneticPr fontId="1"/>
  </si>
  <si>
    <t>キノシタ　タイキ</t>
    <phoneticPr fontId="1"/>
  </si>
  <si>
    <t>木下　太揮</t>
    <rPh sb="0" eb="2">
      <t>キノシタ</t>
    </rPh>
    <phoneticPr fontId="1"/>
  </si>
  <si>
    <t>兵庫県伊丹市中野東1-71-1</t>
    <rPh sb="0" eb="3">
      <t>ヒョウゴケン</t>
    </rPh>
    <phoneticPr fontId="1"/>
  </si>
  <si>
    <t>080-9589-7762</t>
    <phoneticPr fontId="1"/>
  </si>
  <si>
    <t>seeds1130@gmail.com</t>
    <phoneticPr fontId="1"/>
  </si>
  <si>
    <t>宮川　晃一</t>
    <rPh sb="0" eb="2">
      <t>ミヤガワ</t>
    </rPh>
    <rPh sb="3" eb="5">
      <t>コウイチ</t>
    </rPh>
    <phoneticPr fontId="1"/>
  </si>
  <si>
    <t>ミヤガワ　コウイチ</t>
    <phoneticPr fontId="1"/>
  </si>
  <si>
    <t>兵庫県宝塚市青葉台2-13-20</t>
    <rPh sb="0" eb="9">
      <t>665-0014</t>
    </rPh>
    <phoneticPr fontId="1"/>
  </si>
  <si>
    <t>090-5043-7945</t>
    <phoneticPr fontId="1"/>
  </si>
  <si>
    <t>LINE500円利用</t>
  </si>
  <si>
    <t>シゲノ　タカシ</t>
    <phoneticPr fontId="1"/>
  </si>
  <si>
    <t>678-0001</t>
    <phoneticPr fontId="1"/>
  </si>
  <si>
    <t>兵庫県相生市山手2-152</t>
    <rPh sb="0" eb="3">
      <t>ヒョウゴケン</t>
    </rPh>
    <rPh sb="3" eb="6">
      <t>アイオイシ</t>
    </rPh>
    <rPh sb="6" eb="8">
      <t>ヤマテ</t>
    </rPh>
    <phoneticPr fontId="1"/>
  </si>
  <si>
    <t>t.sgn9679@gmail.com</t>
    <phoneticPr fontId="1"/>
  </si>
  <si>
    <t>95.3㎞</t>
    <phoneticPr fontId="1"/>
  </si>
  <si>
    <t>吉井　剛仁</t>
    <rPh sb="0" eb="2">
      <t>ヨシイ</t>
    </rPh>
    <rPh sb="3" eb="4">
      <t>ゴウ</t>
    </rPh>
    <rPh sb="4" eb="5">
      <t>ヒトシ</t>
    </rPh>
    <phoneticPr fontId="1"/>
  </si>
  <si>
    <t>ヨシイ　タカヒト</t>
    <phoneticPr fontId="1"/>
  </si>
  <si>
    <t>533-0033</t>
    <phoneticPr fontId="1"/>
  </si>
  <si>
    <t>大阪府大阪市東淀川区東中島1-21-18-1303</t>
    <rPh sb="0" eb="13">
      <t>533-0033</t>
    </rPh>
    <phoneticPr fontId="1"/>
  </si>
  <si>
    <t>080-5313-0453</t>
    <phoneticPr fontId="1"/>
  </si>
  <si>
    <t>安徳　大樹</t>
    <rPh sb="0" eb="2">
      <t>アントク</t>
    </rPh>
    <rPh sb="3" eb="5">
      <t>ダイキ</t>
    </rPh>
    <phoneticPr fontId="1"/>
  </si>
  <si>
    <t>アントク　ダイキ</t>
    <phoneticPr fontId="1"/>
  </si>
  <si>
    <t>661-0041</t>
    <phoneticPr fontId="1"/>
  </si>
  <si>
    <t>兵庫県尼崎市武庫の里1-20-9</t>
    <rPh sb="0" eb="3">
      <t>ヒョウゴケン</t>
    </rPh>
    <rPh sb="3" eb="6">
      <t>アマガサキシ</t>
    </rPh>
    <rPh sb="6" eb="8">
      <t>ムコ</t>
    </rPh>
    <rPh sb="9" eb="10">
      <t>サト</t>
    </rPh>
    <phoneticPr fontId="1"/>
  </si>
  <si>
    <t>090-6916-0618</t>
    <phoneticPr fontId="1"/>
  </si>
  <si>
    <t>antoku@alesty.jp</t>
    <phoneticPr fontId="1"/>
  </si>
  <si>
    <t>2月下旬までに入会なければ公式ラインで案内</t>
    <rPh sb="1" eb="2">
      <t>ガツ</t>
    </rPh>
    <rPh sb="2" eb="4">
      <t>ゲジュン</t>
    </rPh>
    <rPh sb="7" eb="9">
      <t>ニュウカイ</t>
    </rPh>
    <rPh sb="13" eb="15">
      <t>コウシキ</t>
    </rPh>
    <rPh sb="19" eb="21">
      <t>アンナイ</t>
    </rPh>
    <phoneticPr fontId="1"/>
  </si>
  <si>
    <t>初心者、他店舗と比較するといっていた→2/11にKGUの案内予定</t>
    <rPh sb="0" eb="3">
      <t>ショシンシャ</t>
    </rPh>
    <rPh sb="4" eb="7">
      <t>ホカテンポ</t>
    </rPh>
    <rPh sb="8" eb="10">
      <t>ヒカク</t>
    </rPh>
    <rPh sb="28" eb="30">
      <t>アンナイ</t>
    </rPh>
    <rPh sb="30" eb="32">
      <t>ヨテイ</t>
    </rPh>
    <phoneticPr fontId="1"/>
  </si>
  <si>
    <t>山脇　研郎</t>
    <rPh sb="0" eb="2">
      <t>ヤマワキ</t>
    </rPh>
    <rPh sb="3" eb="4">
      <t>ケン</t>
    </rPh>
    <rPh sb="4" eb="5">
      <t>ロウ</t>
    </rPh>
    <phoneticPr fontId="1"/>
  </si>
  <si>
    <t>ヤマワキ　ケンロウ</t>
    <phoneticPr fontId="1"/>
  </si>
  <si>
    <t>662-0886</t>
    <phoneticPr fontId="1"/>
  </si>
  <si>
    <t>兵庫県西宮市上ケ原山田町4-152</t>
    <rPh sb="0" eb="12">
      <t>662-0886</t>
    </rPh>
    <phoneticPr fontId="1"/>
  </si>
  <si>
    <t>090-5256-6579</t>
    <phoneticPr fontId="1"/>
  </si>
  <si>
    <t>ykenrou@gmail.com</t>
    <phoneticPr fontId="1"/>
  </si>
  <si>
    <t>山野　眞成</t>
    <rPh sb="0" eb="2">
      <t>ヤマノ</t>
    </rPh>
    <rPh sb="3" eb="4">
      <t>マコト</t>
    </rPh>
    <rPh sb="4" eb="5">
      <t>シゲル</t>
    </rPh>
    <phoneticPr fontId="1"/>
  </si>
  <si>
    <t>ヤマノ　シンセイ</t>
    <phoneticPr fontId="1"/>
  </si>
  <si>
    <t>533-0005</t>
    <phoneticPr fontId="1"/>
  </si>
  <si>
    <t>大阪府大阪市東淀川区瑞光3-3-9</t>
    <rPh sb="0" eb="12">
      <t>533-0005</t>
    </rPh>
    <phoneticPr fontId="1"/>
  </si>
  <si>
    <t>090-6974-4525</t>
    <phoneticPr fontId="1"/>
  </si>
  <si>
    <t>yamano@torit-yy--ttt.jp</t>
    <phoneticPr fontId="1"/>
  </si>
  <si>
    <t>社長紹介</t>
  </si>
  <si>
    <t>山川　浩司</t>
    <rPh sb="0" eb="2">
      <t>ヤマカワ</t>
    </rPh>
    <rPh sb="3" eb="4">
      <t>ヒロシ</t>
    </rPh>
    <rPh sb="4" eb="5">
      <t>ツカサ</t>
    </rPh>
    <phoneticPr fontId="1"/>
  </si>
  <si>
    <t>ヤマカワ　ヒロシ</t>
    <phoneticPr fontId="1"/>
  </si>
  <si>
    <t>大阪府大阪市東淀川区瑞光3-6-18</t>
    <rPh sb="0" eb="12">
      <t>533-0005</t>
    </rPh>
    <phoneticPr fontId="1"/>
  </si>
  <si>
    <t>090-2012-4253</t>
    <phoneticPr fontId="1"/>
  </si>
  <si>
    <t>永島　健人</t>
    <rPh sb="0" eb="2">
      <t>ナガシマ</t>
    </rPh>
    <rPh sb="3" eb="5">
      <t>ケント</t>
    </rPh>
    <phoneticPr fontId="1"/>
  </si>
  <si>
    <t>ナガシマ　ケント</t>
    <phoneticPr fontId="1"/>
  </si>
  <si>
    <t>532-0004</t>
    <phoneticPr fontId="1"/>
  </si>
  <si>
    <t>大阪府大阪市淀川区西宮原1-6-15-410</t>
    <rPh sb="0" eb="12">
      <t>532-0004</t>
    </rPh>
    <phoneticPr fontId="1"/>
  </si>
  <si>
    <t>080-6118-9848</t>
    <phoneticPr fontId="1"/>
  </si>
  <si>
    <t>山本　鐘徳</t>
    <rPh sb="0" eb="2">
      <t>ヤマモト</t>
    </rPh>
    <rPh sb="3" eb="4">
      <t>ショウ</t>
    </rPh>
    <rPh sb="4" eb="5">
      <t>トク</t>
    </rPh>
    <phoneticPr fontId="1"/>
  </si>
  <si>
    <t>ヤマモト　ショウトク</t>
    <phoneticPr fontId="1"/>
  </si>
  <si>
    <t>下中　貴弘</t>
    <rPh sb="0" eb="2">
      <t>シタナカ</t>
    </rPh>
    <rPh sb="3" eb="5">
      <t>タカヒロ</t>
    </rPh>
    <phoneticPr fontId="1"/>
  </si>
  <si>
    <t>シタナカ　タカヒロ</t>
    <phoneticPr fontId="1"/>
  </si>
  <si>
    <t>兵庫県川西市東多田3-20-1-302</t>
    <rPh sb="0" eb="9">
      <t>666-0122</t>
    </rPh>
    <phoneticPr fontId="1"/>
  </si>
  <si>
    <t>090-5247-8665</t>
    <phoneticPr fontId="1"/>
  </si>
  <si>
    <t>スイングロボを利用してみたい</t>
  </si>
  <si>
    <t>平野　勝也</t>
    <rPh sb="0" eb="2">
      <t>ヒラノ</t>
    </rPh>
    <rPh sb="3" eb="5">
      <t>カツヤ</t>
    </rPh>
    <phoneticPr fontId="1"/>
  </si>
  <si>
    <t>ヒラノ　カツヤ</t>
    <phoneticPr fontId="1"/>
  </si>
  <si>
    <t>兵庫県宝塚市山本南1-37-9</t>
    <rPh sb="0" eb="3">
      <t>ヒョウゴケン</t>
    </rPh>
    <rPh sb="3" eb="6">
      <t>タカラヅカシ</t>
    </rPh>
    <rPh sb="6" eb="9">
      <t>ヤマモトミナミ</t>
    </rPh>
    <phoneticPr fontId="1"/>
  </si>
  <si>
    <t>090-9606-3487</t>
    <phoneticPr fontId="1"/>
  </si>
  <si>
    <t>その他</t>
  </si>
  <si>
    <t>春次　武明</t>
    <rPh sb="0" eb="2">
      <t>ハルツグ</t>
    </rPh>
    <rPh sb="3" eb="4">
      <t>タケ</t>
    </rPh>
    <rPh sb="4" eb="5">
      <t>アケ</t>
    </rPh>
    <phoneticPr fontId="1"/>
  </si>
  <si>
    <t>ハルツグ　タケアキ</t>
    <phoneticPr fontId="1"/>
  </si>
  <si>
    <t>大阪府豊中市緑丘1-13-11</t>
    <rPh sb="0" eb="3">
      <t>オオサカフ</t>
    </rPh>
    <rPh sb="3" eb="6">
      <t>トヨナカシ</t>
    </rPh>
    <rPh sb="6" eb="7">
      <t>ミドリ</t>
    </rPh>
    <rPh sb="7" eb="8">
      <t>オカ</t>
    </rPh>
    <phoneticPr fontId="1"/>
  </si>
  <si>
    <t>10km</t>
    <phoneticPr fontId="1"/>
  </si>
  <si>
    <t>06-6844-8233</t>
    <phoneticPr fontId="1"/>
  </si>
  <si>
    <t>0408yaoya@gmail.com</t>
    <phoneticPr fontId="1"/>
  </si>
  <si>
    <t>中村　功</t>
    <rPh sb="0" eb="2">
      <t>ナカムラ</t>
    </rPh>
    <rPh sb="3" eb="4">
      <t>コウ</t>
    </rPh>
    <phoneticPr fontId="1"/>
  </si>
  <si>
    <t>ナカムラ　コウ</t>
    <phoneticPr fontId="1"/>
  </si>
  <si>
    <t>兵庫県川辺郡猪名川町つつじが丘5-39-16</t>
    <rPh sb="0" eb="3">
      <t>ヒョウゴケン</t>
    </rPh>
    <rPh sb="3" eb="5">
      <t>カワベ</t>
    </rPh>
    <rPh sb="5" eb="6">
      <t>グン</t>
    </rPh>
    <rPh sb="6" eb="10">
      <t>イナガワチョウ</t>
    </rPh>
    <rPh sb="14" eb="15">
      <t>オカ</t>
    </rPh>
    <phoneticPr fontId="1"/>
  </si>
  <si>
    <t>090-3008-1664</t>
    <phoneticPr fontId="1"/>
  </si>
  <si>
    <t>ko.nakanaka78@mail.com</t>
    <phoneticPr fontId="1"/>
  </si>
  <si>
    <t>阪上　宗佑</t>
    <rPh sb="0" eb="2">
      <t>サカガミ</t>
    </rPh>
    <rPh sb="3" eb="5">
      <t>シュウスケ</t>
    </rPh>
    <phoneticPr fontId="1"/>
  </si>
  <si>
    <t>サカガミ　ソウスケ</t>
    <phoneticPr fontId="1"/>
  </si>
  <si>
    <t>兵庫県宝塚市山本丸橋1-10-23</t>
    <rPh sb="0" eb="3">
      <t>ヒョウゴケン</t>
    </rPh>
    <rPh sb="3" eb="6">
      <t>タカラヅカシ</t>
    </rPh>
    <rPh sb="6" eb="8">
      <t>ヤマモト</t>
    </rPh>
    <rPh sb="8" eb="10">
      <t>マルバシ</t>
    </rPh>
    <phoneticPr fontId="1"/>
  </si>
  <si>
    <t>270m</t>
    <phoneticPr fontId="1"/>
  </si>
  <si>
    <t>080-3843-2900</t>
    <phoneticPr fontId="1"/>
  </si>
  <si>
    <t>naigai.green@gmail.com</t>
    <phoneticPr fontId="1"/>
  </si>
  <si>
    <t>3/1～2　法人申込予定</t>
    <rPh sb="6" eb="8">
      <t>ホウジン</t>
    </rPh>
    <rPh sb="8" eb="10">
      <t>モウシコミ</t>
    </rPh>
    <rPh sb="10" eb="12">
      <t>ヨテイ</t>
    </rPh>
    <phoneticPr fontId="1"/>
  </si>
  <si>
    <t>西田　優</t>
    <rPh sb="0" eb="2">
      <t>ニシダ</t>
    </rPh>
    <rPh sb="3" eb="4">
      <t>ユウ</t>
    </rPh>
    <phoneticPr fontId="1"/>
  </si>
  <si>
    <t>田中　友之</t>
    <rPh sb="0" eb="2">
      <t>タナカ</t>
    </rPh>
    <rPh sb="3" eb="4">
      <t>トモ</t>
    </rPh>
    <rPh sb="4" eb="5">
      <t>ユキ</t>
    </rPh>
    <phoneticPr fontId="1"/>
  </si>
  <si>
    <t>ニシダ　マサル</t>
    <phoneticPr fontId="1"/>
  </si>
  <si>
    <t>タナカ　トモユキ</t>
    <phoneticPr fontId="1"/>
  </si>
  <si>
    <t>652-0896</t>
    <phoneticPr fontId="1"/>
  </si>
  <si>
    <t>兵庫県神戸市西区北別府4-12-3</t>
    <rPh sb="0" eb="3">
      <t>ヒョウゴケン</t>
    </rPh>
    <rPh sb="3" eb="6">
      <t>コウベシ</t>
    </rPh>
    <rPh sb="6" eb="8">
      <t>ニシク</t>
    </rPh>
    <rPh sb="8" eb="11">
      <t>キタベップ</t>
    </rPh>
    <phoneticPr fontId="1"/>
  </si>
  <si>
    <t>兵庫県神戸市兵庫区須佐野通4-3-9</t>
    <rPh sb="0" eb="3">
      <t>ヒョウゴケン</t>
    </rPh>
    <rPh sb="3" eb="6">
      <t>コウベシ</t>
    </rPh>
    <rPh sb="6" eb="9">
      <t>ヒョウゴク</t>
    </rPh>
    <rPh sb="9" eb="11">
      <t>スサ</t>
    </rPh>
    <rPh sb="11" eb="12">
      <t>ノ</t>
    </rPh>
    <rPh sb="12" eb="13">
      <t>トオル</t>
    </rPh>
    <phoneticPr fontId="1"/>
  </si>
  <si>
    <t>43.4km</t>
    <phoneticPr fontId="1"/>
  </si>
  <si>
    <t>090-5093-6839</t>
    <phoneticPr fontId="1"/>
  </si>
  <si>
    <t>090-5882-6972</t>
    <phoneticPr fontId="1"/>
  </si>
  <si>
    <t>masarunnet.wing@docomo.ne.jp</t>
    <phoneticPr fontId="1"/>
  </si>
  <si>
    <t>t.tanaka@s-enden.com</t>
    <phoneticPr fontId="1"/>
  </si>
  <si>
    <t>中川徹様</t>
    <rPh sb="0" eb="2">
      <t>ナカガワ</t>
    </rPh>
    <rPh sb="2" eb="3">
      <t>トオル</t>
    </rPh>
    <rPh sb="3" eb="4">
      <t>サマ</t>
    </rPh>
    <phoneticPr fontId="1"/>
  </si>
  <si>
    <t>キッカワ　ノリオ</t>
    <phoneticPr fontId="1"/>
  </si>
  <si>
    <t>中村　大史</t>
    <rPh sb="0" eb="2">
      <t>ナカムラ</t>
    </rPh>
    <rPh sb="3" eb="4">
      <t>オオ</t>
    </rPh>
    <rPh sb="4" eb="5">
      <t>シ</t>
    </rPh>
    <phoneticPr fontId="1"/>
  </si>
  <si>
    <t>ナカムラ　ヒロシ</t>
    <phoneticPr fontId="1"/>
  </si>
  <si>
    <t>兵庫県宝塚市山手台東5-13-14</t>
    <phoneticPr fontId="1"/>
  </si>
  <si>
    <t>090-1142-5344</t>
    <phoneticPr fontId="1"/>
  </si>
  <si>
    <t>仕事で忙しい</t>
    <rPh sb="0" eb="2">
      <t>シゴト</t>
    </rPh>
    <rPh sb="3" eb="4">
      <t>イソガ</t>
    </rPh>
    <phoneticPr fontId="1"/>
  </si>
  <si>
    <t>細川　莉花</t>
    <rPh sb="0" eb="2">
      <t>ホソカワ</t>
    </rPh>
    <rPh sb="3" eb="5">
      <t>リカ</t>
    </rPh>
    <phoneticPr fontId="1"/>
  </si>
  <si>
    <t>ホソカワ　リカ</t>
  </si>
  <si>
    <t>661-0002</t>
  </si>
  <si>
    <t>兵庫県尼崎市塚口町2-14-5</t>
    <rPh sb="0" eb="9">
      <t>661-0002</t>
    </rPh>
    <phoneticPr fontId="1"/>
  </si>
  <si>
    <t>090-8539-7166</t>
  </si>
  <si>
    <t>細川　永子</t>
    <rPh sb="0" eb="2">
      <t>ホソカワ</t>
    </rPh>
    <rPh sb="3" eb="5">
      <t>エイコ</t>
    </rPh>
    <phoneticPr fontId="1"/>
  </si>
  <si>
    <t>ホソカワ　エイコ</t>
  </si>
  <si>
    <t>柳井　典子</t>
    <rPh sb="0" eb="2">
      <t>ヤナイ</t>
    </rPh>
    <rPh sb="3" eb="5">
      <t>ノリコ</t>
    </rPh>
    <phoneticPr fontId="1"/>
  </si>
  <si>
    <t>ヤナイ　ノリコ</t>
  </si>
  <si>
    <t>664-0837</t>
  </si>
  <si>
    <t>兵庫県伊丹市北河原3-2-17-914</t>
    <rPh sb="0" eb="3">
      <t>ヒョウゴケン</t>
    </rPh>
    <rPh sb="3" eb="6">
      <t>イタミシ</t>
    </rPh>
    <rPh sb="6" eb="9">
      <t>キタガワラ</t>
    </rPh>
    <phoneticPr fontId="1"/>
  </si>
  <si>
    <t>080-2528-0011</t>
  </si>
  <si>
    <t>シモサカ　テルモト</t>
  </si>
  <si>
    <t>テラオカ　タツロウ</t>
  </si>
  <si>
    <t>560-0003</t>
  </si>
  <si>
    <t>大阪府豊中市東豊中町3-5-10</t>
    <rPh sb="0" eb="10">
      <t>560-0003</t>
    </rPh>
    <phoneticPr fontId="1"/>
  </si>
  <si>
    <t>090-8539-1234</t>
  </si>
  <si>
    <t>t-teraoka@tec-web.co.jp</t>
  </si>
  <si>
    <t>ヨコヤマ　シュンスケ</t>
    <phoneticPr fontId="1"/>
  </si>
  <si>
    <t>3.3㎞</t>
  </si>
  <si>
    <t>090-7491-7332</t>
  </si>
  <si>
    <t>アンケート</t>
  </si>
  <si>
    <t>近藤　幸裕</t>
    <rPh sb="0" eb="2">
      <t>コンドウ</t>
    </rPh>
    <rPh sb="3" eb="4">
      <t>シアワ</t>
    </rPh>
    <rPh sb="4" eb="5">
      <t>ヒロ</t>
    </rPh>
    <phoneticPr fontId="1"/>
  </si>
  <si>
    <t>コンドウ　ユキヒロ</t>
    <phoneticPr fontId="1"/>
  </si>
  <si>
    <t>兵庫県西宮市甲子園口2-24-29-602</t>
    <rPh sb="0" eb="10">
      <t>663-8113</t>
    </rPh>
    <phoneticPr fontId="1"/>
  </si>
  <si>
    <t>090-1880-0903</t>
    <phoneticPr fontId="1"/>
  </si>
  <si>
    <t>yukikon13@gmail.com</t>
    <phoneticPr fontId="1"/>
  </si>
  <si>
    <t>志野さん知り合い</t>
    <rPh sb="0" eb="2">
      <t>シノ</t>
    </rPh>
    <rPh sb="4" eb="5">
      <t>シ</t>
    </rPh>
    <rPh sb="6" eb="7">
      <t>ア</t>
    </rPh>
    <phoneticPr fontId="1"/>
  </si>
  <si>
    <t>福永　有利子</t>
    <rPh sb="0" eb="2">
      <t>フクナガ</t>
    </rPh>
    <rPh sb="3" eb="4">
      <t>ア</t>
    </rPh>
    <rPh sb="4" eb="6">
      <t>リシ</t>
    </rPh>
    <phoneticPr fontId="1"/>
  </si>
  <si>
    <t>フクナガ　ユリコ</t>
    <phoneticPr fontId="1"/>
  </si>
  <si>
    <t>090-7961-7573</t>
    <phoneticPr fontId="1"/>
  </si>
  <si>
    <t>中薗　友和</t>
    <rPh sb="0" eb="1">
      <t>ナカ</t>
    </rPh>
    <rPh sb="1" eb="2">
      <t>ソノ</t>
    </rPh>
    <rPh sb="3" eb="5">
      <t>トモカズ</t>
    </rPh>
    <phoneticPr fontId="1"/>
  </si>
  <si>
    <t>ナカゾノ　トモカズ</t>
    <phoneticPr fontId="1"/>
  </si>
  <si>
    <t>大阪府和泉市黒鳥町1-18-27</t>
    <phoneticPr fontId="1"/>
  </si>
  <si>
    <t>会員喜田様</t>
    <rPh sb="0" eb="2">
      <t>カイイン</t>
    </rPh>
    <rPh sb="2" eb="4">
      <t>キダ</t>
    </rPh>
    <rPh sb="4" eb="5">
      <t>サマ</t>
    </rPh>
    <phoneticPr fontId="1"/>
  </si>
  <si>
    <t>片山　勝義</t>
    <rPh sb="0" eb="2">
      <t>カタヤマ</t>
    </rPh>
    <rPh sb="3" eb="5">
      <t>カツヨシ</t>
    </rPh>
    <phoneticPr fontId="1"/>
  </si>
  <si>
    <t>カタヤマ　カツヨシ</t>
    <phoneticPr fontId="1"/>
  </si>
  <si>
    <t>090-6235-7537</t>
    <phoneticPr fontId="1"/>
  </si>
  <si>
    <t>兵庫県宝塚市売布ガ丘12-12</t>
    <rPh sb="0" eb="3">
      <t>ヒョウゴケン</t>
    </rPh>
    <phoneticPr fontId="1"/>
  </si>
  <si>
    <t>katsu210@gmail.com</t>
    <phoneticPr fontId="1"/>
  </si>
  <si>
    <t>諸岡　憲徹</t>
    <rPh sb="0" eb="2">
      <t>モロオカ</t>
    </rPh>
    <rPh sb="3" eb="4">
      <t>ケン</t>
    </rPh>
    <rPh sb="4" eb="5">
      <t>トオル</t>
    </rPh>
    <phoneticPr fontId="1"/>
  </si>
  <si>
    <t>モロオカ　ノリテツ</t>
    <phoneticPr fontId="1"/>
  </si>
  <si>
    <t>665-0045</t>
    <phoneticPr fontId="1"/>
  </si>
  <si>
    <t>兵庫県宝塚市光明町3-5-101</t>
    <rPh sb="0" eb="9">
      <t>665-0045</t>
    </rPh>
    <phoneticPr fontId="1"/>
  </si>
  <si>
    <t>0797-73-2261</t>
    <phoneticPr fontId="1"/>
  </si>
  <si>
    <t>morookakensetsu123@yahoo.co.jp</t>
    <phoneticPr fontId="1"/>
  </si>
  <si>
    <t>卜部コーチ</t>
    <rPh sb="0" eb="2">
      <t>ウラベ</t>
    </rPh>
    <phoneticPr fontId="1"/>
  </si>
  <si>
    <t>中野　稔</t>
    <rPh sb="0" eb="2">
      <t>ナカノ</t>
    </rPh>
    <rPh sb="3" eb="4">
      <t>ミノル</t>
    </rPh>
    <phoneticPr fontId="1"/>
  </si>
  <si>
    <t>ナカノ　ミノル</t>
    <phoneticPr fontId="1"/>
  </si>
  <si>
    <t>兵庫県宝塚市口谷東1-22-5</t>
    <rPh sb="0" eb="9">
      <t>665-0812</t>
    </rPh>
    <phoneticPr fontId="1"/>
  </si>
  <si>
    <t>080-5355-0325</t>
    <phoneticPr fontId="1"/>
  </si>
  <si>
    <t>mimi97168@gmail.com</t>
    <phoneticPr fontId="1"/>
  </si>
  <si>
    <t>1回目の体験利用時、プロ不在だったため</t>
    <rPh sb="1" eb="3">
      <t>カイメ</t>
    </rPh>
    <rPh sb="4" eb="9">
      <t>タイケンリヨウジ</t>
    </rPh>
    <rPh sb="12" eb="14">
      <t>フザイ</t>
    </rPh>
    <phoneticPr fontId="1"/>
  </si>
  <si>
    <t>中河　知美</t>
    <rPh sb="0" eb="2">
      <t>ナカガワ</t>
    </rPh>
    <rPh sb="3" eb="4">
      <t>シ</t>
    </rPh>
    <rPh sb="4" eb="5">
      <t>ウツク</t>
    </rPh>
    <phoneticPr fontId="1"/>
  </si>
  <si>
    <t>ナカガワ　カズミ</t>
    <phoneticPr fontId="1"/>
  </si>
  <si>
    <t>兵庫県伊丹市荒牧7-11-2-106</t>
    <rPh sb="0" eb="8">
      <t>664-0001</t>
    </rPh>
    <phoneticPr fontId="1"/>
  </si>
  <si>
    <t>090-6249-7210</t>
    <phoneticPr fontId="1"/>
  </si>
  <si>
    <t>中河　知夏</t>
    <rPh sb="0" eb="2">
      <t>ナカガワ</t>
    </rPh>
    <rPh sb="3" eb="4">
      <t>シ</t>
    </rPh>
    <rPh sb="4" eb="5">
      <t>ナツ</t>
    </rPh>
    <phoneticPr fontId="1"/>
  </si>
  <si>
    <t>ナカガワ　チカ</t>
    <phoneticPr fontId="1"/>
  </si>
  <si>
    <t>兵庫県宝塚市安倉南3-8-7-205</t>
    <rPh sb="0" eb="9">
      <t>665-0823</t>
    </rPh>
    <phoneticPr fontId="1"/>
  </si>
  <si>
    <t>090-1223-0802</t>
    <phoneticPr fontId="1"/>
  </si>
  <si>
    <t>團野　豊</t>
    <rPh sb="0" eb="2">
      <t>ダンノ</t>
    </rPh>
    <rPh sb="3" eb="4">
      <t>ユタカ</t>
    </rPh>
    <phoneticPr fontId="1"/>
  </si>
  <si>
    <t>ダンノ　ユタカ</t>
    <phoneticPr fontId="1"/>
  </si>
  <si>
    <t>兵庫県宝塚市平井4-7-7</t>
    <rPh sb="0" eb="3">
      <t>ヒョウゴケン</t>
    </rPh>
    <rPh sb="3" eb="6">
      <t>タカラヅカシ</t>
    </rPh>
    <rPh sb="6" eb="8">
      <t>ヒライ</t>
    </rPh>
    <phoneticPr fontId="1"/>
  </si>
  <si>
    <t>080-3787-1160</t>
    <phoneticPr fontId="1"/>
  </si>
  <si>
    <t>yutaka.danno@gmail.com</t>
    <phoneticPr fontId="1"/>
  </si>
  <si>
    <t>桜井　健也</t>
    <rPh sb="0" eb="2">
      <t>サクライ</t>
    </rPh>
    <rPh sb="3" eb="5">
      <t>ケンヤ</t>
    </rPh>
    <phoneticPr fontId="1"/>
  </si>
  <si>
    <t>今まで気づかなかったことを知れてよかった</t>
    <rPh sb="0" eb="1">
      <t>イマ</t>
    </rPh>
    <rPh sb="3" eb="4">
      <t>キ</t>
    </rPh>
    <rPh sb="13" eb="14">
      <t>シ</t>
    </rPh>
    <phoneticPr fontId="1"/>
  </si>
  <si>
    <t>サクライ　ケンヤ</t>
    <phoneticPr fontId="1"/>
  </si>
  <si>
    <t>666-0022</t>
    <phoneticPr fontId="1"/>
  </si>
  <si>
    <t>兵庫県川西市下加茂1-6-7</t>
    <rPh sb="0" eb="3">
      <t>ヒョウゴケン</t>
    </rPh>
    <rPh sb="3" eb="6">
      <t>カワニシシ</t>
    </rPh>
    <rPh sb="6" eb="7">
      <t>シタ</t>
    </rPh>
    <rPh sb="7" eb="9">
      <t>カモ</t>
    </rPh>
    <phoneticPr fontId="1"/>
  </si>
  <si>
    <t>090-7879-9381</t>
    <phoneticPr fontId="1"/>
  </si>
  <si>
    <t>kensakura@icloud.com</t>
    <phoneticPr fontId="1"/>
  </si>
  <si>
    <t>KGUへ</t>
    <phoneticPr fontId="1"/>
  </si>
  <si>
    <t>2024.10.2</t>
    <phoneticPr fontId="1"/>
  </si>
  <si>
    <t>森本　将史</t>
    <rPh sb="0" eb="2">
      <t>モリモト</t>
    </rPh>
    <rPh sb="3" eb="5">
      <t>マサフミ</t>
    </rPh>
    <phoneticPr fontId="1"/>
  </si>
  <si>
    <t>モリモト　マサシ</t>
    <phoneticPr fontId="1"/>
  </si>
  <si>
    <t>大阪府池田市神田4-16-26-302</t>
    <rPh sb="0" eb="8">
      <t>563-0043</t>
    </rPh>
    <phoneticPr fontId="1"/>
  </si>
  <si>
    <t>090-5655-8842</t>
    <phoneticPr fontId="1"/>
  </si>
  <si>
    <t>ex.masash@gail.com</t>
    <phoneticPr fontId="1"/>
  </si>
  <si>
    <t>5月入会予定</t>
    <rPh sb="1" eb="2">
      <t>ガツ</t>
    </rPh>
    <rPh sb="2" eb="6">
      <t>ニュウカイヨテイ</t>
    </rPh>
    <phoneticPr fontId="1"/>
  </si>
  <si>
    <t>和田　卓也</t>
    <rPh sb="0" eb="2">
      <t>ワダ</t>
    </rPh>
    <rPh sb="3" eb="5">
      <t>タクヤ</t>
    </rPh>
    <phoneticPr fontId="1"/>
  </si>
  <si>
    <t>ワダ　タクヤ</t>
    <phoneticPr fontId="1"/>
  </si>
  <si>
    <t>兵庫県加東市南山２丁目9-5</t>
    <rPh sb="0" eb="3">
      <t>ヒョウゴケン</t>
    </rPh>
    <rPh sb="3" eb="6">
      <t>カトウシ</t>
    </rPh>
    <rPh sb="6" eb="8">
      <t>ミナミヤマ</t>
    </rPh>
    <rPh sb="9" eb="11">
      <t>チョウメ</t>
    </rPh>
    <phoneticPr fontId="1"/>
  </si>
  <si>
    <t>090-4299-0218</t>
    <phoneticPr fontId="1"/>
  </si>
  <si>
    <t>takuya021802180218@yahoo.co.jp</t>
    <phoneticPr fontId="1"/>
  </si>
  <si>
    <t>35.6km</t>
    <phoneticPr fontId="1"/>
  </si>
  <si>
    <t>実家がこっち。月１くらい帰ってる。</t>
    <rPh sb="0" eb="2">
      <t>ジッカ</t>
    </rPh>
    <rPh sb="7" eb="8">
      <t>ツキ</t>
    </rPh>
    <rPh sb="12" eb="13">
      <t>カエ</t>
    </rPh>
    <phoneticPr fontId="1"/>
  </si>
  <si>
    <t>2024.7.14</t>
    <phoneticPr fontId="1"/>
  </si>
  <si>
    <t>糸永　隼也</t>
    <rPh sb="0" eb="2">
      <t>イトナガ</t>
    </rPh>
    <rPh sb="3" eb="4">
      <t>シュン</t>
    </rPh>
    <rPh sb="4" eb="5">
      <t>ヤ</t>
    </rPh>
    <phoneticPr fontId="1"/>
  </si>
  <si>
    <t>イトナガ　ジュンヤ</t>
    <phoneticPr fontId="1"/>
  </si>
  <si>
    <t>兵庫県姫路市飾磨区上野田5丁目107-2</t>
    <rPh sb="0" eb="3">
      <t>ヒョウゴケン</t>
    </rPh>
    <rPh sb="3" eb="6">
      <t>ヒメジシ</t>
    </rPh>
    <rPh sb="6" eb="7">
      <t>カザ</t>
    </rPh>
    <rPh sb="7" eb="8">
      <t>マ</t>
    </rPh>
    <rPh sb="8" eb="9">
      <t>ク</t>
    </rPh>
    <rPh sb="9" eb="10">
      <t>ウエ</t>
    </rPh>
    <rPh sb="10" eb="11">
      <t>ノ</t>
    </rPh>
    <rPh sb="11" eb="12">
      <t>タ</t>
    </rPh>
    <rPh sb="13" eb="15">
      <t>チョウメ</t>
    </rPh>
    <phoneticPr fontId="1"/>
  </si>
  <si>
    <t>672-8043</t>
    <phoneticPr fontId="1"/>
  </si>
  <si>
    <t>81.6㎞</t>
    <phoneticPr fontId="1"/>
  </si>
  <si>
    <t>080-4498-9272</t>
    <phoneticPr fontId="1"/>
  </si>
  <si>
    <t>ijun0415@i.softbank.jp</t>
    <phoneticPr fontId="1"/>
  </si>
  <si>
    <t>来週は海外出張</t>
    <rPh sb="0" eb="2">
      <t>ライシュウ</t>
    </rPh>
    <rPh sb="3" eb="7">
      <t>カイガイシュッチョウ</t>
    </rPh>
    <phoneticPr fontId="1"/>
  </si>
  <si>
    <t>社長の知人の知人</t>
    <rPh sb="0" eb="2">
      <t>シャチョウ</t>
    </rPh>
    <rPh sb="3" eb="5">
      <t>チジン</t>
    </rPh>
    <rPh sb="6" eb="8">
      <t>チジン</t>
    </rPh>
    <phoneticPr fontId="1"/>
  </si>
  <si>
    <t>綱　哲也</t>
    <rPh sb="0" eb="1">
      <t>ツナ</t>
    </rPh>
    <rPh sb="2" eb="4">
      <t>テツヤ</t>
    </rPh>
    <phoneticPr fontId="1"/>
  </si>
  <si>
    <t>ツナ　テツヤ</t>
    <phoneticPr fontId="1"/>
  </si>
  <si>
    <t>661-0022</t>
    <phoneticPr fontId="1"/>
  </si>
  <si>
    <t>兵庫県尼崎市尾浜町2-32-8-401</t>
    <rPh sb="0" eb="9">
      <t>661-0022</t>
    </rPh>
    <phoneticPr fontId="1"/>
  </si>
  <si>
    <t>090-3357-6276</t>
    <phoneticPr fontId="1"/>
  </si>
  <si>
    <t>キタ　ヒデミ</t>
  </si>
  <si>
    <t>吉田　元一</t>
    <rPh sb="0" eb="2">
      <t>ヨシダ</t>
    </rPh>
    <rPh sb="3" eb="5">
      <t>モトカズ</t>
    </rPh>
    <phoneticPr fontId="1"/>
  </si>
  <si>
    <t>ヨシダ　モトカズ</t>
    <phoneticPr fontId="1"/>
  </si>
  <si>
    <t>662-0087</t>
    <phoneticPr fontId="1"/>
  </si>
  <si>
    <t>兵庫県西宮市苦楽園五番町2-38</t>
    <rPh sb="0" eb="12">
      <t>662-0087</t>
    </rPh>
    <phoneticPr fontId="1"/>
  </si>
  <si>
    <t>090-8365-6876</t>
    <phoneticPr fontId="1"/>
  </si>
  <si>
    <t>ウエダ　やすじ</t>
    <phoneticPr fontId="1"/>
  </si>
  <si>
    <t>井上　和也</t>
    <rPh sb="0" eb="2">
      <t>イノウエ</t>
    </rPh>
    <rPh sb="3" eb="5">
      <t>カズヤ</t>
    </rPh>
    <phoneticPr fontId="1"/>
  </si>
  <si>
    <t>イノウエ　カズヤ</t>
    <phoneticPr fontId="1"/>
  </si>
  <si>
    <t>679-0221</t>
    <phoneticPr fontId="1"/>
  </si>
  <si>
    <t>兵庫県加東市河高4134</t>
    <rPh sb="0" eb="8">
      <t>679-0221</t>
    </rPh>
    <phoneticPr fontId="1"/>
  </si>
  <si>
    <t>090-7101-1991</t>
    <phoneticPr fontId="1"/>
  </si>
  <si>
    <t>kazuya.in.430@gmail.com</t>
    <phoneticPr fontId="1"/>
  </si>
  <si>
    <t>井上　綾乃</t>
    <rPh sb="0" eb="2">
      <t>イノウエ</t>
    </rPh>
    <rPh sb="3" eb="5">
      <t>アヤノ</t>
    </rPh>
    <phoneticPr fontId="1"/>
  </si>
  <si>
    <t>イノウエ　アヤノ</t>
    <phoneticPr fontId="1"/>
  </si>
  <si>
    <t>0795-48-0831</t>
    <phoneticPr fontId="1"/>
  </si>
  <si>
    <t>ayano450619@icloud.com</t>
    <phoneticPr fontId="1"/>
  </si>
  <si>
    <t>中村　恭子</t>
    <rPh sb="0" eb="2">
      <t>ナカムラ</t>
    </rPh>
    <rPh sb="3" eb="5">
      <t>キョウコ</t>
    </rPh>
    <phoneticPr fontId="1"/>
  </si>
  <si>
    <t>兵庫県伊丹市千僧3-69</t>
    <rPh sb="0" eb="8">
      <t>664-0898</t>
    </rPh>
    <phoneticPr fontId="1"/>
  </si>
  <si>
    <t>090-3342-7595</t>
    <phoneticPr fontId="1"/>
  </si>
  <si>
    <t>ナカムラ　ヤスコ</t>
    <phoneticPr fontId="1"/>
  </si>
  <si>
    <t>yasukonakamura@hotmail.co.jo</t>
    <phoneticPr fontId="1"/>
  </si>
  <si>
    <t>須田　耕介</t>
    <rPh sb="0" eb="2">
      <t>スダ</t>
    </rPh>
    <rPh sb="3" eb="4">
      <t>コウ</t>
    </rPh>
    <rPh sb="4" eb="5">
      <t>スケ</t>
    </rPh>
    <phoneticPr fontId="1"/>
  </si>
  <si>
    <t>スダ　コウスケ</t>
    <phoneticPr fontId="1"/>
  </si>
  <si>
    <t>兵庫県川西市小花1-6-13-503</t>
    <rPh sb="0" eb="3">
      <t>ヒョウゴケン</t>
    </rPh>
    <rPh sb="3" eb="6">
      <t>カワニシシ</t>
    </rPh>
    <rPh sb="6" eb="8">
      <t>コハナ</t>
    </rPh>
    <phoneticPr fontId="1"/>
  </si>
  <si>
    <t>080-6152-8219</t>
    <phoneticPr fontId="1"/>
  </si>
  <si>
    <t>sudakosuke0901@gmail.com</t>
    <phoneticPr fontId="1"/>
  </si>
  <si>
    <t>シンドウ　タイガ</t>
    <phoneticPr fontId="1"/>
  </si>
  <si>
    <t>兵庫県神戸市須磨区行幸町1-4-14-703</t>
    <rPh sb="0" eb="12">
      <t>654-0052</t>
    </rPh>
    <phoneticPr fontId="1"/>
  </si>
  <si>
    <t>090-8658-6550</t>
    <phoneticPr fontId="1"/>
  </si>
  <si>
    <t>sumakko.taiga@docomo.ne.jp</t>
    <phoneticPr fontId="1"/>
  </si>
  <si>
    <t>井殿プロ知り合い</t>
    <rPh sb="0" eb="2">
      <t>イドノ</t>
    </rPh>
    <rPh sb="4" eb="5">
      <t>シ</t>
    </rPh>
    <rPh sb="6" eb="7">
      <t>ア</t>
    </rPh>
    <phoneticPr fontId="1"/>
  </si>
  <si>
    <t>武智　基教</t>
    <rPh sb="0" eb="2">
      <t>タケチ</t>
    </rPh>
    <rPh sb="3" eb="4">
      <t>モトイ</t>
    </rPh>
    <rPh sb="4" eb="5">
      <t>キョウ</t>
    </rPh>
    <phoneticPr fontId="1"/>
  </si>
  <si>
    <t>タケチ　モトノリ</t>
    <phoneticPr fontId="1"/>
  </si>
  <si>
    <t>兵庫県宝塚市雲雀丘1-3-38</t>
    <rPh sb="0" eb="9">
      <t>665-0805</t>
    </rPh>
    <phoneticPr fontId="1"/>
  </si>
  <si>
    <t>シュミレーションを利用してみたい　　</t>
  </si>
  <si>
    <t>コスギ　カオリ</t>
    <phoneticPr fontId="1"/>
  </si>
  <si>
    <t>戸梶　真一</t>
    <rPh sb="0" eb="2">
      <t>トカジ</t>
    </rPh>
    <rPh sb="3" eb="5">
      <t>シンイチ</t>
    </rPh>
    <phoneticPr fontId="1"/>
  </si>
  <si>
    <t>トカジ　シンイチ</t>
    <phoneticPr fontId="1"/>
  </si>
  <si>
    <t>兵庫県神戸市垂水区福田4-6-39</t>
    <rPh sb="0" eb="3">
      <t>ヒョウゴケン</t>
    </rPh>
    <rPh sb="3" eb="6">
      <t>コウベシ</t>
    </rPh>
    <rPh sb="6" eb="8">
      <t>タルミ</t>
    </rPh>
    <rPh sb="8" eb="9">
      <t>ク</t>
    </rPh>
    <rPh sb="9" eb="11">
      <t>フクダ</t>
    </rPh>
    <phoneticPr fontId="1"/>
  </si>
  <si>
    <t>48.2㎞</t>
    <phoneticPr fontId="1"/>
  </si>
  <si>
    <t>080-5332-5345</t>
    <phoneticPr fontId="1"/>
  </si>
  <si>
    <t>s・tokajikun@gmail.com</t>
    <phoneticPr fontId="1"/>
  </si>
  <si>
    <t>新聞・雑誌の広告</t>
  </si>
  <si>
    <t>金城　茉南</t>
    <rPh sb="0" eb="2">
      <t>キンジョウ</t>
    </rPh>
    <rPh sb="3" eb="4">
      <t>マツ</t>
    </rPh>
    <rPh sb="4" eb="5">
      <t>ミナミ</t>
    </rPh>
    <phoneticPr fontId="1"/>
  </si>
  <si>
    <t>キンジョウ　マナ</t>
    <phoneticPr fontId="1"/>
  </si>
  <si>
    <t>673-0405</t>
    <phoneticPr fontId="1"/>
  </si>
  <si>
    <t>兵庫県三木市平田64-1サンライフ雅C棟２０１号</t>
    <rPh sb="0" eb="6">
      <t>ヒョウゴケンミキシ</t>
    </rPh>
    <rPh sb="6" eb="8">
      <t>ヒラタ</t>
    </rPh>
    <rPh sb="17" eb="18">
      <t>ミヤビ</t>
    </rPh>
    <rPh sb="19" eb="20">
      <t>トウ</t>
    </rPh>
    <rPh sb="23" eb="24">
      <t>ゴウ</t>
    </rPh>
    <phoneticPr fontId="1"/>
  </si>
  <si>
    <t>080-8953-0972</t>
    <phoneticPr fontId="1"/>
  </si>
  <si>
    <t>hagelove6@gmail.com</t>
    <phoneticPr fontId="1"/>
  </si>
  <si>
    <t>井殿プロ紹介　5000円OFF</t>
    <rPh sb="0" eb="2">
      <t>イドノ</t>
    </rPh>
    <rPh sb="4" eb="6">
      <t>ショウカイ</t>
    </rPh>
    <rPh sb="11" eb="12">
      <t>エン</t>
    </rPh>
    <phoneticPr fontId="1"/>
  </si>
  <si>
    <t>丸野　勝也</t>
    <rPh sb="0" eb="2">
      <t>マルノ</t>
    </rPh>
    <rPh sb="3" eb="5">
      <t>カツヤ</t>
    </rPh>
    <phoneticPr fontId="1"/>
  </si>
  <si>
    <t>マルノ　カツヤ</t>
    <phoneticPr fontId="1"/>
  </si>
  <si>
    <t>兵庫県宝塚市伊孑志3-14-7-305</t>
    <rPh sb="0" eb="9">
      <t>665-0033</t>
    </rPh>
    <phoneticPr fontId="1"/>
  </si>
  <si>
    <t>090-3355-8491</t>
    <phoneticPr fontId="1"/>
  </si>
  <si>
    <t>1度見てもらいたかった</t>
    <rPh sb="1" eb="2">
      <t>ド</t>
    </rPh>
    <rPh sb="2" eb="3">
      <t>ミ</t>
    </rPh>
    <phoneticPr fontId="1"/>
  </si>
  <si>
    <t>芦田　博之</t>
    <rPh sb="0" eb="2">
      <t>アシダ</t>
    </rPh>
    <rPh sb="3" eb="5">
      <t>ヒロユキ</t>
    </rPh>
    <phoneticPr fontId="1"/>
  </si>
  <si>
    <t>アシダ　ヒロユキ</t>
    <phoneticPr fontId="1"/>
  </si>
  <si>
    <t>大阪府吹田市桃山台5-4-4-708</t>
    <phoneticPr fontId="1"/>
  </si>
  <si>
    <t>坂　房和</t>
    <rPh sb="0" eb="1">
      <t>サカ</t>
    </rPh>
    <rPh sb="2" eb="4">
      <t>フサカズ</t>
    </rPh>
    <phoneticPr fontId="1"/>
  </si>
  <si>
    <t>サカ　フサカズ</t>
    <phoneticPr fontId="1"/>
  </si>
  <si>
    <t>562-0011</t>
    <phoneticPr fontId="1"/>
  </si>
  <si>
    <t>090-6241-6489</t>
    <phoneticPr fontId="1"/>
  </si>
  <si>
    <t>canoelaw1122@gmail.com</t>
    <phoneticPr fontId="1"/>
  </si>
  <si>
    <t>大阪府箕面市如意谷１丁目-3-14-301</t>
    <rPh sb="0" eb="6">
      <t>オオサカフミノオシ</t>
    </rPh>
    <rPh sb="6" eb="9">
      <t>ニョイダニ</t>
    </rPh>
    <rPh sb="10" eb="12">
      <t>チョウメ</t>
    </rPh>
    <phoneticPr fontId="1"/>
  </si>
  <si>
    <t>自宅から近いから</t>
    <rPh sb="0" eb="2">
      <t>ジタク</t>
    </rPh>
    <rPh sb="4" eb="5">
      <t>チカ</t>
    </rPh>
    <phoneticPr fontId="1"/>
  </si>
  <si>
    <t>髙倉　龍太</t>
    <rPh sb="0" eb="2">
      <t>タカクラ</t>
    </rPh>
    <rPh sb="3" eb="4">
      <t>リュウ</t>
    </rPh>
    <rPh sb="4" eb="5">
      <t>タ</t>
    </rPh>
    <phoneticPr fontId="1"/>
  </si>
  <si>
    <t>タカクラ　リュウタ</t>
    <phoneticPr fontId="1"/>
  </si>
  <si>
    <t>大阪府池田市神田3-20-3ラフィネ103</t>
    <rPh sb="0" eb="8">
      <t>563-0043</t>
    </rPh>
    <phoneticPr fontId="1"/>
  </si>
  <si>
    <t>090-2061-0655</t>
    <phoneticPr fontId="1"/>
  </si>
  <si>
    <t>伊丹　晋司</t>
    <rPh sb="0" eb="2">
      <t>イタミ</t>
    </rPh>
    <rPh sb="3" eb="4">
      <t>シン</t>
    </rPh>
    <rPh sb="4" eb="5">
      <t>ツカサ</t>
    </rPh>
    <phoneticPr fontId="1"/>
  </si>
  <si>
    <t>イタミ　シンジ</t>
    <phoneticPr fontId="1"/>
  </si>
  <si>
    <t>720-0824</t>
    <phoneticPr fontId="1"/>
  </si>
  <si>
    <t>広島県福山市多治米3-8-5　グランマスト多治米A103</t>
    <rPh sb="0" eb="3">
      <t>ヒロシマケン</t>
    </rPh>
    <rPh sb="3" eb="6">
      <t>フクヤマシ</t>
    </rPh>
    <rPh sb="6" eb="9">
      <t>タジメ</t>
    </rPh>
    <rPh sb="21" eb="24">
      <t>タジメ</t>
    </rPh>
    <phoneticPr fontId="1"/>
  </si>
  <si>
    <t>217km</t>
    <phoneticPr fontId="1"/>
  </si>
  <si>
    <t>090-8711-6631</t>
    <phoneticPr fontId="1"/>
  </si>
  <si>
    <t>s.cameron.rat@gmail.com</t>
    <phoneticPr fontId="1"/>
  </si>
  <si>
    <t>窪田　博之</t>
    <rPh sb="0" eb="1">
      <t>クボ</t>
    </rPh>
    <rPh sb="1" eb="2">
      <t>タ</t>
    </rPh>
    <rPh sb="3" eb="5">
      <t>ヒロユキ</t>
    </rPh>
    <phoneticPr fontId="1"/>
  </si>
  <si>
    <t>クボタ　ヒロユキ</t>
    <phoneticPr fontId="1"/>
  </si>
  <si>
    <t>大阪府高石市千代田6-4-35</t>
    <rPh sb="0" eb="3">
      <t>オオサカフ</t>
    </rPh>
    <rPh sb="3" eb="6">
      <t>タカイシシ</t>
    </rPh>
    <rPh sb="6" eb="9">
      <t>チヨダ</t>
    </rPh>
    <phoneticPr fontId="1"/>
  </si>
  <si>
    <t>49.1km</t>
    <phoneticPr fontId="1"/>
  </si>
  <si>
    <t>592-0005</t>
    <phoneticPr fontId="1"/>
  </si>
  <si>
    <t>090-3052-1799</t>
    <phoneticPr fontId="1"/>
  </si>
  <si>
    <t>kubota@atec-y.co.jp</t>
    <phoneticPr fontId="1"/>
  </si>
  <si>
    <t>飛距離伸ばすため</t>
    <rPh sb="0" eb="3">
      <t>ヒキョリ</t>
    </rPh>
    <rPh sb="3" eb="4">
      <t>ノ</t>
    </rPh>
    <phoneticPr fontId="1"/>
  </si>
  <si>
    <t>御厨　一郎</t>
    <rPh sb="0" eb="2">
      <t>ミクリヤ</t>
    </rPh>
    <rPh sb="3" eb="5">
      <t>イチロウ</t>
    </rPh>
    <phoneticPr fontId="1"/>
  </si>
  <si>
    <t>ミクリヤ　イチロウ</t>
    <phoneticPr fontId="1"/>
  </si>
  <si>
    <t>666-0158</t>
    <phoneticPr fontId="1"/>
  </si>
  <si>
    <t>兵庫県川西市清流台11-28</t>
    <rPh sb="0" eb="9">
      <t>666-0158</t>
    </rPh>
    <phoneticPr fontId="1"/>
  </si>
  <si>
    <t>090-8825-9460</t>
    <phoneticPr fontId="1"/>
  </si>
  <si>
    <t>畑中　祐介</t>
    <rPh sb="0" eb="2">
      <t>ハタナカ</t>
    </rPh>
    <rPh sb="3" eb="4">
      <t>ユウ</t>
    </rPh>
    <rPh sb="4" eb="5">
      <t>スケ</t>
    </rPh>
    <phoneticPr fontId="1"/>
  </si>
  <si>
    <t>ハタナカ　ユウスケ</t>
    <phoneticPr fontId="1"/>
  </si>
  <si>
    <t>665-0062</t>
    <phoneticPr fontId="1"/>
  </si>
  <si>
    <t>兵庫県宝塚市仁川高台1-8-26</t>
    <rPh sb="0" eb="3">
      <t>ヒョウゴケン</t>
    </rPh>
    <rPh sb="3" eb="6">
      <t>タカラヅカシ</t>
    </rPh>
    <rPh sb="6" eb="8">
      <t>ニガワ</t>
    </rPh>
    <rPh sb="8" eb="10">
      <t>タカダイ</t>
    </rPh>
    <phoneticPr fontId="1"/>
  </si>
  <si>
    <t>090-3033-7778</t>
    <phoneticPr fontId="1"/>
  </si>
  <si>
    <t>h-yusuke@sauseikoji.co.jp</t>
    <phoneticPr fontId="1"/>
  </si>
  <si>
    <t>ロータリー関連</t>
  </si>
  <si>
    <t>玉井　修子</t>
    <rPh sb="0" eb="2">
      <t>タマイ</t>
    </rPh>
    <rPh sb="3" eb="5">
      <t>シュウコ</t>
    </rPh>
    <phoneticPr fontId="1"/>
  </si>
  <si>
    <t>タマイ　ナオコ</t>
    <phoneticPr fontId="1"/>
  </si>
  <si>
    <t>兵庫県宝塚市山本台2-12-2</t>
    <rPh sb="0" eb="3">
      <t>ヒョウゴケン</t>
    </rPh>
    <rPh sb="3" eb="6">
      <t>タカラヅカシ</t>
    </rPh>
    <rPh sb="6" eb="8">
      <t>ヤマモト</t>
    </rPh>
    <rPh sb="8" eb="9">
      <t>ダイ</t>
    </rPh>
    <phoneticPr fontId="1"/>
  </si>
  <si>
    <t>090-3165-6854</t>
    <phoneticPr fontId="1"/>
  </si>
  <si>
    <t>naoko.hanakomachi@gmail.com</t>
    <phoneticPr fontId="1"/>
  </si>
  <si>
    <t>定期的に体を動かしたい　　</t>
  </si>
  <si>
    <t>兼森　寿雄</t>
    <rPh sb="0" eb="1">
      <t>カ</t>
    </rPh>
    <rPh sb="1" eb="2">
      <t>モリ</t>
    </rPh>
    <rPh sb="3" eb="4">
      <t>ジュ</t>
    </rPh>
    <rPh sb="4" eb="5">
      <t>オス</t>
    </rPh>
    <phoneticPr fontId="1"/>
  </si>
  <si>
    <t>カネモリ　トシオ</t>
    <phoneticPr fontId="1"/>
  </si>
  <si>
    <t>兵庫県宝塚市雲雀丘山手1-1-2</t>
    <rPh sb="0" eb="3">
      <t>ヒョウゴケン</t>
    </rPh>
    <rPh sb="3" eb="6">
      <t>タカラヅカシ</t>
    </rPh>
    <rPh sb="6" eb="8">
      <t>ヒバリ</t>
    </rPh>
    <rPh sb="8" eb="9">
      <t>オカ</t>
    </rPh>
    <rPh sb="9" eb="11">
      <t>ヤマテ</t>
    </rPh>
    <phoneticPr fontId="1"/>
  </si>
  <si>
    <t>090-8792-4779</t>
    <phoneticPr fontId="1"/>
  </si>
  <si>
    <t>卜部コーチ</t>
  </si>
  <si>
    <t>兵庫県神戸市東灘区岡本2-7-4-411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オカモト</t>
    </rPh>
    <phoneticPr fontId="1"/>
  </si>
  <si>
    <t>18.6km</t>
    <phoneticPr fontId="1"/>
  </si>
  <si>
    <t>再来</t>
  </si>
  <si>
    <t>2021.06.11</t>
    <phoneticPr fontId="1"/>
  </si>
  <si>
    <t>入会者数(名)</t>
    <rPh sb="0" eb="4">
      <t>ニュウカイシャスウ</t>
    </rPh>
    <phoneticPr fontId="1"/>
  </si>
  <si>
    <t>体験者数(名)</t>
    <rPh sb="0" eb="4">
      <t>タイケンシャスウ</t>
    </rPh>
    <phoneticPr fontId="1"/>
  </si>
  <si>
    <t>平均</t>
    <rPh sb="0" eb="2">
      <t>ヘイキン</t>
    </rPh>
    <phoneticPr fontId="1"/>
  </si>
  <si>
    <t>合計</t>
    <rPh sb="0" eb="2">
      <t>ゴウケイ</t>
    </rPh>
    <phoneticPr fontId="1"/>
  </si>
  <si>
    <t>12月</t>
  </si>
  <si>
    <t>11月</t>
  </si>
  <si>
    <t>10月</t>
  </si>
  <si>
    <t>9月</t>
  </si>
  <si>
    <t>8月</t>
  </si>
  <si>
    <t>7月</t>
  </si>
  <si>
    <t>6月</t>
  </si>
  <si>
    <t>5月</t>
  </si>
  <si>
    <t>4月</t>
  </si>
  <si>
    <t>3月</t>
  </si>
  <si>
    <t>2月</t>
  </si>
  <si>
    <t>1月</t>
    <rPh sb="1" eb="2">
      <t>ガツ</t>
    </rPh>
    <phoneticPr fontId="1"/>
  </si>
  <si>
    <t>体験者数(名)</t>
    <rPh sb="0" eb="4">
      <t>タイケンシャスウ</t>
    </rPh>
    <rPh sb="5" eb="6">
      <t>メイ</t>
    </rPh>
    <phoneticPr fontId="1"/>
  </si>
  <si>
    <t>購入者数(名)</t>
    <rPh sb="0" eb="2">
      <t>コウニュウ</t>
    </rPh>
    <rPh sb="2" eb="3">
      <t>シャ</t>
    </rPh>
    <rPh sb="3" eb="4">
      <t>スウ</t>
    </rPh>
    <phoneticPr fontId="1"/>
  </si>
  <si>
    <t>フィッティング者数(名)</t>
    <rPh sb="7" eb="9">
      <t>シャスウ</t>
    </rPh>
    <rPh sb="10" eb="11">
      <t>メイ</t>
    </rPh>
    <phoneticPr fontId="1"/>
  </si>
  <si>
    <t>深見　由一郎</t>
    <rPh sb="0" eb="2">
      <t>フカミ</t>
    </rPh>
    <rPh sb="3" eb="4">
      <t>ヨシ</t>
    </rPh>
    <rPh sb="4" eb="6">
      <t>イチロウ</t>
    </rPh>
    <phoneticPr fontId="1"/>
  </si>
  <si>
    <t>フカミ　ユウイチロウ</t>
    <phoneticPr fontId="1"/>
  </si>
  <si>
    <t>603-0804</t>
    <phoneticPr fontId="1"/>
  </si>
  <si>
    <t>兵庫県宝塚市雲雀丘山手２丁目11-1</t>
    <rPh sb="0" eb="3">
      <t>ヒョウゴケン</t>
    </rPh>
    <rPh sb="3" eb="6">
      <t>タカラヅカシ</t>
    </rPh>
    <rPh sb="6" eb="9">
      <t>ヒバリガオカ</t>
    </rPh>
    <rPh sb="9" eb="11">
      <t>ヤマテ</t>
    </rPh>
    <rPh sb="12" eb="14">
      <t>チョウメ</t>
    </rPh>
    <phoneticPr fontId="1"/>
  </si>
  <si>
    <t>090-3464-0311</t>
    <phoneticPr fontId="1"/>
  </si>
  <si>
    <t>高山　浩一</t>
    <rPh sb="0" eb="2">
      <t>タカヤマ</t>
    </rPh>
    <rPh sb="3" eb="5">
      <t>コウイチ</t>
    </rPh>
    <phoneticPr fontId="1"/>
  </si>
  <si>
    <t>タカヤマ　コウイチ</t>
    <phoneticPr fontId="1"/>
  </si>
  <si>
    <t>136-0071</t>
    <phoneticPr fontId="1"/>
  </si>
  <si>
    <t>東京都江東区亀戸6-31-1-G507</t>
    <rPh sb="0" eb="8">
      <t>136-0071</t>
    </rPh>
    <phoneticPr fontId="1"/>
  </si>
  <si>
    <t>090-7753-9511</t>
    <phoneticPr fontId="1"/>
  </si>
  <si>
    <t>ktak828@gmail.com</t>
    <phoneticPr fontId="1"/>
  </si>
  <si>
    <t>岡下　慎吾</t>
    <rPh sb="0" eb="2">
      <t>オカシタ</t>
    </rPh>
    <rPh sb="3" eb="5">
      <t>シンゴ</t>
    </rPh>
    <phoneticPr fontId="1"/>
  </si>
  <si>
    <t>オカシタ　シンゴ</t>
    <phoneticPr fontId="1"/>
  </si>
  <si>
    <t>243-0014</t>
    <phoneticPr fontId="1"/>
  </si>
  <si>
    <t>神奈川県厚木市旭町5-43-15-205</t>
    <rPh sb="0" eb="9">
      <t>243-0014</t>
    </rPh>
    <phoneticPr fontId="1"/>
  </si>
  <si>
    <t>090-3716-4158</t>
    <phoneticPr fontId="1"/>
  </si>
  <si>
    <t>森田　剛</t>
    <rPh sb="0" eb="2">
      <t>モリタ</t>
    </rPh>
    <rPh sb="3" eb="4">
      <t>ツヨシ</t>
    </rPh>
    <phoneticPr fontId="1"/>
  </si>
  <si>
    <t>モリタ　ツヨシ</t>
    <phoneticPr fontId="1"/>
  </si>
  <si>
    <t>朝比　夏織</t>
    <rPh sb="0" eb="1">
      <t>アサ</t>
    </rPh>
    <rPh sb="1" eb="2">
      <t>ヒ</t>
    </rPh>
    <rPh sb="3" eb="4">
      <t>ナツ</t>
    </rPh>
    <rPh sb="4" eb="5">
      <t>オリ</t>
    </rPh>
    <phoneticPr fontId="1"/>
  </si>
  <si>
    <t>アサヒ　カオリ</t>
    <phoneticPr fontId="1"/>
  </si>
  <si>
    <t>兵庫県宝塚市雲雀丘1-9-39</t>
    <rPh sb="0" eb="3">
      <t>ヒョウゴケン</t>
    </rPh>
    <rPh sb="3" eb="6">
      <t>タカラヅカシ</t>
    </rPh>
    <rPh sb="6" eb="9">
      <t>ヒバリガオカ</t>
    </rPh>
    <phoneticPr fontId="1"/>
  </si>
  <si>
    <t>090-5906-8373</t>
    <phoneticPr fontId="1"/>
  </si>
  <si>
    <t>kensouou0810@gmail.com</t>
    <phoneticPr fontId="1"/>
  </si>
  <si>
    <t>公式ライン</t>
  </si>
  <si>
    <t>2022.11.19</t>
    <phoneticPr fontId="1"/>
  </si>
  <si>
    <t>杉中 大輔</t>
    <rPh sb="0" eb="2">
      <t>スギナカ</t>
    </rPh>
    <rPh sb="3" eb="5">
      <t>ダイスケ</t>
    </rPh>
    <phoneticPr fontId="1"/>
  </si>
  <si>
    <t>スギナカ　ダイスケ</t>
    <phoneticPr fontId="1"/>
  </si>
  <si>
    <t>兵庫県中山五月台2-8-23</t>
    <rPh sb="0" eb="3">
      <t>ヒョウゴケン</t>
    </rPh>
    <rPh sb="3" eb="5">
      <t>ナカヤマ</t>
    </rPh>
    <rPh sb="5" eb="8">
      <t>サツキダイ</t>
    </rPh>
    <phoneticPr fontId="1"/>
  </si>
  <si>
    <t>080-1503-3276</t>
    <phoneticPr fontId="1"/>
  </si>
  <si>
    <t>daisukeee1220@gmail.com</t>
    <phoneticPr fontId="1"/>
  </si>
  <si>
    <t>1月</t>
  </si>
  <si>
    <t>退会数</t>
    <rPh sb="0" eb="3">
      <t>タイカイスウ</t>
    </rPh>
    <phoneticPr fontId="1"/>
  </si>
  <si>
    <t>6月</t>
    <phoneticPr fontId="1"/>
  </si>
  <si>
    <t>マスター</t>
    <phoneticPr fontId="1"/>
  </si>
  <si>
    <t>レギュラー</t>
    <phoneticPr fontId="1"/>
  </si>
  <si>
    <t>ライト</t>
    <phoneticPr fontId="1"/>
  </si>
  <si>
    <t>法人</t>
    <rPh sb="0" eb="2">
      <t>ホウジン</t>
    </rPh>
    <phoneticPr fontId="1"/>
  </si>
  <si>
    <t>チケット</t>
    <phoneticPr fontId="1"/>
  </si>
  <si>
    <t>計</t>
    <rPh sb="0" eb="1">
      <t>ケイ</t>
    </rPh>
    <phoneticPr fontId="1"/>
  </si>
  <si>
    <t>退会</t>
    <rPh sb="0" eb="2">
      <t>タイカイ</t>
    </rPh>
    <phoneticPr fontId="1"/>
  </si>
  <si>
    <t>２９期</t>
    <rPh sb="2" eb="3">
      <t>キ</t>
    </rPh>
    <phoneticPr fontId="1"/>
  </si>
  <si>
    <t>３０期</t>
    <rPh sb="2" eb="3">
      <t>キ</t>
    </rPh>
    <phoneticPr fontId="1"/>
  </si>
  <si>
    <t>３１期</t>
    <rPh sb="2" eb="3">
      <t>キ</t>
    </rPh>
    <phoneticPr fontId="1"/>
  </si>
  <si>
    <t>退会者計</t>
    <rPh sb="0" eb="3">
      <t>タイカイシャ</t>
    </rPh>
    <rPh sb="3" eb="4">
      <t>ケイ</t>
    </rPh>
    <phoneticPr fontId="1"/>
  </si>
  <si>
    <t>新規入会</t>
    <rPh sb="0" eb="2">
      <t>シンキ</t>
    </rPh>
    <rPh sb="2" eb="4">
      <t>ニュウカイ</t>
    </rPh>
    <phoneticPr fontId="1"/>
  </si>
  <si>
    <t>30期</t>
    <rPh sb="2" eb="3">
      <t>キ</t>
    </rPh>
    <phoneticPr fontId="1"/>
  </si>
  <si>
    <t>新規入会</t>
    <rPh sb="0" eb="4">
      <t>シンキニュウカイ</t>
    </rPh>
    <phoneticPr fontId="1"/>
  </si>
  <si>
    <t>入会者</t>
    <rPh sb="0" eb="3">
      <t>ニュウカイシャ</t>
    </rPh>
    <phoneticPr fontId="1"/>
  </si>
  <si>
    <t>退会者</t>
    <rPh sb="0" eb="3">
      <t>タイカイシャ</t>
    </rPh>
    <phoneticPr fontId="1"/>
  </si>
  <si>
    <t>体験</t>
    <rPh sb="0" eb="2">
      <t>タイケン</t>
    </rPh>
    <phoneticPr fontId="1"/>
  </si>
  <si>
    <t>フィッティング数</t>
    <rPh sb="7" eb="8">
      <t>スウ</t>
    </rPh>
    <phoneticPr fontId="1"/>
  </si>
  <si>
    <t>物販売上総額</t>
    <rPh sb="0" eb="2">
      <t>ブッパン</t>
    </rPh>
    <rPh sb="2" eb="4">
      <t>ウリアゲ</t>
    </rPh>
    <rPh sb="4" eb="6">
      <t>ソウガク</t>
    </rPh>
    <phoneticPr fontId="1"/>
  </si>
  <si>
    <t>　ビジター</t>
    <phoneticPr fontId="1"/>
  </si>
  <si>
    <t>　会員</t>
    <rPh sb="1" eb="3">
      <t>カイイン</t>
    </rPh>
    <phoneticPr fontId="1"/>
  </si>
  <si>
    <t>６月</t>
    <rPh sb="1" eb="2">
      <t>ガツ</t>
    </rPh>
    <phoneticPr fontId="1"/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</si>
  <si>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</si>
  <si>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</si>
  <si>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</si>
  <si>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</si>
  <si>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</si>
  <si>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</si>
  <si>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</si>
  <si>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</si>
  <si>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</si>
  <si>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４月</t>
  </si>
  <si>
    <t>５月</t>
  </si>
  <si>
    <t>　シャフト</t>
    <phoneticPr fontId="1"/>
  </si>
  <si>
    <t>　ヘッド</t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</si>
  <si>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</si>
  <si>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</si>
  <si>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4月</t>
    <rPh sb="1" eb="2">
      <t>ガツ</t>
    </rPh>
    <phoneticPr fontId="1"/>
  </si>
  <si>
    <t>26期</t>
    <rPh sb="2" eb="3">
      <t>キ</t>
    </rPh>
    <phoneticPr fontId="1"/>
  </si>
  <si>
    <t>27期</t>
    <rPh sb="2" eb="3">
      <t>キ</t>
    </rPh>
    <phoneticPr fontId="1"/>
  </si>
  <si>
    <t>28期</t>
    <rPh sb="2" eb="3">
      <t>キ</t>
    </rPh>
    <phoneticPr fontId="1"/>
  </si>
  <si>
    <t>29期</t>
    <rPh sb="2" eb="3">
      <t>キ</t>
    </rPh>
    <phoneticPr fontId="1"/>
  </si>
  <si>
    <t>31期</t>
    <rPh sb="2" eb="3">
      <t>キ</t>
    </rPh>
    <phoneticPr fontId="1"/>
  </si>
  <si>
    <t>プラチナ</t>
    <phoneticPr fontId="1"/>
  </si>
  <si>
    <t>チケット</t>
    <phoneticPr fontId="1"/>
  </si>
  <si>
    <t>チケット</t>
    <phoneticPr fontId="1"/>
  </si>
  <si>
    <t>退会数</t>
    <rPh sb="0" eb="2">
      <t>タイカイ</t>
    </rPh>
    <rPh sb="2" eb="3">
      <t>スウ</t>
    </rPh>
    <phoneticPr fontId="1"/>
  </si>
  <si>
    <t>プラチナ</t>
    <phoneticPr fontId="1"/>
  </si>
  <si>
    <t>6月</t>
    <phoneticPr fontId="1"/>
  </si>
  <si>
    <t>6月</t>
    <phoneticPr fontId="1"/>
  </si>
  <si>
    <t>マスター</t>
    <phoneticPr fontId="1"/>
  </si>
  <si>
    <t>レギュラー</t>
    <phoneticPr fontId="1"/>
  </si>
  <si>
    <t>1名除名：森田光昭</t>
    <rPh sb="1" eb="2">
      <t>メイ</t>
    </rPh>
    <rPh sb="2" eb="4">
      <t>ジョメイ</t>
    </rPh>
    <rPh sb="5" eb="7">
      <t>モリタ</t>
    </rPh>
    <rPh sb="7" eb="9">
      <t>ミツアキ</t>
    </rPh>
    <phoneticPr fontId="1"/>
  </si>
  <si>
    <t>2名除名　入澤、</t>
    <rPh sb="1" eb="2">
      <t>メイ</t>
    </rPh>
    <rPh sb="2" eb="4">
      <t>ジョメイ</t>
    </rPh>
    <rPh sb="5" eb="7">
      <t>イリザワ</t>
    </rPh>
    <phoneticPr fontId="1"/>
  </si>
  <si>
    <t>プラン変更</t>
    <rPh sb="3" eb="5">
      <t>ヘンコウ</t>
    </rPh>
    <phoneticPr fontId="1"/>
  </si>
  <si>
    <t>プラチナ</t>
    <phoneticPr fontId="1"/>
  </si>
  <si>
    <t>プラン変</t>
    <rPh sb="3" eb="4">
      <t>ヘン</t>
    </rPh>
    <phoneticPr fontId="1"/>
  </si>
  <si>
    <t>マスター</t>
    <phoneticPr fontId="1"/>
  </si>
  <si>
    <t>ライト</t>
    <phoneticPr fontId="1"/>
  </si>
  <si>
    <t>継続会員数</t>
    <rPh sb="0" eb="2">
      <t>ケイゾク</t>
    </rPh>
    <rPh sb="2" eb="5">
      <t>カイインスウ</t>
    </rPh>
    <phoneticPr fontId="1"/>
  </si>
  <si>
    <t>累積</t>
    <rPh sb="0" eb="2">
      <t>ルイセキ</t>
    </rPh>
    <phoneticPr fontId="1"/>
  </si>
  <si>
    <t>チケット</t>
    <phoneticPr fontId="1"/>
  </si>
  <si>
    <t>28期平日</t>
    <rPh sb="2" eb="3">
      <t>キ</t>
    </rPh>
    <rPh sb="3" eb="5">
      <t>ヘイジツ</t>
    </rPh>
    <phoneticPr fontId="1"/>
  </si>
  <si>
    <t>28期土日</t>
    <rPh sb="2" eb="3">
      <t>キ</t>
    </rPh>
    <rPh sb="3" eb="5">
      <t>ドニチ</t>
    </rPh>
    <phoneticPr fontId="1"/>
  </si>
  <si>
    <t>休会数</t>
    <rPh sb="0" eb="3">
      <t>キュウカイスウ</t>
    </rPh>
    <phoneticPr fontId="1"/>
  </si>
  <si>
    <t>休会</t>
    <rPh sb="0" eb="2">
      <t>キュウカイ</t>
    </rPh>
    <phoneticPr fontId="1"/>
  </si>
  <si>
    <t>体験利用者数</t>
    <rPh sb="0" eb="2">
      <t>タイケン</t>
    </rPh>
    <rPh sb="2" eb="5">
      <t>リヨウシャ</t>
    </rPh>
    <rPh sb="5" eb="6">
      <t>スウ</t>
    </rPh>
    <phoneticPr fontId="1"/>
  </si>
  <si>
    <t>体験からの入会</t>
    <rPh sb="0" eb="2">
      <t>タイケン</t>
    </rPh>
    <rPh sb="5" eb="7">
      <t>ニュウカイ</t>
    </rPh>
    <phoneticPr fontId="1"/>
  </si>
  <si>
    <t>入会率</t>
    <rPh sb="0" eb="3">
      <t>ニュウカイリツ</t>
    </rPh>
    <phoneticPr fontId="1"/>
  </si>
  <si>
    <t>ＫＧＵ登録数</t>
    <rPh sb="3" eb="6">
      <t>トウロクスウ</t>
    </rPh>
    <phoneticPr fontId="1"/>
  </si>
  <si>
    <t>KGUからの入会</t>
    <rPh sb="6" eb="8">
      <t>ニュウカイ</t>
    </rPh>
    <phoneticPr fontId="1"/>
  </si>
  <si>
    <t>徳島　裕樹</t>
    <rPh sb="0" eb="2">
      <t>トクシマ</t>
    </rPh>
    <rPh sb="3" eb="5">
      <t>ヒロキ</t>
    </rPh>
    <phoneticPr fontId="1"/>
  </si>
  <si>
    <t>トクシマ　ヒロキ</t>
    <phoneticPr fontId="1"/>
  </si>
  <si>
    <t>690-0011</t>
    <phoneticPr fontId="1"/>
  </si>
  <si>
    <t>260㎞</t>
    <phoneticPr fontId="1"/>
  </si>
  <si>
    <t>島根県松江市東津田町1700-2　タルミB番館　201号室</t>
    <rPh sb="0" eb="3">
      <t>シマネケン</t>
    </rPh>
    <rPh sb="3" eb="6">
      <t>マツエシ</t>
    </rPh>
    <rPh sb="6" eb="7">
      <t>ヒガシ</t>
    </rPh>
    <rPh sb="7" eb="9">
      <t>ツダ</t>
    </rPh>
    <rPh sb="9" eb="10">
      <t>チョウ</t>
    </rPh>
    <rPh sb="21" eb="23">
      <t>バンカン</t>
    </rPh>
    <rPh sb="27" eb="29">
      <t>ゴウシツ</t>
    </rPh>
    <phoneticPr fontId="1"/>
  </si>
  <si>
    <t>090-2252-8454</t>
    <phoneticPr fontId="1"/>
  </si>
  <si>
    <t>juvenile_hall@hotmail.co.jp</t>
    <phoneticPr fontId="1"/>
  </si>
  <si>
    <t>体験・入会</t>
    <rPh sb="0" eb="2">
      <t>タイケン</t>
    </rPh>
    <rPh sb="3" eb="5">
      <t>ニュウカイ</t>
    </rPh>
    <phoneticPr fontId="1"/>
  </si>
  <si>
    <t>購入率</t>
    <rPh sb="0" eb="2">
      <t>コウニュウ</t>
    </rPh>
    <rPh sb="2" eb="3">
      <t>リツ</t>
    </rPh>
    <phoneticPr fontId="1"/>
  </si>
  <si>
    <t>退会率</t>
    <rPh sb="0" eb="2">
      <t>タイカイ</t>
    </rPh>
    <rPh sb="2" eb="3">
      <t>リツ</t>
    </rPh>
    <phoneticPr fontId="1"/>
  </si>
  <si>
    <t>合計</t>
    <rPh sb="0" eb="2">
      <t>ゴウケイ</t>
    </rPh>
    <phoneticPr fontId="1"/>
  </si>
  <si>
    <t>休会率</t>
    <rPh sb="0" eb="2">
      <t>キュウカイ</t>
    </rPh>
    <rPh sb="2" eb="3">
      <t>リツ</t>
    </rPh>
    <phoneticPr fontId="1"/>
  </si>
  <si>
    <t>30期　</t>
    <rPh sb="2" eb="3">
      <t>キ</t>
    </rPh>
    <phoneticPr fontId="1"/>
  </si>
  <si>
    <t>何を見てきたか</t>
    <rPh sb="0" eb="1">
      <t>ナニ</t>
    </rPh>
    <rPh sb="2" eb="3">
      <t>ミ</t>
    </rPh>
    <phoneticPr fontId="1"/>
  </si>
  <si>
    <t>未回答</t>
    <rPh sb="0" eb="3">
      <t>ミカイトウ</t>
    </rPh>
    <phoneticPr fontId="1"/>
  </si>
  <si>
    <t>来店数</t>
    <rPh sb="0" eb="3">
      <t>ライテンスウ</t>
    </rPh>
    <phoneticPr fontId="1"/>
  </si>
  <si>
    <t>入会数</t>
    <rPh sb="0" eb="3">
      <t>ニュウカイスウ</t>
    </rPh>
    <phoneticPr fontId="1"/>
  </si>
  <si>
    <t>割合</t>
    <rPh sb="0" eb="2">
      <t>ワリアイ</t>
    </rPh>
    <phoneticPr fontId="1"/>
  </si>
  <si>
    <t>森　忠司</t>
    <rPh sb="0" eb="1">
      <t>モリ</t>
    </rPh>
    <rPh sb="2" eb="3">
      <t>タダシ</t>
    </rPh>
    <rPh sb="3" eb="4">
      <t>ツカサ</t>
    </rPh>
    <phoneticPr fontId="1"/>
  </si>
  <si>
    <t>モリ　タダシ</t>
    <phoneticPr fontId="1"/>
  </si>
  <si>
    <t>男</t>
    <rPh sb="0" eb="1">
      <t>オトコ</t>
    </rPh>
    <phoneticPr fontId="1"/>
  </si>
  <si>
    <t>670-0947</t>
    <phoneticPr fontId="1"/>
  </si>
  <si>
    <t>兵庫県姫路市北条432-2</t>
    <rPh sb="0" eb="3">
      <t>ヒョウゴケン</t>
    </rPh>
    <rPh sb="3" eb="6">
      <t>ヒメジシ</t>
    </rPh>
    <rPh sb="6" eb="8">
      <t>ホウジョウ</t>
    </rPh>
    <phoneticPr fontId="1"/>
  </si>
  <si>
    <t>75.3km</t>
    <phoneticPr fontId="1"/>
  </si>
  <si>
    <t>080-1456-7606</t>
    <phoneticPr fontId="1"/>
  </si>
  <si>
    <t>GRUP24　（藤田プロ紹介）　－￥5,000</t>
    <rPh sb="8" eb="10">
      <t>フジタ</t>
    </rPh>
    <rPh sb="12" eb="14">
      <t>ショウカイ</t>
    </rPh>
    <phoneticPr fontId="1"/>
  </si>
  <si>
    <t>寺本　一斗</t>
    <rPh sb="0" eb="2">
      <t>テラモト</t>
    </rPh>
    <rPh sb="3" eb="4">
      <t>ハジメ</t>
    </rPh>
    <rPh sb="4" eb="5">
      <t>ト</t>
    </rPh>
    <phoneticPr fontId="1"/>
  </si>
  <si>
    <t>テラモト　イット</t>
    <phoneticPr fontId="1"/>
  </si>
  <si>
    <t>兵庫県宝塚市中山荘園1-10-2</t>
    <rPh sb="0" eb="3">
      <t>ヒョウゴケン</t>
    </rPh>
    <rPh sb="3" eb="6">
      <t>タカラヅカシ</t>
    </rPh>
    <rPh sb="6" eb="8">
      <t>ナカヤマ</t>
    </rPh>
    <rPh sb="8" eb="9">
      <t>ソウ</t>
    </rPh>
    <rPh sb="9" eb="10">
      <t>エン</t>
    </rPh>
    <phoneticPr fontId="1"/>
  </si>
  <si>
    <t>3.1km</t>
    <phoneticPr fontId="1"/>
  </si>
  <si>
    <t>665-0868</t>
    <phoneticPr fontId="1"/>
  </si>
  <si>
    <t>090-6050-3712</t>
    <phoneticPr fontId="1"/>
  </si>
  <si>
    <t>it22skl@gmail.com</t>
    <phoneticPr fontId="1"/>
  </si>
  <si>
    <t>WEB</t>
    <phoneticPr fontId="1"/>
  </si>
  <si>
    <t>前中　直子</t>
    <rPh sb="0" eb="2">
      <t>マエナカ</t>
    </rPh>
    <rPh sb="3" eb="5">
      <t>ナオコ</t>
    </rPh>
    <phoneticPr fontId="1"/>
  </si>
  <si>
    <t>マエナカ　ナオコ</t>
    <phoneticPr fontId="1"/>
  </si>
  <si>
    <t>女</t>
    <rPh sb="0" eb="1">
      <t>オンナ</t>
    </rPh>
    <phoneticPr fontId="1"/>
  </si>
  <si>
    <t>658-0054</t>
    <phoneticPr fontId="1"/>
  </si>
  <si>
    <t>兵庫県神戸市東灘区御影中町4-2-1-603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ミカゲ</t>
    </rPh>
    <rPh sb="11" eb="13">
      <t>ナカマチ</t>
    </rPh>
    <phoneticPr fontId="1"/>
  </si>
  <si>
    <t>34.4km</t>
    <phoneticPr fontId="1"/>
  </si>
  <si>
    <t>090-8144-0138</t>
    <phoneticPr fontId="1"/>
  </si>
  <si>
    <t>店頭</t>
    <rPh sb="0" eb="2">
      <t>テントウ</t>
    </rPh>
    <phoneticPr fontId="1"/>
  </si>
  <si>
    <t>購入</t>
    <rPh sb="0" eb="2">
      <t>コウニュウ</t>
    </rPh>
    <phoneticPr fontId="1"/>
  </si>
  <si>
    <t>知人の紹介</t>
    <rPh sb="0" eb="2">
      <t>チジン</t>
    </rPh>
    <rPh sb="3" eb="5">
      <t>ショウカイ</t>
    </rPh>
    <phoneticPr fontId="1"/>
  </si>
  <si>
    <t>新井龍昇さんの紹介</t>
    <rPh sb="7" eb="9">
      <t>ショウカイ</t>
    </rPh>
    <phoneticPr fontId="1"/>
  </si>
  <si>
    <t>兼松　和司</t>
    <rPh sb="0" eb="2">
      <t>カネマツ</t>
    </rPh>
    <rPh sb="3" eb="5">
      <t>カズシ</t>
    </rPh>
    <phoneticPr fontId="1"/>
  </si>
  <si>
    <t>カネマツ　カズシ</t>
    <phoneticPr fontId="1"/>
  </si>
  <si>
    <t>男</t>
    <rPh sb="0" eb="1">
      <t>オトコ</t>
    </rPh>
    <phoneticPr fontId="1"/>
  </si>
  <si>
    <t>660-0245</t>
    <phoneticPr fontId="1"/>
  </si>
  <si>
    <t>兵庫県川辺郡猪名川町つつじが丘1-38-12</t>
    <rPh sb="0" eb="3">
      <t>ヒョウゴケン</t>
    </rPh>
    <rPh sb="3" eb="5">
      <t>カワベ</t>
    </rPh>
    <rPh sb="5" eb="6">
      <t>グン</t>
    </rPh>
    <rPh sb="6" eb="9">
      <t>イナガワ</t>
    </rPh>
    <rPh sb="9" eb="10">
      <t>チョウ</t>
    </rPh>
    <rPh sb="14" eb="15">
      <t>オカ</t>
    </rPh>
    <phoneticPr fontId="1"/>
  </si>
  <si>
    <t>090-3846-8620</t>
    <phoneticPr fontId="1"/>
  </si>
  <si>
    <t>チラシ</t>
  </si>
  <si>
    <t>武井さんの紹介</t>
    <rPh sb="0" eb="2">
      <t>タケイ</t>
    </rPh>
    <rPh sb="5" eb="7">
      <t>ショウカイ</t>
    </rPh>
    <phoneticPr fontId="1"/>
  </si>
  <si>
    <t>入会</t>
    <phoneticPr fontId="1"/>
  </si>
  <si>
    <t>有</t>
    <rPh sb="0" eb="1">
      <t>アリ</t>
    </rPh>
    <phoneticPr fontId="1"/>
  </si>
  <si>
    <t>660-0246</t>
  </si>
  <si>
    <t>兵庫県川辺郡猪名川町つつじが丘1-38-13</t>
    <rPh sb="0" eb="3">
      <t>ヒョウゴケン</t>
    </rPh>
    <rPh sb="3" eb="5">
      <t>カワベ</t>
    </rPh>
    <rPh sb="5" eb="6">
      <t>グン</t>
    </rPh>
    <rPh sb="6" eb="9">
      <t>イナガワ</t>
    </rPh>
    <rPh sb="9" eb="10">
      <t>チョウ</t>
    </rPh>
    <rPh sb="14" eb="15">
      <t>オカ</t>
    </rPh>
    <phoneticPr fontId="1"/>
  </si>
  <si>
    <t>090-3846-8621</t>
  </si>
  <si>
    <t>兼松　増美</t>
    <rPh sb="0" eb="2">
      <t>カネマツ</t>
    </rPh>
    <rPh sb="3" eb="5">
      <t>マスミ</t>
    </rPh>
    <phoneticPr fontId="1"/>
  </si>
  <si>
    <t>カネマツ　マスミ</t>
    <phoneticPr fontId="1"/>
  </si>
  <si>
    <t>中間　健志郎</t>
    <rPh sb="0" eb="2">
      <t>ナカマ</t>
    </rPh>
    <rPh sb="3" eb="6">
      <t>ケンシロウ</t>
    </rPh>
    <phoneticPr fontId="1"/>
  </si>
  <si>
    <t>ナカマ　ケンシロウ</t>
    <phoneticPr fontId="1"/>
  </si>
  <si>
    <t>666-0025</t>
    <phoneticPr fontId="1"/>
  </si>
  <si>
    <t>兵庫県川西市加茂3-7-4</t>
    <rPh sb="0" eb="3">
      <t>ヒョウゴケン</t>
    </rPh>
    <rPh sb="3" eb="5">
      <t>カワニシ</t>
    </rPh>
    <rPh sb="5" eb="6">
      <t>シ</t>
    </rPh>
    <rPh sb="6" eb="8">
      <t>カモ</t>
    </rPh>
    <phoneticPr fontId="1"/>
  </si>
  <si>
    <t>090-6061-7239</t>
    <phoneticPr fontId="1"/>
  </si>
  <si>
    <t>x27c8e777yz@gmail.com</t>
    <phoneticPr fontId="1"/>
  </si>
  <si>
    <t>WEB</t>
    <phoneticPr fontId="1"/>
  </si>
  <si>
    <t>インターネット</t>
    <phoneticPr fontId="1"/>
  </si>
  <si>
    <t>大久保　嘉禎</t>
    <rPh sb="0" eb="3">
      <t>オオクボ</t>
    </rPh>
    <rPh sb="4" eb="5">
      <t>カ</t>
    </rPh>
    <rPh sb="5" eb="6">
      <t>サダ</t>
    </rPh>
    <phoneticPr fontId="1"/>
  </si>
  <si>
    <t>オオクボ　ヨシサダ</t>
    <phoneticPr fontId="1"/>
  </si>
  <si>
    <t>男</t>
    <rPh sb="0" eb="1">
      <t>オトコ</t>
    </rPh>
    <phoneticPr fontId="1"/>
  </si>
  <si>
    <t>663-8111</t>
    <phoneticPr fontId="1"/>
  </si>
  <si>
    <t>兵庫県西宮市二見町10-22</t>
    <rPh sb="0" eb="3">
      <t>ヒョウゴケン</t>
    </rPh>
    <rPh sb="3" eb="5">
      <t>ニシノミヤ</t>
    </rPh>
    <rPh sb="5" eb="6">
      <t>シ</t>
    </rPh>
    <rPh sb="6" eb="8">
      <t>フタミ</t>
    </rPh>
    <rPh sb="8" eb="9">
      <t>チョウ</t>
    </rPh>
    <phoneticPr fontId="1"/>
  </si>
  <si>
    <t>090-1590-7054</t>
    <phoneticPr fontId="1"/>
  </si>
  <si>
    <t>矢野　孝俊</t>
    <rPh sb="0" eb="2">
      <t>ヤノ</t>
    </rPh>
    <rPh sb="3" eb="5">
      <t>タカトシ</t>
    </rPh>
    <phoneticPr fontId="1"/>
  </si>
  <si>
    <t>ヤノ　タカトシ</t>
    <phoneticPr fontId="1"/>
  </si>
  <si>
    <t>651-2243</t>
    <phoneticPr fontId="1"/>
  </si>
  <si>
    <t>兵庫県神戸市西区井吹台西町3-16-1</t>
    <rPh sb="0" eb="3">
      <t>ヒョウゴケン</t>
    </rPh>
    <rPh sb="3" eb="8">
      <t>コウベシニシク</t>
    </rPh>
    <rPh sb="8" eb="11">
      <t>イブキダイ</t>
    </rPh>
    <rPh sb="11" eb="13">
      <t>ニシマチ</t>
    </rPh>
    <phoneticPr fontId="1"/>
  </si>
  <si>
    <t>47.0km</t>
    <phoneticPr fontId="1"/>
  </si>
  <si>
    <t>080-5635-3812</t>
    <phoneticPr fontId="1"/>
  </si>
  <si>
    <t>takkjun88@gmail.com</t>
    <phoneticPr fontId="1"/>
  </si>
  <si>
    <t>飛距離を伸ばす為</t>
    <rPh sb="0" eb="3">
      <t>ヒキョリ</t>
    </rPh>
    <rPh sb="4" eb="5">
      <t>ノ</t>
    </rPh>
    <rPh sb="7" eb="8">
      <t>タメ</t>
    </rPh>
    <phoneticPr fontId="1"/>
  </si>
  <si>
    <t>上田　こもも</t>
    <rPh sb="0" eb="2">
      <t>ウエダ</t>
    </rPh>
    <phoneticPr fontId="1"/>
  </si>
  <si>
    <t>ウエダ　コモモ</t>
    <phoneticPr fontId="1"/>
  </si>
  <si>
    <t>兵庫県宝塚市雲雀丘山手2-6-33</t>
    <rPh sb="0" eb="6">
      <t>ヒョウゴケンタカラヅカシ</t>
    </rPh>
    <rPh sb="6" eb="11">
      <t>ヒバリガオカヤマテ</t>
    </rPh>
    <phoneticPr fontId="1"/>
  </si>
  <si>
    <t>070-8438-5752</t>
    <phoneticPr fontId="1"/>
  </si>
  <si>
    <t>Komomoy.t200251401@gmail.com</t>
    <phoneticPr fontId="1"/>
  </si>
  <si>
    <t>萬雲　勇介</t>
    <rPh sb="0" eb="2">
      <t>マンクモ</t>
    </rPh>
    <rPh sb="3" eb="5">
      <t>ユウスケ</t>
    </rPh>
    <phoneticPr fontId="1"/>
  </si>
  <si>
    <t>マンクモ　ユウスケ</t>
    <phoneticPr fontId="1"/>
  </si>
  <si>
    <t>661-09475</t>
    <phoneticPr fontId="1"/>
  </si>
  <si>
    <t>兵庫県尼崎市下坂部4-4-12　２０５号</t>
    <rPh sb="0" eb="3">
      <t>ヒョウゴケン</t>
    </rPh>
    <rPh sb="3" eb="6">
      <t>アマガサキシ</t>
    </rPh>
    <rPh sb="6" eb="9">
      <t>シモサカベ</t>
    </rPh>
    <rPh sb="19" eb="20">
      <t>ゴウ</t>
    </rPh>
    <phoneticPr fontId="1"/>
  </si>
  <si>
    <t>080-1405-1640</t>
    <phoneticPr fontId="1"/>
  </si>
  <si>
    <t>田中　浩</t>
    <rPh sb="0" eb="2">
      <t>タナカ</t>
    </rPh>
    <rPh sb="3" eb="4">
      <t>ヒロシ</t>
    </rPh>
    <phoneticPr fontId="1"/>
  </si>
  <si>
    <t>タナカ　ヒロシ</t>
    <phoneticPr fontId="1"/>
  </si>
  <si>
    <t>兵庫県宝塚市長尾町17-6-104</t>
    <rPh sb="0" eb="6">
      <t>ヒョウゴケンタカラヅカシ</t>
    </rPh>
    <rPh sb="6" eb="9">
      <t>ナガオチョウ</t>
    </rPh>
    <phoneticPr fontId="1"/>
  </si>
  <si>
    <t>090-4765-4527</t>
    <phoneticPr fontId="1"/>
  </si>
  <si>
    <t>hinao3934@gmail.com</t>
    <phoneticPr fontId="1"/>
  </si>
  <si>
    <t>柚木　力</t>
    <rPh sb="0" eb="1">
      <t>ユズ</t>
    </rPh>
    <rPh sb="1" eb="2">
      <t>キ</t>
    </rPh>
    <rPh sb="3" eb="4">
      <t>チカラ</t>
    </rPh>
    <phoneticPr fontId="1"/>
  </si>
  <si>
    <t>ユノキ　ツトム</t>
    <phoneticPr fontId="1"/>
  </si>
  <si>
    <t>兵庫県川西市南花屋敷2-6-10-77</t>
    <rPh sb="0" eb="3">
      <t>ヒョウゴケン</t>
    </rPh>
    <rPh sb="3" eb="6">
      <t>カワニシシ</t>
    </rPh>
    <rPh sb="6" eb="7">
      <t>ミナミ</t>
    </rPh>
    <rPh sb="7" eb="8">
      <t>ハナ</t>
    </rPh>
    <rPh sb="8" eb="10">
      <t>ヤシキ</t>
    </rPh>
    <phoneticPr fontId="1"/>
  </si>
  <si>
    <t>090-1393-6006</t>
    <phoneticPr fontId="1"/>
  </si>
  <si>
    <t>yu_no114@yahoo.co.jp</t>
    <phoneticPr fontId="1"/>
  </si>
  <si>
    <t>無料キャンペーン</t>
    <rPh sb="0" eb="2">
      <t>ムリョウ</t>
    </rPh>
    <phoneticPr fontId="1"/>
  </si>
  <si>
    <t>６周年キャンペーン　特典②検討中</t>
    <rPh sb="1" eb="3">
      <t>シュウネン</t>
    </rPh>
    <rPh sb="10" eb="12">
      <t>トクテン</t>
    </rPh>
    <rPh sb="13" eb="16">
      <t>ケントウチュウ</t>
    </rPh>
    <phoneticPr fontId="1"/>
  </si>
  <si>
    <t>林　裕希</t>
    <rPh sb="0" eb="1">
      <t>ハヤシ</t>
    </rPh>
    <rPh sb="2" eb="4">
      <t>ユウキ</t>
    </rPh>
    <phoneticPr fontId="1"/>
  </si>
  <si>
    <t>ハヤシ　ヒロキ</t>
    <phoneticPr fontId="1"/>
  </si>
  <si>
    <t>670-0955</t>
    <phoneticPr fontId="1"/>
  </si>
  <si>
    <t>兵庫県姫路市安田４丁目144-605</t>
    <rPh sb="0" eb="3">
      <t>ヒョウゴケン</t>
    </rPh>
    <rPh sb="3" eb="6">
      <t>ヒメジシ</t>
    </rPh>
    <rPh sb="6" eb="8">
      <t>ヤスダ</t>
    </rPh>
    <rPh sb="9" eb="11">
      <t>チョウメ</t>
    </rPh>
    <phoneticPr fontId="1"/>
  </si>
  <si>
    <t>83.1km</t>
    <phoneticPr fontId="1"/>
  </si>
  <si>
    <t>080-6117-8207</t>
    <phoneticPr fontId="1"/>
  </si>
  <si>
    <t>藤田プロ紹介　GRUP割引　-5000円</t>
    <rPh sb="0" eb="2">
      <t>フジタ</t>
    </rPh>
    <rPh sb="4" eb="6">
      <t>ショウカイ</t>
    </rPh>
    <rPh sb="11" eb="13">
      <t>ワリビキ</t>
    </rPh>
    <rPh sb="19" eb="20">
      <t>エン</t>
    </rPh>
    <phoneticPr fontId="1"/>
  </si>
  <si>
    <t>土井　球人</t>
    <rPh sb="0" eb="2">
      <t>ドイ</t>
    </rPh>
    <rPh sb="3" eb="4">
      <t>タマ</t>
    </rPh>
    <rPh sb="4" eb="5">
      <t>ジン</t>
    </rPh>
    <phoneticPr fontId="1"/>
  </si>
  <si>
    <t>ドイ　タマンド</t>
    <phoneticPr fontId="1"/>
  </si>
  <si>
    <t>男</t>
    <rPh sb="0" eb="1">
      <t>オトコ</t>
    </rPh>
    <phoneticPr fontId="1"/>
  </si>
  <si>
    <t>兵庫県伊丹市荒牧6-13-7</t>
    <rPh sb="0" eb="3">
      <t>ヒョウゴケン</t>
    </rPh>
    <rPh sb="3" eb="6">
      <t>イタミシ</t>
    </rPh>
    <rPh sb="6" eb="8">
      <t>アラマキ</t>
    </rPh>
    <phoneticPr fontId="1"/>
  </si>
  <si>
    <t>650m</t>
    <phoneticPr fontId="1"/>
  </si>
  <si>
    <t>664-0001</t>
    <phoneticPr fontId="1"/>
  </si>
  <si>
    <t>070-4427-2743</t>
    <phoneticPr fontId="1"/>
  </si>
  <si>
    <t>その他</t>
    <rPh sb="2" eb="3">
      <t>タ</t>
    </rPh>
    <phoneticPr fontId="1"/>
  </si>
  <si>
    <t>有</t>
    <rPh sb="0" eb="1">
      <t>アリ</t>
    </rPh>
    <phoneticPr fontId="1"/>
  </si>
  <si>
    <t>北　敦子</t>
    <rPh sb="0" eb="1">
      <t>キタ</t>
    </rPh>
    <rPh sb="2" eb="4">
      <t>アツコ</t>
    </rPh>
    <phoneticPr fontId="1"/>
  </si>
  <si>
    <t>キタ　アツコ</t>
    <phoneticPr fontId="1"/>
  </si>
  <si>
    <t>女</t>
    <rPh sb="0" eb="1">
      <t>オンナ</t>
    </rPh>
    <phoneticPr fontId="1"/>
  </si>
  <si>
    <t>665-0836</t>
    <phoneticPr fontId="1"/>
  </si>
  <si>
    <t>4.3km</t>
    <phoneticPr fontId="1"/>
  </si>
  <si>
    <t>090-7117-6372</t>
    <phoneticPr fontId="1"/>
  </si>
  <si>
    <t>atsunosuke-1113@i.softbank.jp</t>
    <phoneticPr fontId="1"/>
  </si>
  <si>
    <t>無料キャンペーン</t>
    <rPh sb="0" eb="2">
      <t>ムリョウ</t>
    </rPh>
    <phoneticPr fontId="1"/>
  </si>
  <si>
    <t>会員の北様の奥様</t>
    <rPh sb="0" eb="2">
      <t>カイイン</t>
    </rPh>
    <rPh sb="3" eb="4">
      <t>キタ</t>
    </rPh>
    <rPh sb="4" eb="5">
      <t>サマ</t>
    </rPh>
    <rPh sb="6" eb="8">
      <t>オクサマ</t>
    </rPh>
    <phoneticPr fontId="1"/>
  </si>
  <si>
    <t>天谷　英幸</t>
    <rPh sb="0" eb="2">
      <t>アマヤ</t>
    </rPh>
    <rPh sb="3" eb="5">
      <t>ヒデユキ</t>
    </rPh>
    <phoneticPr fontId="1"/>
  </si>
  <si>
    <t>アマヤ　ヒデユキ</t>
    <phoneticPr fontId="1"/>
  </si>
  <si>
    <t>0973/6/20</t>
    <phoneticPr fontId="1"/>
  </si>
  <si>
    <t>男</t>
    <rPh sb="0" eb="1">
      <t>オトコ</t>
    </rPh>
    <phoneticPr fontId="1"/>
  </si>
  <si>
    <t>666-0034</t>
    <phoneticPr fontId="1"/>
  </si>
  <si>
    <t>兵庫県川西市寺畑2-4-4-305</t>
    <rPh sb="0" eb="3">
      <t>ヒョウゴケン</t>
    </rPh>
    <rPh sb="3" eb="6">
      <t>カワニシシ</t>
    </rPh>
    <rPh sb="6" eb="8">
      <t>テラハタ</t>
    </rPh>
    <phoneticPr fontId="1"/>
  </si>
  <si>
    <t>3.0km</t>
    <phoneticPr fontId="1"/>
  </si>
  <si>
    <t>090-1610-1700</t>
    <phoneticPr fontId="1"/>
  </si>
  <si>
    <t>amaya39hideyuki@jasmine.ocn.ne.jp</t>
    <phoneticPr fontId="1"/>
  </si>
  <si>
    <t>國分　彩那</t>
    <rPh sb="0" eb="1">
      <t>コク</t>
    </rPh>
    <rPh sb="1" eb="2">
      <t>フン</t>
    </rPh>
    <rPh sb="3" eb="4">
      <t>アヤ</t>
    </rPh>
    <rPh sb="4" eb="5">
      <t>ナ</t>
    </rPh>
    <phoneticPr fontId="1"/>
  </si>
  <si>
    <t>コクブ　アヤナ</t>
    <phoneticPr fontId="1"/>
  </si>
  <si>
    <t>547-0034</t>
    <phoneticPr fontId="1"/>
  </si>
  <si>
    <t>大阪府大阪市平野区背戸口2-3-4</t>
    <rPh sb="0" eb="6">
      <t>オオサカフオオサカシ</t>
    </rPh>
    <rPh sb="6" eb="9">
      <t>ヒラノク</t>
    </rPh>
    <rPh sb="9" eb="12">
      <t>セトグチ</t>
    </rPh>
    <phoneticPr fontId="1"/>
  </si>
  <si>
    <t>32.4㎞</t>
    <phoneticPr fontId="1"/>
  </si>
  <si>
    <t>090-9169-5921</t>
    <phoneticPr fontId="1"/>
  </si>
  <si>
    <t>GRUP割引　￥5000off</t>
    <rPh sb="4" eb="6">
      <t>ワリビキ</t>
    </rPh>
    <phoneticPr fontId="1"/>
  </si>
  <si>
    <t>磯和　由佳</t>
    <rPh sb="0" eb="2">
      <t>イソワ</t>
    </rPh>
    <rPh sb="3" eb="5">
      <t>ユカ</t>
    </rPh>
    <phoneticPr fontId="1"/>
  </si>
  <si>
    <t>イソワ　ユカ</t>
    <phoneticPr fontId="1"/>
  </si>
  <si>
    <t>女</t>
    <rPh sb="0" eb="1">
      <t>オンナ</t>
    </rPh>
    <phoneticPr fontId="1"/>
  </si>
  <si>
    <t>650-0004</t>
    <phoneticPr fontId="1"/>
  </si>
  <si>
    <t>兵庫県神戸市中央区中山手通2-14-9-903</t>
    <rPh sb="0" eb="13">
      <t>650-0004</t>
    </rPh>
    <phoneticPr fontId="1"/>
  </si>
  <si>
    <t>39.1km</t>
    <phoneticPr fontId="1"/>
  </si>
  <si>
    <t>090-8574-4492</t>
    <phoneticPr fontId="1"/>
  </si>
  <si>
    <t>yukakku496@gmail.com</t>
    <phoneticPr fontId="1"/>
  </si>
  <si>
    <t>会員 竹下様ご紹介</t>
    <rPh sb="0" eb="2">
      <t>カイイン</t>
    </rPh>
    <rPh sb="3" eb="5">
      <t>タケシタ</t>
    </rPh>
    <rPh sb="5" eb="6">
      <t>サマ</t>
    </rPh>
    <rPh sb="7" eb="9">
      <t>ショウカイ</t>
    </rPh>
    <phoneticPr fontId="1"/>
  </si>
  <si>
    <t>知人の紹介</t>
    <rPh sb="0" eb="2">
      <t>チジン</t>
    </rPh>
    <rPh sb="3" eb="5">
      <t>ショウカイ</t>
    </rPh>
    <phoneticPr fontId="1"/>
  </si>
  <si>
    <t>杉本　駿将</t>
    <rPh sb="0" eb="2">
      <t>スギモト</t>
    </rPh>
    <rPh sb="3" eb="4">
      <t>シュン</t>
    </rPh>
    <rPh sb="4" eb="5">
      <t>マサル</t>
    </rPh>
    <phoneticPr fontId="1"/>
  </si>
  <si>
    <t>スギモト　シュンスケ</t>
    <phoneticPr fontId="1"/>
  </si>
  <si>
    <t>男</t>
    <rPh sb="0" eb="1">
      <t>オトコ</t>
    </rPh>
    <phoneticPr fontId="1"/>
  </si>
  <si>
    <t>665-0881</t>
    <phoneticPr fontId="1"/>
  </si>
  <si>
    <t>兵庫県宝塚市山本東3丁目18-8</t>
    <rPh sb="0" eb="3">
      <t>ヒョウゴケン</t>
    </rPh>
    <rPh sb="3" eb="6">
      <t>タカラヅカシ</t>
    </rPh>
    <rPh sb="6" eb="8">
      <t>ヤマモト</t>
    </rPh>
    <rPh sb="8" eb="9">
      <t>ヒガシ</t>
    </rPh>
    <rPh sb="10" eb="12">
      <t>チョウメ</t>
    </rPh>
    <phoneticPr fontId="1"/>
  </si>
  <si>
    <t>1.2km</t>
    <phoneticPr fontId="1"/>
  </si>
  <si>
    <t>080-4241-0115</t>
    <phoneticPr fontId="1"/>
  </si>
  <si>
    <t>syunsgmt@gmail.com</t>
    <phoneticPr fontId="1"/>
  </si>
  <si>
    <t>インターネット</t>
    <phoneticPr fontId="1"/>
  </si>
  <si>
    <t>有</t>
    <rPh sb="0" eb="1">
      <t>アリ</t>
    </rPh>
    <phoneticPr fontId="1"/>
  </si>
  <si>
    <t>佐野　晋治</t>
    <rPh sb="0" eb="2">
      <t>サノ</t>
    </rPh>
    <rPh sb="3" eb="4">
      <t>シン</t>
    </rPh>
    <rPh sb="4" eb="5">
      <t>ジ</t>
    </rPh>
    <phoneticPr fontId="1"/>
  </si>
  <si>
    <t>サノ　シンジ</t>
    <phoneticPr fontId="1"/>
  </si>
  <si>
    <t>665-0874</t>
    <phoneticPr fontId="1"/>
  </si>
  <si>
    <t>兵庫県宝塚市中筋6-1-16</t>
    <rPh sb="0" eb="3">
      <t>ヒョウゴケン</t>
    </rPh>
    <rPh sb="3" eb="6">
      <t>タカラヅカシ</t>
    </rPh>
    <rPh sb="6" eb="8">
      <t>ナカスジ</t>
    </rPh>
    <phoneticPr fontId="1"/>
  </si>
  <si>
    <t>090-1242-8741</t>
    <phoneticPr fontId="1"/>
  </si>
  <si>
    <t>自宅が近いから</t>
    <rPh sb="0" eb="2">
      <t>ジタク</t>
    </rPh>
    <rPh sb="3" eb="4">
      <t>チカ</t>
    </rPh>
    <phoneticPr fontId="1"/>
  </si>
  <si>
    <t>井手元　彩</t>
    <rPh sb="0" eb="2">
      <t>イデ</t>
    </rPh>
    <rPh sb="2" eb="3">
      <t>モト</t>
    </rPh>
    <rPh sb="4" eb="5">
      <t>アヤ</t>
    </rPh>
    <phoneticPr fontId="1"/>
  </si>
  <si>
    <t>イデズモ　アヤ</t>
    <phoneticPr fontId="1"/>
  </si>
  <si>
    <t>女</t>
    <rPh sb="0" eb="1">
      <t>オンナ</t>
    </rPh>
    <phoneticPr fontId="1"/>
  </si>
  <si>
    <t>665-0882</t>
    <phoneticPr fontId="1"/>
  </si>
  <si>
    <t>兵庫県山本南3-16-6</t>
    <rPh sb="0" eb="3">
      <t>ヒョウゴケン</t>
    </rPh>
    <rPh sb="3" eb="5">
      <t>ヤマモト</t>
    </rPh>
    <rPh sb="5" eb="6">
      <t>ミナミ</t>
    </rPh>
    <phoneticPr fontId="1"/>
  </si>
  <si>
    <t>090-7983-1969</t>
    <phoneticPr fontId="1"/>
  </si>
  <si>
    <t>8/1より入会予定</t>
    <rPh sb="5" eb="9">
      <t>ニュウカイヨテイ</t>
    </rPh>
    <phoneticPr fontId="1"/>
  </si>
  <si>
    <t>入会（ﾄﾗｲｱﾙ）</t>
    <rPh sb="0" eb="2">
      <t>ニュウカイ</t>
    </rPh>
    <phoneticPr fontId="1"/>
  </si>
  <si>
    <t>天羽　哲也</t>
    <rPh sb="0" eb="2">
      <t>アモウ</t>
    </rPh>
    <rPh sb="3" eb="5">
      <t>テツヤ</t>
    </rPh>
    <phoneticPr fontId="1"/>
  </si>
  <si>
    <t>アモウ　テツヤ</t>
    <phoneticPr fontId="1"/>
  </si>
  <si>
    <t>トライアル</t>
    <phoneticPr fontId="1"/>
  </si>
  <si>
    <t>男</t>
    <rPh sb="0" eb="1">
      <t>オトコ</t>
    </rPh>
    <phoneticPr fontId="1"/>
  </si>
  <si>
    <t>665-0884</t>
    <phoneticPr fontId="1"/>
  </si>
  <si>
    <t>兵庫県山本西3-13-1</t>
    <rPh sb="0" eb="3">
      <t>ヒョウゴケン</t>
    </rPh>
    <rPh sb="3" eb="5">
      <t>ヤマモト</t>
    </rPh>
    <rPh sb="5" eb="6">
      <t>ニシ</t>
    </rPh>
    <phoneticPr fontId="1"/>
  </si>
  <si>
    <t>090-9051-9914</t>
    <phoneticPr fontId="1"/>
  </si>
  <si>
    <t>磯上　真也</t>
    <rPh sb="0" eb="2">
      <t>イソガミ</t>
    </rPh>
    <rPh sb="3" eb="4">
      <t>シン</t>
    </rPh>
    <rPh sb="4" eb="5">
      <t>ヤ</t>
    </rPh>
    <phoneticPr fontId="1"/>
  </si>
  <si>
    <t>イソガミ　シンヤ</t>
    <phoneticPr fontId="1"/>
  </si>
  <si>
    <t>男</t>
    <rPh sb="0" eb="1">
      <t>オトコ</t>
    </rPh>
    <phoneticPr fontId="1"/>
  </si>
  <si>
    <t>665-0022</t>
    <phoneticPr fontId="1"/>
  </si>
  <si>
    <t>兵庫県宝塚市野上1-2-12</t>
    <rPh sb="0" eb="6">
      <t>ヒョウゴケンタカラヅカシ</t>
    </rPh>
    <rPh sb="6" eb="8">
      <t>ノガミ</t>
    </rPh>
    <phoneticPr fontId="1"/>
  </si>
  <si>
    <t>0905129-9161</t>
    <phoneticPr fontId="1"/>
  </si>
  <si>
    <t>shin_nya@i.softbank.jp</t>
    <phoneticPr fontId="1"/>
  </si>
  <si>
    <t>入会</t>
    <rPh sb="0" eb="2">
      <t>ニュウカイ</t>
    </rPh>
    <phoneticPr fontId="1"/>
  </si>
  <si>
    <t>野原　彰展</t>
    <rPh sb="0" eb="2">
      <t>ノハラ</t>
    </rPh>
    <rPh sb="3" eb="5">
      <t>アキラノブ</t>
    </rPh>
    <phoneticPr fontId="1"/>
  </si>
  <si>
    <t>ノハラ　アキノブ</t>
    <phoneticPr fontId="1"/>
  </si>
  <si>
    <t>男</t>
    <rPh sb="0" eb="1">
      <t>オトコ</t>
    </rPh>
    <phoneticPr fontId="1"/>
  </si>
  <si>
    <t>665-0805</t>
    <phoneticPr fontId="1"/>
  </si>
  <si>
    <t>兵庫県宝塚市雲雀丘2-3-31-106</t>
    <phoneticPr fontId="1"/>
  </si>
  <si>
    <t>2.6km</t>
    <phoneticPr fontId="1"/>
  </si>
  <si>
    <t>090-6917-1325</t>
    <phoneticPr fontId="1"/>
  </si>
  <si>
    <t>nobuoakio0910@docomo.ne.jp</t>
    <phoneticPr fontId="1"/>
  </si>
  <si>
    <t>666-0016</t>
    <phoneticPr fontId="1"/>
  </si>
  <si>
    <t>兵庫県川西市中央町11-3-103</t>
    <rPh sb="0" eb="3">
      <t>ヒョウゴケン</t>
    </rPh>
    <rPh sb="3" eb="6">
      <t>カワニシシ</t>
    </rPh>
    <rPh sb="6" eb="8">
      <t>チュウオウ</t>
    </rPh>
    <rPh sb="8" eb="9">
      <t>マチ</t>
    </rPh>
    <phoneticPr fontId="1"/>
  </si>
  <si>
    <t>080-1128-0006</t>
    <phoneticPr fontId="1"/>
  </si>
  <si>
    <t>daikoku.yusuke@gmail.com</t>
    <phoneticPr fontId="1"/>
  </si>
  <si>
    <t>安東プロ</t>
  </si>
  <si>
    <t>入会</t>
    <rPh sb="0" eb="2">
      <t>ニュウカイ</t>
    </rPh>
    <phoneticPr fontId="1"/>
  </si>
  <si>
    <t>インターネット</t>
    <phoneticPr fontId="1"/>
  </si>
  <si>
    <t>寺坂　千尋</t>
    <rPh sb="0" eb="2">
      <t>テラサカ</t>
    </rPh>
    <rPh sb="3" eb="5">
      <t>チヒロ</t>
    </rPh>
    <phoneticPr fontId="1"/>
  </si>
  <si>
    <t>テラサカ　チヒロ</t>
    <phoneticPr fontId="1"/>
  </si>
  <si>
    <t>女</t>
    <rPh sb="0" eb="1">
      <t>オンナ</t>
    </rPh>
    <phoneticPr fontId="1"/>
  </si>
  <si>
    <t>090-6666-6604</t>
    <phoneticPr fontId="1"/>
  </si>
  <si>
    <t>藤田プロ紹介</t>
    <rPh sb="0" eb="2">
      <t>フジタ</t>
    </rPh>
    <rPh sb="4" eb="6">
      <t>ショウカイ</t>
    </rPh>
    <phoneticPr fontId="1"/>
  </si>
  <si>
    <t>藤田プロ</t>
    <rPh sb="0" eb="2">
      <t>フジタ</t>
    </rPh>
    <phoneticPr fontId="1"/>
  </si>
  <si>
    <t>谷川</t>
    <rPh sb="0" eb="2">
      <t>タニガワ</t>
    </rPh>
    <phoneticPr fontId="1"/>
  </si>
  <si>
    <t>渡辺　謙太郎</t>
    <rPh sb="0" eb="2">
      <t>ワタナベ</t>
    </rPh>
    <rPh sb="3" eb="6">
      <t>ケンタロウ</t>
    </rPh>
    <phoneticPr fontId="1"/>
  </si>
  <si>
    <t>FWフィッティング</t>
    <phoneticPr fontId="1"/>
  </si>
  <si>
    <t>ワタナベ　ケンタロウ</t>
    <phoneticPr fontId="1"/>
  </si>
  <si>
    <t>664-0856</t>
    <phoneticPr fontId="1"/>
  </si>
  <si>
    <t>兵庫県伊丹市梅ノ木3-3-31梅ノ木ソレアード202</t>
    <rPh sb="0" eb="3">
      <t>ヒョウゴケン</t>
    </rPh>
    <rPh sb="3" eb="6">
      <t>イタミシ</t>
    </rPh>
    <rPh sb="6" eb="7">
      <t>ウメ</t>
    </rPh>
    <rPh sb="8" eb="9">
      <t>キ</t>
    </rPh>
    <rPh sb="15" eb="16">
      <t>ウメ</t>
    </rPh>
    <rPh sb="17" eb="18">
      <t>キ</t>
    </rPh>
    <phoneticPr fontId="1"/>
  </si>
  <si>
    <t>5.8km</t>
    <phoneticPr fontId="1"/>
  </si>
  <si>
    <t>090-4480-5449</t>
    <phoneticPr fontId="1"/>
  </si>
  <si>
    <t>カメイ　トモヒコ</t>
    <phoneticPr fontId="1"/>
  </si>
  <si>
    <t>2022.07.03</t>
    <phoneticPr fontId="1"/>
  </si>
  <si>
    <t>谷川</t>
    <rPh sb="0" eb="2">
      <t>タニガワ</t>
    </rPh>
    <phoneticPr fontId="1"/>
  </si>
  <si>
    <t>購入</t>
    <rPh sb="0" eb="2">
      <t>コウニュウ</t>
    </rPh>
    <phoneticPr fontId="1"/>
  </si>
  <si>
    <t>吉村　謙典</t>
    <rPh sb="0" eb="2">
      <t>ヨシムラ</t>
    </rPh>
    <rPh sb="3" eb="4">
      <t>ケン</t>
    </rPh>
    <rPh sb="4" eb="5">
      <t>ノリ</t>
    </rPh>
    <phoneticPr fontId="1"/>
  </si>
  <si>
    <t>ヨシムラ　ケンスケ</t>
    <phoneticPr fontId="1"/>
  </si>
  <si>
    <t>男</t>
    <rPh sb="0" eb="1">
      <t>オトコ</t>
    </rPh>
    <phoneticPr fontId="1"/>
  </si>
  <si>
    <t>665-0002</t>
    <phoneticPr fontId="1"/>
  </si>
  <si>
    <t>兵庫県宝塚市月見山2-10-2</t>
    <rPh sb="0" eb="3">
      <t>ヒョウゴケン</t>
    </rPh>
    <rPh sb="3" eb="6">
      <t>タカラヅカシ</t>
    </rPh>
    <rPh sb="6" eb="9">
      <t>ツキミヤマ</t>
    </rPh>
    <phoneticPr fontId="1"/>
  </si>
  <si>
    <t>090-3351-0414</t>
    <phoneticPr fontId="1"/>
  </si>
  <si>
    <t>入会</t>
    <rPh sb="0" eb="2">
      <t>ニュウカイ</t>
    </rPh>
    <phoneticPr fontId="1"/>
  </si>
  <si>
    <t>6.7km</t>
    <phoneticPr fontId="1"/>
  </si>
  <si>
    <t>購入</t>
    <rPh sb="0" eb="2">
      <t>コウニュウ</t>
    </rPh>
    <phoneticPr fontId="1"/>
  </si>
  <si>
    <t>090-6558-9247</t>
    <phoneticPr fontId="1"/>
  </si>
  <si>
    <t>2023.1.13</t>
    <phoneticPr fontId="1"/>
  </si>
  <si>
    <t>川井　秀之</t>
    <rPh sb="0" eb="2">
      <t>カワイ</t>
    </rPh>
    <rPh sb="3" eb="5">
      <t>ヒデユキ</t>
    </rPh>
    <phoneticPr fontId="1"/>
  </si>
  <si>
    <t>川井　よし子</t>
    <rPh sb="0" eb="2">
      <t>カワイ</t>
    </rPh>
    <rPh sb="5" eb="6">
      <t>コ</t>
    </rPh>
    <phoneticPr fontId="1"/>
  </si>
  <si>
    <t>嵐　万里子</t>
    <rPh sb="0" eb="1">
      <t>アラシ</t>
    </rPh>
    <rPh sb="2" eb="5">
      <t>マリコ</t>
    </rPh>
    <phoneticPr fontId="1"/>
  </si>
  <si>
    <t>冨川　拓真</t>
    <rPh sb="0" eb="2">
      <t>トミカワ</t>
    </rPh>
    <rPh sb="3" eb="5">
      <t>タクマ</t>
    </rPh>
    <phoneticPr fontId="1"/>
  </si>
  <si>
    <t>吉良　耕一</t>
    <rPh sb="0" eb="2">
      <t>キラ</t>
    </rPh>
    <rPh sb="3" eb="4">
      <t>タガヤ</t>
    </rPh>
    <rPh sb="4" eb="5">
      <t>イチ</t>
    </rPh>
    <phoneticPr fontId="1"/>
  </si>
  <si>
    <t>2025.7.10</t>
    <phoneticPr fontId="1"/>
  </si>
  <si>
    <t>購入</t>
    <rPh sb="0" eb="2">
      <t>コウニュウ</t>
    </rPh>
    <phoneticPr fontId="1"/>
  </si>
  <si>
    <t>中島　大昂</t>
    <rPh sb="0" eb="2">
      <t>ナカシマ</t>
    </rPh>
    <rPh sb="3" eb="4">
      <t>ダイ</t>
    </rPh>
    <rPh sb="4" eb="5">
      <t>アオグ</t>
    </rPh>
    <phoneticPr fontId="1"/>
  </si>
  <si>
    <t>ナカシマ　ヒロタカ</t>
    <phoneticPr fontId="1"/>
  </si>
  <si>
    <t>男</t>
    <rPh sb="0" eb="1">
      <t>オトコ</t>
    </rPh>
    <phoneticPr fontId="1"/>
  </si>
  <si>
    <t>670-0993</t>
    <phoneticPr fontId="1"/>
  </si>
  <si>
    <t>兵庫県姫路市千代田町659</t>
    <rPh sb="0" eb="3">
      <t>ヒョウゴケン</t>
    </rPh>
    <rPh sb="3" eb="6">
      <t>ヒメジシ</t>
    </rPh>
    <rPh sb="6" eb="8">
      <t>チヨ</t>
    </rPh>
    <rPh sb="8" eb="9">
      <t>タ</t>
    </rPh>
    <rPh sb="9" eb="10">
      <t>チョウ</t>
    </rPh>
    <phoneticPr fontId="1"/>
  </si>
  <si>
    <t>090-5645-1995</t>
    <phoneticPr fontId="1"/>
  </si>
  <si>
    <t>店頭</t>
    <rPh sb="0" eb="2">
      <t>テントウ</t>
    </rPh>
    <phoneticPr fontId="1"/>
  </si>
  <si>
    <t>キラ　コウイチ</t>
    <phoneticPr fontId="1"/>
  </si>
  <si>
    <t>658-0022</t>
    <phoneticPr fontId="1"/>
  </si>
  <si>
    <t>兵庫県神戸市東灘区深江南町２丁目4-27</t>
    <rPh sb="0" eb="3">
      <t>ヒョウゴケン</t>
    </rPh>
    <rPh sb="3" eb="6">
      <t>コウベシ</t>
    </rPh>
    <rPh sb="6" eb="9">
      <t>ヒガシナダク</t>
    </rPh>
    <rPh sb="9" eb="11">
      <t>フカエ</t>
    </rPh>
    <rPh sb="11" eb="13">
      <t>ミナミマチ</t>
    </rPh>
    <rPh sb="14" eb="16">
      <t>チョウメ</t>
    </rPh>
    <phoneticPr fontId="1"/>
  </si>
  <si>
    <t>090-5656-2164</t>
    <phoneticPr fontId="1"/>
  </si>
  <si>
    <t>kouchichichichi@yahoo.co.jp</t>
    <phoneticPr fontId="1"/>
  </si>
  <si>
    <t>インターネット</t>
    <phoneticPr fontId="1"/>
  </si>
  <si>
    <t>トラックマンの利用</t>
    <rPh sb="7" eb="9">
      <t>リヨウ</t>
    </rPh>
    <phoneticPr fontId="1"/>
  </si>
  <si>
    <t>カワイ　ヒデユキ</t>
    <phoneticPr fontId="1"/>
  </si>
  <si>
    <t>カワイ　ヨシコ</t>
    <phoneticPr fontId="1"/>
  </si>
  <si>
    <t>アラシ　マリコ</t>
    <phoneticPr fontId="1"/>
  </si>
  <si>
    <t>トミカワ　タクマ</t>
    <phoneticPr fontId="1"/>
  </si>
  <si>
    <t>女</t>
    <rPh sb="0" eb="1">
      <t>オンナ</t>
    </rPh>
    <phoneticPr fontId="1"/>
  </si>
  <si>
    <t>665-0875</t>
    <phoneticPr fontId="1"/>
  </si>
  <si>
    <t>665-0881</t>
    <phoneticPr fontId="1"/>
  </si>
  <si>
    <t>664-0002</t>
    <phoneticPr fontId="1"/>
  </si>
  <si>
    <t>兵庫県宝塚市中筋山手７丁目10-11</t>
    <rPh sb="0" eb="3">
      <t>ヒョウゴケン</t>
    </rPh>
    <rPh sb="3" eb="5">
      <t>タカラヅカ</t>
    </rPh>
    <rPh sb="5" eb="6">
      <t>シ</t>
    </rPh>
    <rPh sb="6" eb="8">
      <t>ナカスジ</t>
    </rPh>
    <rPh sb="8" eb="10">
      <t>ヤマテ</t>
    </rPh>
    <rPh sb="11" eb="13">
      <t>チョウメ</t>
    </rPh>
    <phoneticPr fontId="1"/>
  </si>
  <si>
    <t>兵庫県宝塚市山本東3-10-1-311</t>
    <rPh sb="0" eb="3">
      <t>ヒョウゴケン</t>
    </rPh>
    <rPh sb="3" eb="6">
      <t>タカラヅカシ</t>
    </rPh>
    <rPh sb="6" eb="9">
      <t>ヤマモトヒガシ</t>
    </rPh>
    <phoneticPr fontId="1"/>
  </si>
  <si>
    <t>兵庫県伊丹市荻野2-1-206</t>
    <rPh sb="0" eb="3">
      <t>ヒョウゴケン</t>
    </rPh>
    <rPh sb="3" eb="6">
      <t>イタミシ</t>
    </rPh>
    <rPh sb="6" eb="8">
      <t>オギノ</t>
    </rPh>
    <phoneticPr fontId="1"/>
  </si>
  <si>
    <t>1.8km</t>
    <phoneticPr fontId="1"/>
  </si>
  <si>
    <t>29.8km</t>
    <phoneticPr fontId="1"/>
  </si>
  <si>
    <t>84.5km</t>
    <phoneticPr fontId="1"/>
  </si>
  <si>
    <t>090-8934-1055</t>
    <phoneticPr fontId="1"/>
  </si>
  <si>
    <t>090-3466-0736</t>
    <phoneticPr fontId="1"/>
  </si>
  <si>
    <t>090-7768-0868</t>
    <phoneticPr fontId="1"/>
  </si>
  <si>
    <t>080-6170-5194</t>
    <phoneticPr fontId="1"/>
  </si>
  <si>
    <t>mariyann777@yahoo.co.jp</t>
    <phoneticPr fontId="1"/>
  </si>
  <si>
    <t>takumacenter8baseball@yahoo.co.jp</t>
    <phoneticPr fontId="1"/>
  </si>
  <si>
    <t>入会</t>
    <rPh sb="0" eb="2">
      <t>ニュウカイ</t>
    </rPh>
    <phoneticPr fontId="1"/>
  </si>
  <si>
    <t>チラシ</t>
    <phoneticPr fontId="1"/>
  </si>
  <si>
    <t>上西　凌央</t>
    <rPh sb="0" eb="2">
      <t>ウエニシ</t>
    </rPh>
    <rPh sb="3" eb="4">
      <t>リョウ</t>
    </rPh>
    <rPh sb="4" eb="5">
      <t>オウ</t>
    </rPh>
    <phoneticPr fontId="1"/>
  </si>
  <si>
    <t>ウエニシ　リョウ</t>
    <phoneticPr fontId="1"/>
  </si>
  <si>
    <t>男</t>
    <rPh sb="0" eb="1">
      <t>オトコ</t>
    </rPh>
    <phoneticPr fontId="1"/>
  </si>
  <si>
    <t>673-0861</t>
    <phoneticPr fontId="1"/>
  </si>
  <si>
    <t>090-3948-0996</t>
    <phoneticPr fontId="1"/>
  </si>
  <si>
    <t>ryo38796@gmail.com</t>
    <phoneticPr fontId="1"/>
  </si>
  <si>
    <t>店頭</t>
    <rPh sb="0" eb="2">
      <t>テントウ</t>
    </rPh>
    <phoneticPr fontId="1"/>
  </si>
  <si>
    <t>インターネット</t>
    <phoneticPr fontId="1"/>
  </si>
  <si>
    <t>兵庫県明石市松が丘北町3784-13-405　森口様方</t>
    <rPh sb="0" eb="3">
      <t>ヒョウゴケン</t>
    </rPh>
    <rPh sb="3" eb="6">
      <t>アカシシ</t>
    </rPh>
    <rPh sb="6" eb="7">
      <t>マツ</t>
    </rPh>
    <rPh sb="8" eb="9">
      <t>オカ</t>
    </rPh>
    <rPh sb="9" eb="11">
      <t>キタマチ</t>
    </rPh>
    <rPh sb="23" eb="25">
      <t>モリグチ</t>
    </rPh>
    <rPh sb="25" eb="27">
      <t>サマガタ</t>
    </rPh>
    <phoneticPr fontId="1"/>
  </si>
  <si>
    <t>51.4km</t>
    <phoneticPr fontId="1"/>
  </si>
  <si>
    <t>購入</t>
    <rPh sb="0" eb="2">
      <t>コウニュウ</t>
    </rPh>
    <phoneticPr fontId="1"/>
  </si>
  <si>
    <t>　</t>
    <phoneticPr fontId="1"/>
  </si>
  <si>
    <t>シャフト無料券</t>
    <rPh sb="4" eb="6">
      <t>ムリョウ</t>
    </rPh>
    <rPh sb="6" eb="7">
      <t>ケン</t>
    </rPh>
    <phoneticPr fontId="1"/>
  </si>
  <si>
    <t>中山　尭人</t>
    <phoneticPr fontId="1"/>
  </si>
  <si>
    <t>ナカヤマ　アキト</t>
  </si>
  <si>
    <t>男</t>
    <rPh sb="0" eb="1">
      <t>オトコ</t>
    </rPh>
    <phoneticPr fontId="1"/>
  </si>
  <si>
    <t>665-0887</t>
    <phoneticPr fontId="1"/>
  </si>
  <si>
    <t>090-9993-1769</t>
  </si>
  <si>
    <t>ayuminakauama0513@gmail.com</t>
    <phoneticPr fontId="1"/>
  </si>
  <si>
    <t>名塚　彰</t>
    <rPh sb="0" eb="2">
      <t>ナヅカ</t>
    </rPh>
    <rPh sb="3" eb="4">
      <t>アキラ</t>
    </rPh>
    <phoneticPr fontId="1"/>
  </si>
  <si>
    <t>ナヅカ　アキラ</t>
    <phoneticPr fontId="1"/>
  </si>
  <si>
    <t>665-0875</t>
    <phoneticPr fontId="1"/>
  </si>
  <si>
    <t>兵庫県宝塚市中筋山手2-9-3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</si>
  <si>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090-5679-6894</t>
    <phoneticPr fontId="1"/>
  </si>
  <si>
    <t>店頭</t>
    <rPh sb="0" eb="2">
      <t>テントウ</t>
    </rPh>
    <phoneticPr fontId="1"/>
  </si>
  <si>
    <t>通りすがり</t>
    <rPh sb="0" eb="1">
      <t>トオ</t>
    </rPh>
    <phoneticPr fontId="1"/>
  </si>
  <si>
    <t>入会に興味なし</t>
    <rPh sb="0" eb="2">
      <t>ニュウカイ</t>
    </rPh>
    <rPh sb="3" eb="5">
      <t>キョウミ</t>
    </rPh>
    <phoneticPr fontId="1"/>
  </si>
  <si>
    <t>入会（ﾄﾗｲｱﾙ）</t>
    <phoneticPr fontId="1"/>
  </si>
  <si>
    <t>８月入会</t>
    <rPh sb="1" eb="2">
      <t>ガツ</t>
    </rPh>
    <rPh sb="2" eb="4">
      <t>ニュウカイ</t>
    </rPh>
    <phoneticPr fontId="1"/>
  </si>
  <si>
    <t>入会</t>
    <rPh sb="0" eb="2">
      <t>ニュウカイ</t>
    </rPh>
    <phoneticPr fontId="1"/>
  </si>
  <si>
    <t>橋本　寿雄</t>
    <rPh sb="0" eb="2">
      <t>ハシモト</t>
    </rPh>
    <rPh sb="3" eb="4">
      <t>トシ</t>
    </rPh>
    <rPh sb="4" eb="5">
      <t>オ</t>
    </rPh>
    <phoneticPr fontId="1"/>
  </si>
  <si>
    <t>ハシモト　トシオ　</t>
    <phoneticPr fontId="1"/>
  </si>
  <si>
    <t>男</t>
    <rPh sb="0" eb="1">
      <t>オトコ</t>
    </rPh>
    <phoneticPr fontId="1"/>
  </si>
  <si>
    <t>669-1324</t>
    <phoneticPr fontId="1"/>
  </si>
  <si>
    <t>兵庫県三田市ゆりの木台5-23-1</t>
    <rPh sb="0" eb="3">
      <t>ヒョウゴケン</t>
    </rPh>
    <rPh sb="3" eb="6">
      <t>サンダシ</t>
    </rPh>
    <rPh sb="9" eb="10">
      <t>キ</t>
    </rPh>
    <rPh sb="10" eb="11">
      <t>ダイ</t>
    </rPh>
    <phoneticPr fontId="1"/>
  </si>
  <si>
    <t>070-4122-3197</t>
    <phoneticPr fontId="1"/>
  </si>
  <si>
    <t>入会（直接紹介）</t>
    <rPh sb="0" eb="2">
      <t>ニュウカイ</t>
    </rPh>
    <rPh sb="3" eb="5">
      <t>チョクセツ</t>
    </rPh>
    <rPh sb="5" eb="7">
      <t>ショウカイ</t>
    </rPh>
    <phoneticPr fontId="1"/>
  </si>
  <si>
    <t>古川RAC関連の直接勧誘</t>
    <rPh sb="0" eb="2">
      <t>フルカワ</t>
    </rPh>
    <rPh sb="5" eb="7">
      <t>カンレン</t>
    </rPh>
    <rPh sb="8" eb="10">
      <t>チョクセツ</t>
    </rPh>
    <rPh sb="10" eb="12">
      <t>カンユウ</t>
    </rPh>
    <phoneticPr fontId="1"/>
  </si>
  <si>
    <t>紹介</t>
    <rPh sb="0" eb="2">
      <t>ショウカイ</t>
    </rPh>
    <phoneticPr fontId="1"/>
  </si>
  <si>
    <t>奥谷　剛</t>
    <phoneticPr fontId="1"/>
  </si>
  <si>
    <t>オクタニ　タケシ</t>
    <phoneticPr fontId="1"/>
  </si>
  <si>
    <t>665-0887</t>
    <phoneticPr fontId="1"/>
  </si>
  <si>
    <t>兵庫県宝塚市山手台東5-7-6</t>
    <rPh sb="0" eb="3">
      <t>ヒョウゴケン</t>
    </rPh>
    <phoneticPr fontId="1"/>
  </si>
  <si>
    <t>090-1220-6679</t>
  </si>
  <si>
    <t>原田　茂</t>
    <phoneticPr fontId="1"/>
  </si>
  <si>
    <t>ハラダ　シゲル</t>
    <phoneticPr fontId="1"/>
  </si>
  <si>
    <t>090-3496-8582</t>
  </si>
  <si>
    <t>ヒガシ　キヨシ</t>
  </si>
  <si>
    <t>東　潔</t>
    <rPh sb="0" eb="1">
      <t>ヒガシ</t>
    </rPh>
    <rPh sb="2" eb="3">
      <t>キヨシ</t>
    </rPh>
    <phoneticPr fontId="1"/>
  </si>
  <si>
    <t>665-0886</t>
    <phoneticPr fontId="1"/>
  </si>
  <si>
    <t>090-3945-7303</t>
    <phoneticPr fontId="1"/>
  </si>
  <si>
    <t>田中 佑樹</t>
  </si>
  <si>
    <t>タナカ　ユウキ</t>
  </si>
  <si>
    <t>665-0845</t>
    <phoneticPr fontId="1"/>
  </si>
  <si>
    <t>090-3882-0754</t>
    <phoneticPr fontId="1"/>
  </si>
  <si>
    <t>インターネット</t>
    <phoneticPr fontId="1"/>
  </si>
  <si>
    <t>その他</t>
    <rPh sb="2" eb="3">
      <t>タ</t>
    </rPh>
    <phoneticPr fontId="1"/>
  </si>
  <si>
    <t>購入</t>
    <rPh sb="0" eb="2">
      <t>コウニュウ</t>
    </rPh>
    <phoneticPr fontId="1"/>
  </si>
  <si>
    <t>藤田プロ紹介　</t>
    <rPh sb="0" eb="2">
      <t>フジタ</t>
    </rPh>
    <rPh sb="4" eb="6">
      <t>ショウカイ</t>
    </rPh>
    <phoneticPr fontId="1"/>
  </si>
  <si>
    <t>北川　修</t>
    <rPh sb="0" eb="2">
      <t>キタガワ</t>
    </rPh>
    <rPh sb="3" eb="4">
      <t>オサム</t>
    </rPh>
    <phoneticPr fontId="1"/>
  </si>
  <si>
    <t>キタガワ　オサム</t>
    <phoneticPr fontId="1"/>
  </si>
  <si>
    <t>男</t>
    <rPh sb="0" eb="1">
      <t>オトコ</t>
    </rPh>
    <phoneticPr fontId="1"/>
  </si>
  <si>
    <t>-</t>
    <phoneticPr fontId="1"/>
  </si>
  <si>
    <t>店頭</t>
    <rPh sb="0" eb="2">
      <t>テントウ</t>
    </rPh>
    <phoneticPr fontId="1"/>
  </si>
  <si>
    <t>購入</t>
    <rPh sb="0" eb="2">
      <t>コウニュウ</t>
    </rPh>
    <phoneticPr fontId="1"/>
  </si>
  <si>
    <t>tri 1</t>
    <phoneticPr fontId="1"/>
  </si>
  <si>
    <t>tri 2</t>
    <phoneticPr fontId="1"/>
  </si>
  <si>
    <t>吉岡　圭子</t>
    <rPh sb="0" eb="2">
      <t>ヨシオカ</t>
    </rPh>
    <rPh sb="3" eb="5">
      <t>ケイコ</t>
    </rPh>
    <phoneticPr fontId="1"/>
  </si>
  <si>
    <t>吉岡　なな</t>
    <rPh sb="0" eb="2">
      <t>ヨシオカ</t>
    </rPh>
    <phoneticPr fontId="1"/>
  </si>
  <si>
    <t>ヨシオカ　ケイコ</t>
    <phoneticPr fontId="1"/>
  </si>
  <si>
    <t>ヨシオカ　ナナ</t>
    <phoneticPr fontId="1"/>
  </si>
  <si>
    <t>女</t>
    <rPh sb="0" eb="1">
      <t>オンナ</t>
    </rPh>
    <phoneticPr fontId="1"/>
  </si>
  <si>
    <t>662-0097</t>
    <phoneticPr fontId="1"/>
  </si>
  <si>
    <t>090-5098-6697</t>
    <phoneticPr fontId="1"/>
  </si>
  <si>
    <t>090-8200-0018</t>
    <phoneticPr fontId="1"/>
  </si>
  <si>
    <t>luckhi11007@gmail.com</t>
    <phoneticPr fontId="1"/>
  </si>
  <si>
    <t>インターネット</t>
    <phoneticPr fontId="1"/>
  </si>
  <si>
    <t>尾藤　和昌</t>
    <rPh sb="0" eb="2">
      <t>ビトウ</t>
    </rPh>
    <rPh sb="3" eb="5">
      <t>カズマサ</t>
    </rPh>
    <phoneticPr fontId="1"/>
  </si>
  <si>
    <t>ビトウ　カズマサ</t>
    <phoneticPr fontId="1"/>
  </si>
  <si>
    <t>665-0887</t>
    <phoneticPr fontId="1"/>
  </si>
  <si>
    <t>090-1564-1807</t>
    <phoneticPr fontId="1"/>
  </si>
  <si>
    <t>bit8b.8@docomo.ne.jp</t>
    <phoneticPr fontId="1"/>
  </si>
  <si>
    <t>元会員様</t>
    <rPh sb="0" eb="3">
      <t>モトカイイン</t>
    </rPh>
    <rPh sb="3" eb="4">
      <t>サマ</t>
    </rPh>
    <phoneticPr fontId="1"/>
  </si>
  <si>
    <t>入会</t>
    <rPh sb="0" eb="2">
      <t>ニュウカイ</t>
    </rPh>
    <phoneticPr fontId="1"/>
  </si>
  <si>
    <t>チラシ</t>
    <phoneticPr fontId="1"/>
  </si>
  <si>
    <t>稲垣　康治</t>
    <rPh sb="0" eb="2">
      <t>イナガキ</t>
    </rPh>
    <rPh sb="3" eb="4">
      <t>ヤス</t>
    </rPh>
    <phoneticPr fontId="1"/>
  </si>
  <si>
    <t>イナガキ　コウジ</t>
    <phoneticPr fontId="1"/>
  </si>
  <si>
    <t>665-0847</t>
    <phoneticPr fontId="1"/>
  </si>
  <si>
    <t>兵庫県宝塚市すみれが丘3-1-1-1305</t>
    <rPh sb="0" eb="3">
      <t>ヒョウゴケン</t>
    </rPh>
    <rPh sb="3" eb="6">
      <t>タカラヅカシ</t>
    </rPh>
    <rPh sb="10" eb="11">
      <t>オカ</t>
    </rPh>
    <phoneticPr fontId="1"/>
  </si>
  <si>
    <t>7.4km</t>
    <phoneticPr fontId="1"/>
  </si>
  <si>
    <t>090-3711-8221</t>
    <phoneticPr fontId="1"/>
  </si>
  <si>
    <t>kjrsffun@gmail.com</t>
    <phoneticPr fontId="1"/>
  </si>
  <si>
    <t>入会</t>
    <rPh sb="0" eb="2">
      <t>ニュウカイ</t>
    </rPh>
    <phoneticPr fontId="1"/>
  </si>
  <si>
    <t>上村　昌巧</t>
    <rPh sb="0" eb="2">
      <t>ウエムラ</t>
    </rPh>
    <rPh sb="3" eb="4">
      <t>アキラ</t>
    </rPh>
    <rPh sb="4" eb="5">
      <t>タクミ</t>
    </rPh>
    <phoneticPr fontId="1"/>
  </si>
  <si>
    <t>ウエムラ　マサヨシ</t>
    <phoneticPr fontId="1"/>
  </si>
  <si>
    <t>男</t>
    <rPh sb="0" eb="1">
      <t>オトコ</t>
    </rPh>
    <phoneticPr fontId="1"/>
  </si>
  <si>
    <t>672-8011</t>
    <phoneticPr fontId="1"/>
  </si>
  <si>
    <t>兵庫県姫路市白浜町神田2-20-1　ユアメゾン神田１０２号</t>
    <rPh sb="0" eb="3">
      <t>ヒョウゴケン</t>
    </rPh>
    <rPh sb="3" eb="6">
      <t>ヒメジシ</t>
    </rPh>
    <rPh sb="6" eb="8">
      <t>シラハマ</t>
    </rPh>
    <rPh sb="8" eb="9">
      <t>チョウ</t>
    </rPh>
    <rPh sb="9" eb="11">
      <t>カンダ</t>
    </rPh>
    <rPh sb="23" eb="25">
      <t>カンダ</t>
    </rPh>
    <rPh sb="28" eb="29">
      <t>ゴウ</t>
    </rPh>
    <phoneticPr fontId="1"/>
  </si>
  <si>
    <t>80.1km</t>
    <phoneticPr fontId="1"/>
  </si>
  <si>
    <t>090-5952-8343</t>
    <phoneticPr fontId="1"/>
  </si>
  <si>
    <t>at_the_maximum@outlook.jp</t>
    <phoneticPr fontId="1"/>
  </si>
  <si>
    <t>店頭</t>
    <rPh sb="0" eb="2">
      <t>テントウ</t>
    </rPh>
    <phoneticPr fontId="1"/>
  </si>
  <si>
    <t>購入</t>
    <rPh sb="0" eb="2">
      <t>コウニュウ</t>
    </rPh>
    <phoneticPr fontId="1"/>
  </si>
  <si>
    <t>東　汰一</t>
    <rPh sb="0" eb="1">
      <t>アズマ</t>
    </rPh>
    <rPh sb="2" eb="4">
      <t>タイチ</t>
    </rPh>
    <phoneticPr fontId="1"/>
  </si>
  <si>
    <t>アズマ　タイチ</t>
    <phoneticPr fontId="1"/>
  </si>
  <si>
    <t>男</t>
    <rPh sb="0" eb="1">
      <t>オトコ</t>
    </rPh>
    <phoneticPr fontId="1"/>
  </si>
  <si>
    <t>665-0887</t>
    <phoneticPr fontId="1"/>
  </si>
  <si>
    <t>兵庫県宝塚市山手台東1-19-7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</si>
  <si>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2.7km</t>
    <phoneticPr fontId="1"/>
  </si>
  <si>
    <t>080-8532-1594</t>
    <phoneticPr fontId="1"/>
  </si>
  <si>
    <t>azumax.taichi7@docomo.ne.jp</t>
    <phoneticPr fontId="1"/>
  </si>
  <si>
    <t>新聞雑誌</t>
    <rPh sb="0" eb="2">
      <t>シンブン</t>
    </rPh>
    <rPh sb="2" eb="4">
      <t>ザッシ</t>
    </rPh>
    <phoneticPr fontId="1"/>
  </si>
  <si>
    <t>通りすがり</t>
    <rPh sb="0" eb="1">
      <t>トオ</t>
    </rPh>
    <phoneticPr fontId="1"/>
  </si>
  <si>
    <t>荒池　督也</t>
    <rPh sb="0" eb="1">
      <t>アラ</t>
    </rPh>
    <rPh sb="1" eb="2">
      <t>イケ</t>
    </rPh>
    <rPh sb="3" eb="4">
      <t>トク</t>
    </rPh>
    <rPh sb="4" eb="5">
      <t>ヤ</t>
    </rPh>
    <phoneticPr fontId="1"/>
  </si>
  <si>
    <t>アライケ　トクヤ</t>
    <phoneticPr fontId="1"/>
  </si>
  <si>
    <t>男</t>
    <rPh sb="0" eb="1">
      <t>オトコ</t>
    </rPh>
    <phoneticPr fontId="1"/>
  </si>
  <si>
    <t>675-0023</t>
    <phoneticPr fontId="1"/>
  </si>
  <si>
    <t>兵庫県加古川市尾上町池田350-1</t>
    <rPh sb="0" eb="3">
      <t>ヒョウゴケン</t>
    </rPh>
    <rPh sb="3" eb="7">
      <t>カコガワシ</t>
    </rPh>
    <rPh sb="7" eb="10">
      <t>オノエチョウ</t>
    </rPh>
    <rPh sb="10" eb="12">
      <t>イケダ</t>
    </rPh>
    <phoneticPr fontId="1"/>
  </si>
  <si>
    <t>64.6㎞</t>
    <phoneticPr fontId="1"/>
  </si>
  <si>
    <t>090-5257-9159</t>
    <phoneticPr fontId="1"/>
  </si>
  <si>
    <t>知人の紹介</t>
    <rPh sb="0" eb="2">
      <t>チジン</t>
    </rPh>
    <rPh sb="3" eb="5">
      <t>ショウカイ</t>
    </rPh>
    <phoneticPr fontId="1"/>
  </si>
  <si>
    <t>村瀬　和哉</t>
    <rPh sb="0" eb="2">
      <t>ムラセ</t>
    </rPh>
    <rPh sb="3" eb="5">
      <t>カズヤ</t>
    </rPh>
    <phoneticPr fontId="1"/>
  </si>
  <si>
    <t>ムラセ　カズヤ</t>
    <phoneticPr fontId="1"/>
  </si>
  <si>
    <t>男</t>
    <rPh sb="0" eb="1">
      <t>オトコ</t>
    </rPh>
    <phoneticPr fontId="1"/>
  </si>
  <si>
    <t>665-0832</t>
    <phoneticPr fontId="1"/>
  </si>
  <si>
    <t>兵庫県宝塚市向月町7-11</t>
    <rPh sb="0" eb="3">
      <t>ヒョウゴケン</t>
    </rPh>
    <rPh sb="3" eb="6">
      <t>タカラヅカシ</t>
    </rPh>
    <rPh sb="6" eb="9">
      <t>コウゲツチョウ</t>
    </rPh>
    <phoneticPr fontId="1"/>
  </si>
  <si>
    <t>4.0km</t>
    <phoneticPr fontId="1"/>
  </si>
  <si>
    <t>090-8536-4334</t>
    <phoneticPr fontId="1"/>
  </si>
  <si>
    <t>kazu.mr@gmail.com</t>
    <phoneticPr fontId="1"/>
  </si>
  <si>
    <t>橋本　大志</t>
    <rPh sb="0" eb="2">
      <t>ハシモト</t>
    </rPh>
    <rPh sb="3" eb="5">
      <t>タイシ</t>
    </rPh>
    <phoneticPr fontId="1"/>
  </si>
  <si>
    <t>会員橋本様ご家族</t>
    <rPh sb="0" eb="5">
      <t>カイインハシモトサマ</t>
    </rPh>
    <rPh sb="6" eb="8">
      <t>カゾク</t>
    </rPh>
    <phoneticPr fontId="1"/>
  </si>
  <si>
    <t>ハシモト　タイシ</t>
    <phoneticPr fontId="1"/>
  </si>
  <si>
    <t>宮崎　徳治</t>
    <rPh sb="0" eb="2">
      <t>ミヤザキ</t>
    </rPh>
    <rPh sb="3" eb="5">
      <t>トクジ</t>
    </rPh>
    <phoneticPr fontId="1"/>
  </si>
  <si>
    <t>ミヤザキ　トクジ</t>
    <phoneticPr fontId="1"/>
  </si>
  <si>
    <t>男</t>
    <rPh sb="0" eb="1">
      <t>オトコ</t>
    </rPh>
    <phoneticPr fontId="1"/>
  </si>
  <si>
    <t>663-8006</t>
    <phoneticPr fontId="1"/>
  </si>
  <si>
    <t>7.4ｋｍ</t>
    <phoneticPr fontId="1"/>
  </si>
  <si>
    <t>090-3317-2663</t>
    <phoneticPr fontId="1"/>
  </si>
  <si>
    <t>購入</t>
    <rPh sb="0" eb="2">
      <t>コウニュウ</t>
    </rPh>
    <phoneticPr fontId="1"/>
  </si>
  <si>
    <t>知人の紹介</t>
    <rPh sb="0" eb="2">
      <t>チジン</t>
    </rPh>
    <rPh sb="3" eb="5">
      <t>ショウカイ</t>
    </rPh>
    <phoneticPr fontId="1"/>
  </si>
  <si>
    <t>小潮川　せり</t>
    <rPh sb="0" eb="1">
      <t>コ</t>
    </rPh>
    <rPh sb="1" eb="2">
      <t>シオ</t>
    </rPh>
    <rPh sb="2" eb="3">
      <t>カワ</t>
    </rPh>
    <phoneticPr fontId="1"/>
  </si>
  <si>
    <t>コシオガワ　セリ</t>
    <phoneticPr fontId="1"/>
  </si>
  <si>
    <t>女</t>
    <rPh sb="0" eb="1">
      <t>オンナ</t>
    </rPh>
    <phoneticPr fontId="1"/>
  </si>
  <si>
    <t>673-0541</t>
    <phoneticPr fontId="1"/>
  </si>
  <si>
    <t>兵庫県三木市志染町広野6-11-304</t>
    <rPh sb="0" eb="3">
      <t>ヒョウゴケン</t>
    </rPh>
    <rPh sb="3" eb="6">
      <t>ミキシ</t>
    </rPh>
    <rPh sb="6" eb="7">
      <t>ココロザ</t>
    </rPh>
    <rPh sb="7" eb="8">
      <t>ソメ</t>
    </rPh>
    <rPh sb="8" eb="9">
      <t>チョウ</t>
    </rPh>
    <rPh sb="9" eb="11">
      <t>ヒロノ</t>
    </rPh>
    <phoneticPr fontId="1"/>
  </si>
  <si>
    <t>080-6491-9673</t>
    <phoneticPr fontId="1"/>
  </si>
  <si>
    <t>seri10250728@icloud.com</t>
    <phoneticPr fontId="1"/>
  </si>
  <si>
    <t>ナカタニ　ナオミ</t>
    <phoneticPr fontId="1"/>
  </si>
  <si>
    <t>今井　馨南子</t>
    <rPh sb="0" eb="2">
      <t>イマイ</t>
    </rPh>
    <rPh sb="3" eb="4">
      <t>カオル</t>
    </rPh>
    <rPh sb="4" eb="5">
      <t>ミナミ</t>
    </rPh>
    <rPh sb="5" eb="6">
      <t>コ</t>
    </rPh>
    <phoneticPr fontId="1"/>
  </si>
  <si>
    <t>イマイ　カナコ</t>
    <phoneticPr fontId="1"/>
  </si>
  <si>
    <t>女</t>
    <rPh sb="0" eb="1">
      <t>オンナ</t>
    </rPh>
    <phoneticPr fontId="1"/>
  </si>
  <si>
    <t>665-0874</t>
    <phoneticPr fontId="1"/>
  </si>
  <si>
    <t>090-3974-6158</t>
    <phoneticPr fontId="1"/>
  </si>
  <si>
    <t>チラシ</t>
    <phoneticPr fontId="1"/>
  </si>
  <si>
    <t>入会（ﾄﾗｲｱﾙ）</t>
    <rPh sb="0" eb="2">
      <t>ニュウカイ</t>
    </rPh>
    <phoneticPr fontId="1"/>
  </si>
  <si>
    <t>渡辺　敬介</t>
    <rPh sb="0" eb="2">
      <t>ワタナベ</t>
    </rPh>
    <rPh sb="3" eb="5">
      <t>ケイスケ</t>
    </rPh>
    <phoneticPr fontId="1"/>
  </si>
  <si>
    <t>ワタナベ　ケイスケ</t>
    <phoneticPr fontId="1"/>
  </si>
  <si>
    <t>男</t>
    <rPh sb="0" eb="1">
      <t>オトコ</t>
    </rPh>
    <phoneticPr fontId="1"/>
  </si>
  <si>
    <t>665-0024</t>
    <phoneticPr fontId="1"/>
  </si>
  <si>
    <t>兵庫県宝塚市逆瀬台6-9-14</t>
    <rPh sb="0" eb="3">
      <t>ヒョウゴケン</t>
    </rPh>
    <rPh sb="3" eb="6">
      <t>タカラヅカシ</t>
    </rPh>
    <rPh sb="6" eb="9">
      <t>サカセダイ</t>
    </rPh>
    <phoneticPr fontId="1"/>
  </si>
  <si>
    <t>090-9719-6755</t>
    <phoneticPr fontId="1"/>
  </si>
  <si>
    <t>購入</t>
    <rPh sb="0" eb="2">
      <t>コウニュウ</t>
    </rPh>
    <phoneticPr fontId="1"/>
  </si>
  <si>
    <t>trial１</t>
    <phoneticPr fontId="1"/>
  </si>
  <si>
    <t>2025.6.6</t>
    <phoneticPr fontId="1"/>
  </si>
  <si>
    <t>宋　仁榮</t>
    <rPh sb="0" eb="1">
      <t>ソウ</t>
    </rPh>
    <rPh sb="2" eb="3">
      <t>ジン</t>
    </rPh>
    <rPh sb="3" eb="4">
      <t>エイ</t>
    </rPh>
    <phoneticPr fontId="1"/>
  </si>
  <si>
    <t>ソン　インヨン</t>
    <phoneticPr fontId="1"/>
  </si>
  <si>
    <t>665-0022</t>
    <phoneticPr fontId="1"/>
  </si>
  <si>
    <t>4.7km</t>
    <phoneticPr fontId="1"/>
  </si>
  <si>
    <t>090-2115-1231</t>
    <phoneticPr fontId="1"/>
  </si>
  <si>
    <t>0503jp@naver.com</t>
    <phoneticPr fontId="1"/>
  </si>
  <si>
    <t>安東コーチ知り合い</t>
    <rPh sb="0" eb="2">
      <t>アンドウ</t>
    </rPh>
    <rPh sb="5" eb="6">
      <t>シ</t>
    </rPh>
    <rPh sb="7" eb="8">
      <t>ア</t>
    </rPh>
    <phoneticPr fontId="1"/>
  </si>
  <si>
    <t>米川　吉郎</t>
    <rPh sb="0" eb="2">
      <t>ヨネカワ</t>
    </rPh>
    <rPh sb="3" eb="4">
      <t>ヨシ</t>
    </rPh>
    <rPh sb="4" eb="5">
      <t>ロウ</t>
    </rPh>
    <phoneticPr fontId="1"/>
  </si>
  <si>
    <t>ヨネカワ　ヨシロウ</t>
    <phoneticPr fontId="1"/>
  </si>
  <si>
    <t>男</t>
    <rPh sb="0" eb="1">
      <t>オトコ</t>
    </rPh>
    <phoneticPr fontId="1"/>
  </si>
  <si>
    <t>665-0875</t>
    <phoneticPr fontId="1"/>
  </si>
  <si>
    <t>兵庫県宝塚市中筋山手1-10-17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</si>
  <si>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兵庫県宝塚市中筋7-77-201</t>
    <rPh sb="0" eb="3">
      <t>ヒョウゴケン</t>
    </rPh>
    <rPh sb="3" eb="6">
      <t>タカラヅカシ</t>
    </rPh>
    <rPh sb="6" eb="8">
      <t>ナカスジ</t>
    </rPh>
    <phoneticPr fontId="1"/>
  </si>
  <si>
    <t>兵庫県宝塚市東洋町6-1-318</t>
    <rPh sb="0" eb="3">
      <t>ヒョウゴケン</t>
    </rPh>
    <rPh sb="3" eb="6">
      <t>タカラヅカシ</t>
    </rPh>
    <rPh sb="6" eb="9">
      <t>トウヨウチョウ</t>
    </rPh>
    <phoneticPr fontId="1"/>
  </si>
  <si>
    <t>兵庫県西宮市段上町5-3-13</t>
    <rPh sb="0" eb="3">
      <t>ヒョウゴケン</t>
    </rPh>
    <rPh sb="3" eb="6">
      <t>ニシノミヤシ</t>
    </rPh>
    <rPh sb="6" eb="9">
      <t>ダンウエチョウ</t>
    </rPh>
    <phoneticPr fontId="1"/>
  </si>
  <si>
    <t>兵庫県宝塚市山手台東1丁目2-1-609</t>
    <rPh sb="0" eb="3">
      <t>ヒョウゴケン</t>
    </rPh>
    <rPh sb="3" eb="6">
      <t>タカラヅカシ</t>
    </rPh>
    <rPh sb="6" eb="9">
      <t>ヤマテダイ</t>
    </rPh>
    <rPh sb="9" eb="10">
      <t>ヒガシ</t>
    </rPh>
    <rPh sb="11" eb="13">
      <t>チョウメ</t>
    </rPh>
    <phoneticPr fontId="1"/>
  </si>
  <si>
    <t>兵庫県西宮市柏堂町9-18</t>
    <rPh sb="0" eb="3">
      <t>ヒョウゴケン</t>
    </rPh>
    <rPh sb="3" eb="6">
      <t>ニシノミヤシ</t>
    </rPh>
    <rPh sb="6" eb="7">
      <t>カシワ</t>
    </rPh>
    <rPh sb="7" eb="8">
      <t>ドウ</t>
    </rPh>
    <rPh sb="8" eb="9">
      <t>マチ</t>
    </rPh>
    <phoneticPr fontId="1"/>
  </si>
  <si>
    <t>兵庫県宝塚市山手台東5-16-4</t>
    <rPh sb="0" eb="3">
      <t>ヒョウゴケン</t>
    </rPh>
    <phoneticPr fontId="1"/>
  </si>
  <si>
    <t>兵庫県宝塚市山手台東2-15-5</t>
    <rPh sb="0" eb="3">
      <t>ヒョウゴケン</t>
    </rPh>
    <phoneticPr fontId="1"/>
  </si>
  <si>
    <t>兵庫県宝塚市山手台西2-30-12.8</t>
    <rPh sb="0" eb="3">
      <t>ヒョウゴケン</t>
    </rPh>
    <phoneticPr fontId="1"/>
  </si>
  <si>
    <t>兵庫県宝塚市栄町3-4-1-1305</t>
    <rPh sb="0" eb="3">
      <t>ヒョウゴケン</t>
    </rPh>
    <phoneticPr fontId="1"/>
  </si>
  <si>
    <t>2.4km</t>
    <phoneticPr fontId="1"/>
  </si>
  <si>
    <t>080-5717-4960</t>
    <phoneticPr fontId="1"/>
  </si>
  <si>
    <t>入会</t>
    <rPh sb="0" eb="2">
      <t>ニュウカイ</t>
    </rPh>
    <phoneticPr fontId="1"/>
  </si>
  <si>
    <t>石本様紹介</t>
    <rPh sb="0" eb="2">
      <t>イシモト</t>
    </rPh>
    <rPh sb="2" eb="3">
      <t>サマ</t>
    </rPh>
    <rPh sb="3" eb="5">
      <t>ショウカイ</t>
    </rPh>
    <phoneticPr fontId="1"/>
  </si>
  <si>
    <t>石田　煌貴</t>
    <rPh sb="0" eb="2">
      <t>イシダ</t>
    </rPh>
    <rPh sb="3" eb="4">
      <t>キラ</t>
    </rPh>
    <rPh sb="4" eb="5">
      <t>タカシ</t>
    </rPh>
    <phoneticPr fontId="1"/>
  </si>
  <si>
    <t>イシダ　コウキ</t>
    <phoneticPr fontId="1"/>
  </si>
  <si>
    <t>男</t>
    <rPh sb="0" eb="1">
      <t>オトコ</t>
    </rPh>
    <phoneticPr fontId="1"/>
  </si>
  <si>
    <t>562-0036</t>
    <phoneticPr fontId="1"/>
  </si>
  <si>
    <t>大阪府箕面市船場西2-1-17-306</t>
    <rPh sb="0" eb="9">
      <t>562-0036</t>
    </rPh>
    <phoneticPr fontId="1"/>
  </si>
  <si>
    <t>11.0km</t>
    <phoneticPr fontId="1"/>
  </si>
  <si>
    <t>080-2427-0580</t>
    <phoneticPr fontId="1"/>
  </si>
  <si>
    <t>知人の紹介</t>
    <rPh sb="0" eb="2">
      <t>チジン</t>
    </rPh>
    <rPh sb="3" eb="5">
      <t>ショウカイ</t>
    </rPh>
    <phoneticPr fontId="1"/>
  </si>
  <si>
    <t>深見様紹介</t>
    <rPh sb="0" eb="2">
      <t>フカミ</t>
    </rPh>
    <rPh sb="2" eb="3">
      <t>サマ</t>
    </rPh>
    <rPh sb="3" eb="5">
      <t>ショウカイ</t>
    </rPh>
    <phoneticPr fontId="1"/>
  </si>
  <si>
    <t>熊谷　勝夫</t>
    <rPh sb="0" eb="2">
      <t>クマガイ</t>
    </rPh>
    <rPh sb="3" eb="4">
      <t>カツ</t>
    </rPh>
    <rPh sb="4" eb="5">
      <t>オット</t>
    </rPh>
    <phoneticPr fontId="1"/>
  </si>
  <si>
    <t>村上　慎治</t>
    <rPh sb="0" eb="2">
      <t>ムラカミ</t>
    </rPh>
    <rPh sb="3" eb="5">
      <t>シンジ</t>
    </rPh>
    <phoneticPr fontId="1"/>
  </si>
  <si>
    <t>ムラカミ　シンジ</t>
    <phoneticPr fontId="1"/>
  </si>
  <si>
    <t>クマガイ　マサオ</t>
    <phoneticPr fontId="1"/>
  </si>
  <si>
    <t>665-0861</t>
    <phoneticPr fontId="1"/>
  </si>
  <si>
    <t>兵庫県宝塚市中山寺3-4-15-212</t>
    <rPh sb="0" eb="3">
      <t>ヒョウゴケン</t>
    </rPh>
    <rPh sb="3" eb="6">
      <t>タカラヅカシ</t>
    </rPh>
    <rPh sb="6" eb="9">
      <t>ナカヤマデラ</t>
    </rPh>
    <phoneticPr fontId="1"/>
  </si>
  <si>
    <t>090-5052-9340</t>
    <phoneticPr fontId="1"/>
  </si>
  <si>
    <t>665-0045</t>
    <phoneticPr fontId="1"/>
  </si>
  <si>
    <t>兵庫県宝塚市光明町36-7</t>
    <rPh sb="0" eb="3">
      <t>ヒョウゴケン</t>
    </rPh>
    <rPh sb="3" eb="6">
      <t>タカラヅカシ</t>
    </rPh>
    <rPh sb="6" eb="9">
      <t>コウミョウチョウ</t>
    </rPh>
    <phoneticPr fontId="1"/>
  </si>
  <si>
    <t>5.4km</t>
    <phoneticPr fontId="1"/>
  </si>
  <si>
    <t>080-4335-9979</t>
    <phoneticPr fontId="1"/>
  </si>
  <si>
    <t>shinji.12.17.m@gmail.com</t>
    <phoneticPr fontId="1"/>
  </si>
  <si>
    <t>安東さん紹介</t>
    <rPh sb="0" eb="2">
      <t>アンドウ</t>
    </rPh>
    <rPh sb="4" eb="6">
      <t>ショウカイ</t>
    </rPh>
    <phoneticPr fontId="1"/>
  </si>
  <si>
    <t>山本　一範</t>
    <rPh sb="0" eb="2">
      <t>ヤマモト</t>
    </rPh>
    <rPh sb="3" eb="5">
      <t>カズノリ</t>
    </rPh>
    <phoneticPr fontId="1"/>
  </si>
  <si>
    <t>ヤマモト　カズノリ</t>
    <phoneticPr fontId="1"/>
  </si>
  <si>
    <t>東京都中央区晴海5-5-5-1709</t>
    <rPh sb="0" eb="3">
      <t>トウキョウト</t>
    </rPh>
    <rPh sb="3" eb="6">
      <t>チュウオウク</t>
    </rPh>
    <rPh sb="6" eb="8">
      <t>ハルミ</t>
    </rPh>
    <phoneticPr fontId="1"/>
  </si>
  <si>
    <t>080-6521-0715</t>
    <phoneticPr fontId="1"/>
  </si>
  <si>
    <t>フィッティング料無料　社長承認</t>
    <rPh sb="7" eb="8">
      <t>リョウ</t>
    </rPh>
    <rPh sb="8" eb="10">
      <t>ムリョウ</t>
    </rPh>
    <rPh sb="11" eb="15">
      <t>シャチョウショウニン</t>
    </rPh>
    <phoneticPr fontId="1"/>
  </si>
  <si>
    <t>入会</t>
    <rPh sb="0" eb="2">
      <t>ニュウカイ</t>
    </rPh>
    <phoneticPr fontId="1"/>
  </si>
  <si>
    <t>藤原　英司</t>
    <rPh sb="0" eb="2">
      <t>フジワラ</t>
    </rPh>
    <rPh sb="3" eb="5">
      <t>エイジ</t>
    </rPh>
    <phoneticPr fontId="1"/>
  </si>
  <si>
    <t>フジワラ　エイジ</t>
    <phoneticPr fontId="1"/>
  </si>
  <si>
    <t>男</t>
    <rPh sb="0" eb="1">
      <t>オトコ</t>
    </rPh>
    <phoneticPr fontId="1"/>
  </si>
  <si>
    <t>710-1102</t>
    <phoneticPr fontId="1"/>
  </si>
  <si>
    <t>岡山県倉敷市茶屋町早沖83-2</t>
    <rPh sb="0" eb="3">
      <t>オカヤマケン</t>
    </rPh>
    <rPh sb="3" eb="6">
      <t>クラシキシ</t>
    </rPh>
    <rPh sb="6" eb="9">
      <t>チャヤマチ</t>
    </rPh>
    <rPh sb="9" eb="10">
      <t>ハヤ</t>
    </rPh>
    <rPh sb="10" eb="11">
      <t>オキ</t>
    </rPh>
    <phoneticPr fontId="1"/>
  </si>
  <si>
    <t>175km</t>
    <phoneticPr fontId="1"/>
  </si>
  <si>
    <t>090-9505-6432</t>
    <phoneticPr fontId="1"/>
  </si>
  <si>
    <t>fujiwara72301891@gmail.com</t>
    <phoneticPr fontId="1"/>
  </si>
  <si>
    <t>104-0053</t>
    <phoneticPr fontId="1"/>
  </si>
  <si>
    <t>岡垣　誠</t>
    <rPh sb="0" eb="2">
      <t>オカガキ</t>
    </rPh>
    <rPh sb="3" eb="4">
      <t>マコト</t>
    </rPh>
    <phoneticPr fontId="1"/>
  </si>
  <si>
    <t>オカガキ　マコト</t>
    <phoneticPr fontId="1"/>
  </si>
  <si>
    <t>563-0022</t>
    <phoneticPr fontId="1"/>
  </si>
  <si>
    <t>大阪府池田市旭丘3-2-7</t>
    <rPh sb="0" eb="3">
      <t>オオサカフ</t>
    </rPh>
    <rPh sb="3" eb="6">
      <t>イケダシ</t>
    </rPh>
    <rPh sb="6" eb="8">
      <t>アサヒオカ</t>
    </rPh>
    <phoneticPr fontId="1"/>
  </si>
  <si>
    <t>080-1403-4000</t>
    <phoneticPr fontId="1"/>
  </si>
  <si>
    <t>井上　亮</t>
    <rPh sb="0" eb="2">
      <t>イノウエ</t>
    </rPh>
    <rPh sb="3" eb="4">
      <t>リョウ</t>
    </rPh>
    <phoneticPr fontId="1"/>
  </si>
  <si>
    <t>イノウエ　タスク</t>
    <phoneticPr fontId="1"/>
  </si>
  <si>
    <t>男</t>
    <rPh sb="0" eb="1">
      <t>オトコ</t>
    </rPh>
    <phoneticPr fontId="1"/>
  </si>
  <si>
    <t>669-1136</t>
    <phoneticPr fontId="1"/>
  </si>
  <si>
    <t>兵庫県西宮市名塩さくら台3-5-14</t>
    <rPh sb="0" eb="2">
      <t>ヒョウゴ</t>
    </rPh>
    <rPh sb="2" eb="3">
      <t>ケン</t>
    </rPh>
    <rPh sb="3" eb="5">
      <t>ニシノミヤ</t>
    </rPh>
    <rPh sb="5" eb="6">
      <t>シ</t>
    </rPh>
    <rPh sb="6" eb="8">
      <t>ナジオ</t>
    </rPh>
    <rPh sb="11" eb="12">
      <t>ダイ</t>
    </rPh>
    <phoneticPr fontId="1"/>
  </si>
  <si>
    <t>金森　大翔</t>
    <rPh sb="0" eb="2">
      <t>カナモリ</t>
    </rPh>
    <rPh sb="3" eb="5">
      <t>ヒロト</t>
    </rPh>
    <phoneticPr fontId="1"/>
  </si>
  <si>
    <t>カナモリ　ヒロト</t>
    <phoneticPr fontId="1"/>
  </si>
  <si>
    <t>660-0883</t>
    <phoneticPr fontId="1"/>
  </si>
  <si>
    <t>兵庫県尼崎市神田北通４-101-1301</t>
    <rPh sb="0" eb="3">
      <t>ヒョウゴケン</t>
    </rPh>
    <rPh sb="3" eb="6">
      <t>アマガサキシ</t>
    </rPh>
    <rPh sb="6" eb="8">
      <t>カンダ</t>
    </rPh>
    <rPh sb="8" eb="9">
      <t>キタ</t>
    </rPh>
    <rPh sb="9" eb="10">
      <t>ドオ</t>
    </rPh>
    <phoneticPr fontId="1"/>
  </si>
  <si>
    <t>永吉　美香</t>
    <rPh sb="0" eb="2">
      <t>ナガヨシ</t>
    </rPh>
    <rPh sb="3" eb="5">
      <t>ミカ</t>
    </rPh>
    <phoneticPr fontId="1"/>
  </si>
  <si>
    <t>ナガヨシ　ミカ</t>
    <phoneticPr fontId="1"/>
  </si>
  <si>
    <t>女</t>
    <rPh sb="0" eb="1">
      <t>オンナ</t>
    </rPh>
    <phoneticPr fontId="1"/>
  </si>
  <si>
    <t>665-0852</t>
    <phoneticPr fontId="1"/>
  </si>
  <si>
    <t>兵庫県宝塚市中山寺3-5-8</t>
    <rPh sb="0" eb="3">
      <t>ヒョウゴケン</t>
    </rPh>
    <rPh sb="3" eb="6">
      <t>タカラヅカシ</t>
    </rPh>
    <rPh sb="6" eb="9">
      <t>ナカヤマデラ</t>
    </rPh>
    <phoneticPr fontId="1"/>
  </si>
  <si>
    <t>後神　涼太</t>
    <rPh sb="0" eb="2">
      <t>ゴカン</t>
    </rPh>
    <rPh sb="3" eb="5">
      <t>リョウタ</t>
    </rPh>
    <phoneticPr fontId="1"/>
  </si>
  <si>
    <t>ゴカン　リョウタ</t>
    <phoneticPr fontId="1"/>
  </si>
  <si>
    <t>700-0975</t>
    <phoneticPr fontId="1"/>
  </si>
  <si>
    <t>岡山県岡山市北区今1-8-23</t>
    <rPh sb="0" eb="3">
      <t>オカヤマケン</t>
    </rPh>
    <rPh sb="3" eb="6">
      <t>オカヤマシ</t>
    </rPh>
    <rPh sb="6" eb="8">
      <t>キタク</t>
    </rPh>
    <rPh sb="8" eb="9">
      <t>イマ</t>
    </rPh>
    <phoneticPr fontId="1"/>
  </si>
  <si>
    <t>佐藤　昌大</t>
    <rPh sb="0" eb="2">
      <t>サトウ</t>
    </rPh>
    <rPh sb="3" eb="5">
      <t>マサヒロ</t>
    </rPh>
    <phoneticPr fontId="1"/>
  </si>
  <si>
    <t>サトウ　マサヒロ</t>
    <phoneticPr fontId="1"/>
  </si>
  <si>
    <t>563-0033</t>
    <phoneticPr fontId="1"/>
  </si>
  <si>
    <t>大阪府池田市住吉1-16-5-202</t>
    <rPh sb="0" eb="3">
      <t>オオサカフ</t>
    </rPh>
    <rPh sb="3" eb="6">
      <t>イケダシ</t>
    </rPh>
    <rPh sb="6" eb="8">
      <t>スミヨシ</t>
    </rPh>
    <phoneticPr fontId="1"/>
  </si>
  <si>
    <t>山本　幸一</t>
    <rPh sb="0" eb="2">
      <t>ヤマモト</t>
    </rPh>
    <rPh sb="3" eb="5">
      <t>コウイチ</t>
    </rPh>
    <phoneticPr fontId="1"/>
  </si>
  <si>
    <t>ヤマモト　コウイチ</t>
    <phoneticPr fontId="1"/>
  </si>
  <si>
    <t>兵庫県宝塚市今里町15-6</t>
    <rPh sb="0" eb="3">
      <t>ヒョウゴケン</t>
    </rPh>
    <rPh sb="3" eb="6">
      <t>タカラヅカシ</t>
    </rPh>
    <rPh sb="6" eb="9">
      <t>イマザトチョウ</t>
    </rPh>
    <phoneticPr fontId="1"/>
  </si>
  <si>
    <t>杉野　吉彦</t>
    <rPh sb="0" eb="2">
      <t>スギノ</t>
    </rPh>
    <rPh sb="3" eb="5">
      <t>ヨシヒコ</t>
    </rPh>
    <phoneticPr fontId="1"/>
  </si>
  <si>
    <t>スギノ　ヨシヒコ</t>
    <phoneticPr fontId="1"/>
  </si>
  <si>
    <t>665-0082</t>
    <phoneticPr fontId="1"/>
  </si>
  <si>
    <t>兵庫県宝塚市山本南1-20-6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</si>
  <si>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渡辺　信広</t>
    <rPh sb="0" eb="2">
      <t>ワタナベ</t>
    </rPh>
    <rPh sb="3" eb="4">
      <t>ノブ</t>
    </rPh>
    <rPh sb="4" eb="5">
      <t>ヒロ</t>
    </rPh>
    <phoneticPr fontId="1"/>
  </si>
  <si>
    <t>男</t>
    <rPh sb="0" eb="1">
      <t>オトコ</t>
    </rPh>
    <phoneticPr fontId="1"/>
  </si>
  <si>
    <t>兵庫県宝塚市高司２丁目17-7</t>
    <rPh sb="0" eb="6">
      <t>ヒョウゴケンタカラヅカシ</t>
    </rPh>
    <rPh sb="6" eb="7">
      <t>タカ</t>
    </rPh>
    <rPh sb="7" eb="8">
      <t>ツカサ</t>
    </rPh>
    <rPh sb="9" eb="11">
      <t>チョウメ</t>
    </rPh>
    <phoneticPr fontId="1"/>
  </si>
  <si>
    <t>090-6735-3870</t>
    <phoneticPr fontId="1"/>
  </si>
  <si>
    <t>宮崎　舞</t>
    <rPh sb="0" eb="2">
      <t>ミヤザキ</t>
    </rPh>
    <rPh sb="3" eb="4">
      <t>マイ</t>
    </rPh>
    <phoneticPr fontId="1"/>
  </si>
  <si>
    <t>ミヤザキ　マイ</t>
    <phoneticPr fontId="1"/>
  </si>
  <si>
    <t>563-0043</t>
    <phoneticPr fontId="1"/>
  </si>
  <si>
    <t>大阪府池田市神田2-1-12-402</t>
    <rPh sb="0" eb="3">
      <t>オオサカフ</t>
    </rPh>
    <rPh sb="3" eb="6">
      <t>イケダシ</t>
    </rPh>
    <rPh sb="6" eb="8">
      <t>カンダ</t>
    </rPh>
    <phoneticPr fontId="1"/>
  </si>
  <si>
    <t>080-1427-1122</t>
    <phoneticPr fontId="1"/>
  </si>
  <si>
    <t>インターネット</t>
    <phoneticPr fontId="1"/>
  </si>
  <si>
    <t>ワタナベ　ノブヒロ</t>
    <phoneticPr fontId="1"/>
  </si>
  <si>
    <t>13.6km</t>
    <phoneticPr fontId="1"/>
  </si>
  <si>
    <t>163km</t>
    <phoneticPr fontId="1"/>
  </si>
  <si>
    <t>5.7km</t>
    <phoneticPr fontId="1"/>
  </si>
  <si>
    <t>14.4km</t>
    <phoneticPr fontId="1"/>
  </si>
  <si>
    <t>2.1km</t>
    <phoneticPr fontId="1"/>
  </si>
  <si>
    <t>150ｍ</t>
    <phoneticPr fontId="1"/>
  </si>
  <si>
    <t>665-0862</t>
    <phoneticPr fontId="1"/>
  </si>
  <si>
    <t>665-0051</t>
    <phoneticPr fontId="1"/>
  </si>
  <si>
    <t>本部　徳子</t>
    <rPh sb="0" eb="2">
      <t>ホンブ</t>
    </rPh>
    <rPh sb="3" eb="5">
      <t>ノリコ</t>
    </rPh>
    <phoneticPr fontId="1"/>
  </si>
  <si>
    <t>ホンブ　ノリコ</t>
    <phoneticPr fontId="1"/>
  </si>
  <si>
    <t>女</t>
    <rPh sb="0" eb="1">
      <t>オンナ</t>
    </rPh>
    <phoneticPr fontId="1"/>
  </si>
  <si>
    <t>665-0001</t>
    <phoneticPr fontId="1"/>
  </si>
  <si>
    <t>兵庫県宝塚市長寿が丘4-18</t>
    <rPh sb="0" eb="3">
      <t>ヒョウゴケン</t>
    </rPh>
    <rPh sb="3" eb="6">
      <t>タカラヅカシ</t>
    </rPh>
    <rPh sb="6" eb="8">
      <t>チョウジュ</t>
    </rPh>
    <rPh sb="9" eb="10">
      <t>オカ</t>
    </rPh>
    <phoneticPr fontId="1"/>
  </si>
  <si>
    <t>兵庫県宝塚市長寿が丘4-19</t>
    <rPh sb="0" eb="3">
      <t>ヒョウゴケン</t>
    </rPh>
    <rPh sb="3" eb="6">
      <t>タカラヅカシ</t>
    </rPh>
    <rPh sb="6" eb="8">
      <t>チョウジュ</t>
    </rPh>
    <rPh sb="9" eb="10">
      <t>オカ</t>
    </rPh>
    <phoneticPr fontId="1"/>
  </si>
  <si>
    <t>男</t>
    <rPh sb="0" eb="1">
      <t>オトコ</t>
    </rPh>
    <phoneticPr fontId="1"/>
  </si>
  <si>
    <t>本部　公章</t>
    <rPh sb="0" eb="2">
      <t>ホンブ</t>
    </rPh>
    <rPh sb="3" eb="4">
      <t>コウ</t>
    </rPh>
    <rPh sb="4" eb="5">
      <t>ショウ</t>
    </rPh>
    <phoneticPr fontId="1"/>
  </si>
  <si>
    <t>ホンブ　キミアキ</t>
    <phoneticPr fontId="1"/>
  </si>
  <si>
    <t>西川　祐貴</t>
    <rPh sb="0" eb="2">
      <t>ニシカワ</t>
    </rPh>
    <rPh sb="3" eb="4">
      <t>ユウ</t>
    </rPh>
    <rPh sb="4" eb="5">
      <t>タカシ</t>
    </rPh>
    <phoneticPr fontId="1"/>
  </si>
  <si>
    <t>ニシカワ　ユウキ</t>
    <phoneticPr fontId="1"/>
  </si>
  <si>
    <t>665-0875</t>
    <phoneticPr fontId="1"/>
  </si>
  <si>
    <t>兵庫県宝塚市中筋山手2-11-10</t>
    <rPh sb="0" eb="3">
      <t>ヒョウゴケン</t>
    </rPh>
    <rPh sb="3" eb="6">
      <t>タカラヅカシ</t>
    </rPh>
    <rPh sb="6" eb="7">
      <t>ナカ</t>
    </rPh>
    <rPh sb="7" eb="8">
      <t>スジ</t>
    </rPh>
    <rPh sb="8" eb="10">
      <t>ヤマテ</t>
    </rPh>
    <phoneticPr fontId="1"/>
  </si>
  <si>
    <t>090-3821-6352</t>
    <phoneticPr fontId="1"/>
  </si>
  <si>
    <t>安東さん紹介</t>
    <rPh sb="0" eb="2">
      <t>アンドウ</t>
    </rPh>
    <rPh sb="4" eb="6">
      <t>ショウカイ</t>
    </rPh>
    <phoneticPr fontId="1"/>
  </si>
  <si>
    <t>１１月ごろに入会予定</t>
    <rPh sb="2" eb="3">
      <t>ガツ</t>
    </rPh>
    <rPh sb="6" eb="8">
      <t>ニュウカイ</t>
    </rPh>
    <rPh sb="8" eb="10">
      <t>ヨテイ</t>
    </rPh>
    <phoneticPr fontId="1"/>
  </si>
  <si>
    <t>腰の手術後に入会予定</t>
    <rPh sb="0" eb="1">
      <t>コシ</t>
    </rPh>
    <rPh sb="2" eb="4">
      <t>シュジュツ</t>
    </rPh>
    <rPh sb="4" eb="5">
      <t>ゴ</t>
    </rPh>
    <rPh sb="6" eb="8">
      <t>ニュウカイ</t>
    </rPh>
    <rPh sb="8" eb="10">
      <t>ヨテイ</t>
    </rPh>
    <phoneticPr fontId="1"/>
  </si>
  <si>
    <t>090-8982-6733</t>
    <phoneticPr fontId="1"/>
  </si>
  <si>
    <t>080-1484-0099</t>
    <phoneticPr fontId="1"/>
  </si>
  <si>
    <t>6.6km</t>
    <phoneticPr fontId="1"/>
  </si>
  <si>
    <t>3.5km</t>
    <phoneticPr fontId="1"/>
  </si>
  <si>
    <t>non.honbuchan3@gmail.com</t>
    <phoneticPr fontId="1"/>
  </si>
  <si>
    <t>honbu0123@gmail.com</t>
    <phoneticPr fontId="1"/>
  </si>
  <si>
    <t>090-4649-1610</t>
    <phoneticPr fontId="1"/>
  </si>
  <si>
    <t>090-1963-0539</t>
    <phoneticPr fontId="1"/>
  </si>
  <si>
    <t>090-6841-4075</t>
    <phoneticPr fontId="1"/>
  </si>
  <si>
    <t>090-6979-5951</t>
    <phoneticPr fontId="1"/>
  </si>
  <si>
    <t>080-6206-9421</t>
    <phoneticPr fontId="1"/>
  </si>
  <si>
    <t>090-4118-2924</t>
    <phoneticPr fontId="1"/>
  </si>
  <si>
    <t>090-3654-3385</t>
    <phoneticPr fontId="1"/>
  </si>
  <si>
    <t>rgokan@gmail.com</t>
    <phoneticPr fontId="1"/>
  </si>
  <si>
    <t>中西　亜維</t>
    <rPh sb="0" eb="2">
      <t>ナカニシ</t>
    </rPh>
    <rPh sb="3" eb="4">
      <t>ア</t>
    </rPh>
    <rPh sb="4" eb="5">
      <t>イ</t>
    </rPh>
    <phoneticPr fontId="1"/>
  </si>
  <si>
    <t>ナカニシ　アイ</t>
    <phoneticPr fontId="1"/>
  </si>
  <si>
    <t>女</t>
    <rPh sb="0" eb="1">
      <t>オンナ</t>
    </rPh>
    <phoneticPr fontId="1"/>
  </si>
  <si>
    <t>592-8345</t>
    <phoneticPr fontId="1"/>
  </si>
  <si>
    <t>大阪府堺市西区浜寺昭和町1丁目50-10</t>
    <rPh sb="0" eb="3">
      <t>オオサカフ</t>
    </rPh>
    <rPh sb="3" eb="5">
      <t>サカイシ</t>
    </rPh>
    <rPh sb="5" eb="7">
      <t>ニシク</t>
    </rPh>
    <rPh sb="7" eb="9">
      <t>ハマデラ</t>
    </rPh>
    <rPh sb="9" eb="12">
      <t>ショウワチョウ</t>
    </rPh>
    <rPh sb="13" eb="15">
      <t>チョウメ</t>
    </rPh>
    <phoneticPr fontId="1"/>
  </si>
  <si>
    <t>072-263-7077</t>
    <phoneticPr fontId="1"/>
  </si>
  <si>
    <t>廣瀬　義隆</t>
    <rPh sb="0" eb="2">
      <t>ヒロセ</t>
    </rPh>
    <rPh sb="3" eb="5">
      <t>ヨシタカ</t>
    </rPh>
    <phoneticPr fontId="1"/>
  </si>
  <si>
    <t>廣瀬　香</t>
    <rPh sb="0" eb="2">
      <t>ヒロセ</t>
    </rPh>
    <rPh sb="3" eb="4">
      <t>カオリ</t>
    </rPh>
    <phoneticPr fontId="1"/>
  </si>
  <si>
    <t>ヒロセ　ヨシタカ</t>
    <phoneticPr fontId="1"/>
  </si>
  <si>
    <t>ヒロセ　カオリ</t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</si>
  <si>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</si>
  <si>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</si>
  <si>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665-0886</t>
    <phoneticPr fontId="1"/>
  </si>
  <si>
    <t>兵庫県宝塚市山手台西４丁目15-6</t>
    <rPh sb="0" eb="3">
      <t>ヒョウゴケン</t>
    </rPh>
    <rPh sb="3" eb="6">
      <t>タカラヅカシ</t>
    </rPh>
    <rPh sb="6" eb="9">
      <t>ヤマテダイ</t>
    </rPh>
    <rPh sb="9" eb="10">
      <t>ニシ</t>
    </rPh>
    <rPh sb="11" eb="13">
      <t>チョウメ</t>
    </rPh>
    <phoneticPr fontId="1"/>
  </si>
  <si>
    <t>090-8889-3955</t>
    <phoneticPr fontId="1"/>
  </si>
  <si>
    <t>090-4569-4024</t>
    <phoneticPr fontId="1"/>
  </si>
  <si>
    <t>satoyaryoma@gmail.com</t>
    <phoneticPr fontId="1"/>
  </si>
  <si>
    <t>kaokaoinochan@mail.com</t>
    <phoneticPr fontId="1"/>
  </si>
  <si>
    <t>インターネット</t>
    <phoneticPr fontId="1"/>
  </si>
  <si>
    <t>山形　光生</t>
    <rPh sb="0" eb="2">
      <t>ヤマガタ</t>
    </rPh>
    <rPh sb="3" eb="5">
      <t>ミツオ</t>
    </rPh>
    <phoneticPr fontId="1"/>
  </si>
  <si>
    <t>ヤマガタ　ミツオ</t>
    <phoneticPr fontId="1"/>
  </si>
  <si>
    <t>男</t>
    <rPh sb="0" eb="1">
      <t>オトコ</t>
    </rPh>
    <phoneticPr fontId="1"/>
  </si>
  <si>
    <t>665-0884</t>
    <phoneticPr fontId="1"/>
  </si>
  <si>
    <t>兵庫県宝塚市山本西2-8-24</t>
    <rPh sb="0" eb="3">
      <t>ヒョウゴケン</t>
    </rPh>
    <rPh sb="3" eb="6">
      <t>タカラヅカシ</t>
    </rPh>
    <rPh sb="6" eb="8">
      <t>ヤマモト</t>
    </rPh>
    <rPh sb="8" eb="9">
      <t>ニシ</t>
    </rPh>
    <phoneticPr fontId="1"/>
  </si>
  <si>
    <t>mitsuo2875@yahoo.co.jp</t>
    <phoneticPr fontId="1"/>
  </si>
  <si>
    <t>通りすがり</t>
    <rPh sb="0" eb="1">
      <t>トオ</t>
    </rPh>
    <phoneticPr fontId="1"/>
  </si>
  <si>
    <t>佐藤　心裕</t>
    <rPh sb="0" eb="2">
      <t>サトウ</t>
    </rPh>
    <rPh sb="3" eb="4">
      <t>ココロ</t>
    </rPh>
    <rPh sb="4" eb="5">
      <t>ユウ</t>
    </rPh>
    <phoneticPr fontId="1"/>
  </si>
  <si>
    <t>サトウ　ミユウ</t>
    <phoneticPr fontId="1"/>
  </si>
  <si>
    <t>女</t>
    <rPh sb="0" eb="1">
      <t>オンナ</t>
    </rPh>
    <phoneticPr fontId="1"/>
  </si>
  <si>
    <t>651-1306</t>
    <phoneticPr fontId="1"/>
  </si>
  <si>
    <t>兵庫県神戸市北区菖蒲が丘1-534-77</t>
    <rPh sb="0" eb="3">
      <t>ヒョウゴケン</t>
    </rPh>
    <rPh sb="3" eb="6">
      <t>コウベシ</t>
    </rPh>
    <rPh sb="6" eb="8">
      <t>キタク</t>
    </rPh>
    <rPh sb="8" eb="10">
      <t>ショウブ</t>
    </rPh>
    <rPh sb="11" eb="12">
      <t>オカ</t>
    </rPh>
    <phoneticPr fontId="1"/>
  </si>
  <si>
    <t>20.0km</t>
    <phoneticPr fontId="1"/>
  </si>
  <si>
    <t>090-3260-2875</t>
    <phoneticPr fontId="1"/>
  </si>
  <si>
    <t>080-9364-4324</t>
    <phoneticPr fontId="1"/>
  </si>
  <si>
    <t>店頭</t>
    <rPh sb="0" eb="2">
      <t>テントウ</t>
    </rPh>
    <phoneticPr fontId="1"/>
  </si>
  <si>
    <t>シャフトの種類の多さ</t>
    <rPh sb="5" eb="7">
      <t>シュルイ</t>
    </rPh>
    <rPh sb="8" eb="9">
      <t>オオ</t>
    </rPh>
    <phoneticPr fontId="1"/>
  </si>
  <si>
    <t>谷口　秀男</t>
    <rPh sb="0" eb="2">
      <t>タニグチ</t>
    </rPh>
    <rPh sb="3" eb="5">
      <t>ヒデオ</t>
    </rPh>
    <phoneticPr fontId="1"/>
  </si>
  <si>
    <t>タニグチ　ヒデオ</t>
    <phoneticPr fontId="1"/>
  </si>
  <si>
    <t>665-0852</t>
    <phoneticPr fontId="1"/>
  </si>
  <si>
    <t>兵庫県宝塚市売布1-4-14</t>
    <rPh sb="0" eb="3">
      <t>ヒョウゴケン</t>
    </rPh>
    <rPh sb="3" eb="6">
      <t>タカラヅカシ</t>
    </rPh>
    <rPh sb="6" eb="8">
      <t>メフ</t>
    </rPh>
    <phoneticPr fontId="1"/>
  </si>
  <si>
    <t>090-5152-5616</t>
    <phoneticPr fontId="1"/>
  </si>
  <si>
    <t>友人</t>
    <rPh sb="0" eb="2">
      <t>ユウジン</t>
    </rPh>
    <phoneticPr fontId="1"/>
  </si>
  <si>
    <t>会員：兼森様紹介</t>
    <rPh sb="0" eb="2">
      <t>カイイン</t>
    </rPh>
    <rPh sb="3" eb="5">
      <t>カネモリ</t>
    </rPh>
    <rPh sb="5" eb="6">
      <t>サマ</t>
    </rPh>
    <rPh sb="6" eb="8">
      <t>ショウカイ</t>
    </rPh>
    <phoneticPr fontId="1"/>
  </si>
  <si>
    <t>青柳　浩</t>
    <rPh sb="0" eb="2">
      <t>アオヤギ</t>
    </rPh>
    <rPh sb="3" eb="4">
      <t>ヒロシ</t>
    </rPh>
    <phoneticPr fontId="1"/>
  </si>
  <si>
    <t>アオヤギ　ヒロシ</t>
    <phoneticPr fontId="1"/>
  </si>
  <si>
    <t>665-0073</t>
    <phoneticPr fontId="1"/>
  </si>
  <si>
    <t>兵庫県宝塚市塔の町3-66-206</t>
    <rPh sb="0" eb="3">
      <t>ヒョウゴケン</t>
    </rPh>
    <rPh sb="3" eb="6">
      <t>タカラヅカシ</t>
    </rPh>
    <rPh sb="6" eb="7">
      <t>トウ</t>
    </rPh>
    <rPh sb="8" eb="9">
      <t>チョウ</t>
    </rPh>
    <phoneticPr fontId="1"/>
  </si>
  <si>
    <t>090-6643-8759</t>
    <phoneticPr fontId="1"/>
  </si>
  <si>
    <t>ao001jp@ybb.ne.jp</t>
    <phoneticPr fontId="1"/>
  </si>
  <si>
    <t>福原プロ</t>
  </si>
  <si>
    <t>11月入会予定</t>
    <rPh sb="2" eb="3">
      <t>ガツ</t>
    </rPh>
    <rPh sb="3" eb="5">
      <t>ニュウカイ</t>
    </rPh>
    <rPh sb="5" eb="7">
      <t>ヨテイ</t>
    </rPh>
    <phoneticPr fontId="1"/>
  </si>
  <si>
    <t>坂妻　麻里</t>
    <rPh sb="0" eb="2">
      <t>サカツマ</t>
    </rPh>
    <rPh sb="3" eb="5">
      <t>マリ</t>
    </rPh>
    <phoneticPr fontId="1"/>
  </si>
  <si>
    <t>サカツマ　マリ</t>
    <phoneticPr fontId="1"/>
  </si>
  <si>
    <t>女</t>
    <rPh sb="0" eb="1">
      <t>オンナ</t>
    </rPh>
    <phoneticPr fontId="1"/>
  </si>
  <si>
    <t>665-0805</t>
    <phoneticPr fontId="1"/>
  </si>
  <si>
    <t>兵庫県雲雀丘2-2-8　宝塚雲雀丘タウンハウス7</t>
    <rPh sb="0" eb="3">
      <t>ヒョウゴケン</t>
    </rPh>
    <rPh sb="3" eb="6">
      <t>ヒバリガオカ</t>
    </rPh>
    <rPh sb="12" eb="14">
      <t>タカラヅカ</t>
    </rPh>
    <rPh sb="14" eb="17">
      <t>ヒバリガオカ</t>
    </rPh>
    <phoneticPr fontId="1"/>
  </si>
  <si>
    <t>090-4031-8900</t>
    <phoneticPr fontId="1"/>
  </si>
  <si>
    <t>alexander.jr007@gmail.com</t>
    <phoneticPr fontId="1"/>
  </si>
  <si>
    <t>無料キャンペーン</t>
    <rPh sb="0" eb="2">
      <t>ムリョウ</t>
    </rPh>
    <phoneticPr fontId="1"/>
  </si>
  <si>
    <t>兵庫県雲雀丘2-2-8　宝塚雲雀丘タウンハウス8</t>
    <rPh sb="0" eb="3">
      <t>ヒョウゴケン</t>
    </rPh>
    <rPh sb="3" eb="6">
      <t>ヒバリガオカ</t>
    </rPh>
    <rPh sb="12" eb="14">
      <t>タカラヅカ</t>
    </rPh>
    <rPh sb="14" eb="17">
      <t>ヒバリガオカ</t>
    </rPh>
    <phoneticPr fontId="1"/>
  </si>
  <si>
    <t>alexander.jr008@gmail.com</t>
  </si>
  <si>
    <t>坂妻　秀樹</t>
    <rPh sb="0" eb="2">
      <t>サカツマ</t>
    </rPh>
    <rPh sb="3" eb="5">
      <t>ヒデキ</t>
    </rPh>
    <phoneticPr fontId="1"/>
  </si>
  <si>
    <t>サカツマ　ヒデキ</t>
    <phoneticPr fontId="1"/>
  </si>
  <si>
    <t>男</t>
    <rPh sb="0" eb="1">
      <t>オトコ</t>
    </rPh>
    <phoneticPr fontId="1"/>
  </si>
  <si>
    <t>090-5909-5050</t>
    <phoneticPr fontId="1"/>
  </si>
  <si>
    <t>入会</t>
    <rPh sb="0" eb="2">
      <t>ニュウカイ</t>
    </rPh>
    <phoneticPr fontId="1"/>
  </si>
  <si>
    <t>入会興味なし</t>
    <rPh sb="0" eb="2">
      <t>ニュウカイ</t>
    </rPh>
    <rPh sb="2" eb="4">
      <t>キョウミ</t>
    </rPh>
    <phoneticPr fontId="1"/>
  </si>
  <si>
    <t>田村　恵末</t>
    <rPh sb="0" eb="2">
      <t>タムラ</t>
    </rPh>
    <rPh sb="3" eb="4">
      <t>メグミ</t>
    </rPh>
    <rPh sb="4" eb="5">
      <t>スエ</t>
    </rPh>
    <phoneticPr fontId="1"/>
  </si>
  <si>
    <t>タムラ　メグミ</t>
    <phoneticPr fontId="1"/>
  </si>
  <si>
    <t>女</t>
    <rPh sb="0" eb="1">
      <t>オンナ</t>
    </rPh>
    <phoneticPr fontId="1"/>
  </si>
  <si>
    <t>531-0071</t>
    <phoneticPr fontId="1"/>
  </si>
  <si>
    <t>大阪府大阪市北区中津1-6-29-3011</t>
    <rPh sb="0" eb="3">
      <t>オオサカフ</t>
    </rPh>
    <rPh sb="3" eb="6">
      <t>オオサカシ</t>
    </rPh>
    <rPh sb="6" eb="8">
      <t>キタク</t>
    </rPh>
    <rPh sb="8" eb="10">
      <t>ナカツ</t>
    </rPh>
    <phoneticPr fontId="1"/>
  </si>
  <si>
    <t>090-7111-1147</t>
    <phoneticPr fontId="1"/>
  </si>
  <si>
    <t>大野　史恵</t>
    <rPh sb="0" eb="2">
      <t>オオノ</t>
    </rPh>
    <rPh sb="3" eb="5">
      <t>フミエ</t>
    </rPh>
    <phoneticPr fontId="1"/>
  </si>
  <si>
    <t>オオノ　フミエ</t>
    <phoneticPr fontId="1"/>
  </si>
  <si>
    <t>662-0065</t>
    <phoneticPr fontId="1"/>
  </si>
  <si>
    <t>兵庫県西宮市殿山町10-3</t>
    <rPh sb="0" eb="3">
      <t>ヒョウゴケン</t>
    </rPh>
    <rPh sb="3" eb="5">
      <t>ニシノミヤ</t>
    </rPh>
    <rPh sb="5" eb="6">
      <t>シ</t>
    </rPh>
    <rPh sb="6" eb="7">
      <t>トノ</t>
    </rPh>
    <rPh sb="7" eb="9">
      <t>ヤマチョウ</t>
    </rPh>
    <phoneticPr fontId="1"/>
  </si>
  <si>
    <t>090-9162-1978</t>
    <phoneticPr fontId="1"/>
  </si>
  <si>
    <t>原田　隆範</t>
    <rPh sb="3" eb="4">
      <t>タカシ</t>
    </rPh>
    <rPh sb="4" eb="5">
      <t>ハン</t>
    </rPh>
    <phoneticPr fontId="1"/>
  </si>
  <si>
    <t>ハラダ　タカノリ</t>
    <phoneticPr fontId="1"/>
  </si>
  <si>
    <t>男</t>
    <rPh sb="0" eb="1">
      <t>オトコ</t>
    </rPh>
    <phoneticPr fontId="1"/>
  </si>
  <si>
    <t>665-0815</t>
    <phoneticPr fontId="1"/>
  </si>
  <si>
    <t>兵庫県宝塚市山本丸橋3-2-39</t>
    <rPh sb="0" eb="3">
      <t>ヒョウゴケン</t>
    </rPh>
    <rPh sb="3" eb="6">
      <t>タカラヅカシ</t>
    </rPh>
    <rPh sb="6" eb="8">
      <t>ヤマモト</t>
    </rPh>
    <rPh sb="8" eb="10">
      <t>マルハシ</t>
    </rPh>
    <phoneticPr fontId="1"/>
  </si>
  <si>
    <t>090-5052-5718</t>
    <phoneticPr fontId="1"/>
  </si>
  <si>
    <t>12月頃入会予定</t>
    <rPh sb="2" eb="3">
      <t>ガツ</t>
    </rPh>
    <rPh sb="3" eb="4">
      <t>ゴロ</t>
    </rPh>
    <rPh sb="4" eb="8">
      <t>ニュウカイヨテイ</t>
    </rPh>
    <phoneticPr fontId="1"/>
  </si>
  <si>
    <t>入会</t>
    <rPh sb="0" eb="2">
      <t>ニュウカイ</t>
    </rPh>
    <phoneticPr fontId="1"/>
  </si>
  <si>
    <t>購入</t>
    <rPh sb="0" eb="2">
      <t>コウニュウ</t>
    </rPh>
    <phoneticPr fontId="1"/>
  </si>
  <si>
    <t>triから入会</t>
    <rPh sb="5" eb="7">
      <t>ニュウカイ</t>
    </rPh>
    <phoneticPr fontId="1"/>
  </si>
  <si>
    <t>0563-55-7171</t>
    <phoneticPr fontId="1"/>
  </si>
  <si>
    <t>伊藤　大輔</t>
    <rPh sb="0" eb="2">
      <t>イトウ</t>
    </rPh>
    <rPh sb="3" eb="5">
      <t>ダイスケ</t>
    </rPh>
    <phoneticPr fontId="1"/>
  </si>
  <si>
    <t>イトウ　ダイスケ</t>
    <phoneticPr fontId="1"/>
  </si>
  <si>
    <t>男</t>
    <rPh sb="0" eb="1">
      <t>オトコ</t>
    </rPh>
    <phoneticPr fontId="1"/>
  </si>
  <si>
    <t>665-0813</t>
    <phoneticPr fontId="1"/>
  </si>
  <si>
    <t>兵庫県宝塚市口谷西3-37-2-101</t>
    <rPh sb="0" eb="3">
      <t>ヒョウゴケン</t>
    </rPh>
    <rPh sb="3" eb="6">
      <t>タカラヅカシ</t>
    </rPh>
    <rPh sb="6" eb="8">
      <t>クチタニ</t>
    </rPh>
    <rPh sb="8" eb="9">
      <t>ニシ</t>
    </rPh>
    <phoneticPr fontId="1"/>
  </si>
  <si>
    <t>090-1950-4157</t>
    <phoneticPr fontId="1"/>
  </si>
  <si>
    <t>vsqm7798@yahoo.co.jp</t>
    <phoneticPr fontId="1"/>
  </si>
  <si>
    <t>原田　恵子</t>
    <rPh sb="0" eb="2">
      <t>ハラダ</t>
    </rPh>
    <rPh sb="3" eb="5">
      <t>メグミコ</t>
    </rPh>
    <phoneticPr fontId="1"/>
  </si>
  <si>
    <t>ハラダ　ケイコ</t>
    <phoneticPr fontId="1"/>
  </si>
  <si>
    <t>女</t>
    <rPh sb="0" eb="1">
      <t>オンナ</t>
    </rPh>
    <phoneticPr fontId="1"/>
  </si>
  <si>
    <t>604-0932</t>
    <phoneticPr fontId="1"/>
  </si>
  <si>
    <t>京都府京都市中京区妙満寺町４５１パラドール寺町グランデ103</t>
    <rPh sb="0" eb="3">
      <t>キョウトフ</t>
    </rPh>
    <rPh sb="3" eb="6">
      <t>キョウトシ</t>
    </rPh>
    <rPh sb="6" eb="9">
      <t>チュウキョウク</t>
    </rPh>
    <rPh sb="9" eb="12">
      <t>ミョウマンジ</t>
    </rPh>
    <rPh sb="12" eb="13">
      <t>チョウ</t>
    </rPh>
    <rPh sb="21" eb="23">
      <t>テラマチ</t>
    </rPh>
    <phoneticPr fontId="1"/>
  </si>
  <si>
    <t>090-1775-5300</t>
    <phoneticPr fontId="1"/>
  </si>
  <si>
    <t>岸田　真佐人</t>
    <rPh sb="0" eb="2">
      <t>キシダ</t>
    </rPh>
    <rPh sb="3" eb="6">
      <t>マサト</t>
    </rPh>
    <phoneticPr fontId="1"/>
  </si>
  <si>
    <t>キシダ　マサト</t>
    <phoneticPr fontId="1"/>
  </si>
  <si>
    <t>男</t>
    <rPh sb="0" eb="1">
      <t>オトコ</t>
    </rPh>
    <phoneticPr fontId="1"/>
  </si>
  <si>
    <t>664-0002</t>
    <phoneticPr fontId="1"/>
  </si>
  <si>
    <t>兵庫県伊丹市荻野8-12-8</t>
    <rPh sb="0" eb="3">
      <t>ヒョウゴケン</t>
    </rPh>
    <rPh sb="3" eb="6">
      <t>イタミシ</t>
    </rPh>
    <rPh sb="6" eb="8">
      <t>オギノ</t>
    </rPh>
    <phoneticPr fontId="1"/>
  </si>
  <si>
    <t>090-5642-5878</t>
    <phoneticPr fontId="1"/>
  </si>
  <si>
    <t>little.box234@gmail.com</t>
    <phoneticPr fontId="1"/>
  </si>
  <si>
    <t>入会</t>
    <rPh sb="0" eb="2">
      <t>ニュウカイ</t>
    </rPh>
    <phoneticPr fontId="1"/>
  </si>
  <si>
    <t>藤原　長</t>
    <rPh sb="0" eb="2">
      <t>フジワラ</t>
    </rPh>
    <rPh sb="3" eb="4">
      <t>チョウ</t>
    </rPh>
    <phoneticPr fontId="1"/>
  </si>
  <si>
    <t>フジワラ　スグル</t>
    <phoneticPr fontId="1"/>
  </si>
  <si>
    <t>男</t>
    <rPh sb="0" eb="1">
      <t>オトコ</t>
    </rPh>
    <phoneticPr fontId="1"/>
  </si>
  <si>
    <t>666-0024</t>
    <phoneticPr fontId="1"/>
  </si>
  <si>
    <t>兵庫県川西市久代3-29-15-2</t>
    <rPh sb="0" eb="3">
      <t>ヒョウゴケン</t>
    </rPh>
    <rPh sb="3" eb="6">
      <t>カワニシシ</t>
    </rPh>
    <rPh sb="6" eb="8">
      <t>クシロ</t>
    </rPh>
    <phoneticPr fontId="1"/>
  </si>
  <si>
    <t>090-1958-3785</t>
    <phoneticPr fontId="1"/>
  </si>
  <si>
    <t>f.cho-san@ezweb.na.jp</t>
    <phoneticPr fontId="1"/>
  </si>
  <si>
    <t>ヨシダ　ナオキ</t>
    <phoneticPr fontId="1"/>
  </si>
  <si>
    <t>男</t>
    <rPh sb="0" eb="1">
      <t>オトコ</t>
    </rPh>
    <phoneticPr fontId="1"/>
  </si>
  <si>
    <t>080-1402-0878</t>
    <phoneticPr fontId="1"/>
  </si>
  <si>
    <t>谷川</t>
    <rPh sb="0" eb="2">
      <t>タニガワ</t>
    </rPh>
    <phoneticPr fontId="1"/>
  </si>
  <si>
    <t>葛本　昌樹</t>
    <rPh sb="0" eb="2">
      <t>クズモト</t>
    </rPh>
    <rPh sb="3" eb="4">
      <t>マサ</t>
    </rPh>
    <phoneticPr fontId="1"/>
  </si>
  <si>
    <t>クズモト　マサキ</t>
    <phoneticPr fontId="1"/>
  </si>
  <si>
    <t>男</t>
    <rPh sb="0" eb="1">
      <t>オトコ</t>
    </rPh>
    <phoneticPr fontId="1"/>
  </si>
  <si>
    <t>664-0846</t>
    <phoneticPr fontId="1"/>
  </si>
  <si>
    <t>兵庫県伊丹市伊丹１丁目8-17 ジオ伊丹郷町プレミアム305</t>
    <rPh sb="0" eb="3">
      <t>ヒョウゴケン</t>
    </rPh>
    <rPh sb="3" eb="6">
      <t>イタミシ</t>
    </rPh>
    <rPh sb="6" eb="8">
      <t>イタミ</t>
    </rPh>
    <rPh sb="9" eb="11">
      <t>チョウメ</t>
    </rPh>
    <rPh sb="18" eb="20">
      <t>イタミ</t>
    </rPh>
    <rPh sb="20" eb="21">
      <t>ゴウ</t>
    </rPh>
    <rPh sb="21" eb="22">
      <t>マチ</t>
    </rPh>
    <phoneticPr fontId="1"/>
  </si>
  <si>
    <t>090-4301-4724</t>
    <phoneticPr fontId="1"/>
  </si>
  <si>
    <t>leo.kuzu.1221@docomo.ne.jp</t>
    <phoneticPr fontId="1"/>
  </si>
  <si>
    <t>6.2km</t>
    <phoneticPr fontId="1"/>
  </si>
  <si>
    <t>宮前　駿史</t>
    <phoneticPr fontId="1"/>
  </si>
  <si>
    <t>665-0816</t>
    <phoneticPr fontId="1"/>
  </si>
  <si>
    <t>男</t>
    <rPh sb="0" eb="1">
      <t>オトコ</t>
    </rPh>
    <phoneticPr fontId="1"/>
  </si>
  <si>
    <t>ミヤマエ　タカシ</t>
    <phoneticPr fontId="1"/>
  </si>
  <si>
    <t>兵庫県宝塚市平井3-18-27</t>
    <rPh sb="0" eb="3">
      <t>ヒョウゴケン</t>
    </rPh>
    <phoneticPr fontId="1"/>
  </si>
  <si>
    <t>080-6138-3037</t>
    <phoneticPr fontId="1"/>
  </si>
  <si>
    <t>mymetakashi@gmail.com</t>
    <phoneticPr fontId="1"/>
  </si>
  <si>
    <t>熊谷　努</t>
    <rPh sb="0" eb="2">
      <t>クマガイ</t>
    </rPh>
    <rPh sb="3" eb="4">
      <t>ツトム</t>
    </rPh>
    <phoneticPr fontId="1"/>
  </si>
  <si>
    <t>クマガイ　ツトム</t>
    <phoneticPr fontId="1"/>
  </si>
  <si>
    <t>男</t>
    <rPh sb="0" eb="1">
      <t>オトコ</t>
    </rPh>
    <phoneticPr fontId="1"/>
  </si>
  <si>
    <t>665-0886</t>
    <phoneticPr fontId="1"/>
  </si>
  <si>
    <t>兵庫県宝塚市山手台西2丁目7-11</t>
    <rPh sb="0" eb="3">
      <t>ヒョウゴケン</t>
    </rPh>
    <rPh sb="3" eb="6">
      <t>タカラヅカシ</t>
    </rPh>
    <rPh sb="6" eb="9">
      <t>ヤマテダイ</t>
    </rPh>
    <rPh sb="9" eb="10">
      <t>ニシ</t>
    </rPh>
    <rPh sb="11" eb="13">
      <t>チョウメ</t>
    </rPh>
    <phoneticPr fontId="1"/>
  </si>
  <si>
    <t>090-3359-9307</t>
    <phoneticPr fontId="1"/>
  </si>
  <si>
    <t>k1966abcd1124@icloud.com</t>
    <phoneticPr fontId="1"/>
  </si>
  <si>
    <t>田丸　純子</t>
    <rPh sb="0" eb="2">
      <t>タマル</t>
    </rPh>
    <rPh sb="3" eb="5">
      <t>ジュンコ</t>
    </rPh>
    <phoneticPr fontId="1"/>
  </si>
  <si>
    <t>タマル　ジュンコ</t>
    <phoneticPr fontId="1"/>
  </si>
  <si>
    <t>女</t>
    <rPh sb="0" eb="1">
      <t>オンナ</t>
    </rPh>
    <phoneticPr fontId="1"/>
  </si>
  <si>
    <t>665-0836</t>
    <phoneticPr fontId="1"/>
  </si>
  <si>
    <t>兵庫県宝塚市清荒神2-25-8</t>
    <rPh sb="0" eb="9">
      <t>665-0836</t>
    </rPh>
    <phoneticPr fontId="1"/>
  </si>
  <si>
    <t>3.8km</t>
    <phoneticPr fontId="1"/>
  </si>
  <si>
    <t>2.0km</t>
    <phoneticPr fontId="1"/>
  </si>
  <si>
    <t>090-6052-4500</t>
    <phoneticPr fontId="1"/>
  </si>
  <si>
    <t>maruzou28@gamil.coom</t>
    <phoneticPr fontId="1"/>
  </si>
  <si>
    <t>西林　宏晃</t>
    <rPh sb="0" eb="2">
      <t>ニシバヤシ</t>
    </rPh>
    <rPh sb="3" eb="4">
      <t>ヒロシ</t>
    </rPh>
    <rPh sb="4" eb="5">
      <t>アキラ</t>
    </rPh>
    <phoneticPr fontId="1"/>
  </si>
  <si>
    <t>ニシバヤシ　ヒロアキ</t>
    <phoneticPr fontId="1"/>
  </si>
  <si>
    <t>男</t>
    <rPh sb="0" eb="1">
      <t>オトコ</t>
    </rPh>
    <phoneticPr fontId="1"/>
  </si>
  <si>
    <t>665-0022</t>
    <phoneticPr fontId="1"/>
  </si>
  <si>
    <t>兵庫県宝塚市野上6-8-11</t>
    <rPh sb="6" eb="8">
      <t>ノガミ</t>
    </rPh>
    <phoneticPr fontId="1"/>
  </si>
  <si>
    <t>6.2km</t>
    <phoneticPr fontId="1"/>
  </si>
  <si>
    <t>090-3718-1260</t>
    <phoneticPr fontId="1"/>
  </si>
  <si>
    <t>川内　裕介</t>
    <rPh sb="0" eb="2">
      <t>カワウチ</t>
    </rPh>
    <rPh sb="3" eb="5">
      <t>ユウスケ</t>
    </rPh>
    <phoneticPr fontId="1"/>
  </si>
  <si>
    <t>カワウチ　ユウスケ</t>
    <phoneticPr fontId="1"/>
  </si>
  <si>
    <t>男</t>
    <rPh sb="0" eb="1">
      <t>オトコ</t>
    </rPh>
    <phoneticPr fontId="1"/>
  </si>
  <si>
    <t>559-0003</t>
    <phoneticPr fontId="1"/>
  </si>
  <si>
    <t>大阪府大阪市住之江区安立1-3-29</t>
    <rPh sb="0" eb="3">
      <t>オオサカフ</t>
    </rPh>
    <rPh sb="3" eb="6">
      <t>オオサカシ</t>
    </rPh>
    <rPh sb="6" eb="9">
      <t>スミノエ</t>
    </rPh>
    <rPh sb="9" eb="10">
      <t>ク</t>
    </rPh>
    <rPh sb="10" eb="12">
      <t>アダチ</t>
    </rPh>
    <phoneticPr fontId="1"/>
  </si>
  <si>
    <t>090-9611-7809</t>
    <phoneticPr fontId="1"/>
  </si>
  <si>
    <t>nuevo@ever.ocn.ne.jp</t>
    <phoneticPr fontId="1"/>
  </si>
  <si>
    <t>大谷　和正</t>
    <rPh sb="0" eb="2">
      <t>オオタニ</t>
    </rPh>
    <rPh sb="3" eb="5">
      <t>カズマサ</t>
    </rPh>
    <phoneticPr fontId="1"/>
  </si>
  <si>
    <t>Jones Lai</t>
    <phoneticPr fontId="1"/>
  </si>
  <si>
    <t>ジョーンズ　ライ</t>
    <phoneticPr fontId="1"/>
  </si>
  <si>
    <t>オオタニ　カズマサ</t>
    <phoneticPr fontId="1"/>
  </si>
  <si>
    <t>679-5333</t>
    <phoneticPr fontId="1"/>
  </si>
  <si>
    <t>兵庫県佐用郡佐用町庵552</t>
    <rPh sb="0" eb="3">
      <t>ヒョウゴケン</t>
    </rPh>
    <rPh sb="3" eb="6">
      <t>サヨウグン</t>
    </rPh>
    <rPh sb="6" eb="9">
      <t>サヨウチョウ</t>
    </rPh>
    <rPh sb="9" eb="10">
      <t>イオリ</t>
    </rPh>
    <phoneticPr fontId="1"/>
  </si>
  <si>
    <t>080-8325-4123</t>
    <phoneticPr fontId="1"/>
  </si>
  <si>
    <t>ちらし</t>
    <phoneticPr fontId="1"/>
  </si>
  <si>
    <t>666-0035</t>
    <phoneticPr fontId="1"/>
  </si>
  <si>
    <t>兵庫県川西市花屋敷２丁目9-3-101　亀井順一様宛</t>
    <rPh sb="0" eb="3">
      <t>ヒョウゴケン</t>
    </rPh>
    <rPh sb="3" eb="6">
      <t>カワニシシ</t>
    </rPh>
    <rPh sb="6" eb="9">
      <t>ハナヤシキ</t>
    </rPh>
    <rPh sb="10" eb="12">
      <t>チョウメ</t>
    </rPh>
    <rPh sb="20" eb="21">
      <t>カメ</t>
    </rPh>
    <rPh sb="21" eb="22">
      <t>イ</t>
    </rPh>
    <rPh sb="22" eb="24">
      <t>ジュンイチ</t>
    </rPh>
    <rPh sb="24" eb="25">
      <t>サマ</t>
    </rPh>
    <rPh sb="25" eb="26">
      <t>アテ</t>
    </rPh>
    <phoneticPr fontId="1"/>
  </si>
  <si>
    <t>080-5331-6599</t>
    <phoneticPr fontId="1"/>
  </si>
  <si>
    <t>openmind1112@gmail.com</t>
    <phoneticPr fontId="1"/>
  </si>
  <si>
    <t>中島　洋爾</t>
    <rPh sb="0" eb="2">
      <t>ナカシマ</t>
    </rPh>
    <rPh sb="3" eb="4">
      <t>ヒロシ</t>
    </rPh>
    <rPh sb="4" eb="5">
      <t>ニ</t>
    </rPh>
    <phoneticPr fontId="1"/>
  </si>
  <si>
    <t>ナカジマ　ヨウジ</t>
    <phoneticPr fontId="1"/>
  </si>
  <si>
    <t>男</t>
    <rPh sb="0" eb="1">
      <t>オトコ</t>
    </rPh>
    <phoneticPr fontId="1"/>
  </si>
  <si>
    <t>502-0003</t>
    <phoneticPr fontId="1"/>
  </si>
  <si>
    <t>大阪府箕面市西小路3-14-2</t>
    <rPh sb="0" eb="3">
      <t>オオサカフ</t>
    </rPh>
    <rPh sb="3" eb="5">
      <t>ミノオ</t>
    </rPh>
    <rPh sb="5" eb="6">
      <t>シ</t>
    </rPh>
    <rPh sb="6" eb="7">
      <t>ニシ</t>
    </rPh>
    <rPh sb="7" eb="8">
      <t>ショウ</t>
    </rPh>
    <phoneticPr fontId="1"/>
  </si>
  <si>
    <t>9.6km</t>
    <phoneticPr fontId="1"/>
  </si>
  <si>
    <t>090-2067-7730</t>
    <phoneticPr fontId="1"/>
  </si>
  <si>
    <t>yohji0919@gmail.com</t>
    <phoneticPr fontId="1"/>
  </si>
  <si>
    <t>知人</t>
    <rPh sb="0" eb="2">
      <t>チジン</t>
    </rPh>
    <phoneticPr fontId="1"/>
  </si>
  <si>
    <t>延安様紹介</t>
    <rPh sb="0" eb="2">
      <t>ノブヤス</t>
    </rPh>
    <rPh sb="2" eb="5">
      <t>サマショウカイ</t>
    </rPh>
    <phoneticPr fontId="1"/>
  </si>
  <si>
    <t>入会</t>
    <rPh sb="0" eb="2">
      <t>ニュウカイ</t>
    </rPh>
    <phoneticPr fontId="1"/>
  </si>
  <si>
    <t>安田　貴義</t>
    <rPh sb="0" eb="2">
      <t>ヤスダ</t>
    </rPh>
    <rPh sb="3" eb="4">
      <t>タカシ</t>
    </rPh>
    <rPh sb="4" eb="5">
      <t>ギ</t>
    </rPh>
    <phoneticPr fontId="1"/>
  </si>
  <si>
    <t>ヤスダ　タカヨシ</t>
    <phoneticPr fontId="1"/>
  </si>
  <si>
    <t>男</t>
    <rPh sb="0" eb="1">
      <t>オトコ</t>
    </rPh>
    <phoneticPr fontId="1"/>
  </si>
  <si>
    <t>660-0833</t>
    <phoneticPr fontId="1"/>
  </si>
  <si>
    <t>兵庫県尼崎市南初島町8-50</t>
    <rPh sb="0" eb="3">
      <t>ヒョウゴケン</t>
    </rPh>
    <rPh sb="3" eb="5">
      <t>アマガサキ</t>
    </rPh>
    <rPh sb="5" eb="6">
      <t>シ</t>
    </rPh>
    <rPh sb="6" eb="7">
      <t>ミナミ</t>
    </rPh>
    <rPh sb="7" eb="9">
      <t>ハツシマ</t>
    </rPh>
    <rPh sb="9" eb="10">
      <t>チョウ</t>
    </rPh>
    <phoneticPr fontId="1"/>
  </si>
  <si>
    <t>15㎞</t>
    <phoneticPr fontId="1"/>
  </si>
  <si>
    <t>33.3km</t>
    <phoneticPr fontId="1"/>
  </si>
  <si>
    <t>112km</t>
    <phoneticPr fontId="1"/>
  </si>
  <si>
    <t>KGU亀井様家族</t>
    <rPh sb="3" eb="5">
      <t>カメイ</t>
    </rPh>
    <rPh sb="5" eb="6">
      <t>サマ</t>
    </rPh>
    <rPh sb="6" eb="8">
      <t>カゾク</t>
    </rPh>
    <phoneticPr fontId="1"/>
  </si>
  <si>
    <t>080-9753-5183</t>
    <phoneticPr fontId="1"/>
  </si>
  <si>
    <t>hola0909@i.softbank.jp</t>
    <phoneticPr fontId="1"/>
  </si>
  <si>
    <t>購入</t>
    <rPh sb="0" eb="2">
      <t>コウニュウ</t>
    </rPh>
    <phoneticPr fontId="1"/>
  </si>
  <si>
    <t>法人入会</t>
    <rPh sb="0" eb="2">
      <t>ホウジン</t>
    </rPh>
    <rPh sb="2" eb="4">
      <t>ニュウカイ</t>
    </rPh>
    <phoneticPr fontId="1"/>
  </si>
  <si>
    <t>trial</t>
    <phoneticPr fontId="1"/>
  </si>
  <si>
    <t>杉原　正規</t>
    <rPh sb="0" eb="2">
      <t>スギハラ</t>
    </rPh>
    <rPh sb="3" eb="5">
      <t>セイキ</t>
    </rPh>
    <phoneticPr fontId="1"/>
  </si>
  <si>
    <t>スギハラ　マサノリ</t>
    <phoneticPr fontId="1"/>
  </si>
  <si>
    <t>男</t>
    <rPh sb="0" eb="1">
      <t>オトコ</t>
    </rPh>
    <phoneticPr fontId="1"/>
  </si>
  <si>
    <t>665-0031</t>
    <phoneticPr fontId="1"/>
  </si>
  <si>
    <t>兵庫県宝塚市末広町2-3　アベリールクオーレ逆瀬川４０９号</t>
    <rPh sb="0" eb="3">
      <t>ヒョウゴケン</t>
    </rPh>
    <rPh sb="3" eb="6">
      <t>タカラヅカシ</t>
    </rPh>
    <rPh sb="6" eb="8">
      <t>スエヒロ</t>
    </rPh>
    <rPh sb="8" eb="9">
      <t>チョウ</t>
    </rPh>
    <rPh sb="22" eb="25">
      <t>サカセガワ</t>
    </rPh>
    <rPh sb="28" eb="29">
      <t>ゴウ</t>
    </rPh>
    <phoneticPr fontId="1"/>
  </si>
  <si>
    <t>4.5km</t>
    <phoneticPr fontId="1"/>
  </si>
  <si>
    <t>090-1135-3172</t>
    <phoneticPr fontId="1"/>
  </si>
  <si>
    <t>masasudi.gm.0825@gmail.com</t>
    <phoneticPr fontId="1"/>
  </si>
  <si>
    <t>島村　之裕</t>
    <rPh sb="0" eb="2">
      <t>シマムラ</t>
    </rPh>
    <rPh sb="3" eb="4">
      <t>ユキ</t>
    </rPh>
    <rPh sb="4" eb="5">
      <t>ユウ</t>
    </rPh>
    <phoneticPr fontId="1"/>
  </si>
  <si>
    <t>シマムラ　ユキヒロ</t>
    <phoneticPr fontId="1"/>
  </si>
  <si>
    <t>男</t>
    <rPh sb="0" eb="1">
      <t>オトコ</t>
    </rPh>
    <phoneticPr fontId="1"/>
  </si>
  <si>
    <t>665-0844</t>
    <phoneticPr fontId="1"/>
  </si>
  <si>
    <t>兵庫県宝塚市武庫川町6-26-1207</t>
    <rPh sb="0" eb="3">
      <t>ヒョウゴケン</t>
    </rPh>
    <rPh sb="3" eb="6">
      <t>タカラヅカシ</t>
    </rPh>
    <rPh sb="6" eb="10">
      <t>ムコガワチョウ</t>
    </rPh>
    <phoneticPr fontId="1"/>
  </si>
  <si>
    <t>090-7968-1004</t>
    <phoneticPr fontId="1"/>
  </si>
  <si>
    <t>shima8974shinma@gmail.com</t>
    <phoneticPr fontId="1"/>
  </si>
  <si>
    <t>大津　泰代</t>
    <rPh sb="0" eb="2">
      <t>オオツ</t>
    </rPh>
    <rPh sb="3" eb="5">
      <t>ヤスヨ</t>
    </rPh>
    <phoneticPr fontId="1"/>
  </si>
  <si>
    <t>オオツ　ヤスヨ</t>
    <phoneticPr fontId="1"/>
  </si>
  <si>
    <t>572-0081</t>
    <phoneticPr fontId="1"/>
  </si>
  <si>
    <t>090-3723-1686</t>
    <phoneticPr fontId="1"/>
  </si>
  <si>
    <t>購入</t>
    <rPh sb="0" eb="2">
      <t>コウニュウ</t>
    </rPh>
    <phoneticPr fontId="1"/>
  </si>
  <si>
    <t>大阪府寝屋川市東香里園町9-18</t>
    <rPh sb="0" eb="3">
      <t>オオサカフ</t>
    </rPh>
    <rPh sb="3" eb="7">
      <t>ネヤガワシ</t>
    </rPh>
    <rPh sb="7" eb="8">
      <t>ヒガシ</t>
    </rPh>
    <rPh sb="8" eb="11">
      <t>コウリエン</t>
    </rPh>
    <rPh sb="11" eb="12">
      <t>チョウ</t>
    </rPh>
    <phoneticPr fontId="1"/>
  </si>
  <si>
    <t>永田　元博</t>
    <rPh sb="0" eb="2">
      <t>ナガタ</t>
    </rPh>
    <rPh sb="3" eb="5">
      <t>モトヒロ</t>
    </rPh>
    <phoneticPr fontId="1"/>
  </si>
  <si>
    <t>ナガタ　モトヒロ</t>
    <phoneticPr fontId="1"/>
  </si>
  <si>
    <t>男</t>
    <rPh sb="0" eb="1">
      <t>オトコ</t>
    </rPh>
    <phoneticPr fontId="1"/>
  </si>
  <si>
    <t>665-0835</t>
    <phoneticPr fontId="1"/>
  </si>
  <si>
    <t>兵庫県宝塚市旭町1-6-10-709</t>
    <rPh sb="0" eb="3">
      <t>ヒョウゴケン</t>
    </rPh>
    <rPh sb="3" eb="6">
      <t>タカラヅカシ</t>
    </rPh>
    <rPh sb="6" eb="8">
      <t>アサヒチョウ</t>
    </rPh>
    <phoneticPr fontId="1"/>
  </si>
  <si>
    <t>090-3673-3882</t>
    <phoneticPr fontId="1"/>
  </si>
  <si>
    <t>通りすがり</t>
    <rPh sb="0" eb="1">
      <t>トオ</t>
    </rPh>
    <phoneticPr fontId="1"/>
  </si>
  <si>
    <t>本津　孝洋</t>
    <rPh sb="0" eb="2">
      <t>モトツ</t>
    </rPh>
    <rPh sb="3" eb="4">
      <t>タカシ</t>
    </rPh>
    <rPh sb="4" eb="5">
      <t>ヨウ</t>
    </rPh>
    <phoneticPr fontId="1"/>
  </si>
  <si>
    <t>ホンツ　タカヒロ</t>
    <phoneticPr fontId="1"/>
  </si>
  <si>
    <t>男</t>
    <rPh sb="0" eb="1">
      <t>オトコ</t>
    </rPh>
    <phoneticPr fontId="1"/>
  </si>
  <si>
    <t>573-0105</t>
    <phoneticPr fontId="1"/>
  </si>
  <si>
    <t>41.1km</t>
    <phoneticPr fontId="1"/>
  </si>
  <si>
    <t>090-5152-1774</t>
    <phoneticPr fontId="1"/>
  </si>
  <si>
    <t>購入</t>
    <rPh sb="0" eb="2">
      <t>コウニュウ</t>
    </rPh>
    <phoneticPr fontId="1"/>
  </si>
  <si>
    <t>葛井様紹介</t>
    <rPh sb="0" eb="3">
      <t>カツイサマ</t>
    </rPh>
    <rPh sb="3" eb="5">
      <t>ショウカイ</t>
    </rPh>
    <phoneticPr fontId="1"/>
  </si>
  <si>
    <t>小島　陽子</t>
    <rPh sb="0" eb="2">
      <t>コジマ</t>
    </rPh>
    <rPh sb="3" eb="5">
      <t>ヨウコ</t>
    </rPh>
    <phoneticPr fontId="1"/>
  </si>
  <si>
    <t>女</t>
    <rPh sb="0" eb="1">
      <t>オンナ</t>
    </rPh>
    <phoneticPr fontId="1"/>
  </si>
  <si>
    <t>665-0847</t>
    <phoneticPr fontId="1"/>
  </si>
  <si>
    <t>兵庫県宝塚市すみれが丘２丁目2-1 ウェストウィング1番館1116</t>
    <rPh sb="0" eb="3">
      <t>ヒョウゴケン</t>
    </rPh>
    <rPh sb="3" eb="6">
      <t>タカラヅカシ</t>
    </rPh>
    <rPh sb="10" eb="11">
      <t>オカ</t>
    </rPh>
    <rPh sb="12" eb="14">
      <t>チョウメ</t>
    </rPh>
    <rPh sb="27" eb="29">
      <t>バンカン</t>
    </rPh>
    <phoneticPr fontId="1"/>
  </si>
  <si>
    <t>090-6900-8927</t>
    <phoneticPr fontId="1"/>
  </si>
  <si>
    <t>yokoyoko-mae0614@docomo.ne.jp</t>
    <phoneticPr fontId="1"/>
  </si>
  <si>
    <t>チラシ</t>
    <phoneticPr fontId="1"/>
  </si>
  <si>
    <t>7.1km</t>
    <phoneticPr fontId="1"/>
  </si>
  <si>
    <t>砂村　智之</t>
    <rPh sb="0" eb="2">
      <t>スナムラ</t>
    </rPh>
    <rPh sb="3" eb="5">
      <t>トモユキ</t>
    </rPh>
    <phoneticPr fontId="1"/>
  </si>
  <si>
    <t>スナムラ　トモユキ</t>
    <phoneticPr fontId="1"/>
  </si>
  <si>
    <t>コジマ　ヨウコ</t>
    <phoneticPr fontId="1"/>
  </si>
  <si>
    <t>男</t>
    <rPh sb="0" eb="1">
      <t>オトコ</t>
    </rPh>
    <phoneticPr fontId="1"/>
  </si>
  <si>
    <t>665-0882</t>
    <phoneticPr fontId="1"/>
  </si>
  <si>
    <t>兵庫県宝塚市山本南1-31-3-4</t>
    <rPh sb="0" eb="3">
      <t>ヒョウゴケン</t>
    </rPh>
    <rPh sb="3" eb="6">
      <t>タカラヅカシ</t>
    </rPh>
    <rPh sb="6" eb="8">
      <t>ヤマモト</t>
    </rPh>
    <rPh sb="8" eb="9">
      <t>ミナミ</t>
    </rPh>
    <phoneticPr fontId="1"/>
  </si>
  <si>
    <t>450ｍ</t>
    <phoneticPr fontId="1"/>
  </si>
  <si>
    <t>080-1426-3396</t>
    <phoneticPr fontId="1"/>
  </si>
  <si>
    <t>sumonmakizeo@yahoo.co.jp</t>
    <phoneticPr fontId="1"/>
  </si>
  <si>
    <t>KGU砂村様夫</t>
    <rPh sb="3" eb="5">
      <t>スナムラ</t>
    </rPh>
    <rPh sb="5" eb="6">
      <t>サマ</t>
    </rPh>
    <rPh sb="6" eb="7">
      <t>オット</t>
    </rPh>
    <phoneticPr fontId="1"/>
  </si>
  <si>
    <t>齋藤　久富</t>
    <rPh sb="0" eb="2">
      <t>サイトウ</t>
    </rPh>
    <rPh sb="3" eb="5">
      <t>ヒサトミ</t>
    </rPh>
    <phoneticPr fontId="1"/>
  </si>
  <si>
    <t>サイトウ　ヒサトミ</t>
    <phoneticPr fontId="1"/>
  </si>
  <si>
    <t>090-4647-5574</t>
    <phoneticPr fontId="1"/>
  </si>
  <si>
    <t>入会</t>
    <rPh sb="0" eb="2">
      <t>ニュウカイ</t>
    </rPh>
    <phoneticPr fontId="1"/>
  </si>
  <si>
    <t>trial</t>
    <phoneticPr fontId="1"/>
  </si>
  <si>
    <t>知人</t>
    <rPh sb="0" eb="2">
      <t>チジン</t>
    </rPh>
    <phoneticPr fontId="1"/>
  </si>
  <si>
    <t>29.4km</t>
    <phoneticPr fontId="1"/>
  </si>
  <si>
    <t>大阪府大阪市鶴見区緑３丁目14-17</t>
    <rPh sb="0" eb="3">
      <t>オオサカフ</t>
    </rPh>
    <rPh sb="3" eb="6">
      <t>オオサカシ</t>
    </rPh>
    <rPh sb="6" eb="9">
      <t>ツルミク</t>
    </rPh>
    <rPh sb="9" eb="10">
      <t>ミドリ</t>
    </rPh>
    <rPh sb="11" eb="13">
      <t>チョウメ</t>
    </rPh>
    <phoneticPr fontId="1"/>
  </si>
  <si>
    <t>538-0054</t>
    <phoneticPr fontId="1"/>
  </si>
  <si>
    <t>西林　歩美</t>
    <rPh sb="0" eb="2">
      <t>ニシバヤシ</t>
    </rPh>
    <rPh sb="3" eb="4">
      <t>アユ</t>
    </rPh>
    <rPh sb="4" eb="5">
      <t>ミ</t>
    </rPh>
    <phoneticPr fontId="1"/>
  </si>
  <si>
    <t>ニシバヤシ　アユミ</t>
    <phoneticPr fontId="1"/>
  </si>
  <si>
    <t>080-1432-0728</t>
    <phoneticPr fontId="1"/>
  </si>
  <si>
    <t>a.0730.r@icloud.com</t>
    <phoneticPr fontId="1"/>
  </si>
  <si>
    <t>中田　良博</t>
    <rPh sb="0" eb="2">
      <t>ナカタ</t>
    </rPh>
    <rPh sb="3" eb="4">
      <t>ヨ</t>
    </rPh>
    <rPh sb="4" eb="5">
      <t>ヒロ</t>
    </rPh>
    <phoneticPr fontId="1"/>
  </si>
  <si>
    <t>中村　章吾</t>
    <rPh sb="0" eb="2">
      <t>ナカムラ</t>
    </rPh>
    <rPh sb="3" eb="4">
      <t>ショウ</t>
    </rPh>
    <rPh sb="4" eb="5">
      <t>ゴ</t>
    </rPh>
    <phoneticPr fontId="1"/>
  </si>
  <si>
    <t>ナカタ　ヨシヒロ</t>
    <phoneticPr fontId="1"/>
  </si>
  <si>
    <t>ナカムラ　ショウゴ</t>
    <phoneticPr fontId="1"/>
  </si>
  <si>
    <t>男</t>
    <rPh sb="0" eb="1">
      <t>オトコ</t>
    </rPh>
    <phoneticPr fontId="1"/>
  </si>
  <si>
    <t>665-0864</t>
    <phoneticPr fontId="1"/>
  </si>
  <si>
    <t>665-0842</t>
    <phoneticPr fontId="1"/>
  </si>
  <si>
    <t>兵庫県宝塚市泉町13-6</t>
    <rPh sb="0" eb="3">
      <t>ヒョウゴケン</t>
    </rPh>
    <rPh sb="3" eb="6">
      <t>タカラヅカシ</t>
    </rPh>
    <rPh sb="6" eb="8">
      <t>イズミチョウ</t>
    </rPh>
    <phoneticPr fontId="1"/>
  </si>
  <si>
    <t>兵庫県宝塚市川面6-6-13-112</t>
    <rPh sb="0" eb="3">
      <t>ヒョウゴケン</t>
    </rPh>
    <rPh sb="3" eb="6">
      <t>タカラヅカシ</t>
    </rPh>
    <rPh sb="6" eb="8">
      <t>カワモ</t>
    </rPh>
    <phoneticPr fontId="1"/>
  </si>
  <si>
    <t>090-9047-5270</t>
    <phoneticPr fontId="1"/>
  </si>
  <si>
    <t>090-5975-7050</t>
    <phoneticPr fontId="1"/>
  </si>
  <si>
    <t>渡邊　博和</t>
    <rPh sb="0" eb="2">
      <t>ワタナベ</t>
    </rPh>
    <rPh sb="3" eb="5">
      <t>ヒロカズ</t>
    </rPh>
    <phoneticPr fontId="1"/>
  </si>
  <si>
    <t>ワタナベ　ヒロカズ</t>
    <phoneticPr fontId="1"/>
  </si>
  <si>
    <t>560-0003</t>
    <phoneticPr fontId="1"/>
  </si>
  <si>
    <t>大阪府豊中市東豊中町2-12-12-305</t>
    <rPh sb="0" eb="3">
      <t>オオサカフ</t>
    </rPh>
    <rPh sb="3" eb="6">
      <t>トヨナカシ</t>
    </rPh>
    <rPh sb="6" eb="7">
      <t>ヒガシ</t>
    </rPh>
    <rPh sb="7" eb="10">
      <t>トヨナカチョウ</t>
    </rPh>
    <phoneticPr fontId="1"/>
  </si>
  <si>
    <t>090-4305-3265</t>
    <phoneticPr fontId="1"/>
  </si>
  <si>
    <t>nabe1127@i.softbank.jp</t>
    <phoneticPr fontId="1"/>
  </si>
  <si>
    <t>店頭</t>
    <rPh sb="0" eb="2">
      <t>テントウ</t>
    </rPh>
    <phoneticPr fontId="1"/>
  </si>
  <si>
    <t>古川</t>
    <rPh sb="0" eb="2">
      <t>フルカワ</t>
    </rPh>
    <phoneticPr fontId="1"/>
  </si>
  <si>
    <t>金谷　祐大</t>
    <rPh sb="0" eb="2">
      <t>カナタニ</t>
    </rPh>
    <rPh sb="3" eb="5">
      <t>ユウダイ</t>
    </rPh>
    <phoneticPr fontId="1"/>
  </si>
  <si>
    <t>カナタニ　ユウダイ</t>
    <phoneticPr fontId="1"/>
  </si>
  <si>
    <t>665-0024</t>
    <phoneticPr fontId="1"/>
  </si>
  <si>
    <t>兵庫県宝塚市逆瀬台2-9-5</t>
    <rPh sb="0" eb="3">
      <t>ヒョウゴケン</t>
    </rPh>
    <rPh sb="3" eb="6">
      <t>タカラヅカシ</t>
    </rPh>
    <rPh sb="6" eb="9">
      <t>サカセダイ</t>
    </rPh>
    <phoneticPr fontId="1"/>
  </si>
  <si>
    <t>090-5641-1103</t>
    <phoneticPr fontId="1"/>
  </si>
  <si>
    <t>畑守　毅彦</t>
    <rPh sb="0" eb="2">
      <t>ハタモリ</t>
    </rPh>
    <rPh sb="3" eb="4">
      <t>タケシ</t>
    </rPh>
    <rPh sb="4" eb="5">
      <t>ヒコ</t>
    </rPh>
    <phoneticPr fontId="1"/>
  </si>
  <si>
    <t>ハタモリ　タケヒコ</t>
    <phoneticPr fontId="1"/>
  </si>
  <si>
    <t>男</t>
    <rPh sb="0" eb="1">
      <t>オトコ</t>
    </rPh>
    <phoneticPr fontId="1"/>
  </si>
  <si>
    <t>666-0007</t>
    <phoneticPr fontId="1"/>
  </si>
  <si>
    <t>兵庫県川西市鶯が丘1-16</t>
    <rPh sb="0" eb="3">
      <t>ヒョウゴケン</t>
    </rPh>
    <rPh sb="3" eb="5">
      <t>カワニシ</t>
    </rPh>
    <rPh sb="5" eb="6">
      <t>シ</t>
    </rPh>
    <rPh sb="6" eb="7">
      <t>ウグイス</t>
    </rPh>
    <rPh sb="8" eb="9">
      <t>オカ</t>
    </rPh>
    <phoneticPr fontId="1"/>
  </si>
  <si>
    <t>5.9km</t>
    <phoneticPr fontId="1"/>
  </si>
  <si>
    <t>090-6679-4193</t>
    <phoneticPr fontId="1"/>
  </si>
  <si>
    <t>hatamori.tkh@gmail.com</t>
    <phoneticPr fontId="1"/>
  </si>
  <si>
    <t>入会</t>
    <rPh sb="0" eb="2">
      <t>ニュウカイ</t>
    </rPh>
    <phoneticPr fontId="1"/>
  </si>
  <si>
    <t>FACEBOOK</t>
    <phoneticPr fontId="1"/>
  </si>
  <si>
    <t>木下　茜</t>
    <rPh sb="0" eb="2">
      <t>キノシタ</t>
    </rPh>
    <rPh sb="3" eb="4">
      <t>アカネ</t>
    </rPh>
    <phoneticPr fontId="1"/>
  </si>
  <si>
    <t>キノシタ　アカネ</t>
    <phoneticPr fontId="1"/>
  </si>
  <si>
    <t>女</t>
    <rPh sb="0" eb="1">
      <t>オンナ</t>
    </rPh>
    <phoneticPr fontId="1"/>
  </si>
  <si>
    <t>665-0874</t>
    <phoneticPr fontId="1"/>
  </si>
  <si>
    <t>兵庫県宝塚市中筋9-11-33-302</t>
    <rPh sb="0" eb="3">
      <t>ヒョウゴケン</t>
    </rPh>
    <rPh sb="3" eb="6">
      <t>タカラヅカシ</t>
    </rPh>
    <rPh sb="6" eb="8">
      <t>ナカスジ</t>
    </rPh>
    <phoneticPr fontId="1"/>
  </si>
  <si>
    <t>080-1998-5744</t>
    <phoneticPr fontId="1"/>
  </si>
  <si>
    <t>akane.fujishiro@gmail.com</t>
    <phoneticPr fontId="1"/>
  </si>
  <si>
    <t>KGUへ</t>
    <phoneticPr fontId="1"/>
  </si>
  <si>
    <t>森　忠明</t>
    <rPh sb="0" eb="1">
      <t>モリ</t>
    </rPh>
    <rPh sb="2" eb="3">
      <t>タダシ</t>
    </rPh>
    <rPh sb="3" eb="4">
      <t>アキ</t>
    </rPh>
    <phoneticPr fontId="1"/>
  </si>
  <si>
    <t>モリ　タダアキ</t>
    <phoneticPr fontId="1"/>
  </si>
  <si>
    <t>男</t>
    <rPh sb="0" eb="1">
      <t>オトコ</t>
    </rPh>
    <phoneticPr fontId="1"/>
  </si>
  <si>
    <t>532-0003</t>
    <phoneticPr fontId="1"/>
  </si>
  <si>
    <t>大阪府大阪市淀川区宮原1-15-18-301</t>
    <rPh sb="0" eb="3">
      <t>オオサカフ</t>
    </rPh>
    <rPh sb="3" eb="6">
      <t>オオサカシ</t>
    </rPh>
    <rPh sb="6" eb="9">
      <t>ヨドガワク</t>
    </rPh>
    <rPh sb="9" eb="11">
      <t>ミヤハラ</t>
    </rPh>
    <phoneticPr fontId="1"/>
  </si>
  <si>
    <t>090-8276-5182</t>
    <phoneticPr fontId="1"/>
  </si>
  <si>
    <t>松岡　重雄</t>
    <rPh sb="0" eb="2">
      <t>マツオカ</t>
    </rPh>
    <rPh sb="3" eb="5">
      <t>シゲオ</t>
    </rPh>
    <phoneticPr fontId="1"/>
  </si>
  <si>
    <t>trial</t>
    <phoneticPr fontId="1"/>
  </si>
  <si>
    <t>その他</t>
    <rPh sb="2" eb="3">
      <t>タ</t>
    </rPh>
    <phoneticPr fontId="1"/>
  </si>
  <si>
    <t>エニタイム会員</t>
    <rPh sb="5" eb="7">
      <t>カイイン</t>
    </rPh>
    <phoneticPr fontId="1"/>
  </si>
  <si>
    <t>神田　理人</t>
    <rPh sb="0" eb="2">
      <t>カンダ</t>
    </rPh>
    <rPh sb="3" eb="5">
      <t>リヒト</t>
    </rPh>
    <phoneticPr fontId="1"/>
  </si>
  <si>
    <t>カンダ　マサト</t>
    <phoneticPr fontId="1"/>
  </si>
  <si>
    <t>男</t>
    <rPh sb="0" eb="1">
      <t>オトコ</t>
    </rPh>
    <phoneticPr fontId="1"/>
  </si>
  <si>
    <t>664-0012</t>
    <phoneticPr fontId="1"/>
  </si>
  <si>
    <t>兵庫県伊丹市緑が丘2-112-2</t>
    <rPh sb="0" eb="3">
      <t>ヒョウゴケン</t>
    </rPh>
    <rPh sb="3" eb="6">
      <t>イタミシ</t>
    </rPh>
    <rPh sb="6" eb="7">
      <t>ミドリ</t>
    </rPh>
    <rPh sb="8" eb="9">
      <t>オカ</t>
    </rPh>
    <phoneticPr fontId="1"/>
  </si>
  <si>
    <t>090-1480-4704</t>
    <phoneticPr fontId="1"/>
  </si>
  <si>
    <t>bw-s.kanchi@docomo.ne.jp</t>
    <phoneticPr fontId="1"/>
  </si>
  <si>
    <t>マツオカ　シゲオ</t>
    <phoneticPr fontId="1"/>
  </si>
  <si>
    <t>665-0882</t>
    <phoneticPr fontId="1"/>
  </si>
  <si>
    <t>兵庫県宝塚市山本南2-17-8</t>
    <rPh sb="0" eb="3">
      <t>ヒョウゴケン</t>
    </rPh>
    <rPh sb="3" eb="6">
      <t>タカラヅカシ</t>
    </rPh>
    <rPh sb="6" eb="9">
      <t>ヤマモトミナミ</t>
    </rPh>
    <phoneticPr fontId="1"/>
  </si>
  <si>
    <t>080-5324-9399</t>
    <phoneticPr fontId="1"/>
  </si>
  <si>
    <t>dragon-z-m.27@ezweb.ne.jp</t>
    <phoneticPr fontId="1"/>
  </si>
  <si>
    <t>550m</t>
    <phoneticPr fontId="1"/>
  </si>
  <si>
    <t>高橋　真一</t>
    <rPh sb="0" eb="2">
      <t>タカハシ</t>
    </rPh>
    <rPh sb="3" eb="5">
      <t>シンイチ</t>
    </rPh>
    <phoneticPr fontId="1"/>
  </si>
  <si>
    <t>タカハシ　シンイチ</t>
    <phoneticPr fontId="1"/>
  </si>
  <si>
    <t>男</t>
    <rPh sb="0" eb="1">
      <t>オトコ</t>
    </rPh>
    <phoneticPr fontId="1"/>
  </si>
  <si>
    <t>661-0003</t>
    <phoneticPr fontId="1"/>
  </si>
  <si>
    <t>兵庫県尼崎市富松町1-11-14-303</t>
    <rPh sb="0" eb="3">
      <t>ヒョウゴケン</t>
    </rPh>
    <rPh sb="3" eb="6">
      <t>アマガサキシ</t>
    </rPh>
    <rPh sb="6" eb="9">
      <t>トミマツチョウ</t>
    </rPh>
    <phoneticPr fontId="1"/>
  </si>
  <si>
    <t>090-8829-9843</t>
    <phoneticPr fontId="1"/>
  </si>
  <si>
    <t>truth.one.t@gmail.com</t>
    <phoneticPr fontId="1"/>
  </si>
  <si>
    <t>店頭</t>
    <rPh sb="0" eb="2">
      <t>テントウ</t>
    </rPh>
    <phoneticPr fontId="1"/>
  </si>
  <si>
    <t>ニシカワ　クミコ</t>
    <phoneticPr fontId="1"/>
  </si>
  <si>
    <t>女</t>
    <rPh sb="0" eb="1">
      <t>オンナ</t>
    </rPh>
    <phoneticPr fontId="1"/>
  </si>
  <si>
    <t>古川プロ</t>
    <phoneticPr fontId="1"/>
  </si>
  <si>
    <t>谷川</t>
    <rPh sb="0" eb="2">
      <t>タニガワ</t>
    </rPh>
    <phoneticPr fontId="1"/>
  </si>
  <si>
    <t>高田　征之</t>
    <rPh sb="0" eb="2">
      <t>タカダ</t>
    </rPh>
    <rPh sb="3" eb="5">
      <t>マサユキ</t>
    </rPh>
    <phoneticPr fontId="1"/>
  </si>
  <si>
    <t>タカダ　マサユキ</t>
    <phoneticPr fontId="1"/>
  </si>
  <si>
    <t>男</t>
    <rPh sb="0" eb="1">
      <t>オトコ</t>
    </rPh>
    <phoneticPr fontId="1"/>
  </si>
  <si>
    <t>大阪府東大阪市吉原2-7-14</t>
    <rPh sb="0" eb="3">
      <t>オオサカフ</t>
    </rPh>
    <rPh sb="3" eb="4">
      <t>ヒガシ</t>
    </rPh>
    <rPh sb="4" eb="7">
      <t>オオサカシ</t>
    </rPh>
    <rPh sb="7" eb="9">
      <t>ヨシハラ</t>
    </rPh>
    <phoneticPr fontId="1"/>
  </si>
  <si>
    <t>578-0904</t>
    <phoneticPr fontId="1"/>
  </si>
  <si>
    <t>080-4970-3911</t>
    <phoneticPr fontId="1"/>
  </si>
  <si>
    <t>則藤さん紹介</t>
    <rPh sb="0" eb="2">
      <t>ノリフジ</t>
    </rPh>
    <rPh sb="4" eb="6">
      <t>ショウカイ</t>
    </rPh>
    <phoneticPr fontId="1"/>
  </si>
  <si>
    <t>購入</t>
    <rPh sb="0" eb="2">
      <t>コウニュウ</t>
    </rPh>
    <phoneticPr fontId="1"/>
  </si>
  <si>
    <t>中井　静香</t>
    <rPh sb="0" eb="2">
      <t>ナカイ</t>
    </rPh>
    <rPh sb="3" eb="5">
      <t>シズカ</t>
    </rPh>
    <phoneticPr fontId="1"/>
  </si>
  <si>
    <t>ナカイ　シズカ</t>
    <phoneticPr fontId="1"/>
  </si>
  <si>
    <t>女</t>
    <rPh sb="0" eb="1">
      <t>オンナ</t>
    </rPh>
    <phoneticPr fontId="1"/>
  </si>
  <si>
    <t>573-0163</t>
    <phoneticPr fontId="1"/>
  </si>
  <si>
    <t>大阪府枚方市長尾元町2-13-50-206</t>
    <rPh sb="3" eb="6">
      <t>ヒラカタシ</t>
    </rPh>
    <rPh sb="6" eb="8">
      <t>ナガオ</t>
    </rPh>
    <rPh sb="8" eb="10">
      <t>モトマチ</t>
    </rPh>
    <phoneticPr fontId="1"/>
  </si>
  <si>
    <t>大阪府枚方市長尾東町1-38-27-2</t>
    <rPh sb="0" eb="2">
      <t>オオサカ</t>
    </rPh>
    <rPh sb="2" eb="3">
      <t>フ</t>
    </rPh>
    <rPh sb="3" eb="6">
      <t>ヒラカタシ</t>
    </rPh>
    <rPh sb="6" eb="10">
      <t>ナガオヒガシマチ</t>
    </rPh>
    <phoneticPr fontId="1"/>
  </si>
  <si>
    <t>090-7115-2915</t>
    <phoneticPr fontId="1"/>
  </si>
  <si>
    <t>本津様紹介</t>
    <rPh sb="0" eb="1">
      <t>モト</t>
    </rPh>
    <rPh sb="1" eb="2">
      <t>ツ</t>
    </rPh>
    <rPh sb="2" eb="3">
      <t>サマ</t>
    </rPh>
    <rPh sb="3" eb="5">
      <t>ショウカイ</t>
    </rPh>
    <phoneticPr fontId="1"/>
  </si>
  <si>
    <t>西川　ちあき</t>
    <rPh sb="0" eb="2">
      <t>ニシカワ</t>
    </rPh>
    <phoneticPr fontId="1"/>
  </si>
  <si>
    <t>ニシカワ　チアキ</t>
    <phoneticPr fontId="1"/>
  </si>
  <si>
    <t>女</t>
    <rPh sb="0" eb="1">
      <t>オンナ</t>
    </rPh>
    <phoneticPr fontId="1"/>
  </si>
  <si>
    <t>665-0875</t>
    <phoneticPr fontId="1"/>
  </si>
  <si>
    <t>兵庫県宝塚市中筋山手2-11-10</t>
    <phoneticPr fontId="1"/>
  </si>
  <si>
    <t>090-4297-3981</t>
    <phoneticPr fontId="1"/>
  </si>
  <si>
    <t>上田　智剛</t>
    <rPh sb="0" eb="2">
      <t>ウエダ</t>
    </rPh>
    <rPh sb="3" eb="4">
      <t>トモ</t>
    </rPh>
    <rPh sb="4" eb="5">
      <t>ゴウ</t>
    </rPh>
    <phoneticPr fontId="1"/>
  </si>
  <si>
    <t>ウエダ　トモタカ</t>
    <phoneticPr fontId="1"/>
  </si>
  <si>
    <t>男</t>
    <rPh sb="0" eb="1">
      <t>オトコ</t>
    </rPh>
    <phoneticPr fontId="1"/>
  </si>
  <si>
    <t>562-0048</t>
    <phoneticPr fontId="1"/>
  </si>
  <si>
    <t>大阪府箕面市瀬川1-14-22</t>
    <rPh sb="0" eb="3">
      <t>オオサカフ</t>
    </rPh>
    <rPh sb="3" eb="6">
      <t>ミノオシ</t>
    </rPh>
    <rPh sb="6" eb="8">
      <t>セガワ</t>
    </rPh>
    <phoneticPr fontId="1"/>
  </si>
  <si>
    <t>090-9871-8371</t>
    <phoneticPr fontId="1"/>
  </si>
  <si>
    <t>utang0317@gmail.com</t>
    <phoneticPr fontId="1"/>
  </si>
  <si>
    <t>吉村様紹介</t>
    <rPh sb="0" eb="3">
      <t>ヨシムラサマ</t>
    </rPh>
    <rPh sb="3" eb="5">
      <t>ショウカイ</t>
    </rPh>
    <phoneticPr fontId="1"/>
  </si>
  <si>
    <t>湊　佳世</t>
    <rPh sb="0" eb="1">
      <t>ミナト</t>
    </rPh>
    <rPh sb="2" eb="4">
      <t>カヨ</t>
    </rPh>
    <phoneticPr fontId="1"/>
  </si>
  <si>
    <t>ミナト　カヨ</t>
    <phoneticPr fontId="1"/>
  </si>
  <si>
    <t>女</t>
    <rPh sb="0" eb="1">
      <t>オンナ</t>
    </rPh>
    <phoneticPr fontId="1"/>
  </si>
  <si>
    <t>650-0046</t>
    <phoneticPr fontId="1"/>
  </si>
  <si>
    <t>兵庫県神戸市中央区港島中町2-3-4-808</t>
    <rPh sb="0" eb="3">
      <t>ヒョウゴケン</t>
    </rPh>
    <rPh sb="3" eb="6">
      <t>コウベシ</t>
    </rPh>
    <rPh sb="6" eb="9">
      <t>チュウオウク</t>
    </rPh>
    <rPh sb="9" eb="11">
      <t>ミナトジマ</t>
    </rPh>
    <rPh sb="11" eb="13">
      <t>ナカマチ</t>
    </rPh>
    <phoneticPr fontId="1"/>
  </si>
  <si>
    <t>090-9113-1087</t>
    <phoneticPr fontId="1"/>
  </si>
  <si>
    <t>yasuda-kayo-0923@au.com</t>
    <phoneticPr fontId="1"/>
  </si>
  <si>
    <t>紹介</t>
    <rPh sb="0" eb="2">
      <t>ショウカイ</t>
    </rPh>
    <phoneticPr fontId="1"/>
  </si>
  <si>
    <t>安東紹介</t>
    <rPh sb="0" eb="2">
      <t>アンドウ</t>
    </rPh>
    <rPh sb="2" eb="4">
      <t>ショウカイ</t>
    </rPh>
    <phoneticPr fontId="1"/>
  </si>
  <si>
    <t>竹中　剛</t>
    <rPh sb="0" eb="2">
      <t>タケナカ</t>
    </rPh>
    <rPh sb="3" eb="4">
      <t>ツヨシ</t>
    </rPh>
    <phoneticPr fontId="1"/>
  </si>
  <si>
    <t>タケナカ　ツヨシ</t>
    <phoneticPr fontId="1"/>
  </si>
  <si>
    <t>男</t>
    <rPh sb="0" eb="1">
      <t>オトコ</t>
    </rPh>
    <phoneticPr fontId="1"/>
  </si>
  <si>
    <t>665-0011</t>
    <phoneticPr fontId="1"/>
  </si>
  <si>
    <t>兵庫県宝塚市南口2-5-24-307</t>
    <rPh sb="0" eb="3">
      <t>ヒョウゴケン</t>
    </rPh>
    <rPh sb="3" eb="6">
      <t>タカラヅカシ</t>
    </rPh>
    <rPh sb="6" eb="8">
      <t>ミナミグチ</t>
    </rPh>
    <phoneticPr fontId="1"/>
  </si>
  <si>
    <t>070-4392-0422</t>
    <phoneticPr fontId="1"/>
  </si>
  <si>
    <t>take244@ka3.so-net.ne.jp</t>
    <phoneticPr fontId="1"/>
  </si>
  <si>
    <t>店頭</t>
    <rPh sb="0" eb="2">
      <t>テントウ</t>
    </rPh>
    <phoneticPr fontId="1"/>
  </si>
  <si>
    <t>購入</t>
    <rPh sb="0" eb="2">
      <t>コウニュウ</t>
    </rPh>
    <phoneticPr fontId="1"/>
  </si>
  <si>
    <t>安藤　文子</t>
    <rPh sb="0" eb="2">
      <t>アンドウ</t>
    </rPh>
    <rPh sb="3" eb="5">
      <t>フミコ</t>
    </rPh>
    <phoneticPr fontId="1"/>
  </si>
  <si>
    <t>アンドウ　フミコ</t>
    <phoneticPr fontId="1"/>
  </si>
  <si>
    <t>女</t>
    <rPh sb="0" eb="1">
      <t>オンナ</t>
    </rPh>
    <phoneticPr fontId="1"/>
  </si>
  <si>
    <t>665-0867</t>
    <phoneticPr fontId="1"/>
  </si>
  <si>
    <t>兵庫県宝塚市売布東の町11-110-707</t>
    <rPh sb="0" eb="3">
      <t>ヒョウゴケン</t>
    </rPh>
    <rPh sb="3" eb="6">
      <t>タカラヅカシ</t>
    </rPh>
    <rPh sb="6" eb="8">
      <t>メフ</t>
    </rPh>
    <rPh sb="8" eb="9">
      <t>ヒガシ</t>
    </rPh>
    <rPh sb="10" eb="11">
      <t>マチ</t>
    </rPh>
    <phoneticPr fontId="1"/>
  </si>
  <si>
    <t>知人</t>
    <rPh sb="0" eb="2">
      <t>チジン</t>
    </rPh>
    <phoneticPr fontId="1"/>
  </si>
  <si>
    <t>永吉様</t>
    <rPh sb="0" eb="3">
      <t>ナガヨシサマ</t>
    </rPh>
    <phoneticPr fontId="1"/>
  </si>
  <si>
    <t>眞野　翔太</t>
    <rPh sb="0" eb="2">
      <t>マノ</t>
    </rPh>
    <rPh sb="3" eb="5">
      <t>ショウタ</t>
    </rPh>
    <phoneticPr fontId="1"/>
  </si>
  <si>
    <t>マノ　ショウタ</t>
    <phoneticPr fontId="1"/>
  </si>
  <si>
    <t>男</t>
    <rPh sb="0" eb="1">
      <t>オトコ</t>
    </rPh>
    <phoneticPr fontId="1"/>
  </si>
  <si>
    <t>660-0893</t>
    <phoneticPr fontId="1"/>
  </si>
  <si>
    <t>兵庫県尼崎市西難波町5-7-2-102</t>
    <rPh sb="0" eb="3">
      <t>ヒョウゴケン</t>
    </rPh>
    <rPh sb="3" eb="6">
      <t>アマガサキシ</t>
    </rPh>
    <rPh sb="6" eb="7">
      <t>ニシ</t>
    </rPh>
    <rPh sb="7" eb="9">
      <t>ナンバ</t>
    </rPh>
    <rPh sb="9" eb="10">
      <t>チョウ</t>
    </rPh>
    <phoneticPr fontId="1"/>
  </si>
  <si>
    <t>090-6972-1967</t>
    <phoneticPr fontId="1"/>
  </si>
  <si>
    <t>080-1452-9830</t>
    <phoneticPr fontId="1"/>
  </si>
  <si>
    <t>店頭</t>
    <rPh sb="0" eb="2">
      <t>テントウ</t>
    </rPh>
    <phoneticPr fontId="1"/>
  </si>
  <si>
    <t>槙本　裕次郎</t>
    <rPh sb="0" eb="2">
      <t>マキモト</t>
    </rPh>
    <rPh sb="3" eb="6">
      <t>ユウジロウ</t>
    </rPh>
    <phoneticPr fontId="1"/>
  </si>
  <si>
    <t>マキモト　ユウジロウ</t>
    <phoneticPr fontId="1"/>
  </si>
  <si>
    <t>男</t>
    <rPh sb="0" eb="1">
      <t>オトコ</t>
    </rPh>
    <phoneticPr fontId="1"/>
  </si>
  <si>
    <t>665-0852</t>
    <phoneticPr fontId="1"/>
  </si>
  <si>
    <t>兵庫県宝塚市売布2-14-14</t>
    <rPh sb="0" eb="3">
      <t>ヒョウゴケン</t>
    </rPh>
    <rPh sb="3" eb="6">
      <t>タカラヅカシ</t>
    </rPh>
    <rPh sb="6" eb="8">
      <t>メフ</t>
    </rPh>
    <phoneticPr fontId="1"/>
  </si>
  <si>
    <t>090-7344-6029</t>
    <phoneticPr fontId="1"/>
  </si>
  <si>
    <t>911volcom@gmail.com</t>
    <phoneticPr fontId="1"/>
  </si>
  <si>
    <t>近所</t>
    <rPh sb="0" eb="2">
      <t>キンジョ</t>
    </rPh>
    <phoneticPr fontId="1"/>
  </si>
  <si>
    <t>入会</t>
    <rPh sb="0" eb="2">
      <t>ニュウカイ</t>
    </rPh>
    <phoneticPr fontId="1"/>
  </si>
  <si>
    <t>タケヒロ　ケイ</t>
    <phoneticPr fontId="1"/>
  </si>
  <si>
    <t>男</t>
    <rPh sb="0" eb="1">
      <t>オトコ</t>
    </rPh>
    <phoneticPr fontId="1"/>
  </si>
  <si>
    <t>565-0875</t>
    <phoneticPr fontId="1"/>
  </si>
  <si>
    <t>13.4km</t>
    <phoneticPr fontId="1"/>
  </si>
  <si>
    <t>090-7734-3934</t>
    <phoneticPr fontId="1"/>
  </si>
  <si>
    <t>田村　正</t>
    <rPh sb="0" eb="2">
      <t>タムラ</t>
    </rPh>
    <rPh sb="3" eb="4">
      <t>タダシ</t>
    </rPh>
    <phoneticPr fontId="1"/>
  </si>
  <si>
    <t>タムラ　タダシ</t>
    <phoneticPr fontId="1"/>
  </si>
  <si>
    <t>男</t>
    <rPh sb="0" eb="1">
      <t>オトコ</t>
    </rPh>
    <phoneticPr fontId="1"/>
  </si>
  <si>
    <t>665-0022</t>
    <phoneticPr fontId="1"/>
  </si>
  <si>
    <t>兵庫県宝塚市野上2-3-34-108</t>
    <rPh sb="0" eb="3">
      <t>ヒョウゴケン</t>
    </rPh>
    <rPh sb="3" eb="6">
      <t>タカラヅカシ</t>
    </rPh>
    <rPh sb="6" eb="8">
      <t>ノガミ</t>
    </rPh>
    <phoneticPr fontId="1"/>
  </si>
  <si>
    <t>080-5343-0562</t>
    <phoneticPr fontId="1"/>
  </si>
  <si>
    <t>ttmr1959@yahoo.co.jp</t>
    <phoneticPr fontId="1"/>
  </si>
  <si>
    <t>インスタグラム</t>
    <phoneticPr fontId="1"/>
  </si>
  <si>
    <t>北久保　正浩</t>
    <rPh sb="0" eb="3">
      <t>キタクボ</t>
    </rPh>
    <rPh sb="4" eb="5">
      <t>タダシ</t>
    </rPh>
    <rPh sb="5" eb="6">
      <t>ヒロシ</t>
    </rPh>
    <phoneticPr fontId="1"/>
  </si>
  <si>
    <t>男</t>
    <rPh sb="0" eb="1">
      <t>オトコ</t>
    </rPh>
    <phoneticPr fontId="1"/>
  </si>
  <si>
    <t>665-0887</t>
    <phoneticPr fontId="1"/>
  </si>
  <si>
    <t>兵庫県山手台東4-21-17</t>
    <rPh sb="0" eb="3">
      <t>ヒョウゴケン</t>
    </rPh>
    <rPh sb="3" eb="6">
      <t>ヤマテダイ</t>
    </rPh>
    <rPh sb="6" eb="7">
      <t>ヒガシ</t>
    </rPh>
    <phoneticPr fontId="1"/>
  </si>
  <si>
    <t>090-9711-6889</t>
    <phoneticPr fontId="1"/>
  </si>
  <si>
    <t>eccentric-pecchi@yahoo.co.jp</t>
    <phoneticPr fontId="1"/>
  </si>
  <si>
    <t>googleマップ</t>
    <phoneticPr fontId="1"/>
  </si>
  <si>
    <t>原田　恵子</t>
    <rPh sb="0" eb="2">
      <t>ハラダ</t>
    </rPh>
    <rPh sb="3" eb="5">
      <t>ケイコ</t>
    </rPh>
    <phoneticPr fontId="1"/>
  </si>
  <si>
    <t>ハラダ　ケイコ</t>
    <phoneticPr fontId="1"/>
  </si>
  <si>
    <t>店頭</t>
    <rPh sb="0" eb="2">
      <t>テントウ</t>
    </rPh>
    <phoneticPr fontId="1"/>
  </si>
  <si>
    <t>藤岡　翔太</t>
    <rPh sb="0" eb="2">
      <t>フジオカ</t>
    </rPh>
    <rPh sb="3" eb="5">
      <t>ショウタ</t>
    </rPh>
    <phoneticPr fontId="1"/>
  </si>
  <si>
    <t>フジオカ　ショウタ</t>
    <phoneticPr fontId="1"/>
  </si>
  <si>
    <t>男</t>
    <rPh sb="0" eb="1">
      <t>オトコ</t>
    </rPh>
    <phoneticPr fontId="1"/>
  </si>
  <si>
    <t>兵庫県川西市栄根2-20-18</t>
    <rPh sb="0" eb="3">
      <t>ヒョウゴケン</t>
    </rPh>
    <rPh sb="3" eb="6">
      <t>カワニシシ</t>
    </rPh>
    <rPh sb="6" eb="7">
      <t>サカエ</t>
    </rPh>
    <rPh sb="7" eb="8">
      <t>ネ</t>
    </rPh>
    <phoneticPr fontId="1"/>
  </si>
  <si>
    <t>080-4483-6330</t>
    <phoneticPr fontId="1"/>
  </si>
  <si>
    <t>666-0033</t>
    <phoneticPr fontId="1"/>
  </si>
  <si>
    <t>平井　理恵</t>
    <rPh sb="0" eb="2">
      <t>ヒライ</t>
    </rPh>
    <rPh sb="3" eb="5">
      <t>リエ</t>
    </rPh>
    <phoneticPr fontId="1"/>
  </si>
  <si>
    <t>ヒライ　リエ</t>
    <phoneticPr fontId="1"/>
  </si>
  <si>
    <t>女</t>
    <rPh sb="0" eb="1">
      <t>オンナ</t>
    </rPh>
    <phoneticPr fontId="1"/>
  </si>
  <si>
    <t>666-0105</t>
    <phoneticPr fontId="1"/>
  </si>
  <si>
    <t>兵庫県川西市見野2-34-6</t>
    <rPh sb="0" eb="3">
      <t>ヒョウゴケン</t>
    </rPh>
    <rPh sb="3" eb="6">
      <t>カワニシシ</t>
    </rPh>
    <rPh sb="6" eb="7">
      <t>ミ</t>
    </rPh>
    <rPh sb="7" eb="8">
      <t>ノ</t>
    </rPh>
    <phoneticPr fontId="1"/>
  </si>
  <si>
    <t>080-8939-0516</t>
    <phoneticPr fontId="1"/>
  </si>
  <si>
    <t>hirairiecloud@gmail.com</t>
    <phoneticPr fontId="1"/>
  </si>
  <si>
    <t>知人</t>
    <rPh sb="0" eb="2">
      <t>チジン</t>
    </rPh>
    <phoneticPr fontId="1"/>
  </si>
  <si>
    <t>岡崎様紹介</t>
    <rPh sb="0" eb="3">
      <t>オカザキサマ</t>
    </rPh>
    <rPh sb="3" eb="5">
      <t>ショウカイ</t>
    </rPh>
    <phoneticPr fontId="1"/>
  </si>
  <si>
    <t>山本　奈緒</t>
    <rPh sb="0" eb="2">
      <t>ヤマモト</t>
    </rPh>
    <rPh sb="3" eb="4">
      <t>ナ</t>
    </rPh>
    <rPh sb="4" eb="5">
      <t>オ</t>
    </rPh>
    <phoneticPr fontId="1"/>
  </si>
  <si>
    <t>ヤマモト　ナオ</t>
    <phoneticPr fontId="1"/>
  </si>
  <si>
    <t>女</t>
    <rPh sb="0" eb="1">
      <t>オンナ</t>
    </rPh>
    <phoneticPr fontId="1"/>
  </si>
  <si>
    <t>665-0835</t>
    <phoneticPr fontId="1"/>
  </si>
  <si>
    <t>兵庫県宝塚市旭町2丁目12-24-501</t>
    <rPh sb="0" eb="2">
      <t>ヒョウゴ</t>
    </rPh>
    <rPh sb="2" eb="3">
      <t>ケン</t>
    </rPh>
    <rPh sb="3" eb="6">
      <t>タカラヅカシ</t>
    </rPh>
    <rPh sb="6" eb="8">
      <t>アサヒマチ</t>
    </rPh>
    <rPh sb="9" eb="11">
      <t>チョウメ</t>
    </rPh>
    <phoneticPr fontId="1"/>
  </si>
  <si>
    <t>090-7576-3196</t>
    <phoneticPr fontId="1"/>
  </si>
  <si>
    <t>ryusei070401@icloud.com</t>
    <phoneticPr fontId="1"/>
  </si>
  <si>
    <t>岡本　賢史</t>
  </si>
  <si>
    <t>オカモトケンジ</t>
    <phoneticPr fontId="1"/>
  </si>
  <si>
    <t>男</t>
    <rPh sb="0" eb="1">
      <t>オトコ</t>
    </rPh>
    <phoneticPr fontId="1"/>
  </si>
  <si>
    <t>666-0005</t>
  </si>
  <si>
    <t>兵庫県川西市萩原台東1-226-1</t>
    <rPh sb="0" eb="3">
      <t>ヒョウゴケン</t>
    </rPh>
    <phoneticPr fontId="1"/>
  </si>
  <si>
    <t>090-1024-2506</t>
  </si>
  <si>
    <t>fu5.pan7ac0tta@gmail.com</t>
  </si>
  <si>
    <t>森本　元</t>
    <rPh sb="0" eb="2">
      <t>モリモト</t>
    </rPh>
    <rPh sb="3" eb="4">
      <t>モト</t>
    </rPh>
    <phoneticPr fontId="1"/>
  </si>
  <si>
    <t>モリモト　ハジメ</t>
    <phoneticPr fontId="1"/>
  </si>
  <si>
    <t>男</t>
    <rPh sb="0" eb="1">
      <t>オトコ</t>
    </rPh>
    <phoneticPr fontId="1"/>
  </si>
  <si>
    <t>562-0031</t>
    <phoneticPr fontId="1"/>
  </si>
  <si>
    <t>090-5243-8111</t>
    <phoneticPr fontId="1"/>
  </si>
  <si>
    <t>インターネット</t>
    <phoneticPr fontId="1"/>
  </si>
  <si>
    <t>石井　圭太</t>
    <rPh sb="0" eb="2">
      <t>イシイ</t>
    </rPh>
    <rPh sb="3" eb="5">
      <t>ケイタ</t>
    </rPh>
    <phoneticPr fontId="1"/>
  </si>
  <si>
    <t>イシイ　ケイタ</t>
    <phoneticPr fontId="1"/>
  </si>
  <si>
    <t>569-1142</t>
    <phoneticPr fontId="1"/>
  </si>
  <si>
    <t>090-7351-0202</t>
    <phoneticPr fontId="1"/>
  </si>
  <si>
    <t>新田　恵一</t>
    <rPh sb="0" eb="2">
      <t>ニッタ</t>
    </rPh>
    <rPh sb="3" eb="5">
      <t>ケイイチ</t>
    </rPh>
    <phoneticPr fontId="1"/>
  </si>
  <si>
    <t>ニッタ　ケイイチ</t>
    <phoneticPr fontId="1"/>
  </si>
  <si>
    <t>665-0887</t>
    <phoneticPr fontId="1"/>
  </si>
  <si>
    <t>兵庫県宝塚市中山桜台2-22-5</t>
    <rPh sb="0" eb="10">
      <t>665-0877</t>
    </rPh>
    <phoneticPr fontId="1"/>
  </si>
  <si>
    <t>090-3677-7369</t>
    <phoneticPr fontId="1"/>
  </si>
  <si>
    <t>nitta_tzk126@yahoo.co.jp</t>
    <phoneticPr fontId="1"/>
  </si>
  <si>
    <t>入会</t>
    <rPh sb="0" eb="2">
      <t>ニュウカイ</t>
    </rPh>
    <phoneticPr fontId="1"/>
  </si>
  <si>
    <t>大阪府高槻市宮田町1-6-25</t>
    <rPh sb="0" eb="3">
      <t>オオサカフ</t>
    </rPh>
    <rPh sb="3" eb="6">
      <t>タカツキシ</t>
    </rPh>
    <rPh sb="6" eb="9">
      <t>ミヤタチョウ</t>
    </rPh>
    <phoneticPr fontId="1"/>
  </si>
  <si>
    <t>大阪府箕面市小野原東5-18-10-204</t>
    <rPh sb="0" eb="3">
      <t>オオサカフ</t>
    </rPh>
    <rPh sb="3" eb="5">
      <t>ミノオ</t>
    </rPh>
    <rPh sb="5" eb="6">
      <t>シ</t>
    </rPh>
    <rPh sb="6" eb="9">
      <t>オノハラ</t>
    </rPh>
    <rPh sb="9" eb="10">
      <t>ヒガシ</t>
    </rPh>
    <phoneticPr fontId="1"/>
  </si>
  <si>
    <t>購入</t>
    <rPh sb="0" eb="2">
      <t>コウニュウ</t>
    </rPh>
    <phoneticPr fontId="1"/>
  </si>
  <si>
    <t>田中 　瞭汰</t>
    <rPh sb="4" eb="5">
      <t>リョウ</t>
    </rPh>
    <rPh sb="5" eb="6">
      <t>タ</t>
    </rPh>
    <phoneticPr fontId="1"/>
  </si>
  <si>
    <t>タナカ　リョウタ</t>
    <phoneticPr fontId="1"/>
  </si>
  <si>
    <t>男</t>
    <rPh sb="0" eb="1">
      <t>オトコ</t>
    </rPh>
    <phoneticPr fontId="1"/>
  </si>
  <si>
    <t>高橋　真奈実</t>
    <rPh sb="0" eb="2">
      <t>タカハシ</t>
    </rPh>
    <rPh sb="3" eb="4">
      <t>マ</t>
    </rPh>
    <rPh sb="4" eb="5">
      <t>ナ</t>
    </rPh>
    <rPh sb="5" eb="6">
      <t>ミ</t>
    </rPh>
    <phoneticPr fontId="1"/>
  </si>
  <si>
    <t>タカハシ　マナミ</t>
    <phoneticPr fontId="1"/>
  </si>
  <si>
    <t>女</t>
    <rPh sb="0" eb="1">
      <t>オンナ</t>
    </rPh>
    <phoneticPr fontId="1"/>
  </si>
  <si>
    <t>665-0062</t>
    <phoneticPr fontId="1"/>
  </si>
  <si>
    <t>090-7114-9613</t>
    <phoneticPr fontId="1"/>
  </si>
  <si>
    <t>manamibaseball@yahoo.co.jp</t>
    <phoneticPr fontId="1"/>
  </si>
  <si>
    <t>兵庫県宝塚市仁川高台</t>
    <rPh sb="0" eb="3">
      <t>ヒョウゴケン</t>
    </rPh>
    <rPh sb="3" eb="6">
      <t>タカラヅカシ</t>
    </rPh>
    <rPh sb="6" eb="8">
      <t>ニガワ</t>
    </rPh>
    <rPh sb="8" eb="10">
      <t>タカダイ</t>
    </rPh>
    <phoneticPr fontId="1"/>
  </si>
  <si>
    <t>7.8km</t>
    <phoneticPr fontId="1"/>
  </si>
  <si>
    <t>農本　奈緒美</t>
    <rPh sb="0" eb="1">
      <t>ノウ</t>
    </rPh>
    <rPh sb="1" eb="2">
      <t>モト</t>
    </rPh>
    <rPh sb="3" eb="4">
      <t>ナ</t>
    </rPh>
    <rPh sb="4" eb="5">
      <t>オ</t>
    </rPh>
    <rPh sb="5" eb="6">
      <t>ミ</t>
    </rPh>
    <phoneticPr fontId="1"/>
  </si>
  <si>
    <t>ノウモト　ナオミ</t>
    <phoneticPr fontId="1"/>
  </si>
  <si>
    <t>女</t>
    <rPh sb="0" eb="1">
      <t>オンナ</t>
    </rPh>
    <phoneticPr fontId="1"/>
  </si>
  <si>
    <t>662-0832</t>
    <phoneticPr fontId="1"/>
  </si>
  <si>
    <t>兵庫県西宮市甲子園3-5-2</t>
    <rPh sb="0" eb="3">
      <t>ヒョウゴケン</t>
    </rPh>
    <rPh sb="3" eb="6">
      <t>ニシノミヤシ</t>
    </rPh>
    <rPh sb="6" eb="9">
      <t>コウシエン</t>
    </rPh>
    <phoneticPr fontId="1"/>
  </si>
  <si>
    <t>090-9549-1138</t>
    <phoneticPr fontId="1"/>
  </si>
  <si>
    <t>ミヨシ　レイ</t>
    <phoneticPr fontId="1"/>
  </si>
  <si>
    <t>男</t>
    <rPh sb="0" eb="1">
      <t>オトコ</t>
    </rPh>
    <phoneticPr fontId="1"/>
  </si>
  <si>
    <t>658-0072</t>
    <phoneticPr fontId="1"/>
  </si>
  <si>
    <t>090-1090-4163</t>
    <phoneticPr fontId="1"/>
  </si>
  <si>
    <t>blanc344@gmail.com</t>
    <phoneticPr fontId="1"/>
  </si>
  <si>
    <t>店頭</t>
    <rPh sb="0" eb="2">
      <t>テントウ</t>
    </rPh>
    <phoneticPr fontId="1"/>
  </si>
  <si>
    <t>兵庫県神戸市日東灘区岡本1-3-20アビータミオ神戸岡本205</t>
    <rPh sb="0" eb="3">
      <t>ヒョウゴケン</t>
    </rPh>
    <rPh sb="3" eb="6">
      <t>コウベシ</t>
    </rPh>
    <rPh sb="6" eb="7">
      <t>ヒ</t>
    </rPh>
    <rPh sb="7" eb="8">
      <t>ヒガシ</t>
    </rPh>
    <rPh sb="8" eb="10">
      <t>ナダク</t>
    </rPh>
    <rPh sb="10" eb="12">
      <t>オカモト</t>
    </rPh>
    <rPh sb="24" eb="26">
      <t>コウベ</t>
    </rPh>
    <rPh sb="26" eb="28">
      <t>オカモト</t>
    </rPh>
    <phoneticPr fontId="1"/>
  </si>
  <si>
    <t>安東プロ紹介</t>
    <rPh sb="0" eb="2">
      <t>アンドウ</t>
    </rPh>
    <rPh sb="4" eb="6">
      <t>ショウカイ</t>
    </rPh>
    <phoneticPr fontId="1"/>
  </si>
  <si>
    <t>コンドウ　ヤスヒロ</t>
    <phoneticPr fontId="1"/>
  </si>
  <si>
    <t>男</t>
    <rPh sb="0" eb="1">
      <t>オトコ</t>
    </rPh>
    <phoneticPr fontId="1"/>
  </si>
  <si>
    <t>560-0004</t>
    <phoneticPr fontId="1"/>
  </si>
  <si>
    <t>大阪府豊中市少路1-1-22</t>
    <rPh sb="3" eb="6">
      <t>トヨナカシ</t>
    </rPh>
    <rPh sb="6" eb="7">
      <t>スク</t>
    </rPh>
    <phoneticPr fontId="1"/>
  </si>
  <si>
    <t>080-4769-0223</t>
    <phoneticPr fontId="1"/>
  </si>
  <si>
    <t>購入</t>
    <rPh sb="0" eb="2">
      <t>コウニュウ</t>
    </rPh>
    <phoneticPr fontId="1"/>
  </si>
  <si>
    <t>宮崎さん紹介</t>
    <rPh sb="0" eb="2">
      <t>ミヤザキ</t>
    </rPh>
    <rPh sb="4" eb="6">
      <t>ショウカイ</t>
    </rPh>
    <phoneticPr fontId="1"/>
  </si>
  <si>
    <t>新開　常貴</t>
    <rPh sb="0" eb="2">
      <t>シンカイ</t>
    </rPh>
    <rPh sb="3" eb="4">
      <t>ツネ</t>
    </rPh>
    <rPh sb="4" eb="5">
      <t>タカシ</t>
    </rPh>
    <phoneticPr fontId="1"/>
  </si>
  <si>
    <t>シンカイ　ツネキ</t>
    <phoneticPr fontId="1"/>
  </si>
  <si>
    <t>561-0881</t>
    <phoneticPr fontId="1"/>
  </si>
  <si>
    <t>大阪府豊中市中桜塚2-5-28</t>
    <rPh sb="0" eb="3">
      <t>オオサカフ</t>
    </rPh>
    <rPh sb="3" eb="6">
      <t>トヨナカシ</t>
    </rPh>
    <rPh sb="6" eb="9">
      <t>ナカサクラヅカ</t>
    </rPh>
    <phoneticPr fontId="1"/>
  </si>
  <si>
    <t>090-9042-9996</t>
    <phoneticPr fontId="1"/>
  </si>
  <si>
    <t>tnks86@hotmail.com</t>
    <phoneticPr fontId="1"/>
  </si>
  <si>
    <t>店頭</t>
    <rPh sb="0" eb="2">
      <t>テントウ</t>
    </rPh>
    <phoneticPr fontId="1"/>
  </si>
  <si>
    <t>近藤　康弘</t>
    <phoneticPr fontId="1"/>
  </si>
  <si>
    <t>三吉　怜</t>
    <rPh sb="0" eb="1">
      <t>サン</t>
    </rPh>
    <rPh sb="1" eb="2">
      <t>キチ</t>
    </rPh>
    <rPh sb="3" eb="4">
      <t>レイ</t>
    </rPh>
    <phoneticPr fontId="1"/>
  </si>
  <si>
    <t>今西　史樹</t>
    <rPh sb="0" eb="2">
      <t>イマニシ</t>
    </rPh>
    <rPh sb="3" eb="4">
      <t>フミ</t>
    </rPh>
    <rPh sb="4" eb="5">
      <t>キ</t>
    </rPh>
    <phoneticPr fontId="1"/>
  </si>
  <si>
    <t>イマニシ　ヒトキ</t>
    <phoneticPr fontId="1"/>
  </si>
  <si>
    <t>男</t>
    <rPh sb="0" eb="1">
      <t>オトコ</t>
    </rPh>
    <phoneticPr fontId="1"/>
  </si>
  <si>
    <t>665-0015</t>
    <phoneticPr fontId="1"/>
  </si>
  <si>
    <t>兵庫県宝塚市光が丘1-18-8</t>
    <rPh sb="0" eb="3">
      <t>ヒョウゴケン</t>
    </rPh>
    <rPh sb="3" eb="6">
      <t>タカラヅカシ</t>
    </rPh>
    <rPh sb="6" eb="7">
      <t>ヒカリ</t>
    </rPh>
    <rPh sb="8" eb="9">
      <t>オカ</t>
    </rPh>
    <phoneticPr fontId="1"/>
  </si>
  <si>
    <t>090-2380-8652</t>
    <phoneticPr fontId="1"/>
  </si>
  <si>
    <t>hitoki1991@gmail.com</t>
    <phoneticPr fontId="1"/>
  </si>
  <si>
    <t>石井　由香里</t>
    <rPh sb="0" eb="2">
      <t>イシイ</t>
    </rPh>
    <rPh sb="3" eb="6">
      <t>ユカリ</t>
    </rPh>
    <phoneticPr fontId="1"/>
  </si>
  <si>
    <t>イシイ　ユカリ</t>
    <phoneticPr fontId="1"/>
  </si>
  <si>
    <t>女</t>
    <rPh sb="0" eb="1">
      <t>オンナ</t>
    </rPh>
    <phoneticPr fontId="1"/>
  </si>
  <si>
    <t>569-1142</t>
    <phoneticPr fontId="1"/>
  </si>
  <si>
    <t>大阪府高槻市宮田町1-6-25</t>
    <rPh sb="0" eb="3">
      <t>オオサカフ</t>
    </rPh>
    <rPh sb="3" eb="6">
      <t>タカツキシ</t>
    </rPh>
    <rPh sb="6" eb="9">
      <t>ミヤタチョウ</t>
    </rPh>
    <phoneticPr fontId="1"/>
  </si>
  <si>
    <t>090-5067-8091</t>
    <phoneticPr fontId="1"/>
  </si>
  <si>
    <t>店頭</t>
    <rPh sb="0" eb="2">
      <t>テントウ</t>
    </rPh>
    <phoneticPr fontId="1"/>
  </si>
  <si>
    <t>森本元様 紹介</t>
    <rPh sb="0" eb="2">
      <t>モリモト</t>
    </rPh>
    <rPh sb="2" eb="3">
      <t>モト</t>
    </rPh>
    <rPh sb="3" eb="4">
      <t>サマ</t>
    </rPh>
    <rPh sb="5" eb="7">
      <t>ショウカイ</t>
    </rPh>
    <phoneticPr fontId="1"/>
  </si>
  <si>
    <t>田中　徹治</t>
    <rPh sb="0" eb="2">
      <t>タナカ</t>
    </rPh>
    <rPh sb="3" eb="4">
      <t>トオル</t>
    </rPh>
    <rPh sb="4" eb="5">
      <t>ジ</t>
    </rPh>
    <phoneticPr fontId="1"/>
  </si>
  <si>
    <t>田中　悠聖</t>
    <rPh sb="0" eb="2">
      <t>タナカ</t>
    </rPh>
    <rPh sb="3" eb="5">
      <t>ユウセイ</t>
    </rPh>
    <phoneticPr fontId="1"/>
  </si>
  <si>
    <t>タナカ　ユウセイ</t>
    <phoneticPr fontId="1"/>
  </si>
  <si>
    <t>タナカ　テツジ</t>
    <phoneticPr fontId="1"/>
  </si>
  <si>
    <t>男</t>
    <rPh sb="0" eb="1">
      <t>オトコ</t>
    </rPh>
    <phoneticPr fontId="1"/>
  </si>
  <si>
    <t>532-0031</t>
    <phoneticPr fontId="1"/>
  </si>
  <si>
    <t>大阪府大阪市淀川区加島1-55-4</t>
    <rPh sb="0" eb="3">
      <t>オオサカフ</t>
    </rPh>
    <rPh sb="3" eb="6">
      <t>オオサカシ</t>
    </rPh>
    <rPh sb="6" eb="9">
      <t>ヨドガワク</t>
    </rPh>
    <rPh sb="9" eb="11">
      <t>カシマ</t>
    </rPh>
    <phoneticPr fontId="1"/>
  </si>
  <si>
    <t>090-1582-4912</t>
    <phoneticPr fontId="1"/>
  </si>
  <si>
    <t>090-3052-6631</t>
    <phoneticPr fontId="1"/>
  </si>
  <si>
    <t>tanaka@tnk-t.co.jp</t>
    <phoneticPr fontId="1"/>
  </si>
  <si>
    <t>葛井様 紹介</t>
    <rPh sb="0" eb="2">
      <t>カツイ</t>
    </rPh>
    <rPh sb="2" eb="3">
      <t>サマ</t>
    </rPh>
    <rPh sb="4" eb="6">
      <t>ショウカイ</t>
    </rPh>
    <phoneticPr fontId="1"/>
  </si>
  <si>
    <t>中村　元信</t>
    <rPh sb="0" eb="2">
      <t>ナカムラ</t>
    </rPh>
    <rPh sb="3" eb="5">
      <t>モトノブ</t>
    </rPh>
    <phoneticPr fontId="1"/>
  </si>
  <si>
    <t>ナカムラ　モトノブ</t>
    <phoneticPr fontId="1"/>
  </si>
  <si>
    <t>665-0846</t>
    <phoneticPr fontId="1"/>
  </si>
  <si>
    <t>兵庫県宝塚市桜が丘25-2</t>
    <rPh sb="0" eb="3">
      <t>ヒョウゴケン</t>
    </rPh>
    <rPh sb="3" eb="6">
      <t>タカラヅカシ</t>
    </rPh>
    <rPh sb="6" eb="7">
      <t>サクラ</t>
    </rPh>
    <rPh sb="8" eb="9">
      <t>オカ</t>
    </rPh>
    <phoneticPr fontId="1"/>
  </si>
  <si>
    <t>090-6730-0000</t>
    <phoneticPr fontId="1"/>
  </si>
  <si>
    <t>mokuo@torihei.com</t>
    <phoneticPr fontId="1"/>
  </si>
  <si>
    <t>福田　泰典</t>
    <rPh sb="0" eb="2">
      <t>フクダ</t>
    </rPh>
    <rPh sb="3" eb="5">
      <t>ヤスノリ</t>
    </rPh>
    <phoneticPr fontId="1"/>
  </si>
  <si>
    <t>フクダ　ヤスノリ</t>
    <phoneticPr fontId="1"/>
  </si>
  <si>
    <t>男</t>
    <rPh sb="0" eb="1">
      <t>オトコ</t>
    </rPh>
    <phoneticPr fontId="1"/>
  </si>
  <si>
    <t>671-1102</t>
    <phoneticPr fontId="1"/>
  </si>
  <si>
    <t>兵庫県姫路市広畑区蒲田702-6</t>
    <rPh sb="0" eb="3">
      <t>ヒョウゴケン</t>
    </rPh>
    <rPh sb="3" eb="6">
      <t>ヒメジシ</t>
    </rPh>
    <rPh sb="6" eb="9">
      <t>ヒロハタク</t>
    </rPh>
    <rPh sb="9" eb="11">
      <t>カマタ</t>
    </rPh>
    <phoneticPr fontId="1"/>
  </si>
  <si>
    <t>090-5679-8258</t>
    <phoneticPr fontId="1"/>
  </si>
  <si>
    <t>店頭</t>
    <rPh sb="0" eb="2">
      <t>テントウ</t>
    </rPh>
    <phoneticPr fontId="1"/>
  </si>
  <si>
    <t>その他</t>
    <rPh sb="2" eb="3">
      <t>ホカ</t>
    </rPh>
    <phoneticPr fontId="1"/>
  </si>
  <si>
    <t>GRUP24</t>
    <phoneticPr fontId="1"/>
  </si>
  <si>
    <t>山本　芳寛</t>
    <rPh sb="0" eb="2">
      <t>ヤマモト</t>
    </rPh>
    <rPh sb="3" eb="4">
      <t>ヨシ</t>
    </rPh>
    <rPh sb="4" eb="5">
      <t>ヒロシ</t>
    </rPh>
    <phoneticPr fontId="1"/>
  </si>
  <si>
    <t>ヤマモト　ヨシヒト</t>
    <phoneticPr fontId="1"/>
  </si>
  <si>
    <t>男</t>
    <rPh sb="0" eb="1">
      <t>オトコ</t>
    </rPh>
    <phoneticPr fontId="1"/>
  </si>
  <si>
    <t>561-0852</t>
    <phoneticPr fontId="1"/>
  </si>
  <si>
    <t>大阪府豊中市服部本町5-1-36-101</t>
    <rPh sb="0" eb="3">
      <t>オオサカフ</t>
    </rPh>
    <rPh sb="3" eb="6">
      <t>トヨナカシ</t>
    </rPh>
    <rPh sb="6" eb="8">
      <t>ハットリ</t>
    </rPh>
    <rPh sb="8" eb="10">
      <t>ホンマチ</t>
    </rPh>
    <phoneticPr fontId="1"/>
  </si>
  <si>
    <t>090-5903-3541</t>
    <phoneticPr fontId="1"/>
  </si>
  <si>
    <t>無料キャンペーン</t>
    <phoneticPr fontId="1"/>
  </si>
  <si>
    <t>大津　方順</t>
    <rPh sb="0" eb="2">
      <t>オオツ</t>
    </rPh>
    <rPh sb="3" eb="4">
      <t>ホウ</t>
    </rPh>
    <rPh sb="4" eb="5">
      <t>ジュン</t>
    </rPh>
    <phoneticPr fontId="1"/>
  </si>
  <si>
    <t>兵庫県宝塚市山本台3-16-1-716</t>
    <rPh sb="0" eb="3">
      <t>ヒョウゴケン</t>
    </rPh>
    <phoneticPr fontId="1"/>
  </si>
  <si>
    <t>オオツ　タカノブ</t>
    <phoneticPr fontId="1"/>
  </si>
  <si>
    <t>男</t>
    <rPh sb="0" eb="1">
      <t>オトコ</t>
    </rPh>
    <phoneticPr fontId="1"/>
  </si>
  <si>
    <t>665-085</t>
    <phoneticPr fontId="1"/>
  </si>
  <si>
    <t>090-1969-6248</t>
    <phoneticPr fontId="1"/>
  </si>
  <si>
    <t>ohtsu@schz.jp</t>
    <phoneticPr fontId="1"/>
  </si>
  <si>
    <t>自宅が近い</t>
    <rPh sb="0" eb="2">
      <t>ジタク</t>
    </rPh>
    <rPh sb="3" eb="4">
      <t>チカ</t>
    </rPh>
    <phoneticPr fontId="1"/>
  </si>
  <si>
    <t>入会</t>
    <rPh sb="0" eb="2">
      <t>ニュウカイ</t>
    </rPh>
    <phoneticPr fontId="1"/>
  </si>
  <si>
    <t>購入</t>
    <rPh sb="0" eb="2">
      <t>コウニュウ</t>
    </rPh>
    <phoneticPr fontId="1"/>
  </si>
  <si>
    <t>関　清太</t>
    <rPh sb="0" eb="1">
      <t>セキ</t>
    </rPh>
    <rPh sb="2" eb="4">
      <t>キヨタ</t>
    </rPh>
    <phoneticPr fontId="1"/>
  </si>
  <si>
    <t>セキ　キヨタ</t>
    <phoneticPr fontId="1"/>
  </si>
  <si>
    <t>673-0845</t>
    <phoneticPr fontId="1"/>
  </si>
  <si>
    <t>兵庫県明石市太寺1-17-26</t>
    <rPh sb="0" eb="3">
      <t>ヒョウゴケン</t>
    </rPh>
    <rPh sb="3" eb="6">
      <t>アカシシ</t>
    </rPh>
    <rPh sb="6" eb="7">
      <t>フト</t>
    </rPh>
    <rPh sb="7" eb="8">
      <t>テラ</t>
    </rPh>
    <phoneticPr fontId="1"/>
  </si>
  <si>
    <t>090-6826-5532</t>
    <phoneticPr fontId="1"/>
  </si>
  <si>
    <t>seki.k@fjkk.co.jp</t>
    <phoneticPr fontId="1"/>
  </si>
  <si>
    <t>中岡　智博</t>
    <rPh sb="0" eb="2">
      <t>ナカオカ</t>
    </rPh>
    <rPh sb="3" eb="4">
      <t>トモ</t>
    </rPh>
    <rPh sb="4" eb="5">
      <t>ヒロ</t>
    </rPh>
    <phoneticPr fontId="1"/>
  </si>
  <si>
    <t>ナカオカ　トモヒロ</t>
    <phoneticPr fontId="1"/>
  </si>
  <si>
    <t>593-8326</t>
    <phoneticPr fontId="1"/>
  </si>
  <si>
    <t>大阪府堺市西区鳳西町1-88-90</t>
    <rPh sb="0" eb="2">
      <t>オオサカ</t>
    </rPh>
    <rPh sb="2" eb="3">
      <t>フ</t>
    </rPh>
    <rPh sb="3" eb="5">
      <t>サカイシ</t>
    </rPh>
    <rPh sb="5" eb="7">
      <t>ニシク</t>
    </rPh>
    <rPh sb="7" eb="10">
      <t>オオトリニシマチ</t>
    </rPh>
    <phoneticPr fontId="1"/>
  </si>
  <si>
    <t>43.6km</t>
    <phoneticPr fontId="1"/>
  </si>
  <si>
    <t>090-5246-0586</t>
    <phoneticPr fontId="1"/>
  </si>
  <si>
    <t>梅原　弘記</t>
    <rPh sb="0" eb="2">
      <t>ウメハラ</t>
    </rPh>
    <rPh sb="3" eb="5">
      <t>ヒロキ</t>
    </rPh>
    <phoneticPr fontId="1"/>
  </si>
  <si>
    <t>ウメハラ　ヒロキ</t>
    <phoneticPr fontId="1"/>
  </si>
  <si>
    <t>男</t>
    <rPh sb="0" eb="1">
      <t>オトコ</t>
    </rPh>
    <phoneticPr fontId="1"/>
  </si>
  <si>
    <t>665-0013</t>
    <phoneticPr fontId="1"/>
  </si>
  <si>
    <t>兵庫県宝塚市宝梅1-3-18</t>
    <rPh sb="0" eb="3">
      <t>ヒョウゴケン</t>
    </rPh>
    <rPh sb="3" eb="6">
      <t>タカラヅカシ</t>
    </rPh>
    <rPh sb="6" eb="7">
      <t>タカラ</t>
    </rPh>
    <rPh sb="7" eb="8">
      <t>ウメ</t>
    </rPh>
    <phoneticPr fontId="1"/>
  </si>
  <si>
    <t>090-9093-5622</t>
    <phoneticPr fontId="1"/>
  </si>
  <si>
    <t>umehara70246@maia.eonet.ne.jp</t>
    <phoneticPr fontId="1"/>
  </si>
  <si>
    <t>入会</t>
    <rPh sb="0" eb="2">
      <t>ニュウカイ</t>
    </rPh>
    <phoneticPr fontId="1"/>
  </si>
  <si>
    <t>チラシ</t>
    <phoneticPr fontId="1"/>
  </si>
  <si>
    <t>木村　隆良</t>
    <rPh sb="0" eb="2">
      <t>キムラ</t>
    </rPh>
    <rPh sb="3" eb="4">
      <t>タカ</t>
    </rPh>
    <rPh sb="4" eb="5">
      <t>ヨ</t>
    </rPh>
    <phoneticPr fontId="1"/>
  </si>
  <si>
    <t>キムラ　タカヨシ</t>
    <phoneticPr fontId="1"/>
  </si>
  <si>
    <t>兵庫県宝塚市花屋敷つつじが丘6-28-105</t>
    <rPh sb="0" eb="6">
      <t>ヒョウゴケンタカラヅカシ</t>
    </rPh>
    <rPh sb="6" eb="9">
      <t>ハナヤシキ</t>
    </rPh>
    <rPh sb="13" eb="14">
      <t>オカ</t>
    </rPh>
    <phoneticPr fontId="1"/>
  </si>
  <si>
    <t>090-8577-3260</t>
    <phoneticPr fontId="1"/>
  </si>
  <si>
    <t>女</t>
    <rPh sb="0" eb="1">
      <t>オンナ</t>
    </rPh>
    <phoneticPr fontId="1"/>
  </si>
  <si>
    <t>木村　千賀子</t>
    <rPh sb="0" eb="2">
      <t>キムラ</t>
    </rPh>
    <rPh sb="3" eb="4">
      <t>セン</t>
    </rPh>
    <rPh sb="4" eb="5">
      <t>ガ</t>
    </rPh>
    <rPh sb="5" eb="6">
      <t>コ</t>
    </rPh>
    <phoneticPr fontId="1"/>
  </si>
  <si>
    <t>キムラ　チカコ</t>
    <phoneticPr fontId="1"/>
  </si>
  <si>
    <t>665-0803</t>
    <phoneticPr fontId="1"/>
  </si>
  <si>
    <t>090-1891-5109</t>
    <phoneticPr fontId="1"/>
  </si>
  <si>
    <t>kim-chika0409@docomo.ne.jp</t>
    <phoneticPr fontId="1"/>
  </si>
  <si>
    <t>4.6km</t>
    <phoneticPr fontId="1"/>
  </si>
  <si>
    <t>松村　敬</t>
    <rPh sb="0" eb="2">
      <t>マツムラ</t>
    </rPh>
    <rPh sb="3" eb="4">
      <t>タカシ</t>
    </rPh>
    <phoneticPr fontId="1"/>
  </si>
  <si>
    <t>マツムラ　タカシ</t>
    <phoneticPr fontId="1"/>
  </si>
  <si>
    <t>665-0004</t>
    <phoneticPr fontId="1"/>
  </si>
  <si>
    <t>兵庫県宝塚市梅野町4-29-1401</t>
    <rPh sb="0" eb="3">
      <t>ヒョウゴケン</t>
    </rPh>
    <rPh sb="3" eb="6">
      <t>タカラヅカシ</t>
    </rPh>
    <rPh sb="6" eb="9">
      <t>ウメノチョウ</t>
    </rPh>
    <phoneticPr fontId="1"/>
  </si>
  <si>
    <t>090-3273-2992</t>
    <phoneticPr fontId="1"/>
  </si>
  <si>
    <t>atesan@globe.zag.jp</t>
    <phoneticPr fontId="1"/>
  </si>
  <si>
    <t>原　琢平</t>
    <phoneticPr fontId="1"/>
  </si>
  <si>
    <t>ハラ　タクヘイ</t>
    <phoneticPr fontId="1"/>
  </si>
  <si>
    <t>665-0816</t>
    <phoneticPr fontId="1"/>
  </si>
  <si>
    <t>兵庫県宝塚市平井4-10-5</t>
    <rPh sb="0" eb="3">
      <t>ヒョウゴケン</t>
    </rPh>
    <rPh sb="3" eb="6">
      <t>タカラヅカシ</t>
    </rPh>
    <rPh sb="6" eb="8">
      <t>ヒライ</t>
    </rPh>
    <phoneticPr fontId="1"/>
  </si>
  <si>
    <t>090-3725-2144</t>
    <phoneticPr fontId="1"/>
  </si>
  <si>
    <t>leoharaleo@gnail.com</t>
    <phoneticPr fontId="1"/>
  </si>
  <si>
    <t>入会</t>
    <rPh sb="0" eb="2">
      <t>ニュウカイ</t>
    </rPh>
    <phoneticPr fontId="1"/>
  </si>
  <si>
    <t>森脇　敏典</t>
    <rPh sb="0" eb="2">
      <t>モリワキ</t>
    </rPh>
    <rPh sb="3" eb="5">
      <t>トシノリ</t>
    </rPh>
    <phoneticPr fontId="1"/>
  </si>
  <si>
    <t>モリワキ　トシノリ</t>
    <phoneticPr fontId="1"/>
  </si>
  <si>
    <t>男</t>
    <rPh sb="0" eb="1">
      <t>オトコ</t>
    </rPh>
    <phoneticPr fontId="1"/>
  </si>
  <si>
    <t>652-0045</t>
    <phoneticPr fontId="1"/>
  </si>
  <si>
    <t>兵庫県神戸市兵庫区松本通８丁目3-1</t>
    <rPh sb="0" eb="3">
      <t>ヒョウゴケン</t>
    </rPh>
    <rPh sb="3" eb="6">
      <t>コウベシ</t>
    </rPh>
    <rPh sb="6" eb="9">
      <t>ヒョウゴク</t>
    </rPh>
    <rPh sb="9" eb="11">
      <t>マツモト</t>
    </rPh>
    <rPh sb="11" eb="12">
      <t>ドオリ</t>
    </rPh>
    <rPh sb="13" eb="15">
      <t>チョウメ</t>
    </rPh>
    <phoneticPr fontId="1"/>
  </si>
  <si>
    <t>090-8217-6642</t>
    <phoneticPr fontId="1"/>
  </si>
  <si>
    <t>moriwaki82176642@gmail.com</t>
    <phoneticPr fontId="1"/>
  </si>
  <si>
    <t>店頭</t>
    <rPh sb="0" eb="2">
      <t>テントウ</t>
    </rPh>
    <phoneticPr fontId="1"/>
  </si>
  <si>
    <t>谷川</t>
    <rPh sb="0" eb="2">
      <t>タニガワ</t>
    </rPh>
    <phoneticPr fontId="1"/>
  </si>
  <si>
    <t>その他</t>
    <rPh sb="2" eb="3">
      <t>タ</t>
    </rPh>
    <phoneticPr fontId="1"/>
  </si>
  <si>
    <t>住地ゴルフ割引</t>
    <rPh sb="0" eb="2">
      <t>ジュウチ</t>
    </rPh>
    <rPh sb="5" eb="7">
      <t>ワリビキ</t>
    </rPh>
    <phoneticPr fontId="1"/>
  </si>
  <si>
    <t>新本　良和</t>
    <rPh sb="0" eb="1">
      <t>シン</t>
    </rPh>
    <rPh sb="1" eb="2">
      <t>ホン</t>
    </rPh>
    <rPh sb="3" eb="5">
      <t>ヨシカズ</t>
    </rPh>
    <phoneticPr fontId="1"/>
  </si>
  <si>
    <t>シンモト　ヨシカズ</t>
    <phoneticPr fontId="1"/>
  </si>
  <si>
    <t>男</t>
    <rPh sb="0" eb="1">
      <t>オトコ</t>
    </rPh>
    <phoneticPr fontId="1"/>
  </si>
  <si>
    <t>665-0055</t>
    <phoneticPr fontId="1"/>
  </si>
  <si>
    <t>兵庫県宝塚市大成町6-11-8</t>
    <rPh sb="0" eb="3">
      <t>ヒョウゴケン</t>
    </rPh>
    <rPh sb="3" eb="6">
      <t>タカラヅカシ</t>
    </rPh>
    <rPh sb="6" eb="8">
      <t>タイセイ</t>
    </rPh>
    <rPh sb="8" eb="9">
      <t>チョウ</t>
    </rPh>
    <phoneticPr fontId="1"/>
  </si>
  <si>
    <t>090-5962-2110</t>
    <phoneticPr fontId="1"/>
  </si>
  <si>
    <t>yoshisona29@gmail.com</t>
    <phoneticPr fontId="1"/>
  </si>
  <si>
    <t>インターネット</t>
    <phoneticPr fontId="1"/>
  </si>
  <si>
    <t>田中　博季</t>
    <rPh sb="0" eb="2">
      <t>タナカ</t>
    </rPh>
    <rPh sb="3" eb="4">
      <t>ヒロシ</t>
    </rPh>
    <rPh sb="4" eb="5">
      <t>キ</t>
    </rPh>
    <phoneticPr fontId="1"/>
  </si>
  <si>
    <t>タナカヒロキ</t>
    <phoneticPr fontId="1"/>
  </si>
  <si>
    <t>男</t>
    <rPh sb="0" eb="1">
      <t>オトコ</t>
    </rPh>
    <phoneticPr fontId="1"/>
  </si>
  <si>
    <t>665-0803</t>
    <phoneticPr fontId="1"/>
  </si>
  <si>
    <t>兵庫県宝塚市花屋敷つつじが丘6-39-1　丘田方</t>
    <rPh sb="0" eb="6">
      <t>ヒョウゴケンタカラヅカシ</t>
    </rPh>
    <rPh sb="6" eb="9">
      <t>ハナヤシキ</t>
    </rPh>
    <rPh sb="13" eb="14">
      <t>オカ</t>
    </rPh>
    <rPh sb="21" eb="22">
      <t>オカ</t>
    </rPh>
    <rPh sb="22" eb="23">
      <t>タ</t>
    </rPh>
    <rPh sb="23" eb="24">
      <t>カタ</t>
    </rPh>
    <phoneticPr fontId="1"/>
  </si>
  <si>
    <t>090-5669-0353</t>
    <phoneticPr fontId="1"/>
  </si>
  <si>
    <t>unagi912@gmail.com</t>
    <phoneticPr fontId="1"/>
  </si>
  <si>
    <t>白井　正俊</t>
    <rPh sb="0" eb="2">
      <t>シライ</t>
    </rPh>
    <rPh sb="3" eb="5">
      <t>マサトシ</t>
    </rPh>
    <phoneticPr fontId="1"/>
  </si>
  <si>
    <t>452-0817</t>
    <phoneticPr fontId="1"/>
  </si>
  <si>
    <t>愛知県名古屋市西区二方町45-1パークシティ上小田井スカイコート112</t>
    <rPh sb="0" eb="3">
      <t>アイチケン</t>
    </rPh>
    <rPh sb="3" eb="7">
      <t>ナゴヤシ</t>
    </rPh>
    <rPh sb="7" eb="9">
      <t>ニシク</t>
    </rPh>
    <rPh sb="9" eb="11">
      <t>ニカタ</t>
    </rPh>
    <rPh sb="11" eb="12">
      <t>チョウ</t>
    </rPh>
    <rPh sb="22" eb="23">
      <t>カミ</t>
    </rPh>
    <rPh sb="23" eb="26">
      <t>オダイ</t>
    </rPh>
    <phoneticPr fontId="1"/>
  </si>
  <si>
    <t>090-3155-8849</t>
    <phoneticPr fontId="1"/>
  </si>
  <si>
    <t>チケットに興味あり？</t>
    <rPh sb="5" eb="7">
      <t>キョウミ</t>
    </rPh>
    <phoneticPr fontId="1"/>
  </si>
  <si>
    <t>シライ　マサトシ</t>
    <phoneticPr fontId="1"/>
  </si>
  <si>
    <t>enishi125@gmail.com</t>
    <phoneticPr fontId="1"/>
  </si>
  <si>
    <t>伊東　克峻</t>
    <rPh sb="0" eb="2">
      <t>イトウ</t>
    </rPh>
    <rPh sb="3" eb="4">
      <t>カツ</t>
    </rPh>
    <rPh sb="4" eb="5">
      <t>トシ</t>
    </rPh>
    <phoneticPr fontId="1"/>
  </si>
  <si>
    <t>イトウ　カツトシ</t>
    <phoneticPr fontId="1"/>
  </si>
  <si>
    <t>665-0816</t>
    <phoneticPr fontId="1"/>
  </si>
  <si>
    <t>兵庫県宝塚市平井2-16-3-103</t>
    <rPh sb="0" eb="6">
      <t>ヒョウゴケンタカラヅカシ</t>
    </rPh>
    <rPh sb="6" eb="8">
      <t>ヒライ</t>
    </rPh>
    <phoneticPr fontId="1"/>
  </si>
  <si>
    <t>090-8186-1170</t>
    <phoneticPr fontId="1"/>
  </si>
  <si>
    <t>tmkm782174@icloud.com</t>
  </si>
  <si>
    <t>辻本　莉音</t>
    <rPh sb="0" eb="2">
      <t>ツジモト</t>
    </rPh>
    <rPh sb="3" eb="5">
      <t>リオン</t>
    </rPh>
    <rPh sb="4" eb="5">
      <t>オト</t>
    </rPh>
    <phoneticPr fontId="1"/>
  </si>
  <si>
    <t>ツジモト　リオン</t>
    <phoneticPr fontId="1"/>
  </si>
  <si>
    <t>女</t>
    <rPh sb="0" eb="1">
      <t>オンナ</t>
    </rPh>
    <phoneticPr fontId="1"/>
  </si>
  <si>
    <t>536-0015</t>
    <phoneticPr fontId="1"/>
  </si>
  <si>
    <t>大阪府大阪市城東区新喜多1-9-37</t>
    <rPh sb="0" eb="3">
      <t>オオサカフ</t>
    </rPh>
    <rPh sb="3" eb="6">
      <t>オオサカシ</t>
    </rPh>
    <rPh sb="6" eb="9">
      <t>ジョウトウク</t>
    </rPh>
    <rPh sb="9" eb="12">
      <t>シンキタ</t>
    </rPh>
    <phoneticPr fontId="1"/>
  </si>
  <si>
    <t>080-4764-0082</t>
    <phoneticPr fontId="1"/>
  </si>
  <si>
    <t>woody.buzz.1238@gmail.com</t>
    <phoneticPr fontId="1"/>
  </si>
  <si>
    <t>SNS</t>
    <phoneticPr fontId="1"/>
  </si>
  <si>
    <t>５００円引き</t>
    <rPh sb="3" eb="4">
      <t>エン</t>
    </rPh>
    <rPh sb="4" eb="5">
      <t>ビ</t>
    </rPh>
    <phoneticPr fontId="1"/>
  </si>
  <si>
    <t>新木　大介</t>
    <rPh sb="0" eb="2">
      <t>アラキ</t>
    </rPh>
    <rPh sb="3" eb="5">
      <t>ダイスケ</t>
    </rPh>
    <phoneticPr fontId="1"/>
  </si>
  <si>
    <t>アラキ　ダイスケ</t>
    <phoneticPr fontId="1"/>
  </si>
  <si>
    <t>男</t>
    <rPh sb="0" eb="1">
      <t>オトコ</t>
    </rPh>
    <phoneticPr fontId="1"/>
  </si>
  <si>
    <t>665-0862</t>
    <phoneticPr fontId="1"/>
  </si>
  <si>
    <t>兵庫県宝塚市今里町16-20</t>
    <rPh sb="0" eb="3">
      <t>ヒョウゴケン</t>
    </rPh>
    <rPh sb="3" eb="6">
      <t>タカラヅカシ</t>
    </rPh>
    <rPh sb="6" eb="9">
      <t>イマザトチョウ</t>
    </rPh>
    <phoneticPr fontId="1"/>
  </si>
  <si>
    <t>090-8216-4727</t>
    <phoneticPr fontId="1"/>
  </si>
  <si>
    <t>aradai.no8@icloud.com</t>
    <phoneticPr fontId="1"/>
  </si>
  <si>
    <t>宮　喜一</t>
    <rPh sb="2" eb="4">
      <t>キイチ</t>
    </rPh>
    <phoneticPr fontId="1"/>
  </si>
  <si>
    <t>ミヤ　キイチ</t>
    <phoneticPr fontId="1"/>
  </si>
  <si>
    <t>男</t>
    <rPh sb="0" eb="1">
      <t>オトコ</t>
    </rPh>
    <phoneticPr fontId="1"/>
  </si>
  <si>
    <t>665-0022</t>
    <phoneticPr fontId="1"/>
  </si>
  <si>
    <t>0797-20-7911</t>
    <phoneticPr fontId="1"/>
  </si>
  <si>
    <t>兵庫県宝塚市野上３丁目9-14</t>
    <rPh sb="0" eb="3">
      <t>ヒョウゴケン</t>
    </rPh>
    <rPh sb="3" eb="6">
      <t>タカラヅカシ</t>
    </rPh>
    <rPh sb="6" eb="8">
      <t>ノガミ</t>
    </rPh>
    <rPh sb="9" eb="11">
      <t>チョウメ</t>
    </rPh>
    <phoneticPr fontId="1"/>
  </si>
  <si>
    <t>パーキンソン病</t>
    <rPh sb="6" eb="7">
      <t>ビョウ</t>
    </rPh>
    <phoneticPr fontId="1"/>
  </si>
  <si>
    <t>渡邊　和典</t>
    <rPh sb="0" eb="2">
      <t>ワタナベ</t>
    </rPh>
    <rPh sb="3" eb="5">
      <t>カズノリ</t>
    </rPh>
    <phoneticPr fontId="1"/>
  </si>
  <si>
    <t>ワタナベ　カズノリ</t>
    <phoneticPr fontId="1"/>
  </si>
  <si>
    <t>565-0825</t>
    <phoneticPr fontId="1"/>
  </si>
  <si>
    <t>大阪府吹田市山田北8-28-01</t>
    <rPh sb="0" eb="3">
      <t>オオサカフ</t>
    </rPh>
    <rPh sb="3" eb="6">
      <t>スイタシ</t>
    </rPh>
    <rPh sb="6" eb="9">
      <t>ヤマダキタ</t>
    </rPh>
    <phoneticPr fontId="1"/>
  </si>
  <si>
    <t>13.0km</t>
    <phoneticPr fontId="1"/>
  </si>
  <si>
    <t>090-9627-0588</t>
    <phoneticPr fontId="1"/>
  </si>
  <si>
    <t>watanabe@next-i.net</t>
    <phoneticPr fontId="1"/>
  </si>
  <si>
    <t>別所　史章</t>
    <rPh sb="0" eb="2">
      <t>ベッショ</t>
    </rPh>
    <rPh sb="3" eb="4">
      <t>フミ</t>
    </rPh>
    <rPh sb="4" eb="5">
      <t>ショウ</t>
    </rPh>
    <phoneticPr fontId="1"/>
  </si>
  <si>
    <t>ベッショ　フミアキ</t>
    <phoneticPr fontId="1"/>
  </si>
  <si>
    <t>男</t>
    <rPh sb="0" eb="1">
      <t>オトコ</t>
    </rPh>
    <phoneticPr fontId="1"/>
  </si>
  <si>
    <t>666-0035</t>
    <phoneticPr fontId="1"/>
  </si>
  <si>
    <t>兵庫県川西市花屋敷2-5-21　グランボヌール107</t>
    <rPh sb="0" eb="6">
      <t>ヒョウゴケンカワニシシ</t>
    </rPh>
    <rPh sb="6" eb="9">
      <t>ハナヤシキ</t>
    </rPh>
    <phoneticPr fontId="1"/>
  </si>
  <si>
    <t>080-3773-6833</t>
    <phoneticPr fontId="1"/>
  </si>
  <si>
    <t>s094167@gmail.com</t>
    <phoneticPr fontId="1"/>
  </si>
  <si>
    <t>3.2ｋｍ</t>
    <phoneticPr fontId="1"/>
  </si>
  <si>
    <t>畑　大二郎</t>
    <rPh sb="0" eb="1">
      <t>ハタ</t>
    </rPh>
    <rPh sb="2" eb="5">
      <t>ダイジロウ</t>
    </rPh>
    <phoneticPr fontId="1"/>
  </si>
  <si>
    <t>ハタ　ダイジロウ</t>
    <phoneticPr fontId="1"/>
  </si>
  <si>
    <t>665-0816</t>
    <phoneticPr fontId="1"/>
  </si>
  <si>
    <t>兵庫県宝塚市平井3-4-2-301</t>
    <rPh sb="0" eb="3">
      <t>ヒョウゴケン</t>
    </rPh>
    <rPh sb="3" eb="6">
      <t>タカラヅカシ</t>
    </rPh>
    <rPh sb="6" eb="8">
      <t>ヒライ</t>
    </rPh>
    <phoneticPr fontId="1"/>
  </si>
  <si>
    <t>090-7758-3324</t>
    <phoneticPr fontId="1"/>
  </si>
  <si>
    <t>mlk126ybb.ne.jp@gmail.com</t>
    <phoneticPr fontId="1"/>
  </si>
  <si>
    <t>2.0km</t>
    <phoneticPr fontId="1"/>
  </si>
  <si>
    <t>村岡　英樹</t>
    <rPh sb="0" eb="2">
      <t>ムラオカ</t>
    </rPh>
    <rPh sb="3" eb="5">
      <t>ヒデキ</t>
    </rPh>
    <phoneticPr fontId="1"/>
  </si>
  <si>
    <t>665-0877</t>
    <phoneticPr fontId="1"/>
  </si>
  <si>
    <t>兵庫県宝塚市中山桜台3-7-12</t>
    <rPh sb="0" eb="6">
      <t>ヒョウゴケンタカラヅカシ</t>
    </rPh>
    <rPh sb="6" eb="8">
      <t>ナカヤマ</t>
    </rPh>
    <rPh sb="8" eb="10">
      <t>サクラダイ</t>
    </rPh>
    <phoneticPr fontId="1"/>
  </si>
  <si>
    <t>090-2387-3464</t>
    <phoneticPr fontId="1"/>
  </si>
  <si>
    <t>vakanza.doruche@gmail.com</t>
    <phoneticPr fontId="1"/>
  </si>
  <si>
    <t>3.8km</t>
    <phoneticPr fontId="1"/>
  </si>
  <si>
    <t>都築　和子</t>
    <rPh sb="0" eb="2">
      <t>ツヅキ</t>
    </rPh>
    <rPh sb="3" eb="5">
      <t>カズコ</t>
    </rPh>
    <phoneticPr fontId="1"/>
  </si>
  <si>
    <t>ツヅキ　カズコ</t>
    <phoneticPr fontId="1"/>
  </si>
  <si>
    <t>女</t>
    <rPh sb="0" eb="1">
      <t>オンナ</t>
    </rPh>
    <phoneticPr fontId="1"/>
  </si>
  <si>
    <t>563-0032</t>
    <phoneticPr fontId="1"/>
  </si>
  <si>
    <t>大阪府池田市石橋3-4-26シャーメゾンコーテム302</t>
    <rPh sb="0" eb="3">
      <t>オオサカフ</t>
    </rPh>
    <rPh sb="3" eb="6">
      <t>イケダシ</t>
    </rPh>
    <rPh sb="6" eb="8">
      <t>イシバシ</t>
    </rPh>
    <phoneticPr fontId="1"/>
  </si>
  <si>
    <t>090-3264-6590</t>
    <phoneticPr fontId="1"/>
  </si>
  <si>
    <t>tuzuk73@gmail.com</t>
    <phoneticPr fontId="1"/>
  </si>
  <si>
    <t>圓城寺　誠</t>
    <rPh sb="0" eb="1">
      <t>エン</t>
    </rPh>
    <rPh sb="1" eb="2">
      <t>ジョウ</t>
    </rPh>
    <rPh sb="2" eb="3">
      <t>テラ</t>
    </rPh>
    <rPh sb="4" eb="5">
      <t>マコト</t>
    </rPh>
    <phoneticPr fontId="1"/>
  </si>
  <si>
    <t>エンジョウジ　マコト</t>
    <phoneticPr fontId="1"/>
  </si>
  <si>
    <t>男</t>
    <rPh sb="0" eb="1">
      <t>オトコ</t>
    </rPh>
    <phoneticPr fontId="1"/>
  </si>
  <si>
    <t>665-0874</t>
    <phoneticPr fontId="1"/>
  </si>
  <si>
    <t>兵庫県宝塚市中筋2-14-8</t>
    <rPh sb="0" eb="3">
      <t>ヒョウゴケン</t>
    </rPh>
    <rPh sb="3" eb="6">
      <t>タカラヅカシ</t>
    </rPh>
    <rPh sb="6" eb="8">
      <t>ナカスジ</t>
    </rPh>
    <phoneticPr fontId="1"/>
  </si>
  <si>
    <t>080-5355-6814</t>
    <phoneticPr fontId="1"/>
  </si>
  <si>
    <t>m.enjyouji@gmail.com</t>
  </si>
  <si>
    <t>1.5km</t>
    <phoneticPr fontId="1"/>
  </si>
  <si>
    <t>藤本　剛</t>
    <rPh sb="0" eb="2">
      <t>フジモト</t>
    </rPh>
    <rPh sb="3" eb="4">
      <t>ゴウ</t>
    </rPh>
    <phoneticPr fontId="1"/>
  </si>
  <si>
    <t>フジモト　ゴウ</t>
    <phoneticPr fontId="1"/>
  </si>
  <si>
    <t>男</t>
    <rPh sb="0" eb="1">
      <t>オトコ</t>
    </rPh>
    <phoneticPr fontId="1"/>
  </si>
  <si>
    <t>665-0885</t>
    <phoneticPr fontId="1"/>
  </si>
  <si>
    <t>兵庫県宝塚市山本南1-38-19</t>
    <rPh sb="0" eb="6">
      <t>ヒョウゴケンタカラヅカシ</t>
    </rPh>
    <rPh sb="6" eb="8">
      <t>ヤマモト</t>
    </rPh>
    <rPh sb="8" eb="9">
      <t>ミナミ</t>
    </rPh>
    <phoneticPr fontId="1"/>
  </si>
  <si>
    <t>080-3794-2912</t>
    <phoneticPr fontId="1"/>
  </si>
  <si>
    <t>sarassi2003@gmail.com</t>
  </si>
  <si>
    <t>更科　渉</t>
    <rPh sb="0" eb="2">
      <t>サラシナ</t>
    </rPh>
    <rPh sb="3" eb="4">
      <t>ワタル</t>
    </rPh>
    <phoneticPr fontId="1"/>
  </si>
  <si>
    <t>サラシナ　ワタル</t>
    <phoneticPr fontId="1"/>
  </si>
  <si>
    <t>665-0871</t>
    <phoneticPr fontId="1"/>
  </si>
  <si>
    <t>兵庫県宝塚市中山五月台1-8-16</t>
    <rPh sb="0" eb="3">
      <t>ヒョウゴケン</t>
    </rPh>
    <rPh sb="3" eb="6">
      <t>タカラヅカシ</t>
    </rPh>
    <rPh sb="6" eb="11">
      <t>ナカヤマサツキダイ</t>
    </rPh>
    <phoneticPr fontId="1"/>
  </si>
  <si>
    <t>090-5463-9753</t>
    <phoneticPr fontId="1"/>
  </si>
  <si>
    <t>g.a.h.s.j.20_98@icloud.com</t>
  </si>
  <si>
    <t>塚田　厚子</t>
    <rPh sb="0" eb="2">
      <t>ツカダ</t>
    </rPh>
    <rPh sb="3" eb="5">
      <t>アツコ</t>
    </rPh>
    <phoneticPr fontId="1"/>
  </si>
  <si>
    <t>塚田　昌孝</t>
    <rPh sb="0" eb="2">
      <t>ツカダ</t>
    </rPh>
    <rPh sb="3" eb="5">
      <t>マサタカ</t>
    </rPh>
    <phoneticPr fontId="1"/>
  </si>
  <si>
    <t>ツカダ　アツコ</t>
    <phoneticPr fontId="1"/>
  </si>
  <si>
    <t>ツカダ　マサタカ</t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</si>
  <si>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</si>
  <si>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</si>
  <si>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兵庫県宝塚市すみれが丘2-1-2-302</t>
    <rPh sb="0" eb="3">
      <t>ヒョウゴケン</t>
    </rPh>
    <rPh sb="3" eb="6">
      <t>タカラヅカシ</t>
    </rPh>
    <rPh sb="10" eb="11">
      <t>オカ</t>
    </rPh>
    <phoneticPr fontId="1"/>
  </si>
  <si>
    <t>090-3397-9311</t>
    <phoneticPr fontId="1"/>
  </si>
  <si>
    <t>入会</t>
    <rPh sb="0" eb="2">
      <t>ニュウカイ</t>
    </rPh>
    <phoneticPr fontId="1"/>
  </si>
  <si>
    <t>中村　貴弘</t>
    <rPh sb="0" eb="2">
      <t>ナカムラ</t>
    </rPh>
    <rPh sb="3" eb="5">
      <t>タカヒロ</t>
    </rPh>
    <phoneticPr fontId="1"/>
  </si>
  <si>
    <t>ナカムラ　タカヒロ</t>
    <phoneticPr fontId="1"/>
  </si>
  <si>
    <t>665-0831</t>
    <phoneticPr fontId="1"/>
  </si>
  <si>
    <t>兵庫県宝塚市米谷1-39-16</t>
    <rPh sb="0" eb="3">
      <t>ヒョウゴケン</t>
    </rPh>
    <rPh sb="3" eb="6">
      <t>タカラヅカシ</t>
    </rPh>
    <rPh sb="6" eb="7">
      <t>コメ</t>
    </rPh>
    <rPh sb="7" eb="8">
      <t>タニ</t>
    </rPh>
    <phoneticPr fontId="1"/>
  </si>
  <si>
    <t>090-2280-3303</t>
    <phoneticPr fontId="1"/>
  </si>
  <si>
    <t>takachinn5963@gmail.com</t>
    <phoneticPr fontId="1"/>
  </si>
  <si>
    <t>中島　佑太</t>
    <rPh sb="0" eb="2">
      <t>ナカジマ</t>
    </rPh>
    <rPh sb="3" eb="5">
      <t>ユウタ</t>
    </rPh>
    <phoneticPr fontId="1"/>
  </si>
  <si>
    <t>ナカジマ　ユウタ</t>
    <phoneticPr fontId="1"/>
  </si>
  <si>
    <t>男</t>
    <rPh sb="0" eb="1">
      <t>オトコ</t>
    </rPh>
    <phoneticPr fontId="1"/>
  </si>
  <si>
    <t>666-0017</t>
    <phoneticPr fontId="1"/>
  </si>
  <si>
    <t>兵庫県川西市火打1-12-8 レーベン川西1502</t>
    <rPh sb="0" eb="3">
      <t>ヒョウゴケン</t>
    </rPh>
    <rPh sb="3" eb="6">
      <t>カワニシシ</t>
    </rPh>
    <rPh sb="6" eb="7">
      <t>ヒ</t>
    </rPh>
    <rPh sb="7" eb="8">
      <t>ダ</t>
    </rPh>
    <rPh sb="19" eb="21">
      <t>カワニシ</t>
    </rPh>
    <phoneticPr fontId="1"/>
  </si>
  <si>
    <t>090-9096-1110</t>
    <phoneticPr fontId="1"/>
  </si>
  <si>
    <t>zhongdaoyoutai077@gmail.com</t>
    <phoneticPr fontId="1"/>
  </si>
  <si>
    <t>林　禎二郎</t>
    <rPh sb="0" eb="1">
      <t>ハヤシ</t>
    </rPh>
    <rPh sb="2" eb="3">
      <t>ヨシ</t>
    </rPh>
    <rPh sb="3" eb="5">
      <t>ジロウ</t>
    </rPh>
    <phoneticPr fontId="1"/>
  </si>
  <si>
    <t>ハヤシ　テイジロウ</t>
    <phoneticPr fontId="1"/>
  </si>
  <si>
    <t>631-0806</t>
    <phoneticPr fontId="1"/>
  </si>
  <si>
    <t>奈良県奈良市朱雀４丁目11-17-2</t>
    <rPh sb="0" eb="3">
      <t>ナラケン</t>
    </rPh>
    <rPh sb="3" eb="6">
      <t>ナラシ</t>
    </rPh>
    <rPh sb="6" eb="8">
      <t>スジャク</t>
    </rPh>
    <rPh sb="9" eb="11">
      <t>チョウメ</t>
    </rPh>
    <phoneticPr fontId="1"/>
  </si>
  <si>
    <t>090-7763-7525</t>
    <phoneticPr fontId="1"/>
  </si>
  <si>
    <t>tei_9999@yahoo.co .jp</t>
    <phoneticPr fontId="1"/>
  </si>
  <si>
    <t>榎本プロ紹介</t>
    <rPh sb="0" eb="2">
      <t>エノモト</t>
    </rPh>
    <rPh sb="4" eb="6">
      <t>ショウカイ</t>
    </rPh>
    <phoneticPr fontId="1"/>
  </si>
  <si>
    <t>川端　一寿</t>
    <rPh sb="0" eb="2">
      <t>カワバタ</t>
    </rPh>
    <rPh sb="3" eb="5">
      <t>カズヒサ</t>
    </rPh>
    <phoneticPr fontId="1"/>
  </si>
  <si>
    <t>カワバタ　カズヒサ</t>
    <phoneticPr fontId="1"/>
  </si>
  <si>
    <t>男</t>
    <rPh sb="0" eb="1">
      <t>オトコ</t>
    </rPh>
    <phoneticPr fontId="1"/>
  </si>
  <si>
    <t>665-0836</t>
    <phoneticPr fontId="1"/>
  </si>
  <si>
    <t>兵庫県宝塚市清荒神1-7-2</t>
    <rPh sb="0" eb="3">
      <t>ヒョウゴケン</t>
    </rPh>
    <rPh sb="3" eb="6">
      <t>タカラヅカシ</t>
    </rPh>
    <rPh sb="6" eb="9">
      <t>キヨシコウジン</t>
    </rPh>
    <phoneticPr fontId="1"/>
  </si>
  <si>
    <t>090-9232-5580</t>
    <phoneticPr fontId="1"/>
  </si>
  <si>
    <t>kazuhisakawabata0426@gmail.com</t>
    <phoneticPr fontId="1"/>
  </si>
  <si>
    <t>木村千賀子様　夫</t>
    <rPh sb="0" eb="2">
      <t>キムラ</t>
    </rPh>
    <rPh sb="2" eb="5">
      <t>チカコ</t>
    </rPh>
    <rPh sb="5" eb="6">
      <t>サマ</t>
    </rPh>
    <rPh sb="7" eb="8">
      <t>オット</t>
    </rPh>
    <phoneticPr fontId="1"/>
  </si>
  <si>
    <t>購入</t>
    <rPh sb="0" eb="2">
      <t>コウニュウ</t>
    </rPh>
    <phoneticPr fontId="1"/>
  </si>
  <si>
    <t>中村　元信</t>
    <rPh sb="0" eb="2">
      <t>ナカムラ</t>
    </rPh>
    <rPh sb="3" eb="5">
      <t>モトノブ</t>
    </rPh>
    <phoneticPr fontId="1"/>
  </si>
  <si>
    <t>ナカムラ　モトノブ</t>
    <phoneticPr fontId="1"/>
  </si>
  <si>
    <t>trial入会</t>
    <rPh sb="5" eb="7">
      <t>ニュウカイ</t>
    </rPh>
    <phoneticPr fontId="1"/>
  </si>
  <si>
    <t>和島様友人　入会興味あり</t>
    <rPh sb="0" eb="3">
      <t>ワジマサマ</t>
    </rPh>
    <rPh sb="3" eb="5">
      <t>ユウジン</t>
    </rPh>
    <rPh sb="6" eb="8">
      <t>ニュウカイ</t>
    </rPh>
    <rPh sb="8" eb="10">
      <t>キョウミ</t>
    </rPh>
    <phoneticPr fontId="1"/>
  </si>
  <si>
    <t>種田　靖</t>
    <rPh sb="0" eb="2">
      <t>タネダ</t>
    </rPh>
    <rPh sb="3" eb="4">
      <t>ヤスシ</t>
    </rPh>
    <phoneticPr fontId="1"/>
  </si>
  <si>
    <t>稲垣　涼太</t>
    <rPh sb="0" eb="2">
      <t>イナガキ</t>
    </rPh>
    <rPh sb="3" eb="5">
      <t>リョウタ</t>
    </rPh>
    <phoneticPr fontId="1"/>
  </si>
  <si>
    <t>松山　勝雄</t>
    <rPh sb="0" eb="2">
      <t>マツヤマ</t>
    </rPh>
    <rPh sb="3" eb="5">
      <t>カツオ</t>
    </rPh>
    <phoneticPr fontId="1"/>
  </si>
  <si>
    <t>諸岡　憲徹</t>
    <rPh sb="0" eb="2">
      <t>モロオカ</t>
    </rPh>
    <rPh sb="3" eb="4">
      <t>ケン</t>
    </rPh>
    <rPh sb="4" eb="5">
      <t>テツ</t>
    </rPh>
    <phoneticPr fontId="1"/>
  </si>
  <si>
    <t>タネダ　ヤスシ</t>
    <phoneticPr fontId="1"/>
  </si>
  <si>
    <t>イナガキ　リョウタ</t>
    <phoneticPr fontId="1"/>
  </si>
  <si>
    <t>マツヤマ　カツオ</t>
    <phoneticPr fontId="1"/>
  </si>
  <si>
    <t>会員様</t>
    <rPh sb="0" eb="2">
      <t>カイイン</t>
    </rPh>
    <rPh sb="2" eb="3">
      <t>サマ</t>
    </rPh>
    <phoneticPr fontId="1"/>
  </si>
  <si>
    <t>665-0875</t>
    <phoneticPr fontId="1"/>
  </si>
  <si>
    <t>664-0001</t>
    <phoneticPr fontId="1"/>
  </si>
  <si>
    <t>前田實様紹介</t>
    <rPh sb="0" eb="2">
      <t>マエダ</t>
    </rPh>
    <rPh sb="2" eb="3">
      <t>ミノル</t>
    </rPh>
    <rPh sb="3" eb="4">
      <t>サマ</t>
    </rPh>
    <rPh sb="4" eb="6">
      <t>ショウカイ</t>
    </rPh>
    <phoneticPr fontId="1"/>
  </si>
  <si>
    <t>入会</t>
    <rPh sb="0" eb="2">
      <t>ニュウカイ</t>
    </rPh>
    <phoneticPr fontId="1"/>
  </si>
  <si>
    <t>友人紹介</t>
    <rPh sb="0" eb="2">
      <t>ユウジン</t>
    </rPh>
    <rPh sb="2" eb="4">
      <t>ショウカイ</t>
    </rPh>
    <phoneticPr fontId="1"/>
  </si>
  <si>
    <t>兵庫県宝塚市中筋山手7-12-13</t>
    <rPh sb="0" eb="3">
      <t>ヒョウゴケン</t>
    </rPh>
    <rPh sb="3" eb="6">
      <t>タカラヅカシ</t>
    </rPh>
    <rPh sb="6" eb="8">
      <t>ナカスジ</t>
    </rPh>
    <rPh sb="8" eb="10">
      <t>ヤマテ</t>
    </rPh>
    <phoneticPr fontId="1"/>
  </si>
  <si>
    <t>090-6666-3592</t>
    <phoneticPr fontId="1"/>
  </si>
  <si>
    <t>090-1149-3117</t>
    <phoneticPr fontId="1"/>
  </si>
  <si>
    <t>090-3489-2440</t>
    <phoneticPr fontId="1"/>
  </si>
  <si>
    <t>兵庫県伊丹市荒牧5-3-17-306</t>
    <rPh sb="0" eb="3">
      <t>ヒョウゴケン</t>
    </rPh>
    <rPh sb="3" eb="6">
      <t>イタミシ</t>
    </rPh>
    <rPh sb="6" eb="8">
      <t>アラマキ</t>
    </rPh>
    <phoneticPr fontId="1"/>
  </si>
  <si>
    <t>兵庫県宝塚市売布きよしガ丘13-9</t>
    <rPh sb="0" eb="3">
      <t>ヒョウゴケン</t>
    </rPh>
    <rPh sb="3" eb="6">
      <t>タカラヅカシ</t>
    </rPh>
    <rPh sb="6" eb="8">
      <t>メフ</t>
    </rPh>
    <rPh sb="12" eb="13">
      <t>オカ</t>
    </rPh>
    <phoneticPr fontId="1"/>
  </si>
  <si>
    <t>yasukumi20080808@gmail.com</t>
    <phoneticPr fontId="1"/>
  </si>
  <si>
    <t>ryoryo0924@icloud.com</t>
    <phoneticPr fontId="1"/>
  </si>
  <si>
    <t>665-0852</t>
    <phoneticPr fontId="1"/>
  </si>
  <si>
    <t>田平　真規子</t>
    <rPh sb="0" eb="2">
      <t>タビラ</t>
    </rPh>
    <rPh sb="3" eb="4">
      <t>マ</t>
    </rPh>
    <rPh sb="4" eb="5">
      <t>キ</t>
    </rPh>
    <rPh sb="5" eb="6">
      <t>コ</t>
    </rPh>
    <phoneticPr fontId="1"/>
  </si>
  <si>
    <t>タビラ　マキコ</t>
    <phoneticPr fontId="1"/>
  </si>
  <si>
    <t>女</t>
    <rPh sb="0" eb="1">
      <t>オンナ</t>
    </rPh>
    <phoneticPr fontId="1"/>
  </si>
  <si>
    <t>560-0003</t>
    <phoneticPr fontId="1"/>
  </si>
  <si>
    <t>大阪府豊中市東豊中町1-26-17</t>
    <rPh sb="0" eb="3">
      <t>オオサカフ</t>
    </rPh>
    <rPh sb="3" eb="6">
      <t>トヨナカシ</t>
    </rPh>
    <rPh sb="6" eb="7">
      <t>ヒガシ</t>
    </rPh>
    <rPh sb="7" eb="9">
      <t>トヨナカ</t>
    </rPh>
    <rPh sb="9" eb="10">
      <t>チョウ</t>
    </rPh>
    <phoneticPr fontId="1"/>
  </si>
  <si>
    <t>080-5355-3672</t>
    <phoneticPr fontId="1"/>
  </si>
  <si>
    <t>9.8km</t>
    <phoneticPr fontId="1"/>
  </si>
  <si>
    <t>小川紹介</t>
    <rPh sb="0" eb="2">
      <t>オガワ</t>
    </rPh>
    <rPh sb="2" eb="4">
      <t>ショウカイ</t>
    </rPh>
    <phoneticPr fontId="1"/>
  </si>
  <si>
    <t>入会</t>
    <rPh sb="0" eb="2">
      <t>ニュウカイ</t>
    </rPh>
    <phoneticPr fontId="1"/>
  </si>
  <si>
    <t>通りすがり</t>
    <rPh sb="0" eb="1">
      <t>トオ</t>
    </rPh>
    <phoneticPr fontId="1"/>
  </si>
  <si>
    <t>阪本　星渡</t>
    <rPh sb="0" eb="2">
      <t>サカモト</t>
    </rPh>
    <rPh sb="3" eb="4">
      <t>ホシ</t>
    </rPh>
    <rPh sb="4" eb="5">
      <t>ワタ</t>
    </rPh>
    <phoneticPr fontId="1"/>
  </si>
  <si>
    <t>サカモト　セイト</t>
    <phoneticPr fontId="1"/>
  </si>
  <si>
    <t>665-0882</t>
    <phoneticPr fontId="1"/>
  </si>
  <si>
    <t>兵庫県宝塚市山本南2-14-11</t>
    <rPh sb="0" eb="6">
      <t>ヒョウゴケンタカラヅカシ</t>
    </rPh>
    <rPh sb="6" eb="9">
      <t>ヤマモトミナミ</t>
    </rPh>
    <phoneticPr fontId="1"/>
  </si>
  <si>
    <t>080-2510-5951</t>
    <phoneticPr fontId="1"/>
  </si>
  <si>
    <t>0425starwars@gmail.com</t>
    <phoneticPr fontId="1"/>
  </si>
  <si>
    <t>野尻　哲平</t>
    <rPh sb="0" eb="2">
      <t>ノジリ</t>
    </rPh>
    <rPh sb="3" eb="5">
      <t>テッペイ</t>
    </rPh>
    <phoneticPr fontId="1"/>
  </si>
  <si>
    <t>ノジリ　テッペイ</t>
    <phoneticPr fontId="1"/>
  </si>
  <si>
    <t>男</t>
    <rPh sb="0" eb="1">
      <t>オトコ</t>
    </rPh>
    <phoneticPr fontId="1"/>
  </si>
  <si>
    <t>530-0042</t>
    <phoneticPr fontId="1"/>
  </si>
  <si>
    <t>大阪府大阪市北区天神橋２丁目北1-13-203</t>
    <rPh sb="0" eb="3">
      <t>オオサカフ</t>
    </rPh>
    <rPh sb="3" eb="6">
      <t>オオサカシ</t>
    </rPh>
    <rPh sb="6" eb="8">
      <t>キタク</t>
    </rPh>
    <rPh sb="8" eb="11">
      <t>テンジンバシ</t>
    </rPh>
    <rPh sb="12" eb="15">
      <t>チョウメキタ</t>
    </rPh>
    <phoneticPr fontId="1"/>
  </si>
  <si>
    <t>600m</t>
    <phoneticPr fontId="1"/>
  </si>
  <si>
    <t>22km</t>
    <phoneticPr fontId="1"/>
  </si>
  <si>
    <t>090-3706-5589</t>
    <phoneticPr fontId="1"/>
  </si>
  <si>
    <t>山崎　晋知可</t>
    <rPh sb="0" eb="2">
      <t>ヤマザキ</t>
    </rPh>
    <rPh sb="3" eb="4">
      <t>シン</t>
    </rPh>
    <rPh sb="4" eb="5">
      <t>チ</t>
    </rPh>
    <rPh sb="5" eb="6">
      <t>カ</t>
    </rPh>
    <phoneticPr fontId="1"/>
  </si>
  <si>
    <t>ヤマザキ　クニチカ</t>
    <phoneticPr fontId="1"/>
  </si>
  <si>
    <t>530-0027</t>
    <phoneticPr fontId="1"/>
  </si>
  <si>
    <t>大阪府大阪市堂山町13-25-804</t>
    <rPh sb="0" eb="3">
      <t>オオサカフ</t>
    </rPh>
    <rPh sb="3" eb="6">
      <t>オオサカシ</t>
    </rPh>
    <rPh sb="6" eb="8">
      <t>ドウヤマ</t>
    </rPh>
    <rPh sb="8" eb="9">
      <t>マチ</t>
    </rPh>
    <phoneticPr fontId="1"/>
  </si>
  <si>
    <t>080-2501-1336</t>
    <phoneticPr fontId="1"/>
  </si>
  <si>
    <t>23km</t>
    <phoneticPr fontId="1"/>
  </si>
  <si>
    <t>野崎　絵里</t>
    <rPh sb="0" eb="2">
      <t>ノザキ</t>
    </rPh>
    <rPh sb="3" eb="5">
      <t>エリ</t>
    </rPh>
    <phoneticPr fontId="1"/>
  </si>
  <si>
    <t>ノザキ　エリ</t>
    <phoneticPr fontId="1"/>
  </si>
  <si>
    <t>531-0061</t>
    <phoneticPr fontId="1"/>
  </si>
  <si>
    <t>大阪府大阪市北区長柄西1-3-54</t>
    <rPh sb="0" eb="3">
      <t>オオサカフ</t>
    </rPh>
    <rPh sb="3" eb="6">
      <t>オオサカシ</t>
    </rPh>
    <rPh sb="6" eb="8">
      <t>キタク</t>
    </rPh>
    <rPh sb="8" eb="9">
      <t>ナガ</t>
    </rPh>
    <rPh sb="9" eb="10">
      <t>ガラ</t>
    </rPh>
    <rPh sb="10" eb="11">
      <t>ニシ</t>
    </rPh>
    <phoneticPr fontId="1"/>
  </si>
  <si>
    <t>24km</t>
    <phoneticPr fontId="1"/>
  </si>
  <si>
    <t>090-966-0313</t>
    <phoneticPr fontId="1"/>
  </si>
  <si>
    <t>榎本紹介</t>
    <rPh sb="0" eb="2">
      <t>エノモト</t>
    </rPh>
    <rPh sb="2" eb="4">
      <t>ショウカイ</t>
    </rPh>
    <phoneticPr fontId="1"/>
  </si>
  <si>
    <t>藤井　康誠</t>
    <rPh sb="0" eb="2">
      <t>フジイ</t>
    </rPh>
    <rPh sb="3" eb="4">
      <t>ヤス</t>
    </rPh>
    <rPh sb="4" eb="5">
      <t>マコト</t>
    </rPh>
    <phoneticPr fontId="1"/>
  </si>
  <si>
    <t>フジイ　ヤスノブ</t>
    <phoneticPr fontId="1"/>
  </si>
  <si>
    <t>男</t>
    <rPh sb="0" eb="1">
      <t>オトコ</t>
    </rPh>
    <phoneticPr fontId="1"/>
  </si>
  <si>
    <t>665-0034</t>
    <phoneticPr fontId="1"/>
  </si>
  <si>
    <t>兵庫県宝塚市小林２丁目12-10-201</t>
    <rPh sb="0" eb="3">
      <t>ヒョウゴケン</t>
    </rPh>
    <rPh sb="3" eb="6">
      <t>タカラヅカシ</t>
    </rPh>
    <rPh sb="6" eb="8">
      <t>コバヤシ</t>
    </rPh>
    <rPh sb="9" eb="11">
      <t>チョウメ</t>
    </rPh>
    <phoneticPr fontId="1"/>
  </si>
  <si>
    <t>090-5660-1430</t>
    <phoneticPr fontId="1"/>
  </si>
  <si>
    <t>チラシ</t>
    <phoneticPr fontId="1"/>
  </si>
  <si>
    <t>藤井　美鶴</t>
    <rPh sb="0" eb="2">
      <t>フジイ</t>
    </rPh>
    <rPh sb="3" eb="5">
      <t>ミツル</t>
    </rPh>
    <phoneticPr fontId="1"/>
  </si>
  <si>
    <t>フジイ　ミツル</t>
    <phoneticPr fontId="1"/>
  </si>
  <si>
    <t>090-5164-5462</t>
    <phoneticPr fontId="1"/>
  </si>
  <si>
    <t>mitsuru19660715@yahoo.co.jp</t>
    <phoneticPr fontId="1"/>
  </si>
  <si>
    <t>平井　菜美</t>
    <rPh sb="0" eb="2">
      <t>ヒライ</t>
    </rPh>
    <rPh sb="3" eb="5">
      <t>ナミ</t>
    </rPh>
    <phoneticPr fontId="1"/>
  </si>
  <si>
    <t>ヒライ　ナミ</t>
    <phoneticPr fontId="1"/>
  </si>
  <si>
    <t>658-0051</t>
    <phoneticPr fontId="1"/>
  </si>
  <si>
    <t>兵庫県神戸市東灘区住吉本町2丁目15-16ディアス住吉202</t>
    <rPh sb="0" eb="3">
      <t>ヒョウゴケン</t>
    </rPh>
    <rPh sb="3" eb="6">
      <t>コウベシ</t>
    </rPh>
    <rPh sb="6" eb="9">
      <t>ヒガシナダク</t>
    </rPh>
    <rPh sb="9" eb="13">
      <t>スミヨシホンマチ</t>
    </rPh>
    <rPh sb="14" eb="16">
      <t>チョウメ</t>
    </rPh>
    <rPh sb="25" eb="27">
      <t>スミヨシ</t>
    </rPh>
    <phoneticPr fontId="1"/>
  </si>
  <si>
    <t>080-6109-0378</t>
    <phoneticPr fontId="1"/>
  </si>
  <si>
    <t>tkrtkrluv@yahoo.co.jp</t>
    <phoneticPr fontId="1"/>
  </si>
  <si>
    <t>中島　大昴</t>
    <rPh sb="0" eb="2">
      <t>ナカジマ</t>
    </rPh>
    <rPh sb="3" eb="4">
      <t>ダイ</t>
    </rPh>
    <rPh sb="4" eb="5">
      <t>スバル</t>
    </rPh>
    <phoneticPr fontId="1"/>
  </si>
  <si>
    <t>男</t>
    <rPh sb="0" eb="1">
      <t>オトコ</t>
    </rPh>
    <phoneticPr fontId="1"/>
  </si>
  <si>
    <t>670-0993</t>
    <phoneticPr fontId="1"/>
  </si>
  <si>
    <t>兵庫県姫路市千代田町659</t>
    <rPh sb="0" eb="3">
      <t>ヒョウゴケン</t>
    </rPh>
    <rPh sb="3" eb="6">
      <t>ヒメジシ</t>
    </rPh>
    <rPh sb="6" eb="8">
      <t>チヨ</t>
    </rPh>
    <rPh sb="8" eb="9">
      <t>タ</t>
    </rPh>
    <rPh sb="9" eb="10">
      <t>チョウ</t>
    </rPh>
    <phoneticPr fontId="1"/>
  </si>
  <si>
    <t>83km</t>
    <phoneticPr fontId="1"/>
  </si>
  <si>
    <t>090-5645-1995</t>
    <phoneticPr fontId="1"/>
  </si>
  <si>
    <t>チラシ</t>
    <phoneticPr fontId="1"/>
  </si>
  <si>
    <t>2025/7/26　再来</t>
    <rPh sb="10" eb="12">
      <t>サイライ</t>
    </rPh>
    <phoneticPr fontId="1"/>
  </si>
  <si>
    <t>原　真也</t>
    <rPh sb="0" eb="1">
      <t>ハラ</t>
    </rPh>
    <rPh sb="2" eb="4">
      <t>シンヤ</t>
    </rPh>
    <phoneticPr fontId="1"/>
  </si>
  <si>
    <t>ハラ　シンヤ</t>
    <phoneticPr fontId="1"/>
  </si>
  <si>
    <t>男</t>
    <rPh sb="0" eb="1">
      <t>オトコ</t>
    </rPh>
    <phoneticPr fontId="1"/>
  </si>
  <si>
    <t>080-3113-7462</t>
    <phoneticPr fontId="1"/>
  </si>
  <si>
    <t>665-0852</t>
    <phoneticPr fontId="1"/>
  </si>
  <si>
    <t>兵庫県宝塚市売布1-8-4</t>
    <rPh sb="0" eb="3">
      <t>ヒョウゴケン</t>
    </rPh>
    <rPh sb="3" eb="6">
      <t>タカラヅカシ</t>
    </rPh>
    <rPh sb="6" eb="8">
      <t>メフ</t>
    </rPh>
    <phoneticPr fontId="1"/>
  </si>
  <si>
    <t>shinya1104`gmail.com</t>
    <phoneticPr fontId="1"/>
  </si>
  <si>
    <t>松本　悟郎</t>
    <rPh sb="0" eb="2">
      <t>マツモト</t>
    </rPh>
    <rPh sb="3" eb="5">
      <t>ゴロウ</t>
    </rPh>
    <phoneticPr fontId="1"/>
  </si>
  <si>
    <t>マツモト　ゴロウ</t>
    <phoneticPr fontId="1"/>
  </si>
  <si>
    <t>男</t>
    <rPh sb="0" eb="1">
      <t>オトコ</t>
    </rPh>
    <phoneticPr fontId="1"/>
  </si>
  <si>
    <t>兵庫県宝塚市山本中1-8-2-101</t>
    <rPh sb="0" eb="3">
      <t>ヒョウゴケン</t>
    </rPh>
    <rPh sb="3" eb="6">
      <t>タカラヅカシ</t>
    </rPh>
    <rPh sb="6" eb="8">
      <t>ヤマモト</t>
    </rPh>
    <rPh sb="8" eb="9">
      <t>ナカ</t>
    </rPh>
    <phoneticPr fontId="1"/>
  </si>
  <si>
    <t>090-4033-0056</t>
    <phoneticPr fontId="1"/>
  </si>
  <si>
    <t>g1206matsu@gmail.com</t>
    <phoneticPr fontId="1"/>
  </si>
  <si>
    <t>KGU</t>
    <phoneticPr fontId="1"/>
  </si>
  <si>
    <t>trial入会→レギュラー入会</t>
    <rPh sb="5" eb="7">
      <t>ニュウカイ</t>
    </rPh>
    <rPh sb="13" eb="15">
      <t>ニュウカイ</t>
    </rPh>
    <phoneticPr fontId="1"/>
  </si>
  <si>
    <t>前田　翔瑛</t>
    <rPh sb="0" eb="2">
      <t>マエダ</t>
    </rPh>
    <rPh sb="3" eb="4">
      <t>ショウ</t>
    </rPh>
    <rPh sb="4" eb="5">
      <t>エイ</t>
    </rPh>
    <phoneticPr fontId="1"/>
  </si>
  <si>
    <t>マエダ　ショウエイ</t>
    <phoneticPr fontId="1"/>
  </si>
  <si>
    <t>男</t>
    <rPh sb="0" eb="1">
      <t>オトコ</t>
    </rPh>
    <phoneticPr fontId="1"/>
  </si>
  <si>
    <t>664-0007</t>
    <phoneticPr fontId="1"/>
  </si>
  <si>
    <t>兵庫県伊丹市北野2-1-5</t>
    <rPh sb="0" eb="3">
      <t>ヒョウゴケン</t>
    </rPh>
    <rPh sb="3" eb="6">
      <t>イタミシ</t>
    </rPh>
    <rPh sb="6" eb="8">
      <t>キタノ</t>
    </rPh>
    <phoneticPr fontId="1"/>
  </si>
  <si>
    <t>090-8158-1108</t>
    <phoneticPr fontId="1"/>
  </si>
  <si>
    <t>s50shouei1108@icloud.com</t>
    <phoneticPr fontId="1"/>
  </si>
  <si>
    <t>稲垣様紹介</t>
    <rPh sb="0" eb="2">
      <t>イナガキ</t>
    </rPh>
    <rPh sb="2" eb="3">
      <t>サマ</t>
    </rPh>
    <rPh sb="3" eb="5">
      <t>ショウカイ</t>
    </rPh>
    <phoneticPr fontId="1"/>
  </si>
  <si>
    <t>ナミコス 牧野様 090-3488-9627</t>
    <rPh sb="5" eb="7">
      <t>マキノ</t>
    </rPh>
    <rPh sb="7" eb="8">
      <t>サマ</t>
    </rPh>
    <phoneticPr fontId="1"/>
  </si>
  <si>
    <t>〒540-0037　大阪市中央区内平野町2-3-14　ライオンズ大手前８F　（株）ナミコス牧野</t>
    <rPh sb="10" eb="13">
      <t>オオサカシ</t>
    </rPh>
    <rPh sb="13" eb="16">
      <t>チュウオウク</t>
    </rPh>
    <rPh sb="16" eb="17">
      <t>ウチ</t>
    </rPh>
    <rPh sb="17" eb="18">
      <t>ヒラ</t>
    </rPh>
    <rPh sb="18" eb="19">
      <t>ノ</t>
    </rPh>
    <rPh sb="19" eb="20">
      <t>チョウ</t>
    </rPh>
    <rPh sb="32" eb="35">
      <t>オオテマエ</t>
    </rPh>
    <rPh sb="39" eb="40">
      <t>カブ</t>
    </rPh>
    <rPh sb="45" eb="47">
      <t>マキノ</t>
    </rPh>
    <phoneticPr fontId="1"/>
  </si>
  <si>
    <t>〒604-0911　京都市中京区清水町358-3-701　牧野あつひと　090-1593-4639</t>
    <rPh sb="10" eb="13">
      <t>キョウトシ</t>
    </rPh>
    <rPh sb="13" eb="16">
      <t>ナカギョウク</t>
    </rPh>
    <rPh sb="16" eb="19">
      <t>シミズチョウ</t>
    </rPh>
    <rPh sb="29" eb="31">
      <t>マキノ</t>
    </rPh>
    <phoneticPr fontId="1"/>
  </si>
  <si>
    <t>加藤　祐司</t>
    <rPh sb="0" eb="2">
      <t>カトウ</t>
    </rPh>
    <rPh sb="3" eb="5">
      <t>ユウジ</t>
    </rPh>
    <phoneticPr fontId="1"/>
  </si>
  <si>
    <t>カトウ　ユウジ</t>
    <phoneticPr fontId="1"/>
  </si>
  <si>
    <t>男</t>
    <rPh sb="0" eb="1">
      <t>オトコ</t>
    </rPh>
    <phoneticPr fontId="1"/>
  </si>
  <si>
    <t>665-0887</t>
    <phoneticPr fontId="1"/>
  </si>
  <si>
    <t>兵庫県宝塚市山手台5-32-1</t>
    <rPh sb="0" eb="3">
      <t>ヒョウゴケン</t>
    </rPh>
    <rPh sb="3" eb="6">
      <t>タカラヅカシ</t>
    </rPh>
    <rPh sb="6" eb="9">
      <t>ヤマテダイ</t>
    </rPh>
    <phoneticPr fontId="1"/>
  </si>
  <si>
    <t>090-2683-5624</t>
    <phoneticPr fontId="1"/>
  </si>
  <si>
    <t>yuztox5@me.com</t>
    <phoneticPr fontId="1"/>
  </si>
  <si>
    <t>江上　敦哉</t>
    <rPh sb="0" eb="2">
      <t>エガミ</t>
    </rPh>
    <rPh sb="3" eb="5">
      <t>アツヤ</t>
    </rPh>
    <phoneticPr fontId="1"/>
  </si>
  <si>
    <t>エガミ　アツキ</t>
    <phoneticPr fontId="1"/>
  </si>
  <si>
    <t>678/0259</t>
    <phoneticPr fontId="1"/>
  </si>
  <si>
    <t>兵庫県赤穂市黒崎町47アフロディーテ202</t>
    <rPh sb="0" eb="3">
      <t>ヒョウゴケン</t>
    </rPh>
    <rPh sb="3" eb="6">
      <t>アコウシ</t>
    </rPh>
    <rPh sb="6" eb="9">
      <t>クロサキチョウ</t>
    </rPh>
    <phoneticPr fontId="1"/>
  </si>
  <si>
    <t>090-5294-4401</t>
    <phoneticPr fontId="1"/>
  </si>
  <si>
    <t>滋野様紹介</t>
    <rPh sb="0" eb="2">
      <t>シゲノ</t>
    </rPh>
    <rPh sb="2" eb="3">
      <t>サマ</t>
    </rPh>
    <rPh sb="3" eb="5">
      <t>ショウカイ</t>
    </rPh>
    <phoneticPr fontId="1"/>
  </si>
  <si>
    <t>小西　智之</t>
    <rPh sb="0" eb="2">
      <t>コニシ</t>
    </rPh>
    <rPh sb="3" eb="5">
      <t>トモユキ</t>
    </rPh>
    <phoneticPr fontId="1"/>
  </si>
  <si>
    <t>男</t>
    <rPh sb="0" eb="1">
      <t>オトコ</t>
    </rPh>
    <phoneticPr fontId="1"/>
  </si>
  <si>
    <t>665-0032</t>
    <phoneticPr fontId="1"/>
  </si>
  <si>
    <t>兵庫県宝塚市東洋町6-1-213</t>
    <rPh sb="0" eb="3">
      <t>ヒョウゴケン</t>
    </rPh>
    <rPh sb="3" eb="6">
      <t>タカラヅカシ</t>
    </rPh>
    <rPh sb="6" eb="9">
      <t>トウヨウチョウ</t>
    </rPh>
    <phoneticPr fontId="1"/>
  </si>
  <si>
    <t>090-2598-4059</t>
    <phoneticPr fontId="1"/>
  </si>
  <si>
    <t>09025984059k@gmail.com</t>
    <phoneticPr fontId="1"/>
  </si>
  <si>
    <t>インターネット</t>
    <phoneticPr fontId="1"/>
  </si>
  <si>
    <t>持田　悠</t>
    <rPh sb="0" eb="2">
      <t>モチダ</t>
    </rPh>
    <rPh sb="3" eb="4">
      <t>ユウ</t>
    </rPh>
    <phoneticPr fontId="1"/>
  </si>
  <si>
    <t>モチダ　ユウ</t>
    <phoneticPr fontId="1"/>
  </si>
  <si>
    <t>665-0031</t>
    <phoneticPr fontId="1"/>
  </si>
  <si>
    <t>兵庫県宝塚市末広町2-3-305</t>
    <rPh sb="0" eb="3">
      <t>ヒョウゴケン</t>
    </rPh>
    <rPh sb="3" eb="6">
      <t>タカラヅカシ</t>
    </rPh>
    <rPh sb="6" eb="9">
      <t>スエヒロチョウ</t>
    </rPh>
    <phoneticPr fontId="1"/>
  </si>
  <si>
    <t>090-6980-4577</t>
    <phoneticPr fontId="1"/>
  </si>
  <si>
    <t>yu.mochida1981@gmail.com</t>
    <phoneticPr fontId="1"/>
  </si>
  <si>
    <t>永井　健一</t>
    <rPh sb="0" eb="2">
      <t>ナガイ</t>
    </rPh>
    <rPh sb="3" eb="5">
      <t>ケンイチ</t>
    </rPh>
    <phoneticPr fontId="1"/>
  </si>
  <si>
    <t>ナガイ　ケンイチ</t>
    <phoneticPr fontId="1"/>
  </si>
  <si>
    <t>659-0096</t>
    <phoneticPr fontId="1"/>
  </si>
  <si>
    <t>兵庫県芦屋市山手町16-9</t>
    <rPh sb="0" eb="3">
      <t>ヒョウゴケン</t>
    </rPh>
    <rPh sb="3" eb="6">
      <t>アシヤシ</t>
    </rPh>
    <rPh sb="6" eb="9">
      <t>ヤマテチョウ</t>
    </rPh>
    <phoneticPr fontId="1"/>
  </si>
  <si>
    <t>090-5645-3993</t>
    <phoneticPr fontId="1"/>
  </si>
  <si>
    <t>隅　健太郎</t>
    <rPh sb="0" eb="1">
      <t>スミ</t>
    </rPh>
    <rPh sb="2" eb="5">
      <t>ケンタロウ</t>
    </rPh>
    <phoneticPr fontId="1"/>
  </si>
  <si>
    <t>スミ　ケンタロウ</t>
    <phoneticPr fontId="1"/>
  </si>
  <si>
    <t>19897/3/3</t>
    <phoneticPr fontId="1"/>
  </si>
  <si>
    <t>男</t>
    <rPh sb="0" eb="1">
      <t>オトコ</t>
    </rPh>
    <phoneticPr fontId="1"/>
  </si>
  <si>
    <t>665-0887</t>
    <phoneticPr fontId="1"/>
  </si>
  <si>
    <t>兵庫県宝塚市山手台東3丁目22-2</t>
    <rPh sb="0" eb="3">
      <t>ヒョウゴケン</t>
    </rPh>
    <rPh sb="3" eb="6">
      <t>タカラヅカシ</t>
    </rPh>
    <rPh sb="6" eb="9">
      <t>ヤマテダイ</t>
    </rPh>
    <rPh sb="9" eb="10">
      <t>ヒガシ</t>
    </rPh>
    <rPh sb="11" eb="13">
      <t>チョウメ</t>
    </rPh>
    <phoneticPr fontId="1"/>
  </si>
  <si>
    <t>080-5004-1733</t>
    <phoneticPr fontId="1"/>
  </si>
  <si>
    <t>superpochi33@gmail.com</t>
    <phoneticPr fontId="1"/>
  </si>
  <si>
    <t>石橋　諒大</t>
    <rPh sb="0" eb="2">
      <t>イシバシ</t>
    </rPh>
    <rPh sb="3" eb="5">
      <t>リョウタ</t>
    </rPh>
    <phoneticPr fontId="1"/>
  </si>
  <si>
    <t>イシバシ　リョウタ</t>
    <phoneticPr fontId="1"/>
  </si>
  <si>
    <t>665-0813</t>
    <phoneticPr fontId="1"/>
  </si>
  <si>
    <t>兵庫県宝塚市口谷西1-5-2　ツインコート宝塚山本807</t>
    <rPh sb="0" eb="3">
      <t>ヒョウゴケン</t>
    </rPh>
    <rPh sb="3" eb="6">
      <t>タカラヅカシ</t>
    </rPh>
    <rPh sb="6" eb="8">
      <t>クチタニ</t>
    </rPh>
    <rPh sb="8" eb="9">
      <t>ニシ</t>
    </rPh>
    <rPh sb="21" eb="23">
      <t>タカラヅカ</t>
    </rPh>
    <rPh sb="23" eb="25">
      <t>ヤマモト</t>
    </rPh>
    <phoneticPr fontId="1"/>
  </si>
  <si>
    <t>550ｍ</t>
    <phoneticPr fontId="1"/>
  </si>
  <si>
    <t>090-5645-7473</t>
    <phoneticPr fontId="1"/>
  </si>
  <si>
    <t>ryota2131@icloud.com</t>
    <phoneticPr fontId="1"/>
  </si>
  <si>
    <t>石其正一</t>
    <rPh sb="0" eb="1">
      <t>イシ</t>
    </rPh>
    <rPh sb="1" eb="2">
      <t>ソ</t>
    </rPh>
    <rPh sb="2" eb="4">
      <t>ショウイチ</t>
    </rPh>
    <phoneticPr fontId="1"/>
  </si>
  <si>
    <t>665-0887</t>
    <phoneticPr fontId="1"/>
  </si>
  <si>
    <t>兵庫県宝塚市山手台東5-13-21</t>
    <rPh sb="0" eb="6">
      <t>ヒョウゴケンタカラヅカシ</t>
    </rPh>
    <rPh sb="6" eb="9">
      <t>ヤマテダイ</t>
    </rPh>
    <rPh sb="9" eb="10">
      <t>ヒガシ</t>
    </rPh>
    <phoneticPr fontId="1"/>
  </si>
  <si>
    <t>070-2867-1517</t>
    <phoneticPr fontId="1"/>
  </si>
  <si>
    <t>christina1111@vip.qq.com</t>
  </si>
  <si>
    <t>４月入会予定</t>
    <rPh sb="1" eb="2">
      <t>ガツ</t>
    </rPh>
    <rPh sb="2" eb="6">
      <t>ニュウカイヨテイ</t>
    </rPh>
    <phoneticPr fontId="1"/>
  </si>
  <si>
    <t>兵庫県川西市栄町27-5-305</t>
    <rPh sb="0" eb="3">
      <t>ヒョウゴケン</t>
    </rPh>
    <phoneticPr fontId="1"/>
  </si>
  <si>
    <t>090-1442-7822</t>
    <phoneticPr fontId="1"/>
  </si>
  <si>
    <t>torubd1@gmail.com</t>
    <phoneticPr fontId="1"/>
  </si>
  <si>
    <t>マツヤマ　トオル</t>
    <phoneticPr fontId="1"/>
  </si>
  <si>
    <t>男</t>
    <rPh sb="0" eb="1">
      <t>オトコ</t>
    </rPh>
    <phoneticPr fontId="1"/>
  </si>
  <si>
    <t>666-0033</t>
    <phoneticPr fontId="1"/>
  </si>
  <si>
    <t>松山　徹</t>
    <phoneticPr fontId="1"/>
  </si>
  <si>
    <t>岡上　渉</t>
    <rPh sb="0" eb="2">
      <t>オカウエ</t>
    </rPh>
    <rPh sb="3" eb="4">
      <t>ワタル</t>
    </rPh>
    <phoneticPr fontId="1"/>
  </si>
  <si>
    <t>オカウエ　ショウ</t>
    <phoneticPr fontId="1"/>
  </si>
  <si>
    <t>男</t>
    <rPh sb="0" eb="1">
      <t>オトコ</t>
    </rPh>
    <phoneticPr fontId="1"/>
  </si>
  <si>
    <t>665-0061</t>
    <phoneticPr fontId="1"/>
  </si>
  <si>
    <t>兵庫県仁川北3-12-1</t>
    <rPh sb="0" eb="3">
      <t>ヒョウゴケン</t>
    </rPh>
    <rPh sb="3" eb="6">
      <t>ニガワキタ</t>
    </rPh>
    <phoneticPr fontId="1"/>
  </si>
  <si>
    <t>070-8412-2244</t>
    <phoneticPr fontId="1"/>
  </si>
  <si>
    <t>sho19730909@gmail.com</t>
    <phoneticPr fontId="1"/>
  </si>
  <si>
    <t>インスタグラム</t>
    <phoneticPr fontId="1"/>
  </si>
  <si>
    <t>郷木　優</t>
    <rPh sb="0" eb="1">
      <t>ゴウ</t>
    </rPh>
    <rPh sb="1" eb="2">
      <t>キ</t>
    </rPh>
    <rPh sb="3" eb="4">
      <t>ユウ</t>
    </rPh>
    <phoneticPr fontId="1"/>
  </si>
  <si>
    <t>ゴウギ　マサル</t>
    <phoneticPr fontId="1"/>
  </si>
  <si>
    <t>560-0056</t>
    <phoneticPr fontId="1"/>
  </si>
  <si>
    <t>大阪府豊中市宮山町1-4-48</t>
    <rPh sb="0" eb="3">
      <t>オオサカフ</t>
    </rPh>
    <rPh sb="3" eb="6">
      <t>トヨナカシ</t>
    </rPh>
    <rPh sb="6" eb="9">
      <t>ミヤヤマチョウ</t>
    </rPh>
    <phoneticPr fontId="1"/>
  </si>
  <si>
    <t>090-3056-2351</t>
    <phoneticPr fontId="1"/>
  </si>
  <si>
    <t>dreamer28gogi1968@gmail.com</t>
    <phoneticPr fontId="1"/>
  </si>
  <si>
    <t>奥様連れてくる</t>
    <rPh sb="0" eb="2">
      <t>オクサマ</t>
    </rPh>
    <rPh sb="2" eb="3">
      <t>ツ</t>
    </rPh>
    <phoneticPr fontId="1"/>
  </si>
  <si>
    <t>博君紹介</t>
    <rPh sb="0" eb="1">
      <t>ヒロ</t>
    </rPh>
    <rPh sb="1" eb="4">
      <t>クンショウカイ</t>
    </rPh>
    <phoneticPr fontId="1"/>
  </si>
  <si>
    <t>シ　ショウイチ</t>
    <phoneticPr fontId="1"/>
  </si>
  <si>
    <t>コニシ　トモユキ</t>
    <phoneticPr fontId="1"/>
  </si>
  <si>
    <t>購入</t>
    <rPh sb="0" eb="2">
      <t>コウニュウ</t>
    </rPh>
    <phoneticPr fontId="1"/>
  </si>
  <si>
    <t>藤田プロ紹介</t>
    <rPh sb="0" eb="2">
      <t>フジタ</t>
    </rPh>
    <rPh sb="4" eb="6">
      <t>ショウカイ</t>
    </rPh>
    <phoneticPr fontId="1"/>
  </si>
  <si>
    <t>鷺　和俊</t>
    <rPh sb="0" eb="1">
      <t>サギ</t>
    </rPh>
    <rPh sb="2" eb="3">
      <t>カズ</t>
    </rPh>
    <rPh sb="3" eb="4">
      <t>トシ</t>
    </rPh>
    <phoneticPr fontId="1"/>
  </si>
  <si>
    <t>サギ　カズトシ</t>
    <phoneticPr fontId="1"/>
  </si>
  <si>
    <t>男</t>
    <rPh sb="0" eb="1">
      <t>オトコ</t>
    </rPh>
    <phoneticPr fontId="1"/>
  </si>
  <si>
    <t>665-0072</t>
    <phoneticPr fontId="1"/>
  </si>
  <si>
    <t>兵庫県宝塚市千種2-8-102</t>
    <rPh sb="0" eb="3">
      <t>ヒョウゴケン</t>
    </rPh>
    <rPh sb="3" eb="6">
      <t>タカラヅカシ</t>
    </rPh>
    <rPh sb="6" eb="8">
      <t>チクサ</t>
    </rPh>
    <phoneticPr fontId="1"/>
  </si>
  <si>
    <t>090-3164-9323</t>
    <phoneticPr fontId="1"/>
  </si>
  <si>
    <t>kazusasb3@yahoo.co.jp</t>
    <phoneticPr fontId="1"/>
  </si>
  <si>
    <t>購入</t>
    <rPh sb="0" eb="2">
      <t>コウニュウ</t>
    </rPh>
    <phoneticPr fontId="1"/>
  </si>
  <si>
    <t>知人の紹介</t>
    <rPh sb="0" eb="2">
      <t>チジン</t>
    </rPh>
    <rPh sb="3" eb="5">
      <t>ショウカイ</t>
    </rPh>
    <phoneticPr fontId="1"/>
  </si>
  <si>
    <t>男</t>
    <rPh sb="0" eb="1">
      <t>オトコ</t>
    </rPh>
    <phoneticPr fontId="1"/>
  </si>
  <si>
    <t>663-8033</t>
    <phoneticPr fontId="1"/>
  </si>
  <si>
    <t>090-8577-5687</t>
    <phoneticPr fontId="1"/>
  </si>
  <si>
    <t>koichi.u.0826@gmail.com</t>
    <phoneticPr fontId="1"/>
  </si>
  <si>
    <t>川井　英二</t>
    <rPh sb="0" eb="2">
      <t>カワイ</t>
    </rPh>
    <rPh sb="3" eb="5">
      <t>エイジ</t>
    </rPh>
    <phoneticPr fontId="1"/>
  </si>
  <si>
    <t>カワイ　エイジ</t>
    <phoneticPr fontId="1"/>
  </si>
  <si>
    <t>665-0842</t>
    <phoneticPr fontId="1"/>
  </si>
  <si>
    <t>090-1677-3320</t>
    <phoneticPr fontId="1"/>
  </si>
  <si>
    <t>eiji.ff@icloud.com</t>
    <phoneticPr fontId="1"/>
  </si>
  <si>
    <t>【2026年3月 経営報告用データ】</t>
  </si>
  <si>
    <t>■会員</t>
  </si>
  <si>
    <t>月初会員数：</t>
  </si>
  <si>
    <t>入会者数：</t>
  </si>
  <si>
    <t>退会者数：</t>
  </si>
  <si>
    <t>休会者数：</t>
  </si>
  <si>
    <t>月末会員数：</t>
  </si>
  <si>
    <t>会費売上：</t>
  </si>
  <si>
    <t>■集客・入会</t>
  </si>
  <si>
    <t>体験者数：</t>
  </si>
  <si>
    <t>体験からの入会者数：</t>
  </si>
  <si>
    <t>入会率：</t>
  </si>
  <si>
    <t>1か月以内入会：</t>
  </si>
  <si>
    <t>2か月以内入会：</t>
  </si>
  <si>
    <t>■流入経路</t>
  </si>
  <si>
    <t>知人紹介：</t>
  </si>
  <si>
    <t>インターネット：</t>
  </si>
  <si>
    <t>SNS：</t>
  </si>
  <si>
    <t>YouTube：</t>
  </si>
  <si>
    <t>通りすがり：</t>
  </si>
  <si>
    <t>その他：</t>
  </si>
  <si>
    <t>無回答：</t>
  </si>
  <si>
    <t>ビジター物販：</t>
  </si>
  <si>
    <t>会員物販：</t>
  </si>
  <si>
    <t>仕入金額：</t>
  </si>
  <si>
    <t>■フィッティング</t>
  </si>
  <si>
    <t>件数：</t>
  </si>
  <si>
    <t>購入件数：</t>
  </si>
  <si>
    <t>特記事項：</t>
  </si>
  <si>
    <t>■レッスン</t>
  </si>
  <si>
    <t>パーソナルレッスン件数：</t>
  </si>
  <si>
    <t>プロ別内訳：</t>
  </si>
  <si>
    <t>■広報・販促</t>
  </si>
  <si>
    <t>SNS投稿数：</t>
  </si>
  <si>
    <t>紹介施策の実績：</t>
  </si>
  <si>
    <t>ゴルフ場連携の進捗：</t>
  </si>
  <si>
    <t>法人会員チラシ進捗：</t>
  </si>
  <si>
    <t>■その他</t>
  </si>
  <si>
    <t>3月の良かった点：</t>
  </si>
  <si>
    <t>3月の課題：</t>
  </si>
  <si>
    <t>4月に向けた施策：</t>
  </si>
  <si>
    <t>不明</t>
    <rPh sb="0" eb="2">
      <t>フメイ</t>
    </rPh>
    <phoneticPr fontId="1"/>
  </si>
  <si>
    <t>紹介</t>
    <rPh sb="0" eb="2">
      <t>ショウカイ</t>
    </rPh>
    <phoneticPr fontId="1"/>
  </si>
  <si>
    <t>■物販売上</t>
    <rPh sb="1" eb="3">
      <t>ブッパン</t>
    </rPh>
    <phoneticPr fontId="1"/>
  </si>
  <si>
    <t>物販総売上：</t>
    <rPh sb="0" eb="2">
      <t>ブッパン</t>
    </rPh>
    <phoneticPr fontId="1"/>
  </si>
  <si>
    <t>プロ紹介２件、再来２件、新規１件</t>
    <rPh sb="2" eb="4">
      <t>ショウカイ</t>
    </rPh>
    <rPh sb="5" eb="6">
      <t>ケン</t>
    </rPh>
    <rPh sb="7" eb="9">
      <t>サイライ</t>
    </rPh>
    <rPh sb="10" eb="11">
      <t>ケン</t>
    </rPh>
    <rPh sb="12" eb="14">
      <t>シンキ</t>
    </rPh>
    <rPh sb="15" eb="16">
      <t>ケン</t>
    </rPh>
    <phoneticPr fontId="1"/>
  </si>
  <si>
    <t>安東：２０件、卜部：１件、古川：２件</t>
    <rPh sb="0" eb="2">
      <t>アンドウ</t>
    </rPh>
    <rPh sb="5" eb="6">
      <t>ケン</t>
    </rPh>
    <rPh sb="7" eb="9">
      <t>ウラベ</t>
    </rPh>
    <rPh sb="11" eb="12">
      <t>ケン</t>
    </rPh>
    <rPh sb="13" eb="15">
      <t>フルカワ</t>
    </rPh>
    <rPh sb="17" eb="18">
      <t>ケン</t>
    </rPh>
    <phoneticPr fontId="1"/>
  </si>
  <si>
    <t>５件</t>
    <rPh sb="1" eb="2">
      <t>ケン</t>
    </rPh>
    <phoneticPr fontId="1"/>
  </si>
  <si>
    <t>実施検討中</t>
    <rPh sb="0" eb="2">
      <t>ジッシ</t>
    </rPh>
    <rPh sb="2" eb="5">
      <t>ケントウチュウ</t>
    </rPh>
    <phoneticPr fontId="1"/>
  </si>
  <si>
    <t>チラシ作成中、次は配布会社選定要</t>
    <rPh sb="3" eb="6">
      <t>サクセイチュウ</t>
    </rPh>
    <rPh sb="7" eb="8">
      <t>ツギ</t>
    </rPh>
    <rPh sb="9" eb="11">
      <t>ハイフ</t>
    </rPh>
    <rPh sb="11" eb="13">
      <t>カイシャ</t>
    </rPh>
    <rPh sb="13" eb="15">
      <t>センテイ</t>
    </rPh>
    <rPh sb="15" eb="16">
      <t>ヨウ</t>
    </rPh>
    <phoneticPr fontId="1"/>
  </si>
  <si>
    <t>フィッティング件数が目標未達、SNSなどの広報活動不足</t>
    <rPh sb="7" eb="9">
      <t>ケンスウ</t>
    </rPh>
    <rPh sb="10" eb="12">
      <t>モクヒョウ</t>
    </rPh>
    <rPh sb="12" eb="14">
      <t>ミタツ</t>
    </rPh>
    <rPh sb="21" eb="23">
      <t>コウホウ</t>
    </rPh>
    <rPh sb="23" eb="25">
      <t>カツドウ</t>
    </rPh>
    <rPh sb="25" eb="27">
      <t>ブソク</t>
    </rPh>
    <phoneticPr fontId="1"/>
  </si>
  <si>
    <t>ミズノ　JPX-ONEが好評で５件成約、スタッフに配布用の無料フィッティング券を配って４月以降のスタッフの紹介によるフィッティング件数UPを狙う</t>
    <rPh sb="12" eb="14">
      <t>コウヒョウ</t>
    </rPh>
    <rPh sb="16" eb="17">
      <t>ケン</t>
    </rPh>
    <rPh sb="17" eb="19">
      <t>セイヤク</t>
    </rPh>
    <rPh sb="25" eb="28">
      <t>ハイフヨウ</t>
    </rPh>
    <rPh sb="29" eb="31">
      <t>ムリョウ</t>
    </rPh>
    <rPh sb="38" eb="39">
      <t>ケン</t>
    </rPh>
    <rPh sb="40" eb="41">
      <t>クバ</t>
    </rPh>
    <rPh sb="44" eb="45">
      <t>ガツ</t>
    </rPh>
    <rPh sb="45" eb="47">
      <t>イコウ</t>
    </rPh>
    <rPh sb="53" eb="55">
      <t>ショウカイ</t>
    </rPh>
    <rPh sb="65" eb="67">
      <t>ケンスウ</t>
    </rPh>
    <rPh sb="70" eb="71">
      <t>ネラ</t>
    </rPh>
    <phoneticPr fontId="1"/>
  </si>
  <si>
    <t>４月１日より弊社で広報担当の山本公嗣（やまもと、こうじ）さんが入社しましたので、ゴルフウィングのインスタグラムの投稿頻度を上げていきます。</t>
    <rPh sb="1" eb="2">
      <t>ガツ</t>
    </rPh>
    <rPh sb="3" eb="4">
      <t>ニチ</t>
    </rPh>
    <rPh sb="6" eb="8">
      <t>ヘイシャ</t>
    </rPh>
    <rPh sb="9" eb="11">
      <t>コウホウ</t>
    </rPh>
    <rPh sb="11" eb="13">
      <t>タントウ</t>
    </rPh>
    <rPh sb="14" eb="16">
      <t>ヤマモト</t>
    </rPh>
    <rPh sb="16" eb="18">
      <t>コウジ</t>
    </rPh>
    <rPh sb="31" eb="33">
      <t>ニュウシャ</t>
    </rPh>
    <rPh sb="56" eb="58">
      <t>トウコウ</t>
    </rPh>
    <rPh sb="58" eb="60">
      <t>ヒンド</t>
    </rPh>
    <rPh sb="61" eb="62">
      <t>ア</t>
    </rPh>
    <phoneticPr fontId="1"/>
  </si>
  <si>
    <t>2店舗目実施計画（別紙にて説明）</t>
    <rPh sb="1" eb="3">
      <t>テンポ</t>
    </rPh>
    <rPh sb="3" eb="4">
      <t>メ</t>
    </rPh>
    <rPh sb="4" eb="6">
      <t>ジッシ</t>
    </rPh>
    <rPh sb="6" eb="8">
      <t>ケイカク</t>
    </rPh>
    <rPh sb="9" eb="11">
      <t>ベッシ</t>
    </rPh>
    <rPh sb="13" eb="15">
      <t>セツメイ</t>
    </rPh>
    <phoneticPr fontId="1"/>
  </si>
  <si>
    <t>浅尾　和子</t>
    <rPh sb="0" eb="2">
      <t>アサオ</t>
    </rPh>
    <rPh sb="3" eb="5">
      <t>カズコ</t>
    </rPh>
    <phoneticPr fontId="1"/>
  </si>
  <si>
    <t>アサオ　カズコ</t>
    <phoneticPr fontId="1"/>
  </si>
  <si>
    <t>女</t>
    <rPh sb="0" eb="1">
      <t>オンナ</t>
    </rPh>
    <phoneticPr fontId="1"/>
  </si>
  <si>
    <t>662-0094</t>
    <phoneticPr fontId="1"/>
  </si>
  <si>
    <t>090-3488-6037</t>
    <phoneticPr fontId="1"/>
  </si>
  <si>
    <t>wakoasao@gmail.com</t>
    <phoneticPr fontId="1"/>
  </si>
  <si>
    <t>購入</t>
    <rPh sb="0" eb="2">
      <t>コウニュウ</t>
    </rPh>
    <phoneticPr fontId="1"/>
  </si>
  <si>
    <t>入会</t>
    <rPh sb="0" eb="2">
      <t>ニュウカイ</t>
    </rPh>
    <phoneticPr fontId="1"/>
  </si>
  <si>
    <t>特別ご招待券　利用</t>
    <rPh sb="0" eb="2">
      <t>トクベツ</t>
    </rPh>
    <rPh sb="3" eb="6">
      <t>ショウタイケン</t>
    </rPh>
    <rPh sb="7" eb="9">
      <t>リヨウ</t>
    </rPh>
    <phoneticPr fontId="1"/>
  </si>
  <si>
    <t>兵庫県西宮市高木東町15-32</t>
    <rPh sb="0" eb="3">
      <t>ヒョウゴケン</t>
    </rPh>
    <rPh sb="3" eb="6">
      <t>ニシノミヤシ</t>
    </rPh>
    <rPh sb="6" eb="8">
      <t>タカギ</t>
    </rPh>
    <rPh sb="8" eb="9">
      <t>ヒガシ</t>
    </rPh>
    <rPh sb="9" eb="10">
      <t>チョウ</t>
    </rPh>
    <phoneticPr fontId="1"/>
  </si>
  <si>
    <t>兵庫県宝塚市川面4-8-4　グランクリュ宝塚203</t>
    <rPh sb="0" eb="3">
      <t>ヒョウゴケン</t>
    </rPh>
    <rPh sb="3" eb="6">
      <t>タカラヅカシ</t>
    </rPh>
    <rPh sb="6" eb="7">
      <t>カワ</t>
    </rPh>
    <rPh sb="7" eb="8">
      <t>メン</t>
    </rPh>
    <rPh sb="20" eb="22">
      <t>タカラヅカ</t>
    </rPh>
    <phoneticPr fontId="1"/>
  </si>
  <si>
    <t>兵庫県西宮市毘沙門町5-10</t>
    <rPh sb="0" eb="3">
      <t>ヒョウゴケン</t>
    </rPh>
    <rPh sb="3" eb="5">
      <t>ニシノミヤ</t>
    </rPh>
    <rPh sb="5" eb="6">
      <t>シ</t>
    </rPh>
    <rPh sb="6" eb="10">
      <t>ビシャモンチョウ</t>
    </rPh>
    <rPh sb="7" eb="8">
      <t>サ</t>
    </rPh>
    <rPh sb="8" eb="9">
      <t>モン</t>
    </rPh>
    <rPh sb="9" eb="10">
      <t>チョウ</t>
    </rPh>
    <phoneticPr fontId="1"/>
  </si>
  <si>
    <t>2023/5/23　再来</t>
    <rPh sb="10" eb="12">
      <t>サイライ</t>
    </rPh>
    <phoneticPr fontId="1"/>
  </si>
  <si>
    <t>上杉　光一　　</t>
    <rPh sb="0" eb="2">
      <t>ウエスギ</t>
    </rPh>
    <rPh sb="3" eb="5">
      <t>コウイチ</t>
    </rPh>
    <phoneticPr fontId="1"/>
  </si>
  <si>
    <t>山本　伸次</t>
    <rPh sb="0" eb="2">
      <t>ヤマモト</t>
    </rPh>
    <rPh sb="3" eb="4">
      <t>ノブ</t>
    </rPh>
    <rPh sb="4" eb="5">
      <t>ジ</t>
    </rPh>
    <phoneticPr fontId="1"/>
  </si>
  <si>
    <t>ヤマモト　シンジ</t>
    <phoneticPr fontId="1"/>
  </si>
  <si>
    <t>男</t>
    <rPh sb="0" eb="1">
      <t>オトコ</t>
    </rPh>
    <phoneticPr fontId="1"/>
  </si>
  <si>
    <t>560-0003</t>
    <phoneticPr fontId="1"/>
  </si>
  <si>
    <t>大阪府豊中市東豊中町3-19-1</t>
    <rPh sb="0" eb="3">
      <t>オオサカフ</t>
    </rPh>
    <rPh sb="3" eb="6">
      <t>トヨナカシ</t>
    </rPh>
    <rPh sb="6" eb="10">
      <t>ヒガシトヨナカチョウ</t>
    </rPh>
    <phoneticPr fontId="1"/>
  </si>
  <si>
    <t>090-8576-5000</t>
    <phoneticPr fontId="1"/>
  </si>
  <si>
    <t>simayu1276@icloud.com</t>
    <phoneticPr fontId="1"/>
  </si>
  <si>
    <t>松尾　美月</t>
    <rPh sb="0" eb="2">
      <t>マツオ</t>
    </rPh>
    <rPh sb="3" eb="5">
      <t>ミヅキ</t>
    </rPh>
    <phoneticPr fontId="1"/>
  </si>
  <si>
    <t>マツオ　ミヅキ</t>
    <phoneticPr fontId="1"/>
  </si>
  <si>
    <t>女</t>
    <rPh sb="0" eb="1">
      <t>オンナ</t>
    </rPh>
    <phoneticPr fontId="1"/>
  </si>
  <si>
    <t>665-0816</t>
    <phoneticPr fontId="1"/>
  </si>
  <si>
    <t>兵庫県宝塚市平井4-14-1</t>
    <rPh sb="0" eb="3">
      <t>ヒョウゴケン</t>
    </rPh>
    <rPh sb="3" eb="6">
      <t>タカラヅカシ</t>
    </rPh>
    <rPh sb="6" eb="8">
      <t>ヒライ</t>
    </rPh>
    <phoneticPr fontId="1"/>
  </si>
  <si>
    <t>090-9166-7916</t>
    <phoneticPr fontId="1"/>
  </si>
  <si>
    <t>mizuki9159@gmail.com</t>
    <phoneticPr fontId="1"/>
  </si>
  <si>
    <t>小寺　美和</t>
    <rPh sb="0" eb="2">
      <t>コテラ</t>
    </rPh>
    <rPh sb="3" eb="5">
      <t>ミワ</t>
    </rPh>
    <phoneticPr fontId="1"/>
  </si>
  <si>
    <t>コテラ　ミワ</t>
    <phoneticPr fontId="1"/>
  </si>
  <si>
    <t>女</t>
    <rPh sb="0" eb="1">
      <t>オンナ</t>
    </rPh>
    <phoneticPr fontId="1"/>
  </si>
  <si>
    <t>658-0048</t>
    <phoneticPr fontId="1"/>
  </si>
  <si>
    <t>兵庫県神戸市東灘区御影郡家2-3-7</t>
    <rPh sb="0" eb="3">
      <t>ヒョウゴケン</t>
    </rPh>
    <rPh sb="3" eb="6">
      <t>コウベシ</t>
    </rPh>
    <rPh sb="6" eb="7">
      <t>ヒガシ</t>
    </rPh>
    <rPh sb="7" eb="9">
      <t>ナダク</t>
    </rPh>
    <rPh sb="9" eb="11">
      <t>ミカゲ</t>
    </rPh>
    <rPh sb="11" eb="12">
      <t>グン</t>
    </rPh>
    <rPh sb="12" eb="13">
      <t>イエ</t>
    </rPh>
    <phoneticPr fontId="1"/>
  </si>
  <si>
    <t>090-9544-7610</t>
    <phoneticPr fontId="1"/>
  </si>
  <si>
    <t>kotera8300miwa@gmail.com</t>
    <phoneticPr fontId="1"/>
  </si>
  <si>
    <t>島　まなみ</t>
    <rPh sb="0" eb="1">
      <t>シマ</t>
    </rPh>
    <phoneticPr fontId="1"/>
  </si>
  <si>
    <t>シマ　マナミ</t>
    <phoneticPr fontId="1"/>
  </si>
  <si>
    <t>665-0842</t>
    <phoneticPr fontId="1"/>
  </si>
  <si>
    <t>兵庫県宝塚市川面6-4-26</t>
    <rPh sb="0" eb="3">
      <t>ヒョウゴケン</t>
    </rPh>
    <rPh sb="3" eb="6">
      <t>タカラヅカシ</t>
    </rPh>
    <rPh sb="6" eb="8">
      <t>カワモ</t>
    </rPh>
    <phoneticPr fontId="1"/>
  </si>
  <si>
    <t>090-1481-1686</t>
    <phoneticPr fontId="1"/>
  </si>
  <si>
    <t>mana.sep.22@gmail.com</t>
    <phoneticPr fontId="1"/>
  </si>
  <si>
    <t>シロネ　マコト</t>
    <phoneticPr fontId="1"/>
  </si>
  <si>
    <t>男</t>
    <rPh sb="0" eb="1">
      <t>オトコ</t>
    </rPh>
    <phoneticPr fontId="1"/>
  </si>
  <si>
    <t>679-3431</t>
    <phoneticPr fontId="1"/>
  </si>
  <si>
    <t>兵庫県朝来市新井540-3</t>
    <rPh sb="0" eb="3">
      <t>ヒョウゴケン</t>
    </rPh>
    <rPh sb="3" eb="6">
      <t>アサゴシ</t>
    </rPh>
    <rPh sb="6" eb="8">
      <t>アライ</t>
    </rPh>
    <phoneticPr fontId="1"/>
  </si>
  <si>
    <t>090-2064-2670</t>
    <phoneticPr fontId="1"/>
  </si>
  <si>
    <t>srn-ms@sironegumi.co.jp</t>
    <phoneticPr fontId="1"/>
  </si>
  <si>
    <t>購入</t>
    <rPh sb="0" eb="2">
      <t>コウニュウ</t>
    </rPh>
    <phoneticPr fontId="1"/>
  </si>
  <si>
    <t>城根　誠</t>
    <rPh sb="0" eb="1">
      <t>ジョウ</t>
    </rPh>
    <rPh sb="1" eb="2">
      <t>ネ</t>
    </rPh>
    <rPh sb="3" eb="4">
      <t>マコト</t>
    </rPh>
    <phoneticPr fontId="1"/>
  </si>
  <si>
    <t>植竹　昌人</t>
    <rPh sb="0" eb="2">
      <t>ウエタケ</t>
    </rPh>
    <rPh sb="3" eb="5">
      <t>マサヒト</t>
    </rPh>
    <phoneticPr fontId="1"/>
  </si>
  <si>
    <t>兵庫県宝塚市売布4-3-30-5207</t>
    <rPh sb="0" eb="3">
      <t>ヒョウゴケン</t>
    </rPh>
    <rPh sb="3" eb="6">
      <t>タカラヅカシ</t>
    </rPh>
    <rPh sb="6" eb="8">
      <t>メフ</t>
    </rPh>
    <phoneticPr fontId="1"/>
  </si>
  <si>
    <t>090-1217-6645</t>
    <phoneticPr fontId="1"/>
  </si>
  <si>
    <t>松﨑　正弘</t>
    <rPh sb="0" eb="2">
      <t>マツザキ</t>
    </rPh>
    <rPh sb="3" eb="5">
      <t>マサヒロ</t>
    </rPh>
    <phoneticPr fontId="1"/>
  </si>
  <si>
    <t>小石原　誠治</t>
    <rPh sb="0" eb="3">
      <t>コイシハラ</t>
    </rPh>
    <rPh sb="4" eb="6">
      <t>セイジ</t>
    </rPh>
    <phoneticPr fontId="1"/>
  </si>
  <si>
    <t>コイシハラ　セイジ</t>
    <phoneticPr fontId="1"/>
  </si>
  <si>
    <t>ウエタケ　マサヒト</t>
    <phoneticPr fontId="1"/>
  </si>
  <si>
    <t>マツザキ　マサヒロ</t>
    <phoneticPr fontId="1"/>
  </si>
  <si>
    <t>665-0852</t>
    <phoneticPr fontId="1"/>
  </si>
  <si>
    <t>665-0822</t>
    <phoneticPr fontId="1"/>
  </si>
  <si>
    <t>兵庫県宝塚市安倉中５丁目3-15-107</t>
    <rPh sb="0" eb="3">
      <t>ヒョウゴケン</t>
    </rPh>
    <rPh sb="3" eb="6">
      <t>タカラヅカシ</t>
    </rPh>
    <rPh sb="6" eb="8">
      <t>アクラ</t>
    </rPh>
    <rPh sb="8" eb="9">
      <t>ナカ</t>
    </rPh>
    <rPh sb="10" eb="12">
      <t>チョウメ</t>
    </rPh>
    <phoneticPr fontId="1"/>
  </si>
  <si>
    <t>090-5652-5044</t>
    <phoneticPr fontId="1"/>
  </si>
  <si>
    <t>ss.triple28@gmail.com</t>
    <phoneticPr fontId="1"/>
  </si>
  <si>
    <t>trial入会</t>
    <rPh sb="5" eb="7">
      <t>ニュウカイ</t>
    </rPh>
    <phoneticPr fontId="1"/>
  </si>
  <si>
    <t>武井様</t>
    <rPh sb="0" eb="3">
      <t>タケイサマ</t>
    </rPh>
    <phoneticPr fontId="1"/>
  </si>
  <si>
    <t>665-0013</t>
    <phoneticPr fontId="1"/>
  </si>
  <si>
    <t>兵庫県宝塚市宝梅1-16-1</t>
    <rPh sb="0" eb="3">
      <t>ヒョウゴケン</t>
    </rPh>
    <rPh sb="3" eb="6">
      <t>タカラヅカシ</t>
    </rPh>
    <rPh sb="6" eb="7">
      <t>タカラ</t>
    </rPh>
    <rPh sb="7" eb="8">
      <t>ウメ</t>
    </rPh>
    <phoneticPr fontId="1"/>
  </si>
  <si>
    <t>090-7113-0217</t>
    <phoneticPr fontId="1"/>
  </si>
  <si>
    <t>par5par4par3matsu55@docomo.ne.jp</t>
    <phoneticPr fontId="1"/>
  </si>
  <si>
    <t>井上　久史</t>
    <rPh sb="0" eb="2">
      <t>イノウエ</t>
    </rPh>
    <rPh sb="3" eb="4">
      <t>ヒサシ</t>
    </rPh>
    <rPh sb="4" eb="5">
      <t>シ</t>
    </rPh>
    <phoneticPr fontId="1"/>
  </si>
  <si>
    <t>イノウエ　ヒサシ</t>
    <phoneticPr fontId="1"/>
  </si>
  <si>
    <t>男</t>
    <rPh sb="0" eb="1">
      <t>オトコ</t>
    </rPh>
    <phoneticPr fontId="1"/>
  </si>
  <si>
    <t>553-0003</t>
    <phoneticPr fontId="1"/>
  </si>
  <si>
    <t>大阪府福島区福島1-1-48-3307</t>
    <rPh sb="0" eb="3">
      <t>オオサカフ</t>
    </rPh>
    <rPh sb="3" eb="6">
      <t>フクシマク</t>
    </rPh>
    <rPh sb="6" eb="8">
      <t>フクシマ</t>
    </rPh>
    <phoneticPr fontId="1"/>
  </si>
  <si>
    <t>23.7km</t>
    <phoneticPr fontId="1"/>
  </si>
  <si>
    <t>090-9210-0000</t>
    <phoneticPr fontId="1"/>
  </si>
  <si>
    <t>hisashi@seal-eight.co.jp</t>
    <phoneticPr fontId="1"/>
  </si>
  <si>
    <t>三浦　大輔</t>
    <rPh sb="0" eb="2">
      <t>ミウラ</t>
    </rPh>
    <rPh sb="3" eb="5">
      <t>ダイスケ</t>
    </rPh>
    <phoneticPr fontId="1"/>
  </si>
  <si>
    <t>ミウラ　ダイスケ</t>
    <phoneticPr fontId="1"/>
  </si>
  <si>
    <t>男</t>
    <rPh sb="0" eb="1">
      <t>オトコ</t>
    </rPh>
    <phoneticPr fontId="1"/>
  </si>
  <si>
    <t>652-0801</t>
    <phoneticPr fontId="1"/>
  </si>
  <si>
    <t>兵庫県神戸市兵庫区中道通7-1-3-304</t>
    <rPh sb="0" eb="3">
      <t>ヒョウゴケン</t>
    </rPh>
    <rPh sb="3" eb="6">
      <t>コウベシ</t>
    </rPh>
    <rPh sb="6" eb="9">
      <t>ヒョウゴク</t>
    </rPh>
    <rPh sb="9" eb="11">
      <t>ナカミチ</t>
    </rPh>
    <rPh sb="11" eb="12">
      <t>トオ</t>
    </rPh>
    <phoneticPr fontId="1"/>
  </si>
  <si>
    <t>090-9326-3815</t>
    <phoneticPr fontId="1"/>
  </si>
  <si>
    <t>中坊　匠</t>
    <rPh sb="0" eb="2">
      <t>ナカボウ</t>
    </rPh>
    <rPh sb="3" eb="4">
      <t>タクミ</t>
    </rPh>
    <phoneticPr fontId="1"/>
  </si>
  <si>
    <t>ナカボウ　ショウ</t>
    <phoneticPr fontId="1"/>
  </si>
  <si>
    <t>男</t>
    <rPh sb="0" eb="1">
      <t>オトコ</t>
    </rPh>
    <phoneticPr fontId="1"/>
  </si>
  <si>
    <t>665-0005</t>
    <phoneticPr fontId="1"/>
  </si>
  <si>
    <t>兵庫県宝塚市武庫山1-5-19</t>
    <rPh sb="0" eb="6">
      <t>ヒョウゴケンタカラヅカシ</t>
    </rPh>
    <rPh sb="6" eb="9">
      <t>ムコヤマ</t>
    </rPh>
    <phoneticPr fontId="1"/>
  </si>
  <si>
    <t>090-1597-2820</t>
    <phoneticPr fontId="1"/>
  </si>
  <si>
    <t>nakabo0206@gmail.com</t>
    <phoneticPr fontId="1"/>
  </si>
  <si>
    <t>赤瀬　春香</t>
    <rPh sb="0" eb="2">
      <t>アカセ</t>
    </rPh>
    <rPh sb="3" eb="5">
      <t>ハルカ</t>
    </rPh>
    <phoneticPr fontId="1"/>
  </si>
  <si>
    <t>アカセ　ハルカ</t>
    <phoneticPr fontId="1"/>
  </si>
  <si>
    <t>女</t>
    <rPh sb="0" eb="1">
      <t>オンナ</t>
    </rPh>
    <phoneticPr fontId="1"/>
  </si>
  <si>
    <t>561-0865</t>
    <phoneticPr fontId="1"/>
  </si>
  <si>
    <t>大阪府豊中市旭が丘11-12-1009</t>
    <rPh sb="0" eb="3">
      <t>オオサカフ</t>
    </rPh>
    <rPh sb="3" eb="6">
      <t>トヨナカシ</t>
    </rPh>
    <rPh sb="6" eb="7">
      <t>アサヒ</t>
    </rPh>
    <rPh sb="8" eb="9">
      <t>オカ</t>
    </rPh>
    <phoneticPr fontId="1"/>
  </si>
  <si>
    <t>080-1910-0011</t>
    <phoneticPr fontId="1"/>
  </si>
  <si>
    <t>千本　大輝</t>
    <rPh sb="0" eb="2">
      <t>センモト</t>
    </rPh>
    <rPh sb="3" eb="5">
      <t>タイキ</t>
    </rPh>
    <phoneticPr fontId="1"/>
  </si>
  <si>
    <t>チモト　ダイキ</t>
    <phoneticPr fontId="1"/>
  </si>
  <si>
    <t>男</t>
    <rPh sb="0" eb="1">
      <t>オトコ</t>
    </rPh>
    <phoneticPr fontId="1"/>
  </si>
  <si>
    <t>669-1104</t>
    <phoneticPr fontId="1"/>
  </si>
  <si>
    <t>兵庫県西宮市生瀬武庫川町2-3-815</t>
    <rPh sb="0" eb="3">
      <t>ヒョウゴケン</t>
    </rPh>
    <rPh sb="3" eb="6">
      <t>ニシノミヤシ</t>
    </rPh>
    <rPh sb="6" eb="8">
      <t>ナマセ</t>
    </rPh>
    <rPh sb="8" eb="12">
      <t>ムコガワチョウ</t>
    </rPh>
    <phoneticPr fontId="1"/>
  </si>
  <si>
    <t>080-4399-5128</t>
    <phoneticPr fontId="1"/>
  </si>
  <si>
    <t>c.daiki8i@gmail.com</t>
    <phoneticPr fontId="1"/>
  </si>
  <si>
    <t>2023.1.14　再来</t>
    <rPh sb="10" eb="12">
      <t>サイライ</t>
    </rPh>
    <phoneticPr fontId="1"/>
  </si>
  <si>
    <t>博君紹介</t>
    <rPh sb="0" eb="2">
      <t>ヒロクン</t>
    </rPh>
    <rPh sb="2" eb="4">
      <t>ショウカイ</t>
    </rPh>
    <phoneticPr fontId="1"/>
  </si>
  <si>
    <t>秋和様</t>
    <rPh sb="0" eb="3">
      <t>アキワサマ</t>
    </rPh>
    <phoneticPr fontId="1"/>
  </si>
  <si>
    <t>入会</t>
    <rPh sb="0" eb="2">
      <t>ニュウカイ</t>
    </rPh>
    <phoneticPr fontId="1"/>
  </si>
  <si>
    <t>入澤様</t>
    <rPh sb="0" eb="3">
      <t>イリザワサマ</t>
    </rPh>
    <phoneticPr fontId="1"/>
  </si>
  <si>
    <t>知人の紹介</t>
    <rPh sb="0" eb="2">
      <t>チジン</t>
    </rPh>
    <rPh sb="3" eb="5">
      <t>ショウカイ</t>
    </rPh>
    <phoneticPr fontId="1"/>
  </si>
  <si>
    <t>中　正光</t>
    <rPh sb="2" eb="4">
      <t>マサミツ</t>
    </rPh>
    <phoneticPr fontId="1"/>
  </si>
  <si>
    <t>ナカ　マサミツ</t>
    <phoneticPr fontId="1"/>
  </si>
  <si>
    <t>男</t>
    <rPh sb="0" eb="1">
      <t>オトコ</t>
    </rPh>
    <phoneticPr fontId="1"/>
  </si>
  <si>
    <t>兵庫県宝塚市今里町24-34</t>
    <rPh sb="0" eb="3">
      <t>ヒョウゴケン</t>
    </rPh>
    <rPh sb="3" eb="6">
      <t>タカラヅカシ</t>
    </rPh>
    <rPh sb="6" eb="8">
      <t>イマサト</t>
    </rPh>
    <rPh sb="8" eb="9">
      <t>チョウ</t>
    </rPh>
    <phoneticPr fontId="1"/>
  </si>
  <si>
    <t>090-3332-3500</t>
    <phoneticPr fontId="1"/>
  </si>
  <si>
    <t>mnakaob25@gmail.com</t>
    <phoneticPr fontId="1"/>
  </si>
  <si>
    <t>ちらし</t>
    <phoneticPr fontId="1"/>
  </si>
  <si>
    <t>KGU中川陽菜乃様祖父</t>
    <rPh sb="3" eb="5">
      <t>ナカガワ</t>
    </rPh>
    <rPh sb="5" eb="6">
      <t>ヨウ</t>
    </rPh>
    <rPh sb="6" eb="7">
      <t>ナ</t>
    </rPh>
    <rPh sb="7" eb="8">
      <t>ノ</t>
    </rPh>
    <rPh sb="8" eb="9">
      <t>サマ</t>
    </rPh>
    <rPh sb="9" eb="11">
      <t>ソフ</t>
    </rPh>
    <phoneticPr fontId="1"/>
  </si>
  <si>
    <t>竹迫　憲浩</t>
    <rPh sb="0" eb="2">
      <t>タケサコ</t>
    </rPh>
    <rPh sb="3" eb="4">
      <t>ケン</t>
    </rPh>
    <rPh sb="4" eb="5">
      <t>ヒロ</t>
    </rPh>
    <phoneticPr fontId="1"/>
  </si>
  <si>
    <t>タケサコ　ノリヒロ</t>
    <phoneticPr fontId="1"/>
  </si>
  <si>
    <t>男</t>
    <rPh sb="0" eb="1">
      <t>オトコ</t>
    </rPh>
    <phoneticPr fontId="1"/>
  </si>
  <si>
    <t>664-0893</t>
    <phoneticPr fontId="1"/>
  </si>
  <si>
    <t>兵庫県伊丹市春日丘５丁目28</t>
    <rPh sb="0" eb="3">
      <t>ヒョウゴケン</t>
    </rPh>
    <rPh sb="3" eb="6">
      <t>イタミシ</t>
    </rPh>
    <rPh sb="6" eb="9">
      <t>カスガオカ</t>
    </rPh>
    <rPh sb="10" eb="12">
      <t>チョウメ</t>
    </rPh>
    <phoneticPr fontId="1"/>
  </si>
  <si>
    <t>090-3820-4704</t>
    <phoneticPr fontId="1"/>
  </si>
  <si>
    <t>n.take@ezweb.ne.jp</t>
    <phoneticPr fontId="1"/>
  </si>
  <si>
    <t>尾崎　聡志</t>
    <rPh sb="0" eb="2">
      <t>オザキ</t>
    </rPh>
    <rPh sb="3" eb="4">
      <t>サトシ</t>
    </rPh>
    <rPh sb="4" eb="5">
      <t>シ</t>
    </rPh>
    <phoneticPr fontId="1"/>
  </si>
  <si>
    <t>オザキ　サトシ</t>
    <phoneticPr fontId="1"/>
  </si>
  <si>
    <t>男</t>
    <rPh sb="0" eb="1">
      <t>オトコ</t>
    </rPh>
    <phoneticPr fontId="1"/>
  </si>
  <si>
    <t>665-0873</t>
    <phoneticPr fontId="1"/>
  </si>
  <si>
    <t>兵庫県宝塚市長尾町17-6-401</t>
    <rPh sb="0" eb="6">
      <t>ヒョウゴケンタカラヅカシ</t>
    </rPh>
    <rPh sb="6" eb="9">
      <t>ナガオチョウ</t>
    </rPh>
    <phoneticPr fontId="1"/>
  </si>
  <si>
    <t>090-3264-6572</t>
    <phoneticPr fontId="1"/>
  </si>
  <si>
    <t>satoshi-0210-1970@docomo.ne.jp</t>
    <phoneticPr fontId="1"/>
  </si>
  <si>
    <t>通りすがり</t>
    <rPh sb="0" eb="1">
      <t>トオ</t>
    </rPh>
    <phoneticPr fontId="1"/>
  </si>
  <si>
    <t>蒲生　智美</t>
    <rPh sb="0" eb="2">
      <t>ガモウ</t>
    </rPh>
    <rPh sb="3" eb="5">
      <t>サトミ</t>
    </rPh>
    <phoneticPr fontId="1"/>
  </si>
  <si>
    <t>入会</t>
    <rPh sb="0" eb="2">
      <t>ニュウカイ</t>
    </rPh>
    <phoneticPr fontId="1"/>
  </si>
  <si>
    <t>トライアル入会</t>
    <rPh sb="5" eb="7">
      <t>ニュウカイ</t>
    </rPh>
    <phoneticPr fontId="1"/>
  </si>
  <si>
    <t>ガモウ　サトミ</t>
    <phoneticPr fontId="1"/>
  </si>
  <si>
    <t>女</t>
    <rPh sb="0" eb="1">
      <t>オンナ</t>
    </rPh>
    <phoneticPr fontId="1"/>
  </si>
  <si>
    <t>660-0893</t>
  </si>
  <si>
    <t>兵庫県尼崎市西難波町５丁目5-6ディアコート難波本町103</t>
    <rPh sb="0" eb="3">
      <t>ヒョウゴケン</t>
    </rPh>
    <phoneticPr fontId="1"/>
  </si>
  <si>
    <t>080-1457-0789</t>
  </si>
  <si>
    <t>satominmail0711@gmail.com</t>
  </si>
  <si>
    <t>高瀬　智行</t>
    <rPh sb="0" eb="2">
      <t>タカセ</t>
    </rPh>
    <rPh sb="3" eb="5">
      <t>トモユキ</t>
    </rPh>
    <phoneticPr fontId="1"/>
  </si>
  <si>
    <t>タカセ　トモユキ</t>
    <phoneticPr fontId="1"/>
  </si>
  <si>
    <t>男</t>
    <rPh sb="0" eb="1">
      <t>オトコ</t>
    </rPh>
    <phoneticPr fontId="1"/>
  </si>
  <si>
    <t>665-0874</t>
    <phoneticPr fontId="1"/>
  </si>
  <si>
    <t>兵庫県宝塚市中筋2-2-27-1</t>
    <rPh sb="0" eb="3">
      <t>ヒョウゴケン</t>
    </rPh>
    <rPh sb="3" eb="6">
      <t>タカラヅカシ</t>
    </rPh>
    <rPh sb="6" eb="8">
      <t>ナカスジ</t>
    </rPh>
    <phoneticPr fontId="1"/>
  </si>
  <si>
    <t>090-2197-3470</t>
    <phoneticPr fontId="1"/>
  </si>
  <si>
    <t>大倉　英範</t>
    <rPh sb="0" eb="2">
      <t>オオクラ</t>
    </rPh>
    <rPh sb="3" eb="4">
      <t>エイ</t>
    </rPh>
    <rPh sb="4" eb="5">
      <t>ハン</t>
    </rPh>
    <phoneticPr fontId="1"/>
  </si>
  <si>
    <t>オオクラ　ヒデノリ</t>
    <phoneticPr fontId="1"/>
  </si>
  <si>
    <t>1865/9/24</t>
    <phoneticPr fontId="1"/>
  </si>
  <si>
    <t>男</t>
    <rPh sb="0" eb="1">
      <t>オトコ</t>
    </rPh>
    <phoneticPr fontId="1"/>
  </si>
  <si>
    <t>665-0807</t>
    <phoneticPr fontId="1"/>
  </si>
  <si>
    <t>兵庫県宝塚市長尾台1-16-44</t>
    <rPh sb="0" eb="3">
      <t>ヒョウゴケン</t>
    </rPh>
    <rPh sb="3" eb="6">
      <t>タカラヅカシ</t>
    </rPh>
    <rPh sb="6" eb="9">
      <t>ナガオダイ</t>
    </rPh>
    <phoneticPr fontId="1"/>
  </si>
  <si>
    <t>090-9785-0000</t>
    <phoneticPr fontId="1"/>
  </si>
  <si>
    <t>ohkura0000@gmail.com</t>
    <phoneticPr fontId="1"/>
  </si>
  <si>
    <t>店頭</t>
    <rPh sb="0" eb="2">
      <t>テントウ</t>
    </rPh>
    <phoneticPr fontId="1"/>
  </si>
  <si>
    <t>岩本　拓也</t>
    <rPh sb="0" eb="2">
      <t>イワモト</t>
    </rPh>
    <rPh sb="3" eb="5">
      <t>タクヤ</t>
    </rPh>
    <phoneticPr fontId="1"/>
  </si>
  <si>
    <t>イワモト　タクヤ</t>
    <phoneticPr fontId="1"/>
  </si>
  <si>
    <t>665-0874</t>
    <phoneticPr fontId="1"/>
  </si>
  <si>
    <t>兵庫県宝塚市中筋3-56-1-208</t>
    <rPh sb="0" eb="3">
      <t>ヒョウゴケン</t>
    </rPh>
    <rPh sb="3" eb="6">
      <t>タカラヅカシ</t>
    </rPh>
    <rPh sb="6" eb="8">
      <t>ナカスジ</t>
    </rPh>
    <phoneticPr fontId="1"/>
  </si>
  <si>
    <t>090-1966-3338</t>
    <phoneticPr fontId="1"/>
  </si>
  <si>
    <t>iwamotoku-ku@yahoo.co.jp</t>
    <phoneticPr fontId="1"/>
  </si>
  <si>
    <t>黒田　勝彦</t>
    <rPh sb="0" eb="2">
      <t>クロダ</t>
    </rPh>
    <rPh sb="3" eb="5">
      <t>カツヒコ</t>
    </rPh>
    <phoneticPr fontId="1"/>
  </si>
  <si>
    <t>クロダ　カツヒコ</t>
    <phoneticPr fontId="1"/>
  </si>
  <si>
    <t>男</t>
    <rPh sb="0" eb="1">
      <t>オトコ</t>
    </rPh>
    <phoneticPr fontId="1"/>
  </si>
  <si>
    <t>659-0013</t>
    <phoneticPr fontId="1"/>
  </si>
  <si>
    <t>兵庫県芦屋市岩園町13-14</t>
    <rPh sb="0" eb="6">
      <t>ヒョウゴケンアシヤシ</t>
    </rPh>
    <rPh sb="6" eb="9">
      <t>イワゾノチョウ</t>
    </rPh>
    <phoneticPr fontId="1"/>
  </si>
  <si>
    <t>090-1958-5497</t>
    <phoneticPr fontId="1"/>
  </si>
  <si>
    <t>竺川　裕二</t>
    <rPh sb="0" eb="1">
      <t>ジク</t>
    </rPh>
    <rPh sb="1" eb="2">
      <t>カワ</t>
    </rPh>
    <rPh sb="3" eb="5">
      <t>ユウジ</t>
    </rPh>
    <phoneticPr fontId="1"/>
  </si>
  <si>
    <t>増田　芳郎</t>
    <rPh sb="0" eb="2">
      <t>マスダ</t>
    </rPh>
    <rPh sb="3" eb="4">
      <t>ホウ</t>
    </rPh>
    <rPh sb="4" eb="5">
      <t>ロウ</t>
    </rPh>
    <phoneticPr fontId="1"/>
  </si>
  <si>
    <t>ジクカワ　ユウジ</t>
    <phoneticPr fontId="1"/>
  </si>
  <si>
    <t>マスダ　ヨシロウ</t>
    <phoneticPr fontId="1"/>
  </si>
  <si>
    <t>661-0035</t>
    <phoneticPr fontId="1"/>
  </si>
  <si>
    <t>665-0842</t>
    <phoneticPr fontId="1"/>
  </si>
  <si>
    <t>兵庫県尼崎武庫之荘3-7-1</t>
    <rPh sb="0" eb="3">
      <t>ヒョウゴケン</t>
    </rPh>
    <rPh sb="3" eb="5">
      <t>アマガサキ</t>
    </rPh>
    <rPh sb="5" eb="9">
      <t>ムコノソウ</t>
    </rPh>
    <phoneticPr fontId="1"/>
  </si>
  <si>
    <t>兵庫県宝塚市川面3-7-18</t>
    <rPh sb="0" eb="3">
      <t>ヒョウゴケン</t>
    </rPh>
    <rPh sb="3" eb="6">
      <t>タカラヅカシ</t>
    </rPh>
    <rPh sb="6" eb="8">
      <t>カワモ</t>
    </rPh>
    <phoneticPr fontId="1"/>
  </si>
  <si>
    <t>080-3787-4532</t>
    <phoneticPr fontId="1"/>
  </si>
  <si>
    <t>090-3050-9934</t>
    <phoneticPr fontId="1"/>
  </si>
  <si>
    <t>jikukawa43@gmail.com</t>
    <phoneticPr fontId="1"/>
  </si>
  <si>
    <t>yo8037874532@yahoo.co.jp</t>
    <phoneticPr fontId="1"/>
  </si>
  <si>
    <t>延安様</t>
    <rPh sb="0" eb="2">
      <t>ノブヤス</t>
    </rPh>
    <rPh sb="2" eb="3">
      <t>サマ</t>
    </rPh>
    <phoneticPr fontId="1"/>
  </si>
  <si>
    <t>榎本プロの知人</t>
    <rPh sb="0" eb="2">
      <t>エノモト</t>
    </rPh>
    <rPh sb="5" eb="7">
      <t>チジン</t>
    </rPh>
    <phoneticPr fontId="1"/>
  </si>
  <si>
    <t>松田　朋美</t>
    <rPh sb="0" eb="2">
      <t>マツダ</t>
    </rPh>
    <rPh sb="3" eb="5">
      <t>トモミ</t>
    </rPh>
    <phoneticPr fontId="1"/>
  </si>
  <si>
    <t>マツダ　トモミ</t>
    <phoneticPr fontId="1"/>
  </si>
  <si>
    <t>女</t>
    <rPh sb="0" eb="1">
      <t>オンナ</t>
    </rPh>
    <phoneticPr fontId="1"/>
  </si>
  <si>
    <t>665-0812</t>
    <phoneticPr fontId="1"/>
  </si>
  <si>
    <t>兵庫県宝塚市口谷東1-26-6</t>
    <rPh sb="0" eb="6">
      <t>ヒョウゴケンタカラヅカシ</t>
    </rPh>
    <rPh sb="6" eb="7">
      <t>クチ</t>
    </rPh>
    <rPh sb="7" eb="8">
      <t>タニ</t>
    </rPh>
    <rPh sb="8" eb="9">
      <t>ヒガシ</t>
    </rPh>
    <phoneticPr fontId="1"/>
  </si>
  <si>
    <t>090-7871-8641</t>
    <phoneticPr fontId="1"/>
  </si>
  <si>
    <t>松田　良一</t>
    <rPh sb="0" eb="2">
      <t>マツダ</t>
    </rPh>
    <rPh sb="3" eb="5">
      <t>リョウイチ</t>
    </rPh>
    <phoneticPr fontId="1"/>
  </si>
  <si>
    <t>マツダ　ヨシカズ</t>
    <phoneticPr fontId="1"/>
  </si>
  <si>
    <t>男</t>
    <rPh sb="0" eb="1">
      <t>オトコ</t>
    </rPh>
    <phoneticPr fontId="1"/>
  </si>
  <si>
    <t>090-1075-3808</t>
    <phoneticPr fontId="1"/>
  </si>
  <si>
    <t>稲垣 康治</t>
    <rPh sb="0" eb="2">
      <t>イナガキ</t>
    </rPh>
    <rPh sb="3" eb="5">
      <t>ヤスジ</t>
    </rPh>
    <phoneticPr fontId="1"/>
  </si>
  <si>
    <t>男</t>
    <rPh sb="0" eb="1">
      <t>オトコ</t>
    </rPh>
    <phoneticPr fontId="1"/>
  </si>
  <si>
    <t>小野　貴之</t>
    <rPh sb="0" eb="2">
      <t>オノ</t>
    </rPh>
    <rPh sb="3" eb="5">
      <t>タカユキ</t>
    </rPh>
    <phoneticPr fontId="1"/>
  </si>
  <si>
    <t>オノ　タカユキ</t>
    <phoneticPr fontId="1"/>
  </si>
  <si>
    <t>男</t>
    <rPh sb="0" eb="1">
      <t>オトコ</t>
    </rPh>
    <phoneticPr fontId="1"/>
  </si>
  <si>
    <t>665-0805</t>
    <phoneticPr fontId="1"/>
  </si>
  <si>
    <t>兵庫県宝塚市雲雀丘3-4-29</t>
    <rPh sb="0" eb="3">
      <t>ヒョウゴケン</t>
    </rPh>
    <rPh sb="3" eb="6">
      <t>タカラヅカシ</t>
    </rPh>
    <rPh sb="6" eb="9">
      <t>ヒバリガオカ</t>
    </rPh>
    <phoneticPr fontId="1"/>
  </si>
  <si>
    <t>090-4202-0363</t>
    <phoneticPr fontId="1"/>
  </si>
  <si>
    <t>woopstaka0627@gmail.com</t>
    <phoneticPr fontId="1"/>
  </si>
  <si>
    <t>トライアル入会</t>
    <rPh sb="5" eb="7">
      <t>ニュウカイ</t>
    </rPh>
    <phoneticPr fontId="1"/>
  </si>
  <si>
    <t>出口　考良</t>
    <rPh sb="0" eb="2">
      <t>デグチ</t>
    </rPh>
    <rPh sb="3" eb="4">
      <t>カンガ</t>
    </rPh>
    <rPh sb="4" eb="5">
      <t>ヨ</t>
    </rPh>
    <phoneticPr fontId="1"/>
  </si>
  <si>
    <t>degudegu2017@gmail.com</t>
    <phoneticPr fontId="1"/>
  </si>
  <si>
    <t>小池 優季史</t>
    <phoneticPr fontId="1"/>
  </si>
  <si>
    <t>飯田　高広</t>
    <rPh sb="0" eb="2">
      <t>イイダ</t>
    </rPh>
    <rPh sb="3" eb="5">
      <t>タカヒロ</t>
    </rPh>
    <phoneticPr fontId="1"/>
  </si>
  <si>
    <t>イイダ　タカヒロ</t>
    <phoneticPr fontId="1"/>
  </si>
  <si>
    <t>男</t>
    <rPh sb="0" eb="1">
      <t>オトコ</t>
    </rPh>
    <phoneticPr fontId="1"/>
  </si>
  <si>
    <t>663-8107</t>
    <phoneticPr fontId="1"/>
  </si>
  <si>
    <t>兵庫県西宮市瓦林町20-11</t>
    <rPh sb="0" eb="3">
      <t>ヒョウゴケン</t>
    </rPh>
    <rPh sb="3" eb="6">
      <t>ニシノミヤシ</t>
    </rPh>
    <rPh sb="6" eb="7">
      <t>カワラ</t>
    </rPh>
    <rPh sb="7" eb="8">
      <t>ハヤシ</t>
    </rPh>
    <rPh sb="8" eb="9">
      <t>チョウ</t>
    </rPh>
    <phoneticPr fontId="1"/>
  </si>
  <si>
    <t>090-4292-8872</t>
    <phoneticPr fontId="1"/>
  </si>
  <si>
    <t>takahiro501020@yahoo.co.jp</t>
    <phoneticPr fontId="1"/>
  </si>
  <si>
    <t>インターネット</t>
    <phoneticPr fontId="1"/>
  </si>
  <si>
    <t>農本　文誉</t>
    <rPh sb="0" eb="2">
      <t>ノウモト</t>
    </rPh>
    <rPh sb="3" eb="5">
      <t>ブンホマレ</t>
    </rPh>
    <phoneticPr fontId="1"/>
  </si>
  <si>
    <t>ノウモト　フミタカ</t>
    <phoneticPr fontId="1"/>
  </si>
  <si>
    <t>男</t>
    <rPh sb="0" eb="1">
      <t>オトコ</t>
    </rPh>
    <phoneticPr fontId="1"/>
  </si>
  <si>
    <t>662-0832</t>
    <phoneticPr fontId="1"/>
  </si>
  <si>
    <t>兵庫県西宮市甲子園3-5-2</t>
    <rPh sb="0" eb="3">
      <t>ヒョウゴケン</t>
    </rPh>
    <rPh sb="3" eb="6">
      <t>ニシノミヤシ</t>
    </rPh>
    <rPh sb="6" eb="9">
      <t>コウシエン</t>
    </rPh>
    <phoneticPr fontId="1"/>
  </si>
  <si>
    <t>090-7875-3050</t>
    <phoneticPr fontId="1"/>
  </si>
  <si>
    <t>岩本　準一</t>
    <rPh sb="0" eb="2">
      <t>イワモト</t>
    </rPh>
    <rPh sb="3" eb="5">
      <t>ジュンイチ</t>
    </rPh>
    <phoneticPr fontId="1"/>
  </si>
  <si>
    <t>イワモト　ジュンイチ</t>
    <phoneticPr fontId="1"/>
  </si>
  <si>
    <t>665-0813</t>
    <phoneticPr fontId="1"/>
  </si>
  <si>
    <t>兵庫県宝塚市口谷西3-56-11</t>
    <rPh sb="0" eb="3">
      <t>ヒョウゴケン</t>
    </rPh>
    <rPh sb="3" eb="6">
      <t>タカラヅカシ</t>
    </rPh>
    <rPh sb="6" eb="8">
      <t>クチタニ</t>
    </rPh>
    <rPh sb="8" eb="9">
      <t>ニシ</t>
    </rPh>
    <phoneticPr fontId="1"/>
  </si>
  <si>
    <t>080-2574-7422</t>
    <phoneticPr fontId="1"/>
  </si>
  <si>
    <t>jjp//@docomo.ne.jp</t>
    <phoneticPr fontId="1"/>
  </si>
  <si>
    <t>キタムラ　トヨイツ</t>
    <phoneticPr fontId="1"/>
  </si>
  <si>
    <t>男</t>
    <rPh sb="0" eb="1">
      <t>オトコ</t>
    </rPh>
    <phoneticPr fontId="1"/>
  </si>
  <si>
    <t>665-0862</t>
    <phoneticPr fontId="1"/>
  </si>
  <si>
    <t>廣岡　正人</t>
    <rPh sb="0" eb="2">
      <t>ヒロオカ</t>
    </rPh>
    <rPh sb="3" eb="5">
      <t>マサト</t>
    </rPh>
    <phoneticPr fontId="1"/>
  </si>
  <si>
    <t>ヒロオカ　マサト</t>
    <phoneticPr fontId="1"/>
  </si>
  <si>
    <t>665-0811</t>
    <phoneticPr fontId="1"/>
  </si>
  <si>
    <t>兵庫県宝塚市南ひばりガ丘２丁目13-1-305</t>
    <rPh sb="0" eb="3">
      <t>ヒョウゴケン</t>
    </rPh>
    <rPh sb="3" eb="6">
      <t>タカラヅカシ</t>
    </rPh>
    <rPh sb="6" eb="7">
      <t>ミナミ</t>
    </rPh>
    <rPh sb="11" eb="12">
      <t>オカ</t>
    </rPh>
    <rPh sb="13" eb="15">
      <t>チョウメ</t>
    </rPh>
    <phoneticPr fontId="1"/>
  </si>
  <si>
    <t>080-3803-6829</t>
    <phoneticPr fontId="1"/>
  </si>
  <si>
    <t>masato.hirooka1226@gmail.com</t>
    <phoneticPr fontId="1"/>
  </si>
  <si>
    <t>松崎　久美子</t>
    <rPh sb="0" eb="2">
      <t>マツザキ</t>
    </rPh>
    <rPh sb="3" eb="6">
      <t>クミコ</t>
    </rPh>
    <phoneticPr fontId="1"/>
  </si>
  <si>
    <t>ヤマザキ　クミコ　</t>
    <phoneticPr fontId="1"/>
  </si>
  <si>
    <t>665-0883</t>
    <phoneticPr fontId="1"/>
  </si>
  <si>
    <t>兵庫県宝塚市山本中1-1-3</t>
    <rPh sb="0" eb="3">
      <t>ヒョウゴケン</t>
    </rPh>
    <rPh sb="3" eb="6">
      <t>タカラヅカシ</t>
    </rPh>
    <rPh sb="6" eb="8">
      <t>ヤマモト</t>
    </rPh>
    <rPh sb="8" eb="9">
      <t>チュウ</t>
    </rPh>
    <phoneticPr fontId="1"/>
  </si>
  <si>
    <t>090-9054-7593</t>
    <phoneticPr fontId="1"/>
  </si>
  <si>
    <t>shushurin_jkk1113@icloud.com</t>
    <phoneticPr fontId="1"/>
  </si>
  <si>
    <t>上田様</t>
    <rPh sb="0" eb="2">
      <t>ウエダ</t>
    </rPh>
    <rPh sb="2" eb="3">
      <t>サマ</t>
    </rPh>
    <phoneticPr fontId="1"/>
  </si>
  <si>
    <t>浅尾　茂人</t>
    <rPh sb="0" eb="2">
      <t>アサオ</t>
    </rPh>
    <rPh sb="3" eb="5">
      <t>シゲト</t>
    </rPh>
    <phoneticPr fontId="1"/>
  </si>
  <si>
    <t>アサオ　シゲト</t>
    <phoneticPr fontId="1"/>
  </si>
  <si>
    <t>090-1952-8700</t>
    <phoneticPr fontId="1"/>
  </si>
  <si>
    <t>morjin@me.com</t>
    <phoneticPr fontId="1"/>
  </si>
  <si>
    <t>宮下　明</t>
    <rPh sb="0" eb="2">
      <t>ミヤシタ</t>
    </rPh>
    <rPh sb="3" eb="4">
      <t>アキラ</t>
    </rPh>
    <phoneticPr fontId="1"/>
  </si>
  <si>
    <t>ミヤシタ　アキラ</t>
    <phoneticPr fontId="1"/>
  </si>
  <si>
    <t>679-4126</t>
    <phoneticPr fontId="1"/>
  </si>
  <si>
    <t>兵庫県たつの市龍野町中村196-5</t>
    <rPh sb="0" eb="3">
      <t>ヒョウゴケン</t>
    </rPh>
    <rPh sb="6" eb="7">
      <t>シ</t>
    </rPh>
    <rPh sb="7" eb="8">
      <t>タツ</t>
    </rPh>
    <rPh sb="8" eb="9">
      <t>ノ</t>
    </rPh>
    <rPh sb="9" eb="10">
      <t>マチ</t>
    </rPh>
    <rPh sb="10" eb="12">
      <t>ナカムラ</t>
    </rPh>
    <phoneticPr fontId="1"/>
  </si>
  <si>
    <t>090-7752-2656</t>
    <phoneticPr fontId="1"/>
  </si>
  <si>
    <t>藤田プロ紹介</t>
    <rPh sb="0" eb="2">
      <t>フジタ</t>
    </rPh>
    <rPh sb="4" eb="6">
      <t>ショウカイ</t>
    </rPh>
    <phoneticPr fontId="1"/>
  </si>
  <si>
    <t>2025.11.17</t>
    <phoneticPr fontId="1"/>
  </si>
  <si>
    <t>渋川　煌</t>
    <rPh sb="0" eb="2">
      <t>シブカワ</t>
    </rPh>
    <rPh sb="3" eb="4">
      <t>キラメ</t>
    </rPh>
    <phoneticPr fontId="1"/>
  </si>
  <si>
    <t>シブカワ　コウ</t>
    <phoneticPr fontId="1"/>
  </si>
  <si>
    <t>男</t>
    <rPh sb="0" eb="1">
      <t>オトコ</t>
    </rPh>
    <phoneticPr fontId="1"/>
  </si>
  <si>
    <t>兵庫県宝塚市小林5-13-44</t>
    <rPh sb="0" eb="3">
      <t>ヒョウゴケン</t>
    </rPh>
    <rPh sb="3" eb="6">
      <t>タカラヅカシ</t>
    </rPh>
    <rPh sb="6" eb="8">
      <t>オバヤシ</t>
    </rPh>
    <phoneticPr fontId="1"/>
  </si>
  <si>
    <t>080-9306-2200</t>
    <phoneticPr fontId="1"/>
  </si>
  <si>
    <t>koukunkun0425@icloud.com</t>
    <phoneticPr fontId="1"/>
  </si>
  <si>
    <t>665-0034</t>
    <phoneticPr fontId="1"/>
  </si>
  <si>
    <t>島田　拓摩</t>
    <rPh sb="0" eb="2">
      <t>シマダ</t>
    </rPh>
    <rPh sb="3" eb="4">
      <t>タク</t>
    </rPh>
    <rPh sb="4" eb="5">
      <t>マ</t>
    </rPh>
    <phoneticPr fontId="1"/>
  </si>
  <si>
    <t>シマダ　タクマ</t>
    <phoneticPr fontId="1"/>
  </si>
  <si>
    <t>665-0813</t>
    <phoneticPr fontId="1"/>
  </si>
  <si>
    <t>兵庫県宝塚市口谷西3-58-3　ダイアパレス401号室</t>
    <rPh sb="0" eb="3">
      <t>ヒョウゴケン</t>
    </rPh>
    <rPh sb="3" eb="6">
      <t>タカラヅカシ</t>
    </rPh>
    <rPh sb="6" eb="9">
      <t>クチタニニシ</t>
    </rPh>
    <rPh sb="25" eb="27">
      <t>ゴウシツ</t>
    </rPh>
    <phoneticPr fontId="1"/>
  </si>
  <si>
    <t>090-1133-0237</t>
    <phoneticPr fontId="1"/>
  </si>
  <si>
    <t>smdtkm0629@gmail.com</t>
    <phoneticPr fontId="1"/>
  </si>
  <si>
    <t>フィッティング料返金</t>
    <rPh sb="7" eb="8">
      <t>リョウ</t>
    </rPh>
    <rPh sb="8" eb="10">
      <t>ヘンキン</t>
    </rPh>
    <phoneticPr fontId="1"/>
  </si>
  <si>
    <t>小林　祐輔</t>
    <rPh sb="0" eb="2">
      <t>コバヤシ</t>
    </rPh>
    <rPh sb="3" eb="5">
      <t>ユウスケ</t>
    </rPh>
    <phoneticPr fontId="1"/>
  </si>
  <si>
    <t>コバヤシ　ユウスケ</t>
    <phoneticPr fontId="1"/>
  </si>
  <si>
    <t>男</t>
    <rPh sb="0" eb="1">
      <t>オトコ</t>
    </rPh>
    <phoneticPr fontId="1"/>
  </si>
  <si>
    <t>670-0012</t>
    <phoneticPr fontId="1"/>
  </si>
  <si>
    <t>兵庫県姫路市本町145-1503</t>
    <rPh sb="0" eb="3">
      <t>ヒョウゴケン</t>
    </rPh>
    <rPh sb="3" eb="6">
      <t>ヒメジシ</t>
    </rPh>
    <rPh sb="6" eb="8">
      <t>ホンマチ</t>
    </rPh>
    <phoneticPr fontId="1"/>
  </si>
  <si>
    <t>090-7830-4905</t>
    <phoneticPr fontId="1"/>
  </si>
  <si>
    <t>藤田　崇之</t>
    <rPh sb="0" eb="2">
      <t>フジタ</t>
    </rPh>
    <rPh sb="3" eb="5">
      <t>タカユキ</t>
    </rPh>
    <phoneticPr fontId="1"/>
  </si>
  <si>
    <t>フジタ　タカユキ</t>
    <phoneticPr fontId="1"/>
  </si>
  <si>
    <t>男</t>
    <rPh sb="0" eb="1">
      <t>オトコ</t>
    </rPh>
    <phoneticPr fontId="1"/>
  </si>
  <si>
    <t>651-2404</t>
    <phoneticPr fontId="1"/>
  </si>
  <si>
    <t>兵庫県神戸市西区岩岡町古郷1938</t>
    <rPh sb="0" eb="3">
      <t>ヒョウゴケン</t>
    </rPh>
    <rPh sb="3" eb="6">
      <t>コウベシ</t>
    </rPh>
    <rPh sb="6" eb="8">
      <t>ニシク</t>
    </rPh>
    <rPh sb="8" eb="11">
      <t>イワオカチョウ</t>
    </rPh>
    <rPh sb="11" eb="13">
      <t>コキョウ</t>
    </rPh>
    <phoneticPr fontId="1"/>
  </si>
  <si>
    <t>090-5254-0137</t>
    <phoneticPr fontId="1"/>
  </si>
  <si>
    <t>店頭</t>
    <rPh sb="0" eb="2">
      <t>テントウ</t>
    </rPh>
    <phoneticPr fontId="1"/>
  </si>
  <si>
    <t>宮崎さん紹介</t>
    <rPh sb="0" eb="2">
      <t>ミヤザキ</t>
    </rPh>
    <rPh sb="4" eb="6">
      <t>ショウカイ</t>
    </rPh>
    <phoneticPr fontId="1"/>
  </si>
  <si>
    <t>宮本　雅由</t>
    <rPh sb="0" eb="2">
      <t>ミヤモト</t>
    </rPh>
    <rPh sb="3" eb="4">
      <t>マサ</t>
    </rPh>
    <rPh sb="4" eb="5">
      <t>ユウ</t>
    </rPh>
    <phoneticPr fontId="1"/>
  </si>
  <si>
    <t>ミヤモト　マサヨシ</t>
    <phoneticPr fontId="1"/>
  </si>
  <si>
    <t>男</t>
    <rPh sb="0" eb="1">
      <t>オトコ</t>
    </rPh>
    <phoneticPr fontId="1"/>
  </si>
  <si>
    <t>664-0888</t>
    <phoneticPr fontId="1"/>
  </si>
  <si>
    <t>兵庫県伊丹市昆陽南1-1-5-912</t>
    <rPh sb="0" eb="3">
      <t>ヒョウゴケン</t>
    </rPh>
    <rPh sb="3" eb="6">
      <t>イタミシ</t>
    </rPh>
    <rPh sb="6" eb="8">
      <t>コヤ</t>
    </rPh>
    <rPh sb="8" eb="9">
      <t>ミナミ</t>
    </rPh>
    <phoneticPr fontId="1"/>
  </si>
  <si>
    <t>080-6162-8645</t>
    <phoneticPr fontId="1"/>
  </si>
  <si>
    <t>us51b103262f1cmotti@ezweb.ne.jp</t>
    <phoneticPr fontId="1"/>
  </si>
  <si>
    <t>森本　誠一</t>
    <rPh sb="0" eb="2">
      <t>モリモト</t>
    </rPh>
    <rPh sb="3" eb="5">
      <t>セイイチ</t>
    </rPh>
    <phoneticPr fontId="1"/>
  </si>
  <si>
    <t>モリモト　セイイチ</t>
    <phoneticPr fontId="1"/>
  </si>
  <si>
    <t>男</t>
    <rPh sb="0" eb="1">
      <t>オトコ</t>
    </rPh>
    <phoneticPr fontId="1"/>
  </si>
  <si>
    <t>586-0025</t>
    <phoneticPr fontId="1"/>
  </si>
  <si>
    <t>大阪府河内長野市昭栄町8-5</t>
    <rPh sb="0" eb="3">
      <t>オオサカフ</t>
    </rPh>
    <rPh sb="3" eb="7">
      <t>カワチナガノ</t>
    </rPh>
    <rPh sb="7" eb="8">
      <t>シ</t>
    </rPh>
    <rPh sb="8" eb="11">
      <t>ショウエイチョウ</t>
    </rPh>
    <phoneticPr fontId="1"/>
  </si>
  <si>
    <t>090-3351-6288</t>
    <phoneticPr fontId="1"/>
  </si>
  <si>
    <t>waku2184@yahoo.co.jp</t>
    <phoneticPr fontId="1"/>
  </si>
  <si>
    <t>2026.02.13</t>
    <phoneticPr fontId="1"/>
  </si>
  <si>
    <t>３２ 期</t>
    <rPh sb="3" eb="4">
      <t>キ</t>
    </rPh>
    <phoneticPr fontId="1"/>
  </si>
  <si>
    <t>３２期</t>
    <rPh sb="2" eb="3">
      <t>キ</t>
    </rPh>
    <phoneticPr fontId="1"/>
  </si>
  <si>
    <t>32期</t>
    <rPh sb="2" eb="3">
      <t>キ</t>
    </rPh>
    <phoneticPr fontId="1"/>
  </si>
  <si>
    <t>鉄本　一平</t>
    <rPh sb="0" eb="2">
      <t>テツモト</t>
    </rPh>
    <rPh sb="3" eb="5">
      <t>イッペイ</t>
    </rPh>
    <phoneticPr fontId="1"/>
  </si>
  <si>
    <t>テツモト　イッペイ</t>
    <phoneticPr fontId="1"/>
  </si>
  <si>
    <t>男</t>
    <rPh sb="0" eb="1">
      <t>オトコ</t>
    </rPh>
    <phoneticPr fontId="1"/>
  </si>
  <si>
    <t>566-0024</t>
    <phoneticPr fontId="1"/>
  </si>
  <si>
    <t>大阪府摂津市東正雀2-26</t>
    <rPh sb="0" eb="3">
      <t>オオサカフ</t>
    </rPh>
    <rPh sb="3" eb="6">
      <t>セッツシ</t>
    </rPh>
    <rPh sb="6" eb="7">
      <t>ヒガシ</t>
    </rPh>
    <rPh sb="7" eb="8">
      <t>タダ</t>
    </rPh>
    <rPh sb="8" eb="9">
      <t>スズメ</t>
    </rPh>
    <phoneticPr fontId="1"/>
  </si>
  <si>
    <t>090-5650-5630</t>
    <phoneticPr fontId="1"/>
  </si>
  <si>
    <t>中西　政己</t>
    <rPh sb="0" eb="2">
      <t>ナカニシ</t>
    </rPh>
    <rPh sb="3" eb="5">
      <t>マサミ</t>
    </rPh>
    <phoneticPr fontId="1"/>
  </si>
  <si>
    <t>ナカニシ　マサミ</t>
    <phoneticPr fontId="1"/>
  </si>
  <si>
    <t>男</t>
    <rPh sb="0" eb="1">
      <t>オトコ</t>
    </rPh>
    <phoneticPr fontId="1"/>
  </si>
  <si>
    <t>565-0854</t>
    <phoneticPr fontId="1"/>
  </si>
  <si>
    <t>masami.nakanishi619@gmail.com</t>
    <phoneticPr fontId="1"/>
  </si>
  <si>
    <t>入会</t>
    <rPh sb="0" eb="2">
      <t>ニュウカイ</t>
    </rPh>
    <phoneticPr fontId="1"/>
  </si>
  <si>
    <t>知人の紹介</t>
    <rPh sb="0" eb="2">
      <t>チジン</t>
    </rPh>
    <rPh sb="3" eb="5">
      <t>ショウカイ</t>
    </rPh>
    <phoneticPr fontId="1"/>
  </si>
  <si>
    <t>岡浦　義治</t>
    <rPh sb="0" eb="2">
      <t>オカウラ</t>
    </rPh>
    <rPh sb="3" eb="5">
      <t>ヨシハル</t>
    </rPh>
    <phoneticPr fontId="1"/>
  </si>
  <si>
    <t>オカウラ　ヨシハル</t>
    <phoneticPr fontId="1"/>
  </si>
  <si>
    <t>男</t>
    <rPh sb="0" eb="1">
      <t>オトコ</t>
    </rPh>
    <phoneticPr fontId="1"/>
  </si>
  <si>
    <t>570-0095</t>
    <phoneticPr fontId="1"/>
  </si>
  <si>
    <t>大阪府守口市八島町4-3-101</t>
    <rPh sb="0" eb="3">
      <t>オオサカフ</t>
    </rPh>
    <rPh sb="3" eb="8">
      <t>モリグチシヤシマ</t>
    </rPh>
    <rPh sb="8" eb="9">
      <t>チョウ</t>
    </rPh>
    <phoneticPr fontId="1"/>
  </si>
  <si>
    <t>090-4294-3729</t>
    <phoneticPr fontId="1"/>
  </si>
  <si>
    <t>宮本　辰雄</t>
    <rPh sb="0" eb="2">
      <t>ミヤモト</t>
    </rPh>
    <rPh sb="3" eb="5">
      <t>タツオ</t>
    </rPh>
    <phoneticPr fontId="1"/>
  </si>
  <si>
    <t>ミヤモト　タツオ</t>
    <phoneticPr fontId="1"/>
  </si>
  <si>
    <t>男</t>
    <rPh sb="0" eb="1">
      <t>オトコ</t>
    </rPh>
    <phoneticPr fontId="1"/>
  </si>
  <si>
    <t>兵庫県川西南野坂1-1-93</t>
    <rPh sb="0" eb="5">
      <t>ヒョウゴケンカワニシ</t>
    </rPh>
    <rPh sb="5" eb="7">
      <t>ミナミノ</t>
    </rPh>
    <rPh sb="7" eb="8">
      <t>サカ</t>
    </rPh>
    <phoneticPr fontId="1"/>
  </si>
  <si>
    <t>666-0136</t>
    <phoneticPr fontId="1"/>
  </si>
  <si>
    <t>090-3262-8397</t>
    <phoneticPr fontId="1"/>
  </si>
  <si>
    <t>入会</t>
    <rPh sb="0" eb="2">
      <t>ニュウカイ</t>
    </rPh>
    <phoneticPr fontId="1"/>
  </si>
  <si>
    <t>延安様</t>
    <phoneticPr fontId="1"/>
  </si>
  <si>
    <t>青山　林平</t>
    <rPh sb="0" eb="2">
      <t>アオヤマ</t>
    </rPh>
    <rPh sb="3" eb="5">
      <t>リンペイ</t>
    </rPh>
    <phoneticPr fontId="1"/>
  </si>
  <si>
    <t>アオヤマ　リンペイ</t>
    <phoneticPr fontId="1"/>
  </si>
  <si>
    <t>男</t>
    <rPh sb="0" eb="1">
      <t>オトコ</t>
    </rPh>
    <phoneticPr fontId="1"/>
  </si>
  <si>
    <t>444-0825</t>
    <phoneticPr fontId="1"/>
  </si>
  <si>
    <t>愛知県岡崎市福岡町西室池20-1</t>
    <rPh sb="0" eb="3">
      <t>アイチケン</t>
    </rPh>
    <rPh sb="3" eb="6">
      <t>オカザキシ</t>
    </rPh>
    <rPh sb="6" eb="9">
      <t>フクオカチョウ</t>
    </rPh>
    <rPh sb="9" eb="12">
      <t>ニシムロイケ</t>
    </rPh>
    <phoneticPr fontId="1"/>
  </si>
  <si>
    <t>090-7312-4983</t>
    <phoneticPr fontId="1"/>
  </si>
  <si>
    <t>rimpei0501@gmail.com</t>
    <phoneticPr fontId="1"/>
  </si>
  <si>
    <t>蟹江様</t>
    <rPh sb="0" eb="3">
      <t>カニエサマ</t>
    </rPh>
    <phoneticPr fontId="1"/>
  </si>
  <si>
    <t>購入</t>
    <rPh sb="0" eb="2">
      <t>コウニュウ</t>
    </rPh>
    <phoneticPr fontId="1"/>
  </si>
  <si>
    <t>大阪府吹田市桃山台2-3-1-10-601</t>
    <rPh sb="0" eb="3">
      <t>オオサカフ</t>
    </rPh>
    <rPh sb="3" eb="6">
      <t>スイタシ</t>
    </rPh>
    <rPh sb="6" eb="9">
      <t>モモヤマダイ</t>
    </rPh>
    <phoneticPr fontId="1"/>
  </si>
  <si>
    <t>090-8653-6078</t>
    <phoneticPr fontId="1"/>
  </si>
  <si>
    <t>北川　瑞貴</t>
    <rPh sb="0" eb="2">
      <t>キタガワ</t>
    </rPh>
    <rPh sb="3" eb="5">
      <t>ミズキ</t>
    </rPh>
    <phoneticPr fontId="1"/>
  </si>
  <si>
    <t>666-0116</t>
    <phoneticPr fontId="1"/>
  </si>
  <si>
    <t>兵庫県川西市水明台3-8-44</t>
    <rPh sb="0" eb="6">
      <t>ヒョウゴケンカワニシシ</t>
    </rPh>
    <rPh sb="6" eb="7">
      <t>ミズ</t>
    </rPh>
    <rPh sb="7" eb="8">
      <t>ア</t>
    </rPh>
    <rPh sb="8" eb="9">
      <t>ダイ</t>
    </rPh>
    <phoneticPr fontId="1"/>
  </si>
  <si>
    <t>080-3035-2611</t>
    <phoneticPr fontId="1"/>
  </si>
  <si>
    <t>兄（北川雄貴様？）</t>
    <rPh sb="0" eb="1">
      <t>アニ</t>
    </rPh>
    <rPh sb="2" eb="4">
      <t>キタガワ</t>
    </rPh>
    <rPh sb="4" eb="5">
      <t>ユウ</t>
    </rPh>
    <rPh sb="5" eb="7">
      <t>タカシサマ</t>
    </rPh>
    <phoneticPr fontId="1"/>
  </si>
  <si>
    <t>西田　篤樹</t>
    <rPh sb="0" eb="2">
      <t>ニシダ</t>
    </rPh>
    <rPh sb="3" eb="4">
      <t>アツ</t>
    </rPh>
    <rPh sb="4" eb="5">
      <t>イツキ</t>
    </rPh>
    <phoneticPr fontId="1"/>
  </si>
  <si>
    <t>南　大樹</t>
    <rPh sb="0" eb="1">
      <t>ミナミ</t>
    </rPh>
    <rPh sb="2" eb="4">
      <t>ダイキ</t>
    </rPh>
    <phoneticPr fontId="1"/>
  </si>
  <si>
    <t>ニシダ　アツキ</t>
    <phoneticPr fontId="1"/>
  </si>
  <si>
    <t>ミナミ　ダイキ</t>
    <phoneticPr fontId="1"/>
  </si>
  <si>
    <t>男</t>
    <rPh sb="0" eb="1">
      <t>オトコ</t>
    </rPh>
    <phoneticPr fontId="1"/>
  </si>
  <si>
    <t>567-0854</t>
    <phoneticPr fontId="1"/>
  </si>
  <si>
    <t>665-0803</t>
    <phoneticPr fontId="1"/>
  </si>
  <si>
    <t>大阪府茨木市島１丁目18-2</t>
    <rPh sb="0" eb="3">
      <t>オオサカフ</t>
    </rPh>
    <rPh sb="3" eb="6">
      <t>イバラキシ</t>
    </rPh>
    <rPh sb="6" eb="7">
      <t>シマ</t>
    </rPh>
    <rPh sb="8" eb="10">
      <t>チョウメ</t>
    </rPh>
    <phoneticPr fontId="1"/>
  </si>
  <si>
    <t>兵庫県宝塚市花屋敷つつじヶ丘6-44</t>
    <rPh sb="0" eb="3">
      <t>ヒョウゴケン</t>
    </rPh>
    <rPh sb="3" eb="6">
      <t>タカラヅカシ</t>
    </rPh>
    <rPh sb="6" eb="9">
      <t>ハナヤシキ</t>
    </rPh>
    <rPh sb="13" eb="14">
      <t>オカ</t>
    </rPh>
    <phoneticPr fontId="1"/>
  </si>
  <si>
    <t>090-4643-7509</t>
    <phoneticPr fontId="1"/>
  </si>
  <si>
    <t>090-1147-3672</t>
    <phoneticPr fontId="1"/>
  </si>
  <si>
    <t>nishida@studio.en.co.jp</t>
    <phoneticPr fontId="1"/>
  </si>
  <si>
    <t>2026.06.04</t>
    <phoneticPr fontId="1"/>
  </si>
  <si>
    <t>小川さん紹介</t>
    <rPh sb="0" eb="2">
      <t>オガワ</t>
    </rPh>
    <rPh sb="4" eb="6">
      <t>ショウカイ</t>
    </rPh>
    <phoneticPr fontId="1"/>
  </si>
  <si>
    <t>加藤　岳人</t>
    <rPh sb="0" eb="2">
      <t>カトウ</t>
    </rPh>
    <rPh sb="3" eb="4">
      <t>ガク</t>
    </rPh>
    <rPh sb="4" eb="5">
      <t>ヒト</t>
    </rPh>
    <phoneticPr fontId="1"/>
  </si>
  <si>
    <t>カトウ　ガクト</t>
    <phoneticPr fontId="1"/>
  </si>
  <si>
    <t>男</t>
    <rPh sb="0" eb="1">
      <t>オトコ</t>
    </rPh>
    <phoneticPr fontId="1"/>
  </si>
  <si>
    <t>666-0024</t>
    <phoneticPr fontId="1"/>
  </si>
  <si>
    <t>兵庫県川西市久代３丁目29-11-10</t>
    <rPh sb="0" eb="3">
      <t>ヒョウゴケン</t>
    </rPh>
    <rPh sb="3" eb="6">
      <t>カワニシシ</t>
    </rPh>
    <rPh sb="6" eb="8">
      <t>クシロ</t>
    </rPh>
    <rPh sb="9" eb="11">
      <t>チョウメ</t>
    </rPh>
    <phoneticPr fontId="1"/>
  </si>
  <si>
    <t>090-5363-8125</t>
    <phoneticPr fontId="1"/>
  </si>
  <si>
    <t>内藤　正樹</t>
    <rPh sb="0" eb="2">
      <t>ナイトウ</t>
    </rPh>
    <rPh sb="3" eb="5">
      <t>マサキ</t>
    </rPh>
    <phoneticPr fontId="1"/>
  </si>
  <si>
    <t>ナイトウ　マサキ</t>
    <phoneticPr fontId="1"/>
  </si>
  <si>
    <t>男</t>
    <rPh sb="0" eb="1">
      <t>オトコ</t>
    </rPh>
    <phoneticPr fontId="1"/>
  </si>
  <si>
    <t>665-0887</t>
    <phoneticPr fontId="1"/>
  </si>
  <si>
    <t>兵庫県宝塚市山手台東1-2-1-619</t>
    <rPh sb="0" eb="3">
      <t>ヒョウゴケン</t>
    </rPh>
    <rPh sb="3" eb="6">
      <t>タカラヅカシ</t>
    </rPh>
    <rPh sb="6" eb="9">
      <t>ヤマテダイ</t>
    </rPh>
    <rPh sb="9" eb="10">
      <t>ヒガシ</t>
    </rPh>
    <phoneticPr fontId="1"/>
  </si>
  <si>
    <t>090-7359-5443</t>
    <phoneticPr fontId="1"/>
  </si>
  <si>
    <t>msk.naito@gmal.com</t>
    <phoneticPr fontId="1"/>
  </si>
  <si>
    <t>その他</t>
    <rPh sb="2" eb="3">
      <t>ホカ</t>
    </rPh>
    <phoneticPr fontId="1"/>
  </si>
  <si>
    <t>エニタイム</t>
    <phoneticPr fontId="1"/>
  </si>
  <si>
    <t>加藤　裕貴</t>
    <rPh sb="0" eb="2">
      <t>カトウ</t>
    </rPh>
    <rPh sb="3" eb="4">
      <t>ヒロ</t>
    </rPh>
    <rPh sb="4" eb="5">
      <t>タカシ</t>
    </rPh>
    <phoneticPr fontId="1"/>
  </si>
  <si>
    <t>カトウユウキ</t>
    <phoneticPr fontId="1"/>
  </si>
  <si>
    <t>665-0874</t>
    <phoneticPr fontId="1"/>
  </si>
  <si>
    <t>兵庫県宝塚市中筋4丁目4-11-301</t>
    <rPh sb="0" eb="6">
      <t>ヒョウゴケンタカラヅカシ</t>
    </rPh>
    <rPh sb="6" eb="8">
      <t>ナカスジ</t>
    </rPh>
    <rPh sb="9" eb="11">
      <t>チョウメ</t>
    </rPh>
    <phoneticPr fontId="1"/>
  </si>
  <si>
    <t>090-2854-9225</t>
    <phoneticPr fontId="1"/>
  </si>
  <si>
    <t>smmpf380@gmail.com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</si>
</sst>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&quot;¥&quot;#,##0_);[Red]\(&quot;¥&quot;#,##0\)"/>
    <numFmt numFmtId="177" formatCode="&quot;¥&quot;#,##0_);\(&quot;¥&quot;#,##0\)"/>
    <numFmt numFmtId="178" formatCode="yyyy/m/d;@"/>
    <numFmt numFmtId="179" formatCode="0_ "/>
    <numFmt numFmtId="180" formatCode="0.0&quot;km&quot;"/>
    <numFmt numFmtId="181" formatCode="[$-F800]dddd\,\ mmmm\ dd\,\ yyyy"/>
    <numFmt numFmtId="182" formatCode="[&lt;=999]000;[&lt;=9999]000\-00;000\-0000"/>
    <numFmt numFmtId="183" formatCode="0.0_ "/>
    <numFmt numFmtId="184" formatCode="yyyy&quot;年&quot;m&quot;月&quot;;@"/>
    <numFmt numFmtId="185" formatCode="General&quot;人&quot;"/>
    <numFmt numFmtId="186" formatCode="0.0%"/>
    <numFmt numFmtId="187" formatCode="[$¥-411]#,##0.00_);[Red]\([$¥-411]#,##0.00\)"/>
  </numFmts>
  <fonts count="2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sz val="12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28"/>
    </font>
    <font>
      <sz val="12"/>
      <color rgb="FFFF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NSimSun"/>
      <family val="3"/>
      <charset val="134"/>
    </font>
    <font>
      <strike/>
      <sz val="12"/>
      <color theme="1"/>
      <name val="游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0"/>
      <name val="メイリオ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  <font>
      <sz val="12"/>
      <color theme="1"/>
      <name val="Segoe UI Symbol"/>
      <family val="3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B3FE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4506668294322"/>
      </left>
      <right/>
      <top/>
      <bottom/>
      <diagonal/>
    </border>
    <border>
      <left style="thin">
        <color auto="1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auto="1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auto="1"/>
      </right>
      <top style="thin">
        <color auto="1"/>
      </top>
      <bottom/>
      <diagonal/>
    </border>
    <border>
      <left style="thin">
        <color rgb="FF0070C0"/>
      </left>
      <right style="thin">
        <color auto="1"/>
      </right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/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rgb="FF0070C0"/>
      </right>
      <top style="double">
        <color auto="1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81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80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80" fontId="5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179" fontId="5" fillId="0" borderId="1" xfId="0" applyNumberFormat="1" applyFont="1" applyBorder="1" applyAlignment="1">
      <alignment horizontal="left" vertical="center"/>
    </xf>
    <xf numFmtId="0" fontId="5" fillId="0" borderId="1" xfId="0" applyFont="1" applyBorder="1">
      <alignment vertical="center"/>
    </xf>
    <xf numFmtId="177" fontId="5" fillId="0" borderId="1" xfId="0" applyNumberFormat="1" applyFont="1" applyBorder="1" applyAlignment="1">
      <alignment horizontal="right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5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8" fontId="5" fillId="0" borderId="1" xfId="0" applyNumberFormat="1" applyFont="1" applyBorder="1" applyAlignment="1">
      <alignment horizontal="left" vertical="center"/>
    </xf>
    <xf numFmtId="178" fontId="5" fillId="0" borderId="2" xfId="0" applyNumberFormat="1" applyFont="1" applyBorder="1" applyAlignment="1">
      <alignment horizontal="center" vertical="center"/>
    </xf>
    <xf numFmtId="179" fontId="7" fillId="0" borderId="1" xfId="1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180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7" fillId="0" borderId="1" xfId="1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178" fontId="5" fillId="0" borderId="1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5" fillId="2" borderId="1" xfId="0" applyFont="1" applyFill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14" fontId="5" fillId="0" borderId="4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78" fontId="5" fillId="0" borderId="5" xfId="0" applyNumberFormat="1" applyFont="1" applyBorder="1" applyAlignment="1">
      <alignment horizontal="right" vertical="center"/>
    </xf>
    <xf numFmtId="14" fontId="5" fillId="0" borderId="5" xfId="0" applyNumberFormat="1" applyFont="1" applyBorder="1" applyAlignment="1">
      <alignment horizontal="right" vertical="center"/>
    </xf>
    <xf numFmtId="0" fontId="2" fillId="0" borderId="1" xfId="1" applyBorder="1" applyAlignment="1">
      <alignment horizontal="left" vertical="center"/>
    </xf>
    <xf numFmtId="177" fontId="5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right" vertical="center"/>
    </xf>
    <xf numFmtId="178" fontId="10" fillId="0" borderId="1" xfId="0" applyNumberFormat="1" applyFont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5" fillId="5" borderId="1" xfId="0" applyFont="1" applyFill="1" applyBorder="1">
      <alignment vertical="center"/>
    </xf>
    <xf numFmtId="31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56" fontId="5" fillId="3" borderId="1" xfId="0" applyNumberFormat="1" applyFont="1" applyFill="1" applyBorder="1" applyAlignment="1">
      <alignment horizontal="left" vertical="center"/>
    </xf>
    <xf numFmtId="56" fontId="5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left" vertical="center"/>
    </xf>
    <xf numFmtId="31" fontId="5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56" fontId="5" fillId="3" borderId="1" xfId="0" applyNumberFormat="1" applyFont="1" applyFill="1" applyBorder="1">
      <alignment vertical="center"/>
    </xf>
    <xf numFmtId="14" fontId="5" fillId="3" borderId="1" xfId="0" applyNumberFormat="1" applyFont="1" applyFill="1" applyBorder="1">
      <alignment vertical="center"/>
    </xf>
    <xf numFmtId="181" fontId="5" fillId="3" borderId="1" xfId="0" applyNumberFormat="1" applyFont="1" applyFill="1" applyBorder="1">
      <alignment vertical="center"/>
    </xf>
    <xf numFmtId="181" fontId="5" fillId="3" borderId="1" xfId="0" applyNumberFormat="1" applyFont="1" applyFill="1" applyBorder="1" applyAlignment="1">
      <alignment horizontal="center" vertical="center"/>
    </xf>
    <xf numFmtId="178" fontId="5" fillId="0" borderId="2" xfId="0" applyNumberFormat="1" applyFont="1" applyBorder="1" applyAlignment="1">
      <alignment horizontal="right" vertical="center"/>
    </xf>
    <xf numFmtId="14" fontId="5" fillId="0" borderId="3" xfId="0" applyNumberFormat="1" applyFont="1" applyBorder="1" applyAlignment="1">
      <alignment horizontal="right" vertical="center"/>
    </xf>
    <xf numFmtId="180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56" fontId="5" fillId="7" borderId="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1" xfId="0" applyFont="1" applyFill="1" applyBorder="1">
      <alignment vertical="center"/>
    </xf>
    <xf numFmtId="56" fontId="5" fillId="7" borderId="1" xfId="0" applyNumberFormat="1" applyFont="1" applyFill="1" applyBorder="1">
      <alignment vertical="center"/>
    </xf>
    <xf numFmtId="14" fontId="5" fillId="7" borderId="1" xfId="0" applyNumberFormat="1" applyFont="1" applyFill="1" applyBorder="1">
      <alignment vertical="center"/>
    </xf>
    <xf numFmtId="181" fontId="5" fillId="7" borderId="1" xfId="0" applyNumberFormat="1" applyFont="1" applyFill="1" applyBorder="1">
      <alignment vertical="center"/>
    </xf>
    <xf numFmtId="181" fontId="5" fillId="7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56" fontId="5" fillId="0" borderId="4" xfId="0" applyNumberFormat="1" applyFont="1" applyBorder="1" applyAlignment="1">
      <alignment horizontal="left" vertical="center"/>
    </xf>
    <xf numFmtId="178" fontId="5" fillId="0" borderId="4" xfId="0" applyNumberFormat="1" applyFont="1" applyBorder="1" applyAlignment="1">
      <alignment horizontal="left" vertical="center"/>
    </xf>
    <xf numFmtId="31" fontId="5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77" fontId="5" fillId="0" borderId="4" xfId="0" applyNumberFormat="1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178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center" vertical="center"/>
    </xf>
    <xf numFmtId="0" fontId="6" fillId="0" borderId="1" xfId="0" applyFont="1" applyBorder="1">
      <alignment vertical="center"/>
    </xf>
    <xf numFmtId="0" fontId="5" fillId="7" borderId="0" xfId="0" applyFont="1" applyFill="1">
      <alignment vertical="center"/>
    </xf>
    <xf numFmtId="0" fontId="5" fillId="3" borderId="0" xfId="0" applyFont="1" applyFill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18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84" fontId="0" fillId="0" borderId="0" xfId="0" applyNumberFormat="1">
      <alignment vertical="center"/>
    </xf>
    <xf numFmtId="0" fontId="0" fillId="6" borderId="1" xfId="0" applyFill="1" applyBorder="1" applyAlignment="1">
      <alignment horizontal="center" vertical="center"/>
    </xf>
    <xf numFmtId="0" fontId="18" fillId="0" borderId="0" xfId="0" applyFont="1">
      <alignment vertical="center"/>
    </xf>
    <xf numFmtId="0" fontId="17" fillId="7" borderId="0" xfId="0" applyFont="1" applyFill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5" fontId="16" fillId="0" borderId="1" xfId="0" applyNumberFormat="1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185" fontId="0" fillId="0" borderId="1" xfId="0" applyNumberForma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0" fillId="0" borderId="1" xfId="2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7" xfId="0" applyBorder="1">
      <alignment vertical="center"/>
    </xf>
    <xf numFmtId="0" fontId="0" fillId="14" borderId="10" xfId="0" applyFill="1" applyBorder="1" applyAlignment="1">
      <alignment horizontal="center" vertical="center"/>
    </xf>
    <xf numFmtId="0" fontId="16" fillId="14" borderId="10" xfId="0" applyFont="1" applyFill="1" applyBorder="1" applyAlignment="1">
      <alignment horizontal="center" vertical="center"/>
    </xf>
    <xf numFmtId="0" fontId="0" fillId="14" borderId="10" xfId="0" applyFill="1" applyBorder="1">
      <alignment vertical="center"/>
    </xf>
    <xf numFmtId="0" fontId="0" fillId="14" borderId="1" xfId="0" applyFill="1" applyBorder="1">
      <alignment vertical="center"/>
    </xf>
    <xf numFmtId="0" fontId="0" fillId="14" borderId="17" xfId="0" applyFill="1" applyBorder="1" applyAlignment="1">
      <alignment horizontal="center" vertical="center"/>
    </xf>
    <xf numFmtId="0" fontId="0" fillId="14" borderId="20" xfId="0" applyFill="1" applyBorder="1">
      <alignment vertical="center"/>
    </xf>
    <xf numFmtId="0" fontId="0" fillId="14" borderId="17" xfId="0" applyFill="1" applyBorder="1">
      <alignment vertical="center"/>
    </xf>
    <xf numFmtId="0" fontId="14" fillId="10" borderId="2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5" fillId="10" borderId="29" xfId="0" applyFont="1" applyFill="1" applyBorder="1" applyAlignment="1">
      <alignment horizontal="center" vertical="center"/>
    </xf>
    <xf numFmtId="0" fontId="15" fillId="11" borderId="1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14" fillId="10" borderId="31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17" fillId="10" borderId="32" xfId="0" applyFont="1" applyFill="1" applyBorder="1" applyAlignment="1">
      <alignment horizontal="center" vertical="center"/>
    </xf>
    <xf numFmtId="0" fontId="15" fillId="10" borderId="33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0" fontId="0" fillId="15" borderId="25" xfId="0" applyFill="1" applyBorder="1">
      <alignment vertical="center"/>
    </xf>
    <xf numFmtId="0" fontId="14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5" fillId="10" borderId="35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16" borderId="4" xfId="0" applyFill="1" applyBorder="1">
      <alignment vertical="center"/>
    </xf>
    <xf numFmtId="0" fontId="0" fillId="16" borderId="3" xfId="0" applyFill="1" applyBorder="1" applyAlignment="1">
      <alignment horizontal="right" vertical="center"/>
    </xf>
    <xf numFmtId="183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5" fillId="5" borderId="0" xfId="0" applyFont="1" applyFill="1">
      <alignment vertical="center"/>
    </xf>
    <xf numFmtId="0" fontId="0" fillId="5" borderId="0" xfId="0" applyFill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177" fontId="5" fillId="5" borderId="1" xfId="0" applyNumberFormat="1" applyFont="1" applyFill="1" applyBorder="1" applyAlignment="1">
      <alignment horizontal="right" vertical="center"/>
    </xf>
    <xf numFmtId="179" fontId="5" fillId="5" borderId="1" xfId="0" applyNumberFormat="1" applyFont="1" applyFill="1" applyBorder="1" applyAlignment="1">
      <alignment horizontal="left" vertical="center"/>
    </xf>
    <xf numFmtId="180" fontId="5" fillId="5" borderId="1" xfId="0" applyNumberFormat="1" applyFont="1" applyFill="1" applyBorder="1" applyAlignment="1">
      <alignment horizontal="left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right" vertical="center"/>
    </xf>
    <xf numFmtId="14" fontId="5" fillId="5" borderId="1" xfId="0" applyNumberFormat="1" applyFont="1" applyFill="1" applyBorder="1" applyAlignment="1">
      <alignment horizontal="right" vertical="center"/>
    </xf>
    <xf numFmtId="183" fontId="0" fillId="0" borderId="0" xfId="0" applyNumberFormat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184" fontId="20" fillId="17" borderId="1" xfId="0" applyNumberFormat="1" applyFont="1" applyFill="1" applyBorder="1" applyAlignment="1">
      <alignment horizontal="center" vertical="center"/>
    </xf>
    <xf numFmtId="184" fontId="21" fillId="17" borderId="1" xfId="0" applyNumberFormat="1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1" xfId="0" applyFont="1" applyBorder="1" applyAlignment="1">
      <alignment horizontal="center" vertical="center"/>
    </xf>
    <xf numFmtId="185" fontId="24" fillId="0" borderId="1" xfId="0" applyNumberFormat="1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3" fillId="0" borderId="1" xfId="0" applyFont="1" applyBorder="1">
      <alignment vertical="center"/>
    </xf>
    <xf numFmtId="186" fontId="24" fillId="0" borderId="1" xfId="3" applyNumberFormat="1" applyFont="1" applyBorder="1" applyAlignment="1">
      <alignment horizontal="center" vertical="center"/>
    </xf>
    <xf numFmtId="0" fontId="25" fillId="7" borderId="8" xfId="0" applyFont="1" applyFill="1" applyBorder="1" applyAlignment="1">
      <alignment horizontal="center" vertical="center"/>
    </xf>
    <xf numFmtId="0" fontId="14" fillId="10" borderId="32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27" xfId="0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186" fontId="0" fillId="0" borderId="1" xfId="3" applyNumberFormat="1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77" fontId="5" fillId="7" borderId="1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right" vertical="center"/>
    </xf>
    <xf numFmtId="178" fontId="5" fillId="7" borderId="1" xfId="0" applyNumberFormat="1" applyFont="1" applyFill="1" applyBorder="1" applyAlignment="1">
      <alignment horizontal="right" vertical="center"/>
    </xf>
    <xf numFmtId="178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80" fontId="5" fillId="7" borderId="1" xfId="0" applyNumberFormat="1" applyFont="1" applyFill="1" applyBorder="1" applyAlignment="1">
      <alignment horizontal="left" vertical="center"/>
    </xf>
    <xf numFmtId="179" fontId="5" fillId="7" borderId="1" xfId="0" applyNumberFormat="1" applyFont="1" applyFill="1" applyBorder="1" applyAlignment="1">
      <alignment horizontal="left" vertical="center"/>
    </xf>
    <xf numFmtId="0" fontId="2" fillId="7" borderId="1" xfId="1" applyFill="1" applyBorder="1" applyAlignment="1">
      <alignment horizontal="left" vertical="center"/>
    </xf>
    <xf numFmtId="177" fontId="5" fillId="7" borderId="1" xfId="0" applyNumberFormat="1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5" fillId="0" borderId="3" xfId="0" applyFont="1" applyBorder="1" applyAlignment="1">
      <alignment horizontal="center" vertical="center" shrinkToFit="1"/>
    </xf>
    <xf numFmtId="177" fontId="26" fillId="0" borderId="1" xfId="0" applyNumberFormat="1" applyFont="1" applyBorder="1" applyAlignment="1">
      <alignment horizontal="right" vertical="center"/>
    </xf>
    <xf numFmtId="0" fontId="2" fillId="0" borderId="0" xfId="1" applyAlignment="1">
      <alignment horizontal="left" vertical="center"/>
    </xf>
    <xf numFmtId="0" fontId="5" fillId="0" borderId="2" xfId="0" applyFont="1" applyBorder="1">
      <alignment vertical="center"/>
    </xf>
    <xf numFmtId="181" fontId="5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>
      <alignment vertical="center"/>
    </xf>
    <xf numFmtId="187" fontId="0" fillId="0" borderId="0" xfId="0" applyNumberFormat="1">
      <alignment vertical="center"/>
    </xf>
    <xf numFmtId="9" fontId="0" fillId="0" borderId="0" xfId="3" applyFont="1">
      <alignment vertical="center"/>
    </xf>
    <xf numFmtId="176" fontId="0" fillId="0" borderId="0" xfId="2" applyFont="1">
      <alignment vertical="center"/>
    </xf>
    <xf numFmtId="0" fontId="0" fillId="0" borderId="0" xfId="2" applyNumberFormat="1" applyFo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パーセント" xfId="3" builtinId="5"/>
    <cellStyle name="ハイパーリンク" xfId="1" builtinId="8"/>
    <cellStyle name="通貨" xfId="2" builtinId="7"/>
    <cellStyle name="標準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3399FF"/>
      <color rgb="FF00CC00"/>
      <color rgb="FFFF00FF"/>
      <color rgb="FFF77B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入会者!$A$1</c:f>
              <c:strCache>
                <c:ptCount val="1"/>
                <c:pt idx="0">
                  <c:v>２９期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入会者!$B$2:$M$2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入会者!$C$8:$M$8</c:f>
              <c:numCache>
                <c:formatCode>General"人"</c:formatCode>
                <c:ptCount val="11"/>
                <c:pt idx="0">
                  <c:v>9</c:v>
                </c:pt>
                <c:pt idx="1">
                  <c:v>15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8-47B8-9899-9A80BD4DB580}"/>
            </c:ext>
          </c:extLst>
        </c:ser>
        <c:ser>
          <c:idx val="1"/>
          <c:order val="1"/>
          <c:tx>
            <c:strRef>
              <c:f>入会者!$A$10</c:f>
              <c:strCache>
                <c:ptCount val="1"/>
                <c:pt idx="0">
                  <c:v>３０期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入会者!$B$2:$M$2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入会者!$C$17:$M$17</c:f>
              <c:numCache>
                <c:formatCode>General"人"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11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8-47B8-9899-9A80BD4DB580}"/>
            </c:ext>
          </c:extLst>
        </c:ser>
        <c:ser>
          <c:idx val="2"/>
          <c:order val="2"/>
          <c:tx>
            <c:strRef>
              <c:f>入会者!$A$19</c:f>
              <c:strCache>
                <c:ptCount val="1"/>
                <c:pt idx="0">
                  <c:v>３１期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入会者!$B$2:$M$2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入会者!$C$26:$M$26</c:f>
              <c:numCache>
                <c:formatCode>General"人"</c:formatCode>
                <c:ptCount val="11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4</c:v>
                </c:pt>
                <c:pt idx="7">
                  <c:v>8</c:v>
                </c:pt>
                <c:pt idx="8">
                  <c:v>9</c:v>
                </c:pt>
                <c:pt idx="9">
                  <c:v>7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8-47B8-9899-9A80BD4DB5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5387599"/>
        <c:axId val="455388079"/>
      </c:lineChart>
      <c:catAx>
        <c:axId val="45538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88079"/>
        <c:crosses val="autoZero"/>
        <c:auto val="1"/>
        <c:lblAlgn val="ctr"/>
        <c:lblOffset val="100"/>
        <c:noMultiLvlLbl val="0"/>
      </c:catAx>
      <c:valAx>
        <c:axId val="4553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8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退会者!$A$1</c:f>
              <c:strCache>
                <c:ptCount val="1"/>
                <c:pt idx="0">
                  <c:v>２９期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退会者!$B$2:$M$2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  <c:extLst xmlns:c15="http://schemas.microsoft.com/office/drawing/2012/chart"/>
            </c:strRef>
          </c:cat>
          <c:val>
            <c:numRef>
              <c:f>退会者!$B$8:$M$8</c:f>
              <c:numCache>
                <c:formatCode>General"人"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77E-44D0-B0E4-AD496FB1B341}"/>
            </c:ext>
          </c:extLst>
        </c:ser>
        <c:ser>
          <c:idx val="1"/>
          <c:order val="1"/>
          <c:tx>
            <c:strRef>
              <c:f>退会者!$A$9</c:f>
              <c:strCache>
                <c:ptCount val="1"/>
                <c:pt idx="0">
                  <c:v>３０期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退会者!$B$2:$M$2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退会者!$B$16:$M$16</c:f>
              <c:numCache>
                <c:formatCode>General"人"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E-44D0-B0E4-AD496FB1B341}"/>
            </c:ext>
          </c:extLst>
        </c:ser>
        <c:ser>
          <c:idx val="2"/>
          <c:order val="2"/>
          <c:tx>
            <c:strRef>
              <c:f>退会者!$A$18</c:f>
              <c:strCache>
                <c:ptCount val="1"/>
                <c:pt idx="0">
                  <c:v>３１期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退会者!$B$2:$M$2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退会者!$B$25:$M$25</c:f>
              <c:numCache>
                <c:formatCode>General"人"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7E-44D0-B0E4-AD496FB1B3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5393839"/>
        <c:axId val="455401039"/>
        <c:extLst/>
      </c:lineChart>
      <c:catAx>
        <c:axId val="45539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401039"/>
        <c:crosses val="autoZero"/>
        <c:auto val="1"/>
        <c:lblAlgn val="ctr"/>
        <c:lblOffset val="100"/>
        <c:noMultiLvlLbl val="0"/>
      </c:catAx>
      <c:valAx>
        <c:axId val="45540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539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822954346395454"/>
          <c:y val="0.60755968661312088"/>
          <c:w val="0.26647601983465513"/>
          <c:h val="0.15937564432827392"/>
        </c:manualLayout>
      </c:layout>
      <c:overlay val="0"/>
      <c:spPr>
        <a:noFill/>
        <a:ln>
          <a:solidFill>
            <a:schemeClr val="accent3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体験者数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体験利用者数!$A$5</c:f>
              <c:strCache>
                <c:ptCount val="1"/>
                <c:pt idx="0">
                  <c:v>28期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体験利用者数!$B$5:$M$5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体験利用者数!$B$6:$M$6</c:f>
              <c:numCache>
                <c:formatCode>General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13</c:v>
                </c:pt>
                <c:pt idx="6">
                  <c:v>10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13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3-4E72-83A1-65EC897DDC85}"/>
            </c:ext>
          </c:extLst>
        </c:ser>
        <c:ser>
          <c:idx val="1"/>
          <c:order val="1"/>
          <c:tx>
            <c:strRef>
              <c:f>体験利用者数!$A$9</c:f>
              <c:strCache>
                <c:ptCount val="1"/>
                <c:pt idx="0">
                  <c:v>29期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体験利用者数!$B$5:$M$5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体験利用者数!$B$10:$M$10</c:f>
              <c:numCache>
                <c:formatCode>General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11</c:v>
                </c:pt>
                <c:pt idx="8">
                  <c:v>12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3-4E72-83A1-65EC897DDC85}"/>
            </c:ext>
          </c:extLst>
        </c:ser>
        <c:ser>
          <c:idx val="2"/>
          <c:order val="2"/>
          <c:tx>
            <c:strRef>
              <c:f>体験利用者数!$A$13</c:f>
              <c:strCache>
                <c:ptCount val="1"/>
                <c:pt idx="0">
                  <c:v>30期</c:v>
                </c:pt>
              </c:strCache>
            </c:strRef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体験利用者数!$B$5:$M$5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体験利用者数!$B$14:$M$14</c:f>
              <c:numCache>
                <c:formatCode>General</c:formatCode>
                <c:ptCount val="12"/>
                <c:pt idx="0">
                  <c:v>12</c:v>
                </c:pt>
                <c:pt idx="1">
                  <c:v>5</c:v>
                </c:pt>
                <c:pt idx="2">
                  <c:v>11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3</c:v>
                </c:pt>
                <c:pt idx="9">
                  <c:v>8</c:v>
                </c:pt>
                <c:pt idx="10">
                  <c:v>14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3-4E72-83A1-65EC897DDC85}"/>
            </c:ext>
          </c:extLst>
        </c:ser>
        <c:ser>
          <c:idx val="3"/>
          <c:order val="3"/>
          <c:tx>
            <c:strRef>
              <c:f>体験利用者数!$A$17</c:f>
              <c:strCache>
                <c:ptCount val="1"/>
                <c:pt idx="0">
                  <c:v>31期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体験利用者数!$B$5:$M$5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体験利用者数!$B$18:$M$18</c:f>
              <c:numCache>
                <c:formatCode>General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13</c:v>
                </c:pt>
                <c:pt idx="3">
                  <c:v>21</c:v>
                </c:pt>
                <c:pt idx="4">
                  <c:v>14</c:v>
                </c:pt>
                <c:pt idx="5">
                  <c:v>22</c:v>
                </c:pt>
                <c:pt idx="6">
                  <c:v>9</c:v>
                </c:pt>
                <c:pt idx="7">
                  <c:v>19</c:v>
                </c:pt>
                <c:pt idx="8">
                  <c:v>21</c:v>
                </c:pt>
                <c:pt idx="9">
                  <c:v>12</c:v>
                </c:pt>
                <c:pt idx="10">
                  <c:v>10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3-4E72-83A1-65EC897DDC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5828816"/>
        <c:axId val="395829776"/>
      </c:lineChart>
      <c:catAx>
        <c:axId val="3958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829776"/>
        <c:crosses val="autoZero"/>
        <c:auto val="1"/>
        <c:lblAlgn val="ctr"/>
        <c:lblOffset val="100"/>
        <c:noMultiLvlLbl val="0"/>
      </c:catAx>
      <c:valAx>
        <c:axId val="3958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8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r>
              <a:rPr lang="ja-JP" altLang="en-US"/>
              <a:t>購入者数</a:t>
            </a:r>
          </a:p>
        </c:rich>
      </c:tx>
      <c:layout>
        <c:manualLayout>
          <c:xMode val="edge"/>
          <c:yMode val="edge"/>
          <c:x val="0.46200000000000002"/>
          <c:y val="4.7822366893366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9965704286964136E-2"/>
          <c:y val="3.4533015738353948E-2"/>
          <c:w val="0.96114540682414695"/>
          <c:h val="0.8185812838470520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フィッティング者数!$A$2</c:f>
              <c:strCache>
                <c:ptCount val="1"/>
                <c:pt idx="0">
                  <c:v>28期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フィッティング者数!#REF!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フィッティング者数!#REF!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358-45B4-8B22-FB9A8A41A956}"/>
            </c:ext>
          </c:extLst>
        </c:ser>
        <c:ser>
          <c:idx val="0"/>
          <c:order val="1"/>
          <c:tx>
            <c:strRef>
              <c:f>フィッティング者数!$A$7</c:f>
              <c:strCache>
                <c:ptCount val="1"/>
                <c:pt idx="0">
                  <c:v>29期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フィッティング者数!$B$9:$H$9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58-45B4-8B22-FB9A8A41A956}"/>
            </c:ext>
          </c:extLst>
        </c:ser>
        <c:ser>
          <c:idx val="2"/>
          <c:order val="2"/>
          <c:tx>
            <c:strRef>
              <c:f>フィッティング者数!$A$12</c:f>
              <c:strCache>
                <c:ptCount val="1"/>
                <c:pt idx="0">
                  <c:v>30期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フィッティング者数!$B$14:$H$14</c:f>
              <c:numCache>
                <c:formatCode>General</c:formatCode>
                <c:ptCount val="7"/>
                <c:pt idx="0">
                  <c:v>10</c:v>
                </c:pt>
                <c:pt idx="1">
                  <c:v>14</c:v>
                </c:pt>
                <c:pt idx="2">
                  <c:v>4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58-45B4-8B22-FB9A8A41A956}"/>
            </c:ext>
          </c:extLst>
        </c:ser>
        <c:ser>
          <c:idx val="3"/>
          <c:order val="3"/>
          <c:tx>
            <c:strRef>
              <c:f>フィッティング者数!$A$17</c:f>
              <c:strCache>
                <c:ptCount val="1"/>
                <c:pt idx="0">
                  <c:v>31期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フィッティング者数!$B$19:$H$19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58-45B4-8B22-FB9A8A41A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227407"/>
        <c:axId val="2009228847"/>
      </c:barChart>
      <c:catAx>
        <c:axId val="20092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2009228847"/>
        <c:crosses val="autoZero"/>
        <c:auto val="1"/>
        <c:lblAlgn val="ctr"/>
        <c:lblOffset val="100"/>
        <c:noMultiLvlLbl val="0"/>
      </c:catAx>
      <c:valAx>
        <c:axId val="20092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20092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300"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フィッティング者数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フィッティング者数!$A$2</c:f>
              <c:strCache>
                <c:ptCount val="1"/>
                <c:pt idx="0">
                  <c:v>28期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フィッティング者数!$B$2:$M$2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フィッティング者数!$B$3:$M$3</c:f>
              <c:numCache>
                <c:formatCode>General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9</c:v>
                </c:pt>
                <c:pt idx="5">
                  <c:v>13</c:v>
                </c:pt>
                <c:pt idx="6">
                  <c:v>6</c:v>
                </c:pt>
                <c:pt idx="7">
                  <c:v>12</c:v>
                </c:pt>
                <c:pt idx="8">
                  <c:v>7</c:v>
                </c:pt>
                <c:pt idx="9">
                  <c:v>13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8-4373-AA42-842962627C14}"/>
            </c:ext>
          </c:extLst>
        </c:ser>
        <c:ser>
          <c:idx val="1"/>
          <c:order val="1"/>
          <c:tx>
            <c:strRef>
              <c:f>フィッティング者数!$A$7</c:f>
              <c:strCache>
                <c:ptCount val="1"/>
                <c:pt idx="0">
                  <c:v>29期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フィッティング者数!$B$2:$M$2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フィッティング者数!$B$8:$M$8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4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8-4373-AA42-842962627C14}"/>
            </c:ext>
          </c:extLst>
        </c:ser>
        <c:ser>
          <c:idx val="2"/>
          <c:order val="2"/>
          <c:tx>
            <c:strRef>
              <c:f>フィッティング者数!$A$12</c:f>
              <c:strCache>
                <c:ptCount val="1"/>
                <c:pt idx="0">
                  <c:v>30期</c:v>
                </c:pt>
              </c:strCache>
            </c:strRef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フィッティング者数!$B$2:$M$2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フィッティング者数!$B$13:$M$13</c:f>
              <c:numCache>
                <c:formatCode>General</c:formatCode>
                <c:ptCount val="12"/>
                <c:pt idx="0">
                  <c:v>16</c:v>
                </c:pt>
                <c:pt idx="1">
                  <c:v>20</c:v>
                </c:pt>
                <c:pt idx="2">
                  <c:v>6</c:v>
                </c:pt>
                <c:pt idx="3">
                  <c:v>11</c:v>
                </c:pt>
                <c:pt idx="4">
                  <c:v>11</c:v>
                </c:pt>
                <c:pt idx="5">
                  <c:v>17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4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8-4373-AA42-842962627C14}"/>
            </c:ext>
          </c:extLst>
        </c:ser>
        <c:ser>
          <c:idx val="3"/>
          <c:order val="3"/>
          <c:tx>
            <c:strRef>
              <c:f>フィッティング者数!$A$17</c:f>
              <c:strCache>
                <c:ptCount val="1"/>
                <c:pt idx="0">
                  <c:v>31期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フィッティング者数!$B$2:$M$2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フィッティング者数!$B$18:$M$18</c:f>
              <c:numCache>
                <c:formatCode>General</c:formatCode>
                <c:ptCount val="12"/>
                <c:pt idx="0">
                  <c:v>9</c:v>
                </c:pt>
                <c:pt idx="1">
                  <c:v>14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8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8-4373-AA42-842962627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796656"/>
        <c:axId val="395799536"/>
      </c:lineChart>
      <c:catAx>
        <c:axId val="3957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99536"/>
        <c:crosses val="autoZero"/>
        <c:auto val="1"/>
        <c:lblAlgn val="ctr"/>
        <c:lblOffset val="100"/>
        <c:noMultiLvlLbl val="0"/>
      </c:catAx>
      <c:valAx>
        <c:axId val="3957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203832175306595E-2"/>
          <c:y val="5.3206217282349637E-2"/>
          <c:w val="0.90286351706036749"/>
          <c:h val="0.82278579760863224"/>
        </c:manualLayout>
      </c:layout>
      <c:lineChart>
        <c:grouping val="standard"/>
        <c:varyColors val="0"/>
        <c:ser>
          <c:idx val="0"/>
          <c:order val="0"/>
          <c:tx>
            <c:strRef>
              <c:f>月別会員数!$BC$12</c:f>
              <c:strCache>
                <c:ptCount val="1"/>
                <c:pt idx="0">
                  <c:v>29期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0023706372205785E-2"/>
                  <c:y val="-4.9935680551327973E-2"/>
                </c:manualLayout>
              </c:layout>
              <c:tx>
                <c:rich>
                  <a:bodyPr/>
                  <a:lstStyle/>
                  <a:p>
                    <a:fld id="{48D9AB03-AD95-4B4D-9755-51FABF7FB50A}" type="VALUE">
                      <a:rPr lang="en-US" altLang="ja-JP" sz="1400" u="sng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686-4269-BC20-6589346A527C}"/>
                </c:ext>
              </c:extLst>
            </c:dLbl>
            <c:dLbl>
              <c:idx val="1"/>
              <c:layout>
                <c:manualLayout>
                  <c:x val="-4.5972318626903777E-2"/>
                  <c:y val="-7.8597727862077138E-2"/>
                </c:manualLayout>
              </c:layout>
              <c:tx>
                <c:rich>
                  <a:bodyPr/>
                  <a:lstStyle/>
                  <a:p>
                    <a:fld id="{DB79A5E4-FB81-4764-A057-CE68D5ABE680}" type="VALUE">
                      <a:rPr lang="en-US" altLang="ja-JP" sz="1600" b="0" u="none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686-4269-BC20-6589346A527C}"/>
                </c:ext>
              </c:extLst>
            </c:dLbl>
            <c:dLbl>
              <c:idx val="2"/>
              <c:layout>
                <c:manualLayout>
                  <c:x val="-1.0185840799051139E-2"/>
                  <c:y val="-7.6168339360272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86-4269-BC20-6589346A527C}"/>
                </c:ext>
              </c:extLst>
            </c:dLbl>
            <c:dLbl>
              <c:idx val="3"/>
              <c:layout>
                <c:manualLayout>
                  <c:x val="-8.4882006658759494E-3"/>
                  <c:y val="-8.463148817808068E-2"/>
                </c:manualLayout>
              </c:layout>
              <c:tx>
                <c:rich>
                  <a:bodyPr/>
                  <a:lstStyle/>
                  <a:p>
                    <a:fld id="{9A2CFFF3-BAAF-4A3A-AB51-8A8A69450234}" type="VALUE">
                      <a:rPr lang="en-US" altLang="ja-JP" sz="1400" b="0" i="0" u="none" baseline="0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686-4269-BC20-6589346A527C}"/>
                </c:ext>
              </c:extLst>
            </c:dLbl>
            <c:dLbl>
              <c:idx val="4"/>
              <c:layout>
                <c:manualLayout>
                  <c:x val="-5.0929203995255697E-3"/>
                  <c:y val="-7.6168339360272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86-4269-BC20-6589346A527C}"/>
                </c:ext>
              </c:extLst>
            </c:dLbl>
            <c:dLbl>
              <c:idx val="5"/>
              <c:layout>
                <c:manualLayout>
                  <c:x val="-2.5464601997627848E-2"/>
                  <c:y val="-7.1936764951368554E-2"/>
                </c:manualLayout>
              </c:layout>
              <c:tx>
                <c:rich>
                  <a:bodyPr/>
                  <a:lstStyle/>
                  <a:p>
                    <a:fld id="{3EC55314-10F5-4B77-B44F-08A695015FFC}" type="VALUE">
                      <a:rPr lang="en-US" altLang="ja-JP" sz="1600" b="0" i="0" u="none" baseline="0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686-4269-BC20-6589346A527C}"/>
                </c:ext>
              </c:extLst>
            </c:dLbl>
            <c:dLbl>
              <c:idx val="6"/>
              <c:layout>
                <c:manualLayout>
                  <c:x val="1.3674727186938794E-2"/>
                  <c:y val="-6.61476417125534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4C51FD-F8BB-4A1C-8E27-A75C0F48478F}" type="VALUE">
                      <a:rPr lang="en-US" altLang="ja-JP" sz="1600" b="0" i="0" u="none" baseline="0"/>
                      <a:pPr algn="l">
                        <a:defRPr sz="1600"/>
                      </a:pPr>
                      <a:t>[値]</a:t>
                    </a:fld>
                    <a:endParaRPr lang="ja-JP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686-4269-BC20-6589346A527C}"/>
                </c:ext>
              </c:extLst>
            </c:dLbl>
            <c:dLbl>
              <c:idx val="7"/>
              <c:layout>
                <c:manualLayout>
                  <c:x val="1.714577751177734E-2"/>
                  <c:y val="-8.7857718113999367E-2"/>
                </c:manualLayout>
              </c:layout>
              <c:tx>
                <c:rich>
                  <a:bodyPr/>
                  <a:lstStyle/>
                  <a:p>
                    <a:fld id="{A00459F5-5E86-4046-BFFA-7DFDCB05C7F0}" type="VALUE">
                      <a:rPr lang="en-US" altLang="ja-JP" sz="1600" b="0" u="none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686-4269-BC20-6589346A527C}"/>
                </c:ext>
              </c:extLst>
            </c:dLbl>
            <c:dLbl>
              <c:idx val="8"/>
              <c:layout>
                <c:manualLayout>
                  <c:x val="2.1052112639373392E-2"/>
                  <c:y val="-3.355974858357838E-2"/>
                </c:manualLayout>
              </c:layout>
              <c:tx>
                <c:rich>
                  <a:bodyPr/>
                  <a:lstStyle/>
                  <a:p>
                    <a:fld id="{A4992668-8C00-420C-A43F-6B6D63EF0C4A}" type="VALUE">
                      <a:rPr lang="en-US" altLang="ja-JP" sz="2000" u="sng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686-4269-BC20-6589346A527C}"/>
                </c:ext>
              </c:extLst>
            </c:dLbl>
            <c:dLbl>
              <c:idx val="9"/>
              <c:layout>
                <c:manualLayout>
                  <c:x val="-1.223693075593806E-16"/>
                  <c:y val="-4.6520998553087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86-4269-BC20-6589346A527C}"/>
                </c:ext>
              </c:extLst>
            </c:dLbl>
            <c:dLbl>
              <c:idx val="10"/>
              <c:layout>
                <c:manualLayout>
                  <c:x val="0"/>
                  <c:y val="-5.03977484325109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86-4269-BC20-6589346A527C}"/>
                </c:ext>
              </c:extLst>
            </c:dLbl>
            <c:dLbl>
              <c:idx val="11"/>
              <c:layout>
                <c:manualLayout>
                  <c:x val="-1.223693075593806E-16"/>
                  <c:y val="-2.7137249155967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86-4269-BC20-6589346A52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月別会員数!$AQ$32:$BB$32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月別会員数!$BC$38:$BN$38</c:f>
              <c:numCache>
                <c:formatCode>General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171</c:v>
                </c:pt>
                <c:pt idx="4">
                  <c:v>176</c:v>
                </c:pt>
                <c:pt idx="5">
                  <c:v>177</c:v>
                </c:pt>
                <c:pt idx="6">
                  <c:v>172</c:v>
                </c:pt>
                <c:pt idx="7">
                  <c:v>174</c:v>
                </c:pt>
                <c:pt idx="8">
                  <c:v>177</c:v>
                </c:pt>
                <c:pt idx="9">
                  <c:v>179</c:v>
                </c:pt>
                <c:pt idx="10">
                  <c:v>181</c:v>
                </c:pt>
                <c:pt idx="11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86-4269-BC20-6589346A527C}"/>
            </c:ext>
          </c:extLst>
        </c:ser>
        <c:ser>
          <c:idx val="1"/>
          <c:order val="1"/>
          <c:tx>
            <c:strRef>
              <c:f>月別会員数!$AQ$2</c:f>
              <c:strCache>
                <c:ptCount val="1"/>
                <c:pt idx="0">
                  <c:v>28期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5561521452748837E-17"/>
                  <c:y val="4.6547318497944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86-4269-BC20-6589346A527C}"/>
                </c:ext>
              </c:extLst>
            </c:dLbl>
            <c:dLbl>
              <c:idx val="1"/>
              <c:layout>
                <c:manualLayout>
                  <c:x val="-3.1123042905497673E-17"/>
                  <c:y val="6.7705190542464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86-4269-BC20-6589346A527C}"/>
                </c:ext>
              </c:extLst>
            </c:dLbl>
            <c:dLbl>
              <c:idx val="2"/>
              <c:layout>
                <c:manualLayout>
                  <c:x val="-3.1123042905497673E-17"/>
                  <c:y val="6.3473616133560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86-4269-BC20-6589346A527C}"/>
                </c:ext>
              </c:extLst>
            </c:dLbl>
            <c:dLbl>
              <c:idx val="3"/>
              <c:layout>
                <c:manualLayout>
                  <c:x val="-5.0929203995255697E-3"/>
                  <c:y val="6.3473616133560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86-4269-BC20-6589346A527C}"/>
                </c:ext>
              </c:extLst>
            </c:dLbl>
            <c:dLbl>
              <c:idx val="4"/>
              <c:layout>
                <c:manualLayout>
                  <c:x val="-3.3952802663503798E-3"/>
                  <c:y val="6.3473616133560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86-4269-BC20-6589346A527C}"/>
                </c:ext>
              </c:extLst>
            </c:dLbl>
            <c:dLbl>
              <c:idx val="5"/>
              <c:layout>
                <c:manualLayout>
                  <c:x val="-1.6976401331752521E-3"/>
                  <c:y val="6.34736161335604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686-4269-BC20-6589346A527C}"/>
                </c:ext>
              </c:extLst>
            </c:dLbl>
            <c:dLbl>
              <c:idx val="6"/>
              <c:layout>
                <c:manualLayout>
                  <c:x val="-1.6976401331753144E-3"/>
                  <c:y val="5.5010467315752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686-4269-BC20-6589346A527C}"/>
                </c:ext>
              </c:extLst>
            </c:dLbl>
            <c:dLbl>
              <c:idx val="7"/>
              <c:layout>
                <c:manualLayout>
                  <c:x val="-4.4176874060680153E-2"/>
                  <c:y val="-8.087527916040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686-4269-BC20-6589346A527C}"/>
                </c:ext>
              </c:extLst>
            </c:dLbl>
            <c:dLbl>
              <c:idx val="8"/>
              <c:layout>
                <c:manualLayout>
                  <c:x val="-1.5332543846165956E-2"/>
                  <c:y val="6.9031130261604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86-4269-BC20-6589346A527C}"/>
                </c:ext>
              </c:extLst>
            </c:dLbl>
            <c:dLbl>
              <c:idx val="9"/>
              <c:layout>
                <c:manualLayout>
                  <c:x val="-1.3581121065401644E-2"/>
                  <c:y val="6.3473616133560562E-2"/>
                </c:manualLayout>
              </c:layout>
              <c:tx>
                <c:rich>
                  <a:bodyPr/>
                  <a:lstStyle/>
                  <a:p>
                    <a:fld id="{F022350A-1154-46C5-949E-CC3FFFCD845F}" type="VALUE">
                      <a:rPr lang="en-US" altLang="ja-JP" sz="1800" b="0" u="none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5686-4269-BC20-6589346A527C}"/>
                </c:ext>
              </c:extLst>
            </c:dLbl>
            <c:dLbl>
              <c:idx val="10"/>
              <c:layout>
                <c:manualLayout>
                  <c:x val="-1.0185840799051139E-2"/>
                  <c:y val="7.1936764951368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686-4269-BC20-6589346A527C}"/>
                </c:ext>
              </c:extLst>
            </c:dLbl>
            <c:dLbl>
              <c:idx val="11"/>
              <c:layout>
                <c:manualLayout>
                  <c:x val="-1.0185840799051139E-2"/>
                  <c:y val="7.1936764951368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686-4269-BC20-6589346A52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月別会員数!$AQ$32:$BB$32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月別会員数!$AQ$38:$BB$38</c:f>
              <c:numCache>
                <c:formatCode>General</c:formatCode>
                <c:ptCount val="12"/>
                <c:pt idx="0">
                  <c:v>132</c:v>
                </c:pt>
                <c:pt idx="1">
                  <c:v>129</c:v>
                </c:pt>
                <c:pt idx="2">
                  <c:v>124</c:v>
                </c:pt>
                <c:pt idx="3">
                  <c:v>125</c:v>
                </c:pt>
                <c:pt idx="4">
                  <c:v>128</c:v>
                </c:pt>
                <c:pt idx="5">
                  <c:v>128</c:v>
                </c:pt>
                <c:pt idx="6">
                  <c:v>132</c:v>
                </c:pt>
                <c:pt idx="7">
                  <c:v>139</c:v>
                </c:pt>
                <c:pt idx="8">
                  <c:v>140</c:v>
                </c:pt>
                <c:pt idx="9">
                  <c:v>144</c:v>
                </c:pt>
                <c:pt idx="10">
                  <c:v>144</c:v>
                </c:pt>
                <c:pt idx="11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86-4269-BC20-6589346A5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92368"/>
        <c:axId val="500184168"/>
      </c:lineChart>
      <c:catAx>
        <c:axId val="5001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184168"/>
        <c:crosses val="autoZero"/>
        <c:auto val="1"/>
        <c:lblAlgn val="ctr"/>
        <c:lblOffset val="100"/>
        <c:noMultiLvlLbl val="0"/>
      </c:catAx>
      <c:valAx>
        <c:axId val="500184168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19236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83584475806796"/>
          <c:y val="0.29650634627007816"/>
          <c:w val="0.10519543175184873"/>
          <c:h val="0.21561400569609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279718143955916E-2"/>
          <c:y val="7.9592105707816566E-2"/>
          <c:w val="0.92478443702029645"/>
          <c:h val="0.77527221114528067"/>
        </c:manualLayout>
      </c:layout>
      <c:lineChart>
        <c:grouping val="standard"/>
        <c:varyColors val="0"/>
        <c:ser>
          <c:idx val="0"/>
          <c:order val="0"/>
          <c:tx>
            <c:strRef>
              <c:f>月別会員数!$BC$12</c:f>
              <c:strCache>
                <c:ptCount val="1"/>
                <c:pt idx="0">
                  <c:v>29期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0916077636588912E-2"/>
                  <c:y val="-0.14667549898514909"/>
                </c:manualLayout>
              </c:layout>
              <c:tx>
                <c:rich>
                  <a:bodyPr/>
                  <a:lstStyle/>
                  <a:p>
                    <a:fld id="{07CF7B10-620E-4D9D-96D8-C02C3D128809}" type="VALUE">
                      <a:rPr lang="en-US" altLang="ja-JP" sz="1600" u="none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7EA-4EB0-8B72-F7A723277A5D}"/>
                </c:ext>
              </c:extLst>
            </c:dLbl>
            <c:dLbl>
              <c:idx val="1"/>
              <c:layout>
                <c:manualLayout>
                  <c:x val="-1.528651993747372E-2"/>
                  <c:y val="-0.1013268998793727"/>
                </c:manualLayout>
              </c:layout>
              <c:tx>
                <c:rich>
                  <a:bodyPr/>
                  <a:lstStyle/>
                  <a:p>
                    <a:fld id="{CC09B490-2885-47B7-A7FA-503794A9D573}" type="VALUE">
                      <a:rPr lang="en-US" altLang="ja-JP" sz="1600" b="0" i="0" u="none" baseline="0"/>
                      <a:pPr/>
                      <a:t>[値]</a:t>
                    </a:fld>
                    <a:endParaRPr lang="ja-JP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7EA-4EB0-8B72-F7A723277A5D}"/>
                </c:ext>
              </c:extLst>
            </c:dLbl>
            <c:dLbl>
              <c:idx val="2"/>
              <c:layout>
                <c:manualLayout>
                  <c:x val="5.0806862313536793E-3"/>
                  <c:y val="-0.111515151515151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EA-4EB0-8B72-F7A723277A5D}"/>
                </c:ext>
              </c:extLst>
            </c:dLbl>
            <c:dLbl>
              <c:idx val="3"/>
              <c:layout>
                <c:manualLayout>
                  <c:x val="-2.2990334976275964E-2"/>
                  <c:y val="-8.2424242424242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391295721172517E-2"/>
                      <c:h val="0.10550654246685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7EA-4EB0-8B72-F7A723277A5D}"/>
                </c:ext>
              </c:extLst>
            </c:dLbl>
            <c:dLbl>
              <c:idx val="4"/>
              <c:layout>
                <c:manualLayout>
                  <c:x val="-1.693562077117889E-2"/>
                  <c:y val="-7.7575757575757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EA-4EB0-8B72-F7A723277A5D}"/>
                </c:ext>
              </c:extLst>
            </c:dLbl>
            <c:dLbl>
              <c:idx val="5"/>
              <c:layout>
                <c:manualLayout>
                  <c:x val="-3.3951779255706291E-2"/>
                  <c:y val="-5.28025374243851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66B3DF-000F-4F51-AC89-A743078A3DE2}" type="VALUE">
                      <a:rPr lang="en-US" altLang="ja-JP" sz="1600" b="0" i="0" u="none" baseline="0"/>
                      <a:pPr>
                        <a:defRPr sz="1600"/>
                      </a:pPr>
                      <a:t>[値]</a:t>
                    </a:fld>
                    <a:endParaRPr lang="ja-JP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 alt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761777060811745E-2"/>
                      <c:h val="0.183025530297011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7EA-4EB0-8B72-F7A723277A5D}"/>
                </c:ext>
              </c:extLst>
            </c:dLbl>
            <c:dLbl>
              <c:idx val="6"/>
              <c:layout>
                <c:manualLayout>
                  <c:x val="-2.709758223422766E-2"/>
                  <c:y val="-0.137986743862701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9426256703718E-2"/>
                      <c:h val="0.100285331853808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7EA-4EB0-8B72-F7A723277A5D}"/>
                </c:ext>
              </c:extLst>
            </c:dLbl>
            <c:dLbl>
              <c:idx val="8"/>
              <c:layout>
                <c:manualLayout>
                  <c:x val="5.2139679716019932E-4"/>
                  <c:y val="-8.01306570953855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423071890575618E-2"/>
                      <c:h val="0.113823152523616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7EA-4EB0-8B72-F7A723277A5D}"/>
                </c:ext>
              </c:extLst>
            </c:dLbl>
            <c:dLbl>
              <c:idx val="9"/>
              <c:layout>
                <c:manualLayout>
                  <c:x val="1.4451770540875786E-2"/>
                  <c:y val="-4.65792258362543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088741521600319E-2"/>
                      <c:h val="0.135943577124243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7EA-4EB0-8B72-F7A723277A5D}"/>
                </c:ext>
              </c:extLst>
            </c:dLbl>
            <c:dLbl>
              <c:idx val="10"/>
              <c:layout>
                <c:manualLayout>
                  <c:x val="-2.2000731135050383E-2"/>
                  <c:y val="6.406841933178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912467910665798E-2"/>
                      <c:h val="0.109236363636363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7EA-4EB0-8B72-F7A723277A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月別会員数!$AQ$3:$BB$3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月別会員数!$BC$9:$BN$9</c:f>
              <c:numCache>
                <c:formatCode>General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15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EA-4EB0-8B72-F7A723277A5D}"/>
            </c:ext>
          </c:extLst>
        </c:ser>
        <c:ser>
          <c:idx val="1"/>
          <c:order val="1"/>
          <c:tx>
            <c:strRef>
              <c:f>月別会員数!$AQ$2</c:f>
              <c:strCache>
                <c:ptCount val="1"/>
                <c:pt idx="0">
                  <c:v>28期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832099833539595E-2"/>
                  <c:y val="9.506166833522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EA-4EB0-8B72-F7A723277A5D}"/>
                </c:ext>
              </c:extLst>
            </c:dLbl>
            <c:dLbl>
              <c:idx val="1"/>
              <c:layout>
                <c:manualLayout>
                  <c:x val="-2.2080528798573151E-2"/>
                  <c:y val="0.11580217129071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7EA-4EB0-8B72-F7A723277A5D}"/>
                </c:ext>
              </c:extLst>
            </c:dLbl>
            <c:dLbl>
              <c:idx val="2"/>
              <c:layout>
                <c:manualLayout>
                  <c:x val="-2.0322744925414592E-2"/>
                  <c:y val="8.727272727272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EA-4EB0-8B72-F7A723277A5D}"/>
                </c:ext>
              </c:extLst>
            </c:dLbl>
            <c:dLbl>
              <c:idx val="3"/>
              <c:layout>
                <c:manualLayout>
                  <c:x val="-2.5403431156768304E-2"/>
                  <c:y val="6.7878787878787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7EA-4EB0-8B72-F7A723277A5D}"/>
                </c:ext>
              </c:extLst>
            </c:dLbl>
            <c:dLbl>
              <c:idx val="4"/>
              <c:layout>
                <c:manualLayout>
                  <c:x val="-1.0191013291649146E-2"/>
                  <c:y val="-8.6851628468033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7EA-4EB0-8B72-F7A723277A5D}"/>
                </c:ext>
              </c:extLst>
            </c:dLbl>
            <c:dLbl>
              <c:idx val="6"/>
              <c:layout>
                <c:manualLayout>
                  <c:x val="0"/>
                  <c:y val="7.1219055022678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7EA-4EB0-8B72-F7A723277A5D}"/>
                </c:ext>
              </c:extLst>
            </c:dLbl>
            <c:dLbl>
              <c:idx val="8"/>
              <c:layout>
                <c:manualLayout>
                  <c:x val="-6.7018062951069166E-3"/>
                  <c:y val="-9.15883345384430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7EA-4EB0-8B72-F7A723277A5D}"/>
                </c:ext>
              </c:extLst>
            </c:dLbl>
            <c:dLbl>
              <c:idx val="9"/>
              <c:layout>
                <c:manualLayout>
                  <c:x val="-1.2483005330521253E-16"/>
                  <c:y val="8.902381877834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7EA-4EB0-8B72-F7A723277A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月別会員数!$AQ$3:$BB$3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月別会員数!$AQ$9:$BB$9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11</c:v>
                </c:pt>
                <c:pt idx="8">
                  <c:v>4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EA-4EB0-8B72-F7A723277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29616"/>
        <c:axId val="500196960"/>
      </c:lineChart>
      <c:catAx>
        <c:axId val="4951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0196960"/>
        <c:crosses val="autoZero"/>
        <c:auto val="1"/>
        <c:lblAlgn val="ctr"/>
        <c:lblOffset val="100"/>
        <c:noMultiLvlLbl val="0"/>
      </c:catAx>
      <c:valAx>
        <c:axId val="50019696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512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391600251217837"/>
          <c:y val="8.0819505523208907E-2"/>
          <c:w val="0.10541224344089946"/>
          <c:h val="0.24566929133858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C87-40C3-AEFE-E64D5945DD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C87-40C3-AEFE-E64D5945DDC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C87-40C3-AEFE-E64D5945DDC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C87-40C3-AEFE-E64D5945D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18432"/>
        <c:axId val="462682888"/>
      </c:lineChart>
      <c:catAx>
        <c:axId val="4977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2682888"/>
        <c:crosses val="autoZero"/>
        <c:auto val="1"/>
        <c:lblAlgn val="ctr"/>
        <c:lblOffset val="100"/>
        <c:noMultiLvlLbl val="0"/>
      </c:catAx>
      <c:valAx>
        <c:axId val="4626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77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月別会員数!#REF!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0B5-45B1-8591-E7A8E07B208D}"/>
            </c:ext>
          </c:extLst>
        </c:ser>
        <c:ser>
          <c:idx val="1"/>
          <c:order val="1"/>
          <c:tx>
            <c:strRef>
              <c:f>月別会員数!#REF!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0B5-45B1-8591-E7A8E07B208D}"/>
            </c:ext>
          </c:extLst>
        </c:ser>
        <c:ser>
          <c:idx val="2"/>
          <c:order val="2"/>
          <c:tx>
            <c:strRef>
              <c:f>月別会員数!$AQ$40</c:f>
              <c:strCache>
                <c:ptCount val="1"/>
                <c:pt idx="0">
                  <c:v>28期平日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0B5-45B1-8591-E7A8E07B208D}"/>
            </c:ext>
          </c:extLst>
        </c:ser>
        <c:ser>
          <c:idx val="3"/>
          <c:order val="3"/>
          <c:tx>
            <c:strRef>
              <c:f>月別会員数!$AR$40</c:f>
              <c:strCache>
                <c:ptCount val="1"/>
                <c:pt idx="0">
                  <c:v>28期土日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月別会員数!#REF!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月別会員数!#REF!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0B5-45B1-8591-E7A8E07B2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18432"/>
        <c:axId val="462682888"/>
      </c:lineChart>
      <c:catAx>
        <c:axId val="4977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2682888"/>
        <c:crosses val="autoZero"/>
        <c:auto val="1"/>
        <c:lblAlgn val="ctr"/>
        <c:lblOffset val="100"/>
        <c:noMultiLvlLbl val="0"/>
      </c:catAx>
      <c:valAx>
        <c:axId val="4626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771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新規入会者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29期</c:v>
          </c:tx>
          <c:spPr>
            <a:ln w="28575" cap="rnd">
              <a:solidFill>
                <a:srgbClr val="00CC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月別会員数!$BC$9:$BN$9</c:f>
              <c:numCache>
                <c:formatCode>General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15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4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5-4ADC-BB5B-E013F8468725}"/>
            </c:ext>
          </c:extLst>
        </c:ser>
        <c:ser>
          <c:idx val="1"/>
          <c:order val="1"/>
          <c:tx>
            <c:v>30期</c:v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月別会員数!$BO$9:$BZ$9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5-4ADC-BB5B-E013F8468725}"/>
            </c:ext>
          </c:extLst>
        </c:ser>
        <c:ser>
          <c:idx val="2"/>
          <c:order val="2"/>
          <c:tx>
            <c:v>31期</c:v>
          </c:tx>
          <c:spPr>
            <a:ln w="28575" cap="rnd">
              <a:solidFill>
                <a:srgbClr val="3399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月別会員数!$CA$9:$CL$9</c:f>
              <c:numCache>
                <c:formatCode>General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5-4ADC-BB5B-E013F84687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5780816"/>
        <c:axId val="395767856"/>
      </c:lineChart>
      <c:catAx>
        <c:axId val="3957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67856"/>
        <c:crosses val="autoZero"/>
        <c:auto val="1"/>
        <c:lblAlgn val="ctr"/>
        <c:lblOffset val="100"/>
        <c:noMultiLvlLbl val="0"/>
      </c:catAx>
      <c:valAx>
        <c:axId val="3957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退会者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29期</c:v>
          </c:tx>
          <c:spPr>
            <a:ln w="28575" cap="rnd">
              <a:solidFill>
                <a:srgbClr val="00CC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月別会員数!$BC$19:$BN$19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9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A-436A-BF34-E7EA63A5EE85}"/>
            </c:ext>
          </c:extLst>
        </c:ser>
        <c:ser>
          <c:idx val="1"/>
          <c:order val="1"/>
          <c:tx>
            <c:v>30期</c:v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月別会員数!$BO$19:$BZ$19</c:f>
              <c:numCache>
                <c:formatCode>General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11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A-436A-BF34-E7EA63A5EE85}"/>
            </c:ext>
          </c:extLst>
        </c:ser>
        <c:ser>
          <c:idx val="2"/>
          <c:order val="2"/>
          <c:tx>
            <c:v>31期</c:v>
          </c:tx>
          <c:spPr>
            <a:ln w="28575" cap="rnd">
              <a:solidFill>
                <a:srgbClr val="3399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月別会員数!$CA$19:$CL$19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7A-436A-BF34-E7EA63A5EE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5780816"/>
        <c:axId val="395767856"/>
      </c:lineChart>
      <c:catAx>
        <c:axId val="3957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67856"/>
        <c:crosses val="autoZero"/>
        <c:auto val="1"/>
        <c:lblAlgn val="ctr"/>
        <c:lblOffset val="100"/>
        <c:noMultiLvlLbl val="0"/>
      </c:catAx>
      <c:valAx>
        <c:axId val="3957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累積会員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29期</c:v>
          </c:tx>
          <c:spPr>
            <a:ln w="28575" cap="rnd">
              <a:solidFill>
                <a:srgbClr val="00CC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月別会員数!$BC$38:$BN$38</c:f>
              <c:numCache>
                <c:formatCode>General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171</c:v>
                </c:pt>
                <c:pt idx="4">
                  <c:v>176</c:v>
                </c:pt>
                <c:pt idx="5">
                  <c:v>177</c:v>
                </c:pt>
                <c:pt idx="6">
                  <c:v>172</c:v>
                </c:pt>
                <c:pt idx="7">
                  <c:v>174</c:v>
                </c:pt>
                <c:pt idx="8">
                  <c:v>177</c:v>
                </c:pt>
                <c:pt idx="9">
                  <c:v>179</c:v>
                </c:pt>
                <c:pt idx="10">
                  <c:v>181</c:v>
                </c:pt>
                <c:pt idx="11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A-400E-9460-129FDE6ED156}"/>
            </c:ext>
          </c:extLst>
        </c:ser>
        <c:ser>
          <c:idx val="1"/>
          <c:order val="1"/>
          <c:tx>
            <c:v>30期</c:v>
          </c:tx>
          <c:spPr>
            <a:ln w="285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月別会員数!$BC$3:$BN$3</c:f>
              <c:strCache>
                <c:ptCount val="12"/>
                <c:pt idx="0">
                  <c:v>6月</c:v>
                </c:pt>
                <c:pt idx="1">
                  <c:v>7月</c:v>
                </c:pt>
                <c:pt idx="2">
                  <c:v>8月</c:v>
                </c:pt>
                <c:pt idx="3">
                  <c:v>9月</c:v>
                </c:pt>
                <c:pt idx="4">
                  <c:v>10月</c:v>
                </c:pt>
                <c:pt idx="5">
                  <c:v>11月</c:v>
                </c:pt>
                <c:pt idx="6">
                  <c:v>12月</c:v>
                </c:pt>
                <c:pt idx="7">
                  <c:v>1月</c:v>
                </c:pt>
                <c:pt idx="8">
                  <c:v>2月</c:v>
                </c:pt>
                <c:pt idx="9">
                  <c:v>3月</c:v>
                </c:pt>
                <c:pt idx="10">
                  <c:v>4月</c:v>
                </c:pt>
                <c:pt idx="11">
                  <c:v>5月</c:v>
                </c:pt>
              </c:strCache>
            </c:strRef>
          </c:cat>
          <c:val>
            <c:numRef>
              <c:f>月別会員数!$BO$38:$BZ$38</c:f>
              <c:numCache>
                <c:formatCode>General</c:formatCode>
                <c:ptCount val="12"/>
                <c:pt idx="0">
                  <c:v>176</c:v>
                </c:pt>
                <c:pt idx="1">
                  <c:v>179</c:v>
                </c:pt>
                <c:pt idx="2">
                  <c:v>180</c:v>
                </c:pt>
                <c:pt idx="3">
                  <c:v>183</c:v>
                </c:pt>
                <c:pt idx="4">
                  <c:v>183</c:v>
                </c:pt>
                <c:pt idx="5">
                  <c:v>177</c:v>
                </c:pt>
                <c:pt idx="6">
                  <c:v>178</c:v>
                </c:pt>
                <c:pt idx="7">
                  <c:v>177</c:v>
                </c:pt>
                <c:pt idx="8">
                  <c:v>175</c:v>
                </c:pt>
                <c:pt idx="9">
                  <c:v>175</c:v>
                </c:pt>
                <c:pt idx="10">
                  <c:v>170</c:v>
                </c:pt>
                <c:pt idx="11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A-400E-9460-129FDE6ED156}"/>
            </c:ext>
          </c:extLst>
        </c:ser>
        <c:ser>
          <c:idx val="2"/>
          <c:order val="2"/>
          <c:tx>
            <c:v>31期</c:v>
          </c:tx>
          <c:spPr>
            <a:ln w="28575" cap="rnd">
              <a:solidFill>
                <a:srgbClr val="3399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月別会員数!$CA$38:$CL$38</c:f>
              <c:numCache>
                <c:formatCode>General</c:formatCode>
                <c:ptCount val="12"/>
                <c:pt idx="0">
                  <c:v>176</c:v>
                </c:pt>
                <c:pt idx="1">
                  <c:v>179</c:v>
                </c:pt>
                <c:pt idx="2">
                  <c:v>185</c:v>
                </c:pt>
                <c:pt idx="3">
                  <c:v>182</c:v>
                </c:pt>
                <c:pt idx="4">
                  <c:v>185</c:v>
                </c:pt>
                <c:pt idx="5">
                  <c:v>191</c:v>
                </c:pt>
                <c:pt idx="6">
                  <c:v>193</c:v>
                </c:pt>
                <c:pt idx="7">
                  <c:v>193</c:v>
                </c:pt>
                <c:pt idx="8">
                  <c:v>198</c:v>
                </c:pt>
                <c:pt idx="9">
                  <c:v>202</c:v>
                </c:pt>
                <c:pt idx="10">
                  <c:v>207</c:v>
                </c:pt>
                <c:pt idx="11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A-400E-9460-129FDE6ED1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5780816"/>
        <c:axId val="395767856"/>
      </c:lineChart>
      <c:catAx>
        <c:axId val="39578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67856"/>
        <c:crosses val="autoZero"/>
        <c:auto val="1"/>
        <c:lblAlgn val="ctr"/>
        <c:lblOffset val="100"/>
        <c:noMultiLvlLbl val="0"/>
      </c:catAx>
      <c:valAx>
        <c:axId val="395767856"/>
        <c:scaling>
          <c:orientation val="minMax"/>
          <c:max val="2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57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195262</xdr:colOff>
      <xdr:row>1</xdr:row>
      <xdr:rowOff>38100</xdr:rowOff>
    </xdr:from>
    <xdr:to>
      <xdr:col>19</xdr:col>
      <xdr:colOff>652462</xdr:colOff>
      <xdr:row>16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514C117-13BA-58B8-1708-A5C300CAC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470283</xdr:colOff>
      <xdr:row>13</xdr:row>
      <xdr:rowOff>106383</xdr:rowOff>
    </xdr:from>
    <xdr:to>
      <xdr:col>26</xdr:col>
      <xdr:colOff>549233</xdr:colOff>
      <xdr:row>36</xdr:row>
      <xdr:rowOff>73929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3CADBD7-2F8A-345A-BDE3-79D35E21D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46024</xdr:rowOff>
    </xdr:from>
    <xdr:to>
      <xdr:col>5</xdr:col>
      <xdr:colOff>109257</xdr:colOff>
      <xdr:row>36</xdr:row>
      <xdr:rowOff>51626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3A82AF-4725-5D41-934E-AB11AD917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217714</xdr:colOff>
      <xdr:row>51</xdr:row>
      <xdr:rowOff>11998</xdr:rowOff>
    </xdr:from>
    <xdr:to>
      <xdr:col>17</xdr:col>
      <xdr:colOff>137307</xdr:colOff>
      <xdr:row>78</xdr:row>
      <xdr:rowOff>16081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84620BA-F2DE-A703-3EE6-F2EC5490A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132870</xdr:colOff>
      <xdr:row>28</xdr:row>
      <xdr:rowOff>45142</xdr:rowOff>
    </xdr:from>
    <xdr:to>
      <xdr:col>13</xdr:col>
      <xdr:colOff>23213</xdr:colOff>
      <xdr:row>44</xdr:row>
      <xdr:rowOff>98931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83F26F-3C77-D94A-1063-88D1E4AAC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183370</xdr:colOff>
      <xdr:row>63</xdr:row>
      <xdr:rowOff>153060</xdr:rowOff>
    </xdr:from>
    <xdr:to>
      <xdr:col>51</xdr:col>
      <xdr:colOff>242703</xdr:colOff>
      <xdr:row>78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321201</xdr:colOff>
      <xdr:row>49</xdr:row>
      <xdr:rowOff>0</xdr:rowOff>
    </xdr:from>
    <xdr:to>
      <xdr:col>50</xdr:col>
      <xdr:colOff>342900</xdr:colOff>
      <xdr:row>59</xdr:row>
      <xdr:rowOff>70548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330808</xdr:colOff>
      <xdr:row>49</xdr:row>
      <xdr:rowOff>0</xdr:rowOff>
    </xdr:from>
    <xdr:to>
      <xdr:col>31</xdr:col>
      <xdr:colOff>91846</xdr:colOff>
      <xdr:row>57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175192</xdr:colOff>
      <xdr:row>81</xdr:row>
      <xdr:rowOff>133656</xdr:rowOff>
    </xdr:from>
    <xdr:to>
      <xdr:col>51</xdr:col>
      <xdr:colOff>228600</xdr:colOff>
      <xdr:row>96</xdr:row>
      <xdr:rowOff>75764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97</xdr:col>
      <xdr:colOff>544686</xdr:colOff>
      <xdr:row>2</xdr:row>
      <xdr:rowOff>79241</xdr:rowOff>
    </xdr:from>
    <xdr:to>
      <xdr:col>103</xdr:col>
      <xdr:colOff>300959</xdr:colOff>
      <xdr:row>9</xdr:row>
      <xdr:rowOff>51227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E2070EF-2652-BEFE-0F6B-5499B0E93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97</xdr:col>
      <xdr:colOff>517071</xdr:colOff>
      <xdr:row>11</xdr:row>
      <xdr:rowOff>108858</xdr:rowOff>
    </xdr:from>
    <xdr:to>
      <xdr:col>103</xdr:col>
      <xdr:colOff>285714</xdr:colOff>
      <xdr:row>20</xdr:row>
      <xdr:rowOff>33837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57813788-8093-4016-907B-E92442692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97</xdr:col>
      <xdr:colOff>557893</xdr:colOff>
      <xdr:row>29</xdr:row>
      <xdr:rowOff>122466</xdr:rowOff>
    </xdr:from>
    <xdr:to>
      <xdr:col>103</xdr:col>
      <xdr:colOff>326536</xdr:colOff>
      <xdr:row>37</xdr:row>
      <xdr:rowOff>414837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41D9300-3D70-4064-A4F4-664FBCC58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satomoiphone@gmail.com" TargetMode="External"/><Relationship Id="rId671" Type="http://schemas.openxmlformats.org/officeDocument/2006/relationships/hyperlink" Target="mailto:yokoyoko-mae0614@docomo.ne.jp" TargetMode="External"/><Relationship Id="rId769" Type="http://schemas.openxmlformats.org/officeDocument/2006/relationships/hyperlink" Target="mailto:tei_9999@yahoo.co%20.jp" TargetMode="External"/><Relationship Id="rId21" Type="http://schemas.openxmlformats.org/officeDocument/2006/relationships/hyperlink" Target="mailto:hide4412@gmail.com" TargetMode="External"/><Relationship Id="rId324" Type="http://schemas.openxmlformats.org/officeDocument/2006/relationships/hyperlink" Target="mailto:legoboy@makiandryan.com" TargetMode="External"/><Relationship Id="rId531" Type="http://schemas.openxmlformats.org/officeDocument/2006/relationships/hyperlink" Target="mailto:btf4044@gmail.com" TargetMode="External"/><Relationship Id="rId629" Type="http://schemas.openxmlformats.org/officeDocument/2006/relationships/hyperlink" Target="mailto:nobuoakio0910@docomo.ne.jp" TargetMode="External"/><Relationship Id="rId170" Type="http://schemas.openxmlformats.org/officeDocument/2006/relationships/hyperlink" Target="mailto:hisatsugu@hotmail.co.jp" TargetMode="External"/><Relationship Id="rId268" Type="http://schemas.openxmlformats.org/officeDocument/2006/relationships/hyperlink" Target="mailto:eugee0048@yahoo.co.jp" TargetMode="External"/><Relationship Id="rId475" Type="http://schemas.openxmlformats.org/officeDocument/2006/relationships/hyperlink" Target="mailto:s19551029@i.softbank.jp" TargetMode="External"/><Relationship Id="rId682" Type="http://schemas.openxmlformats.org/officeDocument/2006/relationships/hyperlink" Target="mailto:take244@ka3.so-net.ne.jp" TargetMode="External"/><Relationship Id="rId32" Type="http://schemas.openxmlformats.org/officeDocument/2006/relationships/hyperlink" Target="mailto:yamadai1113@gmail.com" TargetMode="External"/><Relationship Id="rId128" Type="http://schemas.openxmlformats.org/officeDocument/2006/relationships/hyperlink" Target="mailto:t4165@ezweb.ne.jp" TargetMode="External"/><Relationship Id="rId335" Type="http://schemas.openxmlformats.org/officeDocument/2006/relationships/hyperlink" Target="mailto:earthone@bc5.so-net.ne.jp" TargetMode="External"/><Relationship Id="rId542" Type="http://schemas.openxmlformats.org/officeDocument/2006/relationships/hyperlink" Target="mailto:mayudai1129@yahoo.co.jp" TargetMode="External"/><Relationship Id="rId181" Type="http://schemas.openxmlformats.org/officeDocument/2006/relationships/hyperlink" Target="mailto:buchi@i.softbank.jp" TargetMode="External"/><Relationship Id="rId402" Type="http://schemas.openxmlformats.org/officeDocument/2006/relationships/hyperlink" Target="mailto:k5.nak.001@gmail.com" TargetMode="External"/><Relationship Id="rId279" Type="http://schemas.openxmlformats.org/officeDocument/2006/relationships/hyperlink" Target="mailto:verybesy-naoki@softbank.ne.jp" TargetMode="External"/><Relationship Id="rId486" Type="http://schemas.openxmlformats.org/officeDocument/2006/relationships/hyperlink" Target="mailto:ababakuku@gmail.com" TargetMode="External"/><Relationship Id="rId693" Type="http://schemas.openxmlformats.org/officeDocument/2006/relationships/hyperlink" Target="mailto:hitoki1991@gmail.com" TargetMode="External"/><Relationship Id="rId707" Type="http://schemas.openxmlformats.org/officeDocument/2006/relationships/hyperlink" Target="mailto:kim-chika0409@docomo.ne.jp" TargetMode="External"/><Relationship Id="rId43" Type="http://schemas.openxmlformats.org/officeDocument/2006/relationships/hyperlink" Target="mailto:y.minamigaki@sakura-blue.co.jp" TargetMode="External"/><Relationship Id="rId139" Type="http://schemas.openxmlformats.org/officeDocument/2006/relationships/hyperlink" Target="mailto:hanada@marutosuisan.jp" TargetMode="External"/><Relationship Id="rId346" Type="http://schemas.openxmlformats.org/officeDocument/2006/relationships/hyperlink" Target="mailto:halemami.1225@i.softbank.jp" TargetMode="External"/><Relationship Id="rId553" Type="http://schemas.openxmlformats.org/officeDocument/2006/relationships/hyperlink" Target="mailto:aw.t.kns1015@gmail.com" TargetMode="External"/><Relationship Id="rId760" Type="http://schemas.openxmlformats.org/officeDocument/2006/relationships/hyperlink" Target="mailto:masato.hirooka1226@gmail.com" TargetMode="External"/><Relationship Id="rId192" Type="http://schemas.openxmlformats.org/officeDocument/2006/relationships/hyperlink" Target="mailto:aksn170@gmail.com" TargetMode="External"/><Relationship Id="rId206" Type="http://schemas.openxmlformats.org/officeDocument/2006/relationships/hyperlink" Target="mailto:ichiko055@docomo.ne.jp" TargetMode="External"/><Relationship Id="rId413" Type="http://schemas.openxmlformats.org/officeDocument/2006/relationships/hyperlink" Target="mailto:akiyoshi-f@ezweb.ne.jp" TargetMode="External"/><Relationship Id="rId497" Type="http://schemas.openxmlformats.org/officeDocument/2006/relationships/hyperlink" Target="mailto:tomohirofujiwara0@gmail.com" TargetMode="External"/><Relationship Id="rId620" Type="http://schemas.openxmlformats.org/officeDocument/2006/relationships/hyperlink" Target="mailto:takkjun88@gmail.com" TargetMode="External"/><Relationship Id="rId718" Type="http://schemas.openxmlformats.org/officeDocument/2006/relationships/hyperlink" Target="mailto:ryoryo0924@icloud.com" TargetMode="External"/><Relationship Id="rId357" Type="http://schemas.openxmlformats.org/officeDocument/2006/relationships/hyperlink" Target="mailto:tsuhideko@i.softbank.jp" TargetMode="External"/><Relationship Id="rId54" Type="http://schemas.openxmlformats.org/officeDocument/2006/relationships/hyperlink" Target="mailto:jiji.ishi@gmail.com" TargetMode="External"/><Relationship Id="rId217" Type="http://schemas.openxmlformats.org/officeDocument/2006/relationships/hyperlink" Target="mailto:n.asuuuka.23@gmail.com" TargetMode="External"/><Relationship Id="rId564" Type="http://schemas.openxmlformats.org/officeDocument/2006/relationships/hyperlink" Target="mailto:kathyyau2003@yahoo.com.hk" TargetMode="External"/><Relationship Id="rId771" Type="http://schemas.openxmlformats.org/officeDocument/2006/relationships/hyperlink" Target="mailto:rimpei0501@gmail.com" TargetMode="External"/><Relationship Id="rId424" Type="http://schemas.openxmlformats.org/officeDocument/2006/relationships/hyperlink" Target="mailto:m.nensei@ezweb.ne.jp" TargetMode="External"/><Relationship Id="rId631" Type="http://schemas.openxmlformats.org/officeDocument/2006/relationships/hyperlink" Target="mailto:yukakku496@gmail.com" TargetMode="External"/><Relationship Id="rId729" Type="http://schemas.openxmlformats.org/officeDocument/2006/relationships/hyperlink" Target="mailto:torubd1@gmail.com" TargetMode="External"/><Relationship Id="rId270" Type="http://schemas.openxmlformats.org/officeDocument/2006/relationships/hyperlink" Target="mailto:hiyomiyu1015@gmail.com" TargetMode="External"/><Relationship Id="rId65" Type="http://schemas.openxmlformats.org/officeDocument/2006/relationships/hyperlink" Target="mailto:yuyu123hiro813@softbank.ne.jp" TargetMode="External"/><Relationship Id="rId130" Type="http://schemas.openxmlformats.org/officeDocument/2006/relationships/hyperlink" Target="mailto:ats703@gmail.com" TargetMode="External"/><Relationship Id="rId368" Type="http://schemas.openxmlformats.org/officeDocument/2006/relationships/hyperlink" Target="mailto:in2075@icloud.com" TargetMode="External"/><Relationship Id="rId575" Type="http://schemas.openxmlformats.org/officeDocument/2006/relationships/hyperlink" Target="mailto:respect.com1@gmail.com" TargetMode="External"/><Relationship Id="rId228" Type="http://schemas.openxmlformats.org/officeDocument/2006/relationships/hyperlink" Target="mailto:geruru0212@gmail.com" TargetMode="External"/><Relationship Id="rId435" Type="http://schemas.openxmlformats.org/officeDocument/2006/relationships/hyperlink" Target="mailto:shuwa.mizobe@clock.ocn.ne.jp" TargetMode="External"/><Relationship Id="rId642" Type="http://schemas.openxmlformats.org/officeDocument/2006/relationships/hyperlink" Target="mailto:kazu.mr@gmail.com" TargetMode="External"/><Relationship Id="rId281" Type="http://schemas.openxmlformats.org/officeDocument/2006/relationships/hyperlink" Target="mailto:n-ty2.vip@ezweb.ne.jp" TargetMode="External"/><Relationship Id="rId502" Type="http://schemas.openxmlformats.org/officeDocument/2006/relationships/hyperlink" Target="mailto:naka-1010@i.softbank.jp" TargetMode="External"/><Relationship Id="rId76" Type="http://schemas.openxmlformats.org/officeDocument/2006/relationships/hyperlink" Target="mailto:morita@nextage-kobe.com" TargetMode="External"/><Relationship Id="rId141" Type="http://schemas.openxmlformats.org/officeDocument/2006/relationships/hyperlink" Target="mailto:noda19760709@gmail.com" TargetMode="External"/><Relationship Id="rId379" Type="http://schemas.openxmlformats.org/officeDocument/2006/relationships/hyperlink" Target="mailto:miniaturepincsher36@gmail.com" TargetMode="External"/><Relationship Id="rId586" Type="http://schemas.openxmlformats.org/officeDocument/2006/relationships/hyperlink" Target="mailto:yamano@torit-yy--ttt.jp" TargetMode="External"/><Relationship Id="rId7" Type="http://schemas.openxmlformats.org/officeDocument/2006/relationships/hyperlink" Target="mailto:shuwa.mizobe@clock.ocn.ne.jp" TargetMode="External"/><Relationship Id="rId239" Type="http://schemas.openxmlformats.org/officeDocument/2006/relationships/hyperlink" Target="mailto:mkkaa.3576@ezweb.ne.jp" TargetMode="External"/><Relationship Id="rId446" Type="http://schemas.openxmlformats.org/officeDocument/2006/relationships/hyperlink" Target="mailto:center.terao@gmail.com" TargetMode="External"/><Relationship Id="rId653" Type="http://schemas.openxmlformats.org/officeDocument/2006/relationships/hyperlink" Target="mailto:mitsuo2875@yahoo.co.jp" TargetMode="External"/><Relationship Id="rId292" Type="http://schemas.openxmlformats.org/officeDocument/2006/relationships/hyperlink" Target="mailto:kzyaua117@gmail.com" TargetMode="External"/><Relationship Id="rId306" Type="http://schemas.openxmlformats.org/officeDocument/2006/relationships/hyperlink" Target="mailto:jugo921@gmail.com" TargetMode="External"/><Relationship Id="rId87" Type="http://schemas.openxmlformats.org/officeDocument/2006/relationships/hyperlink" Target="mailto:kusumi@yacht.ocn.ne.jp" TargetMode="External"/><Relationship Id="rId513" Type="http://schemas.openxmlformats.org/officeDocument/2006/relationships/hyperlink" Target="mailto:pooh_heidi@hotmail.com" TargetMode="External"/><Relationship Id="rId597" Type="http://schemas.openxmlformats.org/officeDocument/2006/relationships/hyperlink" Target="mailto:yutaka.danno@gmail.com" TargetMode="External"/><Relationship Id="rId720" Type="http://schemas.openxmlformats.org/officeDocument/2006/relationships/hyperlink" Target="mailto:mitsuru19660715@yahoo.co.jp" TargetMode="External"/><Relationship Id="rId152" Type="http://schemas.openxmlformats.org/officeDocument/2006/relationships/hyperlink" Target="mailto:mamoruwada1112@au.com" TargetMode="External"/><Relationship Id="rId457" Type="http://schemas.openxmlformats.org/officeDocument/2006/relationships/hyperlink" Target="mailto:somesome55hi-side@docomo.ne.jp" TargetMode="External"/><Relationship Id="rId664" Type="http://schemas.openxmlformats.org/officeDocument/2006/relationships/hyperlink" Target="mailto:maruzou28@gamil.coom" TargetMode="External"/><Relationship Id="rId14" Type="http://schemas.openxmlformats.org/officeDocument/2006/relationships/hyperlink" Target="mailto:fusako34@gmail.com" TargetMode="External"/><Relationship Id="rId317" Type="http://schemas.openxmlformats.org/officeDocument/2006/relationships/hyperlink" Target="mailto:tiger0618@ezweb.ne.jp" TargetMode="External"/><Relationship Id="rId524" Type="http://schemas.openxmlformats.org/officeDocument/2006/relationships/hyperlink" Target="mailto:gsx1100e222@gmail.com" TargetMode="External"/><Relationship Id="rId731" Type="http://schemas.openxmlformats.org/officeDocument/2006/relationships/hyperlink" Target="mailto:dreamer28gogi1968@gmail.com" TargetMode="External"/><Relationship Id="rId98" Type="http://schemas.openxmlformats.org/officeDocument/2006/relationships/hyperlink" Target="mailto:rldinosaur@yahoo.co.jp" TargetMode="External"/><Relationship Id="rId163" Type="http://schemas.openxmlformats.org/officeDocument/2006/relationships/hyperlink" Target="mailto:kinoken81208120@gmail.com" TargetMode="External"/><Relationship Id="rId370" Type="http://schemas.openxmlformats.org/officeDocument/2006/relationships/hyperlink" Target="mailto:stsuboi@i.softbank.jp" TargetMode="External"/><Relationship Id="rId230" Type="http://schemas.openxmlformats.org/officeDocument/2006/relationships/hyperlink" Target="mailto:s.nakasato@ezweb.ne.jp" TargetMode="External"/><Relationship Id="rId468" Type="http://schemas.openxmlformats.org/officeDocument/2006/relationships/hyperlink" Target="mailto:kanemotohirotaka@live.jp" TargetMode="External"/><Relationship Id="rId675" Type="http://schemas.openxmlformats.org/officeDocument/2006/relationships/hyperlink" Target="mailto:hatamori.tkh@gmail.com" TargetMode="External"/><Relationship Id="rId25" Type="http://schemas.openxmlformats.org/officeDocument/2006/relationships/hyperlink" Target="mailto:oaksdram66@i.softbank.jp" TargetMode="External"/><Relationship Id="rId328" Type="http://schemas.openxmlformats.org/officeDocument/2006/relationships/hyperlink" Target="mailto:victory.1.2525@gmail.com" TargetMode="External"/><Relationship Id="rId535" Type="http://schemas.openxmlformats.org/officeDocument/2006/relationships/hyperlink" Target="mailto:kih_mrc@hotmail.com" TargetMode="External"/><Relationship Id="rId742" Type="http://schemas.openxmlformats.org/officeDocument/2006/relationships/hyperlink" Target="mailto:par5par4par3matsu55@docomo.ne.jp" TargetMode="External"/><Relationship Id="rId174" Type="http://schemas.openxmlformats.org/officeDocument/2006/relationships/hyperlink" Target="mailto:sophia@sse-franchise.com" TargetMode="External"/><Relationship Id="rId381" Type="http://schemas.openxmlformats.org/officeDocument/2006/relationships/hyperlink" Target="mailto:e14431@gmail.com" TargetMode="External"/><Relationship Id="rId602" Type="http://schemas.openxmlformats.org/officeDocument/2006/relationships/hyperlink" Target="mailto:ijun0415@i.softbank.jp" TargetMode="External"/><Relationship Id="rId241" Type="http://schemas.openxmlformats.org/officeDocument/2006/relationships/hyperlink" Target="mailto:isc.u1015@gmail.com" TargetMode="External"/><Relationship Id="rId479" Type="http://schemas.openxmlformats.org/officeDocument/2006/relationships/hyperlink" Target="mailto:aoma1631@gmail.com" TargetMode="External"/><Relationship Id="rId686" Type="http://schemas.openxmlformats.org/officeDocument/2006/relationships/hyperlink" Target="mailto:eccentric-pecchi@yahoo.co.jp" TargetMode="External"/><Relationship Id="rId36" Type="http://schemas.openxmlformats.org/officeDocument/2006/relationships/hyperlink" Target="mailto:kdchao@gmail.com" TargetMode="External"/><Relationship Id="rId339" Type="http://schemas.openxmlformats.org/officeDocument/2006/relationships/hyperlink" Target="mailto:misaharuaoi@icloud.com" TargetMode="External"/><Relationship Id="rId546" Type="http://schemas.openxmlformats.org/officeDocument/2006/relationships/hyperlink" Target="mailto:r.nkmr.work@gmail.com" TargetMode="External"/><Relationship Id="rId753" Type="http://schemas.openxmlformats.org/officeDocument/2006/relationships/hyperlink" Target="mailto:yo8037874532@yahoo.co.jp" TargetMode="External"/><Relationship Id="rId101" Type="http://schemas.openxmlformats.org/officeDocument/2006/relationships/hyperlink" Target="mailto:vivo.rock@i.softbank.jp" TargetMode="External"/><Relationship Id="rId185" Type="http://schemas.openxmlformats.org/officeDocument/2006/relationships/hyperlink" Target="mailto:halesyu@i.softbank.ne.jp" TargetMode="External"/><Relationship Id="rId406" Type="http://schemas.openxmlformats.org/officeDocument/2006/relationships/hyperlink" Target="mailto:takumi.1225.11@gmail.com" TargetMode="External"/><Relationship Id="rId392" Type="http://schemas.openxmlformats.org/officeDocument/2006/relationships/hyperlink" Target="mailto:dewpointer@hotmail.co.jp" TargetMode="External"/><Relationship Id="rId613" Type="http://schemas.openxmlformats.org/officeDocument/2006/relationships/hyperlink" Target="mailto:naoko.hanakomachi@gmail.com" TargetMode="External"/><Relationship Id="rId697" Type="http://schemas.openxmlformats.org/officeDocument/2006/relationships/hyperlink" Target="mailto:s094167@gmail.com" TargetMode="External"/><Relationship Id="rId252" Type="http://schemas.openxmlformats.org/officeDocument/2006/relationships/hyperlink" Target="mailto:kotani_h0415@yahoo.co.jp" TargetMode="External"/><Relationship Id="rId47" Type="http://schemas.openxmlformats.org/officeDocument/2006/relationships/hyperlink" Target="mailto:k_yabuno@icloud.com" TargetMode="External"/><Relationship Id="rId112" Type="http://schemas.openxmlformats.org/officeDocument/2006/relationships/hyperlink" Target="mailto:narumi0510@icloud.com" TargetMode="External"/><Relationship Id="rId557" Type="http://schemas.openxmlformats.org/officeDocument/2006/relationships/hyperlink" Target="mailto:takao370928@gmail.com" TargetMode="External"/><Relationship Id="rId764" Type="http://schemas.openxmlformats.org/officeDocument/2006/relationships/hyperlink" Target="mailto:truth.one.t@gmail.com" TargetMode="External"/><Relationship Id="rId196" Type="http://schemas.openxmlformats.org/officeDocument/2006/relationships/hyperlink" Target="mailto:09059264741@docomo.ne.jp" TargetMode="External"/><Relationship Id="rId417" Type="http://schemas.openxmlformats.org/officeDocument/2006/relationships/hyperlink" Target="mailto:ikuya_ok@nike.eonet.ne.jp" TargetMode="External"/><Relationship Id="rId624" Type="http://schemas.openxmlformats.org/officeDocument/2006/relationships/hyperlink" Target="mailto:atsunosuke-1113@i.softbank.jp" TargetMode="External"/><Relationship Id="rId263" Type="http://schemas.openxmlformats.org/officeDocument/2006/relationships/hyperlink" Target="mailto:kei7tai1@gmail.com" TargetMode="External"/><Relationship Id="rId470" Type="http://schemas.openxmlformats.org/officeDocument/2006/relationships/hyperlink" Target="mailto:ishioka@asca-co.com" TargetMode="External"/><Relationship Id="rId58" Type="http://schemas.openxmlformats.org/officeDocument/2006/relationships/hyperlink" Target="mailto:195matsuoka@gmail.com" TargetMode="External"/><Relationship Id="rId123" Type="http://schemas.openxmlformats.org/officeDocument/2006/relationships/hyperlink" Target="mailto:g-sagara1007@k.vodafone.ne.jp" TargetMode="External"/><Relationship Id="rId330" Type="http://schemas.openxmlformats.org/officeDocument/2006/relationships/hyperlink" Target="mailto:puchi-com@nifty.com" TargetMode="External"/><Relationship Id="rId568" Type="http://schemas.openxmlformats.org/officeDocument/2006/relationships/hyperlink" Target="mailto:2hundred21@gmail.com" TargetMode="External"/><Relationship Id="rId775" Type="http://schemas.openxmlformats.org/officeDocument/2006/relationships/hyperlink" Target="mailto:smmpf380@gmail.com" TargetMode="External"/><Relationship Id="rId428" Type="http://schemas.openxmlformats.org/officeDocument/2006/relationships/hyperlink" Target="mailto:k.yamaguchi@data-ystec.co.jp" TargetMode="External"/><Relationship Id="rId635" Type="http://schemas.openxmlformats.org/officeDocument/2006/relationships/hyperlink" Target="mailto:ryo38796@gmail.com" TargetMode="External"/><Relationship Id="rId274" Type="http://schemas.openxmlformats.org/officeDocument/2006/relationships/hyperlink" Target="mailto:you.nakasy@gmail.com" TargetMode="External"/><Relationship Id="rId481" Type="http://schemas.openxmlformats.org/officeDocument/2006/relationships/hyperlink" Target="mailto:rumi.mh0506@gmail.com" TargetMode="External"/><Relationship Id="rId702" Type="http://schemas.openxmlformats.org/officeDocument/2006/relationships/hyperlink" Target="mailto:unagi912@gmail.com" TargetMode="External"/><Relationship Id="rId69" Type="http://schemas.openxmlformats.org/officeDocument/2006/relationships/hyperlink" Target="mailto:yossy@pikana.ne.jp" TargetMode="External"/><Relationship Id="rId134" Type="http://schemas.openxmlformats.org/officeDocument/2006/relationships/hyperlink" Target="mailto:boowy12248338@gmail.com" TargetMode="External"/><Relationship Id="rId579" Type="http://schemas.openxmlformats.org/officeDocument/2006/relationships/hyperlink" Target="mailto:ken10300903@gmail.com" TargetMode="External"/><Relationship Id="rId341" Type="http://schemas.openxmlformats.org/officeDocument/2006/relationships/hyperlink" Target="mailto:takada-do@kwangaku.net" TargetMode="External"/><Relationship Id="rId439" Type="http://schemas.openxmlformats.org/officeDocument/2006/relationships/hyperlink" Target="mailto:t.kitai@teams-tax.com" TargetMode="External"/><Relationship Id="rId646" Type="http://schemas.openxmlformats.org/officeDocument/2006/relationships/hyperlink" Target="mailto:shinji.12.17.m@gmail.com" TargetMode="External"/><Relationship Id="rId201" Type="http://schemas.openxmlformats.org/officeDocument/2006/relationships/hyperlink" Target="mailto:koichi.u@gmail.com" TargetMode="External"/><Relationship Id="rId285" Type="http://schemas.openxmlformats.org/officeDocument/2006/relationships/hyperlink" Target="mailto:shun0513@hotmail.com" TargetMode="External"/><Relationship Id="rId506" Type="http://schemas.openxmlformats.org/officeDocument/2006/relationships/hyperlink" Target="mailto:ryo3241631@docomo.ne.jp" TargetMode="External"/><Relationship Id="rId492" Type="http://schemas.openxmlformats.org/officeDocument/2006/relationships/hyperlink" Target="mailto:masa@yamashita.ne.jp" TargetMode="External"/><Relationship Id="rId713" Type="http://schemas.openxmlformats.org/officeDocument/2006/relationships/hyperlink" Target="mailto:takachinn5963@gmail.com" TargetMode="External"/><Relationship Id="rId145" Type="http://schemas.openxmlformats.org/officeDocument/2006/relationships/hyperlink" Target="mailto:toyo.k.44@gmail.com" TargetMode="External"/><Relationship Id="rId352" Type="http://schemas.openxmlformats.org/officeDocument/2006/relationships/hyperlink" Target="mailto:k.g.mfs2548@gmail.com" TargetMode="External"/><Relationship Id="rId212" Type="http://schemas.openxmlformats.org/officeDocument/2006/relationships/hyperlink" Target="mailto:kzyaua117@gmail.com" TargetMode="External"/><Relationship Id="rId657" Type="http://schemas.openxmlformats.org/officeDocument/2006/relationships/hyperlink" Target="mailto:vsqm7798@yahoo.co.jp" TargetMode="External"/><Relationship Id="rId296" Type="http://schemas.openxmlformats.org/officeDocument/2006/relationships/hyperlink" Target="mailto:K.momotaka@icloud.com" TargetMode="External"/><Relationship Id="rId517" Type="http://schemas.openxmlformats.org/officeDocument/2006/relationships/hyperlink" Target="mailto:hanachan0091@softbank.ne.jp" TargetMode="External"/><Relationship Id="rId724" Type="http://schemas.openxmlformats.org/officeDocument/2006/relationships/hyperlink" Target="mailto:yuztox5@me.com" TargetMode="External"/><Relationship Id="rId60" Type="http://schemas.openxmlformats.org/officeDocument/2006/relationships/hyperlink" Target="mailto:souichimisa@me.com" TargetMode="External"/><Relationship Id="rId156" Type="http://schemas.openxmlformats.org/officeDocument/2006/relationships/hyperlink" Target="mailto:t2toshi3@hotmail.com" TargetMode="External"/><Relationship Id="rId363" Type="http://schemas.openxmlformats.org/officeDocument/2006/relationships/hyperlink" Target="mailto:momoe.0107@icloud.com" TargetMode="External"/><Relationship Id="rId570" Type="http://schemas.openxmlformats.org/officeDocument/2006/relationships/hyperlink" Target="mailto:onji.19571211@docomo.ne.jp" TargetMode="External"/><Relationship Id="rId223" Type="http://schemas.openxmlformats.org/officeDocument/2006/relationships/hyperlink" Target="mailto:Shujimasada0117@gmail.com" TargetMode="External"/><Relationship Id="rId430" Type="http://schemas.openxmlformats.org/officeDocument/2006/relationships/hyperlink" Target="mailto:rodments@yahoo.co.jp" TargetMode="External"/><Relationship Id="rId668" Type="http://schemas.openxmlformats.org/officeDocument/2006/relationships/hyperlink" Target="mailto:hola0909@i.softbank.jp" TargetMode="External"/><Relationship Id="rId18" Type="http://schemas.openxmlformats.org/officeDocument/2006/relationships/hyperlink" Target="mailto:tsunekane@ebase.co.jp" TargetMode="External"/><Relationship Id="rId528" Type="http://schemas.openxmlformats.org/officeDocument/2006/relationships/hyperlink" Target="mailto:hinayan20011125@icloud.com" TargetMode="External"/><Relationship Id="rId735" Type="http://schemas.openxmlformats.org/officeDocument/2006/relationships/hyperlink" Target="mailto:wakoasao@gmail.com" TargetMode="External"/><Relationship Id="rId167" Type="http://schemas.openxmlformats.org/officeDocument/2006/relationships/hyperlink" Target="mailto:rldinosaur@yahoo.co.jp" TargetMode="External"/><Relationship Id="rId374" Type="http://schemas.openxmlformats.org/officeDocument/2006/relationships/hyperlink" Target="mailto:dai3877@yahoo.co.jp" TargetMode="External"/><Relationship Id="rId581" Type="http://schemas.openxmlformats.org/officeDocument/2006/relationships/hyperlink" Target="mailto:kashikashi0302@gmail.com" TargetMode="External"/><Relationship Id="rId71" Type="http://schemas.openxmlformats.org/officeDocument/2006/relationships/hyperlink" Target="mailto:oitoso@gmail.com" TargetMode="External"/><Relationship Id="rId234" Type="http://schemas.openxmlformats.org/officeDocument/2006/relationships/hyperlink" Target="mailto:kamei_yoshinori@yahoo.ne.jp" TargetMode="External"/><Relationship Id="rId679" Type="http://schemas.openxmlformats.org/officeDocument/2006/relationships/hyperlink" Target="mailto:truth.one.t@gmail.com" TargetMode="External"/><Relationship Id="rId2" Type="http://schemas.openxmlformats.org/officeDocument/2006/relationships/hyperlink" Target="mailto:hole.in.one.26@gmail.com" TargetMode="External"/><Relationship Id="rId29" Type="http://schemas.openxmlformats.org/officeDocument/2006/relationships/hyperlink" Target="mailto:yama19840517@gmail&#65294;Com" TargetMode="External"/><Relationship Id="rId441" Type="http://schemas.openxmlformats.org/officeDocument/2006/relationships/hyperlink" Target="mailto:senharu26@gmail.com" TargetMode="External"/><Relationship Id="rId539" Type="http://schemas.openxmlformats.org/officeDocument/2006/relationships/hyperlink" Target="mailto:ty_77-88@docomo.ne.jp" TargetMode="External"/><Relationship Id="rId746" Type="http://schemas.openxmlformats.org/officeDocument/2006/relationships/hyperlink" Target="mailto:mnakaob25@gmail.com" TargetMode="External"/><Relationship Id="rId178" Type="http://schemas.openxmlformats.org/officeDocument/2006/relationships/hyperlink" Target="mailto:enoyokoyr@gmail.com" TargetMode="External"/><Relationship Id="rId301" Type="http://schemas.openxmlformats.org/officeDocument/2006/relationships/hyperlink" Target="mailto:sophia@sse-franchise.com" TargetMode="External"/><Relationship Id="rId82" Type="http://schemas.openxmlformats.org/officeDocument/2006/relationships/hyperlink" Target="mailto:takaaki.maysuda124@icloud.com" TargetMode="External"/><Relationship Id="rId385" Type="http://schemas.openxmlformats.org/officeDocument/2006/relationships/hyperlink" Target="mailto:rldinosaur@yahoo.co.jp" TargetMode="External"/><Relationship Id="rId592" Type="http://schemas.openxmlformats.org/officeDocument/2006/relationships/hyperlink" Target="mailto:t.tanaka@s-enden.com" TargetMode="External"/><Relationship Id="rId606" Type="http://schemas.openxmlformats.org/officeDocument/2006/relationships/hyperlink" Target="mailto:sudakosuke0901@gmail.com" TargetMode="External"/><Relationship Id="rId245" Type="http://schemas.openxmlformats.org/officeDocument/2006/relationships/hyperlink" Target="mailto:take.c812@gmail.com" TargetMode="External"/><Relationship Id="rId452" Type="http://schemas.openxmlformats.org/officeDocument/2006/relationships/hyperlink" Target="mailto:t-sawa-1234@ezweb.ne.jp" TargetMode="External"/><Relationship Id="rId105" Type="http://schemas.openxmlformats.org/officeDocument/2006/relationships/hyperlink" Target="mailto:m.m.6.0605.dolphin@i.softbank.jp" TargetMode="External"/><Relationship Id="rId312" Type="http://schemas.openxmlformats.org/officeDocument/2006/relationships/hyperlink" Target="mailto:kojikawamuragain@gmail.com" TargetMode="External"/><Relationship Id="rId757" Type="http://schemas.openxmlformats.org/officeDocument/2006/relationships/hyperlink" Target="mailto:takkjun88@gmail.com" TargetMode="External"/><Relationship Id="rId93" Type="http://schemas.openxmlformats.org/officeDocument/2006/relationships/hyperlink" Target="mailto:n-nakagami816@yahoo.co.jp" TargetMode="External"/><Relationship Id="rId189" Type="http://schemas.openxmlformats.org/officeDocument/2006/relationships/hyperlink" Target="mailto:yusuke_southmark@au.com" TargetMode="External"/><Relationship Id="rId396" Type="http://schemas.openxmlformats.org/officeDocument/2006/relationships/hyperlink" Target="mailto:matty4248@ezweb.ne.jp" TargetMode="External"/><Relationship Id="rId617" Type="http://schemas.openxmlformats.org/officeDocument/2006/relationships/hyperlink" Target="mailto:juvenile_hall@hotmail.co.jp" TargetMode="External"/><Relationship Id="rId256" Type="http://schemas.openxmlformats.org/officeDocument/2006/relationships/hyperlink" Target="mailto:miimii4734@gmail.com" TargetMode="External"/><Relationship Id="rId463" Type="http://schemas.openxmlformats.org/officeDocument/2006/relationships/hyperlink" Target="mailto:katsu_nishi790@yahoo.co.jp" TargetMode="External"/><Relationship Id="rId670" Type="http://schemas.openxmlformats.org/officeDocument/2006/relationships/hyperlink" Target="mailto:shima8974shinma@gmail.com" TargetMode="External"/><Relationship Id="rId116" Type="http://schemas.openxmlformats.org/officeDocument/2006/relationships/hyperlink" Target="mailto:hit.de.chopin.112@docomo.ne.jp" TargetMode="External"/><Relationship Id="rId323" Type="http://schemas.openxmlformats.org/officeDocument/2006/relationships/hyperlink" Target="mailto:Shusuke391@gmail.com" TargetMode="External"/><Relationship Id="rId530" Type="http://schemas.openxmlformats.org/officeDocument/2006/relationships/hyperlink" Target="mailto:j078602@yahoo.co.jp" TargetMode="External"/><Relationship Id="rId768" Type="http://schemas.openxmlformats.org/officeDocument/2006/relationships/hyperlink" Target="mailto:waku2184@yahoo.co.jp" TargetMode="External"/><Relationship Id="rId20" Type="http://schemas.openxmlformats.org/officeDocument/2006/relationships/hyperlink" Target="mailto:aka9999toshi@gmail.com" TargetMode="External"/><Relationship Id="rId628" Type="http://schemas.openxmlformats.org/officeDocument/2006/relationships/hyperlink" Target="mailto:shin_nya@i.softbank.jp" TargetMode="External"/><Relationship Id="rId267" Type="http://schemas.openxmlformats.org/officeDocument/2006/relationships/hyperlink" Target="mailto:naoki.utsunomiya@gmail.com" TargetMode="External"/><Relationship Id="rId474" Type="http://schemas.openxmlformats.org/officeDocument/2006/relationships/hyperlink" Target="mailto:angelo.chef.0407@gmail.com" TargetMode="External"/><Relationship Id="rId127" Type="http://schemas.openxmlformats.org/officeDocument/2006/relationships/hyperlink" Target="mailto:e.r.m.p-t@softbank.ne.jp" TargetMode="External"/><Relationship Id="rId681" Type="http://schemas.openxmlformats.org/officeDocument/2006/relationships/hyperlink" Target="mailto:yasuda-kayo-0923@au.com" TargetMode="External"/><Relationship Id="rId31" Type="http://schemas.openxmlformats.org/officeDocument/2006/relationships/hyperlink" Target="mailto:hiroshioo2shi@gmail.com" TargetMode="External"/><Relationship Id="rId334" Type="http://schemas.openxmlformats.org/officeDocument/2006/relationships/hyperlink" Target="mailto:tkrtkhr0730@gmail.com" TargetMode="External"/><Relationship Id="rId541" Type="http://schemas.openxmlformats.org/officeDocument/2006/relationships/hyperlink" Target="mailto:shiro.3524505@gmail.com" TargetMode="External"/><Relationship Id="rId639" Type="http://schemas.openxmlformats.org/officeDocument/2006/relationships/hyperlink" Target="mailto:kjrsffun@gmail.com" TargetMode="External"/><Relationship Id="rId180" Type="http://schemas.openxmlformats.org/officeDocument/2006/relationships/hyperlink" Target="mailto:hirokisensei@i.softbank.jp" TargetMode="External"/><Relationship Id="rId278" Type="http://schemas.openxmlformats.org/officeDocument/2006/relationships/hyperlink" Target="mailto:onefortheroad8419@gmail.coom" TargetMode="External"/><Relationship Id="rId401" Type="http://schemas.openxmlformats.org/officeDocument/2006/relationships/hyperlink" Target="mailto:ilovemiyumikuru@ezweb.ne.jp" TargetMode="External"/><Relationship Id="rId485" Type="http://schemas.openxmlformats.org/officeDocument/2006/relationships/hyperlink" Target="mailto:sums.fsattss@gmail.com" TargetMode="External"/><Relationship Id="rId692" Type="http://schemas.openxmlformats.org/officeDocument/2006/relationships/hyperlink" Target="mailto:tnks86@hotmail.com" TargetMode="External"/><Relationship Id="rId706" Type="http://schemas.openxmlformats.org/officeDocument/2006/relationships/hyperlink" Target="mailto:atesan@globe.zag.jp" TargetMode="External"/><Relationship Id="rId42" Type="http://schemas.openxmlformats.org/officeDocument/2006/relationships/hyperlink" Target="mailto:okinagat@yahoo.co.jp" TargetMode="External"/><Relationship Id="rId138" Type="http://schemas.openxmlformats.org/officeDocument/2006/relationships/hyperlink" Target="mailto:s.maruoka@maruokatile.co.jp" TargetMode="External"/><Relationship Id="rId345" Type="http://schemas.openxmlformats.org/officeDocument/2006/relationships/hyperlink" Target="mailto:cocotiroru@docomo.ne.jp" TargetMode="External"/><Relationship Id="rId552" Type="http://schemas.openxmlformats.org/officeDocument/2006/relationships/hyperlink" Target="mailto:keeeeita99@gmail.com" TargetMode="External"/><Relationship Id="rId191" Type="http://schemas.openxmlformats.org/officeDocument/2006/relationships/hyperlink" Target="mailto:ma-shioiri@emuzucom.co.jp" TargetMode="External"/><Relationship Id="rId205" Type="http://schemas.openxmlformats.org/officeDocument/2006/relationships/hyperlink" Target="mailto:m-u-r-o-p-o-n.0131@docomo.ne.jp" TargetMode="External"/><Relationship Id="rId412" Type="http://schemas.openxmlformats.org/officeDocument/2006/relationships/hyperlink" Target="mailto:toshi09040317242@gmail.com" TargetMode="External"/><Relationship Id="rId107" Type="http://schemas.openxmlformats.org/officeDocument/2006/relationships/hyperlink" Target="mailto:mine@mine-koumuten.com" TargetMode="External"/><Relationship Id="rId289" Type="http://schemas.openxmlformats.org/officeDocument/2006/relationships/hyperlink" Target="mailto:maki-yamashita@ann.hi-ho.ne.jp" TargetMode="External"/><Relationship Id="rId454" Type="http://schemas.openxmlformats.org/officeDocument/2006/relationships/hyperlink" Target="mailto:oem0057262034@ezweb.ne.jp" TargetMode="External"/><Relationship Id="rId496" Type="http://schemas.openxmlformats.org/officeDocument/2006/relationships/hyperlink" Target="mailto:goshi552@gmail.com" TargetMode="External"/><Relationship Id="rId661" Type="http://schemas.openxmlformats.org/officeDocument/2006/relationships/hyperlink" Target="mailto:leo.kuzu.1221@docomo.ne.jp" TargetMode="External"/><Relationship Id="rId717" Type="http://schemas.openxmlformats.org/officeDocument/2006/relationships/hyperlink" Target="mailto:yasukumi20080808@gmail.com" TargetMode="External"/><Relationship Id="rId759" Type="http://schemas.openxmlformats.org/officeDocument/2006/relationships/hyperlink" Target="mailto:jjp//@docomo.ne.jp" TargetMode="External"/><Relationship Id="rId11" Type="http://schemas.openxmlformats.org/officeDocument/2006/relationships/hyperlink" Target="mailto:jyo.ty.102352@gmail.com" TargetMode="External"/><Relationship Id="rId53" Type="http://schemas.openxmlformats.org/officeDocument/2006/relationships/hyperlink" Target="mailto:hiwa0325@yahoo.co.jp" TargetMode="External"/><Relationship Id="rId149" Type="http://schemas.openxmlformats.org/officeDocument/2006/relationships/hyperlink" Target="mailto:azumax0407@gmail.com" TargetMode="External"/><Relationship Id="rId314" Type="http://schemas.openxmlformats.org/officeDocument/2006/relationships/hyperlink" Target="mailto:kaito0108514457@gmail.com" TargetMode="External"/><Relationship Id="rId356" Type="http://schemas.openxmlformats.org/officeDocument/2006/relationships/hyperlink" Target="mailto:dai1suke.26@gmail.com" TargetMode="External"/><Relationship Id="rId398" Type="http://schemas.openxmlformats.org/officeDocument/2006/relationships/hyperlink" Target="mailto:tochan-4653-55par72@ezweb.ne.jp" TargetMode="External"/><Relationship Id="rId521" Type="http://schemas.openxmlformats.org/officeDocument/2006/relationships/hyperlink" Target="mailto:conoki.5-20.umenoki@docomo.ne.jp" TargetMode="External"/><Relationship Id="rId563" Type="http://schemas.openxmlformats.org/officeDocument/2006/relationships/hyperlink" Target="mailto:yagi@am.sanken.osaka-u.ac.jp" TargetMode="External"/><Relationship Id="rId619" Type="http://schemas.openxmlformats.org/officeDocument/2006/relationships/hyperlink" Target="mailto:x27c8e777yz@gmail.com" TargetMode="External"/><Relationship Id="rId770" Type="http://schemas.openxmlformats.org/officeDocument/2006/relationships/hyperlink" Target="mailto:masami.nakanishi619@gmail.com" TargetMode="External"/><Relationship Id="rId95" Type="http://schemas.openxmlformats.org/officeDocument/2006/relationships/hyperlink" Target="mailto:kingoishikawa@gmail.com" TargetMode="External"/><Relationship Id="rId160" Type="http://schemas.openxmlformats.org/officeDocument/2006/relationships/hyperlink" Target="mailto:k_yabuno@icloud.com" TargetMode="External"/><Relationship Id="rId216" Type="http://schemas.openxmlformats.org/officeDocument/2006/relationships/hyperlink" Target="mailto:Utataya1215@gmail.com" TargetMode="External"/><Relationship Id="rId423" Type="http://schemas.openxmlformats.org/officeDocument/2006/relationships/hyperlink" Target="mailto:kikkawa@ohtemae-low.jp" TargetMode="External"/><Relationship Id="rId258" Type="http://schemas.openxmlformats.org/officeDocument/2006/relationships/hyperlink" Target="mailto:n.ueoka@neo15.com" TargetMode="External"/><Relationship Id="rId465" Type="http://schemas.openxmlformats.org/officeDocument/2006/relationships/hyperlink" Target="mailto:t.san9679@gmail.com" TargetMode="External"/><Relationship Id="rId630" Type="http://schemas.openxmlformats.org/officeDocument/2006/relationships/hyperlink" Target="mailto:daikoku.yusuke@gmail.com" TargetMode="External"/><Relationship Id="rId672" Type="http://schemas.openxmlformats.org/officeDocument/2006/relationships/hyperlink" Target="mailto:sumonmakizeo@yahoo.co.jp" TargetMode="External"/><Relationship Id="rId728" Type="http://schemas.openxmlformats.org/officeDocument/2006/relationships/hyperlink" Target="mailto:ryota2131@icloud.com" TargetMode="External"/><Relationship Id="rId22" Type="http://schemas.openxmlformats.org/officeDocument/2006/relationships/hyperlink" Target="mailto:y.matsuda19631211@docomo.ne.jp" TargetMode="External"/><Relationship Id="rId64" Type="http://schemas.openxmlformats.org/officeDocument/2006/relationships/hyperlink" Target="mailto:info@kinoshitahome.com" TargetMode="External"/><Relationship Id="rId118" Type="http://schemas.openxmlformats.org/officeDocument/2006/relationships/hyperlink" Target="mailto:hdwnthrc@gmail.com" TargetMode="External"/><Relationship Id="rId325" Type="http://schemas.openxmlformats.org/officeDocument/2006/relationships/hyperlink" Target="mailto:s60.5.15@icloud.com" TargetMode="External"/><Relationship Id="rId367" Type="http://schemas.openxmlformats.org/officeDocument/2006/relationships/hyperlink" Target="mailto:hika1maya8@gmail.com" TargetMode="External"/><Relationship Id="rId532" Type="http://schemas.openxmlformats.org/officeDocument/2006/relationships/hyperlink" Target="mailto:hana.mama711@docomo.ne.jp" TargetMode="External"/><Relationship Id="rId574" Type="http://schemas.openxmlformats.org/officeDocument/2006/relationships/hyperlink" Target="mailto:xjqabtg485zfsh0e94jx@docomo.ne.jp" TargetMode="External"/><Relationship Id="rId171" Type="http://schemas.openxmlformats.org/officeDocument/2006/relationships/hyperlink" Target="mailto:ce77908@gmail.com" TargetMode="External"/><Relationship Id="rId227" Type="http://schemas.openxmlformats.org/officeDocument/2006/relationships/hyperlink" Target="mailto:suzuki.shiro@suzukishouten.co.jp" TargetMode="External"/><Relationship Id="rId269" Type="http://schemas.openxmlformats.org/officeDocument/2006/relationships/hyperlink" Target="mailto:dendenmuramura@gmail.com" TargetMode="External"/><Relationship Id="rId434" Type="http://schemas.openxmlformats.org/officeDocument/2006/relationships/hyperlink" Target="mailto:kei-w-pururun0315@docomo.ne.jp" TargetMode="External"/><Relationship Id="rId476" Type="http://schemas.openxmlformats.org/officeDocument/2006/relationships/hyperlink" Target="mailto:kenchan0819@ymobile.ne.jp" TargetMode="External"/><Relationship Id="rId641" Type="http://schemas.openxmlformats.org/officeDocument/2006/relationships/hyperlink" Target="mailto:azumax.taichi7@docomo.ne.jp" TargetMode="External"/><Relationship Id="rId683" Type="http://schemas.openxmlformats.org/officeDocument/2006/relationships/hyperlink" Target="mailto:911volcom@gmail.com" TargetMode="External"/><Relationship Id="rId739" Type="http://schemas.openxmlformats.org/officeDocument/2006/relationships/hyperlink" Target="mailto:mana.sep.22@gmail.com" TargetMode="External"/><Relationship Id="rId33" Type="http://schemas.openxmlformats.org/officeDocument/2006/relationships/hyperlink" Target="mailto:ms.toshie-1011@au.com" TargetMode="External"/><Relationship Id="rId129" Type="http://schemas.openxmlformats.org/officeDocument/2006/relationships/hyperlink" Target="mailto:o.toshi110420@gmail.com" TargetMode="External"/><Relationship Id="rId280" Type="http://schemas.openxmlformats.org/officeDocument/2006/relationships/hyperlink" Target="mailto:1956royj04@gmail.com" TargetMode="External"/><Relationship Id="rId336" Type="http://schemas.openxmlformats.org/officeDocument/2006/relationships/hyperlink" Target="mailto:maha-15106@docomo.ne.jp" TargetMode="External"/><Relationship Id="rId501" Type="http://schemas.openxmlformats.org/officeDocument/2006/relationships/hyperlink" Target="mailto:hidenosuke.22@softbank.ne.jp" TargetMode="External"/><Relationship Id="rId543" Type="http://schemas.openxmlformats.org/officeDocument/2006/relationships/hyperlink" Target="mailto:i2004926@me.com" TargetMode="External"/><Relationship Id="rId75" Type="http://schemas.openxmlformats.org/officeDocument/2006/relationships/hyperlink" Target="mailto:n.shoshiro@gmail.com" TargetMode="External"/><Relationship Id="rId140" Type="http://schemas.openxmlformats.org/officeDocument/2006/relationships/hyperlink" Target="mailto:yasudaez51@gmail.com" TargetMode="External"/><Relationship Id="rId182" Type="http://schemas.openxmlformats.org/officeDocument/2006/relationships/hyperlink" Target="mailto:tacn5296@gmail.com" TargetMode="External"/><Relationship Id="rId378" Type="http://schemas.openxmlformats.org/officeDocument/2006/relationships/hyperlink" Target="mailto:m.notohara@ezweb.ne.jp" TargetMode="External"/><Relationship Id="rId403" Type="http://schemas.openxmlformats.org/officeDocument/2006/relationships/hyperlink" Target="mailto:tanitsuyo0214@gmail.com" TargetMode="External"/><Relationship Id="rId585" Type="http://schemas.openxmlformats.org/officeDocument/2006/relationships/hyperlink" Target="mailto:ykenrou@gmail.com" TargetMode="External"/><Relationship Id="rId750" Type="http://schemas.openxmlformats.org/officeDocument/2006/relationships/hyperlink" Target="mailto:iwamotoku-ku@yahoo.co.jp" TargetMode="External"/><Relationship Id="rId6" Type="http://schemas.openxmlformats.org/officeDocument/2006/relationships/hyperlink" Target="mailto:moricou169@gmail.com" TargetMode="External"/><Relationship Id="rId238" Type="http://schemas.openxmlformats.org/officeDocument/2006/relationships/hyperlink" Target="mailto:touken.s@gmail.com" TargetMode="External"/><Relationship Id="rId445" Type="http://schemas.openxmlformats.org/officeDocument/2006/relationships/hyperlink" Target="mailto:na.minlovesky@gmail.com" TargetMode="External"/><Relationship Id="rId487" Type="http://schemas.openxmlformats.org/officeDocument/2006/relationships/hyperlink" Target="mailto:rldinosaur@yahoo.co.jp" TargetMode="External"/><Relationship Id="rId610" Type="http://schemas.openxmlformats.org/officeDocument/2006/relationships/hyperlink" Target="mailto:s.cameron.rat@gmail.com" TargetMode="External"/><Relationship Id="rId652" Type="http://schemas.openxmlformats.org/officeDocument/2006/relationships/hyperlink" Target="mailto:kaokaoinochan@mail.com" TargetMode="External"/><Relationship Id="rId694" Type="http://schemas.openxmlformats.org/officeDocument/2006/relationships/hyperlink" Target="mailto:tuzuk73@gmail.com" TargetMode="External"/><Relationship Id="rId708" Type="http://schemas.openxmlformats.org/officeDocument/2006/relationships/hyperlink" Target="mailto:umehara70246@maia.eonet.ne.jp" TargetMode="External"/><Relationship Id="rId291" Type="http://schemas.openxmlformats.org/officeDocument/2006/relationships/hyperlink" Target="mailto:jyagi5876@cronos.ocn.ne.jp" TargetMode="External"/><Relationship Id="rId305" Type="http://schemas.openxmlformats.org/officeDocument/2006/relationships/hyperlink" Target="mailto:ashini-plate2@docomo.ne.jp" TargetMode="External"/><Relationship Id="rId347" Type="http://schemas.openxmlformats.org/officeDocument/2006/relationships/hyperlink" Target="mailto:halesyu@i.softbank.ne.jp" TargetMode="External"/><Relationship Id="rId512" Type="http://schemas.openxmlformats.org/officeDocument/2006/relationships/hyperlink" Target="mailto:vomeomx14@docomo.ne.jp" TargetMode="External"/><Relationship Id="rId44" Type="http://schemas.openxmlformats.org/officeDocument/2006/relationships/hyperlink" Target="mailto:m-sato@zephyr.dti.ne.jp" TargetMode="External"/><Relationship Id="rId86" Type="http://schemas.openxmlformats.org/officeDocument/2006/relationships/hyperlink" Target="mailto:mdfwq001@yahoo.co.jp" TargetMode="External"/><Relationship Id="rId151" Type="http://schemas.openxmlformats.org/officeDocument/2006/relationships/hyperlink" Target="mailto:Junko.246.ra@docomo.ne.jp" TargetMode="External"/><Relationship Id="rId389" Type="http://schemas.openxmlformats.org/officeDocument/2006/relationships/hyperlink" Target="mailto:didisofccgm@yahoo.co.jp" TargetMode="External"/><Relationship Id="rId554" Type="http://schemas.openxmlformats.org/officeDocument/2006/relationships/hyperlink" Target="mailto:kowaki_kj@icloud.com" TargetMode="External"/><Relationship Id="rId596" Type="http://schemas.openxmlformats.org/officeDocument/2006/relationships/hyperlink" Target="mailto:mimi97168@gmail.com" TargetMode="External"/><Relationship Id="rId761" Type="http://schemas.openxmlformats.org/officeDocument/2006/relationships/hyperlink" Target="mailto:shushurin_jkk1113@icloud.com" TargetMode="External"/><Relationship Id="rId193" Type="http://schemas.openxmlformats.org/officeDocument/2006/relationships/hyperlink" Target="mailto:yusuke_southmark@au.com" TargetMode="External"/><Relationship Id="rId207" Type="http://schemas.openxmlformats.org/officeDocument/2006/relationships/hyperlink" Target="mailto:kokatsu321@icloud.com" TargetMode="External"/><Relationship Id="rId249" Type="http://schemas.openxmlformats.org/officeDocument/2006/relationships/hyperlink" Target="mailto:shin33115@gmail.com" TargetMode="External"/><Relationship Id="rId414" Type="http://schemas.openxmlformats.org/officeDocument/2006/relationships/hyperlink" Target="mailto:y.n.19870807@icloud.com" TargetMode="External"/><Relationship Id="rId456" Type="http://schemas.openxmlformats.org/officeDocument/2006/relationships/hyperlink" Target="mailto:dooryo1129@yahoo.co.jp" TargetMode="External"/><Relationship Id="rId498" Type="http://schemas.openxmlformats.org/officeDocument/2006/relationships/hyperlink" Target="mailto:golf.hiroshi0414@gmail.com" TargetMode="External"/><Relationship Id="rId621" Type="http://schemas.openxmlformats.org/officeDocument/2006/relationships/hyperlink" Target="mailto:hinao3934@gmail.com" TargetMode="External"/><Relationship Id="rId663" Type="http://schemas.openxmlformats.org/officeDocument/2006/relationships/hyperlink" Target="mailto:k1966abcd1124@icloud.com" TargetMode="External"/><Relationship Id="rId13" Type="http://schemas.openxmlformats.org/officeDocument/2006/relationships/hyperlink" Target="mailto:warawara.0914@i.softbank.jp" TargetMode="External"/><Relationship Id="rId109" Type="http://schemas.openxmlformats.org/officeDocument/2006/relationships/hyperlink" Target="mailto:00028hitoshi@ezweb.ne.jp" TargetMode="External"/><Relationship Id="rId260" Type="http://schemas.openxmlformats.org/officeDocument/2006/relationships/hyperlink" Target="mailto:kpilateshome@gmail.com" TargetMode="External"/><Relationship Id="rId316" Type="http://schemas.openxmlformats.org/officeDocument/2006/relationships/hyperlink" Target="mailto:kihei.g.12@gmail.com" TargetMode="External"/><Relationship Id="rId523" Type="http://schemas.openxmlformats.org/officeDocument/2006/relationships/hyperlink" Target="mailto:amipourlavie1201@gmail.com" TargetMode="External"/><Relationship Id="rId719" Type="http://schemas.openxmlformats.org/officeDocument/2006/relationships/hyperlink" Target="mailto:0425starwars@gmail.com" TargetMode="External"/><Relationship Id="rId55" Type="http://schemas.openxmlformats.org/officeDocument/2006/relationships/hyperlink" Target="mailto:egawa0302@icloud.com" TargetMode="External"/><Relationship Id="rId97" Type="http://schemas.openxmlformats.org/officeDocument/2006/relationships/hyperlink" Target="mailto:mind_1121@yahoo.co.jp" TargetMode="External"/><Relationship Id="rId120" Type="http://schemas.openxmlformats.org/officeDocument/2006/relationships/hyperlink" Target="mailto:sy1998hyde@gmail.om" TargetMode="External"/><Relationship Id="rId358" Type="http://schemas.openxmlformats.org/officeDocument/2006/relationships/hyperlink" Target="mailto:kuma.0221@docomo.ne.jp" TargetMode="External"/><Relationship Id="rId565" Type="http://schemas.openxmlformats.org/officeDocument/2006/relationships/hyperlink" Target="mailto:simizu@yahoo.co.jp" TargetMode="External"/><Relationship Id="rId730" Type="http://schemas.openxmlformats.org/officeDocument/2006/relationships/hyperlink" Target="mailto:sho19730909@gmail.com" TargetMode="External"/><Relationship Id="rId772" Type="http://schemas.openxmlformats.org/officeDocument/2006/relationships/hyperlink" Target="mailto:waku2184@yahoo.co.jp" TargetMode="External"/><Relationship Id="rId162" Type="http://schemas.openxmlformats.org/officeDocument/2006/relationships/hyperlink" Target="mailto:makada-hisashi@outlook.jp" TargetMode="External"/><Relationship Id="rId218" Type="http://schemas.openxmlformats.org/officeDocument/2006/relationships/hyperlink" Target="mailto:fumi_68_fumi@yahoo.co.jp" TargetMode="External"/><Relationship Id="rId425" Type="http://schemas.openxmlformats.org/officeDocument/2006/relationships/hyperlink" Target="mailto:zussyoral2016@gmail.com" TargetMode="External"/><Relationship Id="rId467" Type="http://schemas.openxmlformats.org/officeDocument/2006/relationships/hyperlink" Target="mailto:wxfwx691@yahoo.co.jp" TargetMode="External"/><Relationship Id="rId632" Type="http://schemas.openxmlformats.org/officeDocument/2006/relationships/hyperlink" Target="mailto:kouchichichichi@yahoo.co.jp" TargetMode="External"/><Relationship Id="rId271" Type="http://schemas.openxmlformats.org/officeDocument/2006/relationships/hyperlink" Target="mailto:haseyan307@hotmail.com" TargetMode="External"/><Relationship Id="rId674" Type="http://schemas.openxmlformats.org/officeDocument/2006/relationships/hyperlink" Target="mailto:nabe1127@i.softbank.jp" TargetMode="External"/><Relationship Id="rId24" Type="http://schemas.openxmlformats.org/officeDocument/2006/relationships/hyperlink" Target="mailto:angelo.chef.0407@gmail.com" TargetMode="External"/><Relationship Id="rId66" Type="http://schemas.openxmlformats.org/officeDocument/2006/relationships/hyperlink" Target="mailto:wm-inte1011@ezweb.ne.jp" TargetMode="External"/><Relationship Id="rId131" Type="http://schemas.openxmlformats.org/officeDocument/2006/relationships/hyperlink" Target="mailto:yahho.ogura@icloud.com" TargetMode="External"/><Relationship Id="rId327" Type="http://schemas.openxmlformats.org/officeDocument/2006/relationships/hyperlink" Target="mailto:ma.1129@gmail.com" TargetMode="External"/><Relationship Id="rId369" Type="http://schemas.openxmlformats.org/officeDocument/2006/relationships/hyperlink" Target="mailto:kingveron0120@yahoo.co.jp" TargetMode="External"/><Relationship Id="rId534" Type="http://schemas.openxmlformats.org/officeDocument/2006/relationships/hyperlink" Target="mailto:haruki15001590@yahoo.co.jp" TargetMode="External"/><Relationship Id="rId576" Type="http://schemas.openxmlformats.org/officeDocument/2006/relationships/hyperlink" Target="mailto:odayasusi79@gmail.com" TargetMode="External"/><Relationship Id="rId741" Type="http://schemas.openxmlformats.org/officeDocument/2006/relationships/hyperlink" Target="mailto:ss.triple28@gmail.com" TargetMode="External"/><Relationship Id="rId173" Type="http://schemas.openxmlformats.org/officeDocument/2006/relationships/hyperlink" Target="mailto:katsuchan.kurochan.525@ezweb.ne.jp" TargetMode="External"/><Relationship Id="rId229" Type="http://schemas.openxmlformats.org/officeDocument/2006/relationships/hyperlink" Target="mailto:tomo19870708@icloud.com" TargetMode="External"/><Relationship Id="rId380" Type="http://schemas.openxmlformats.org/officeDocument/2006/relationships/hyperlink" Target="mailto:tani.seitai@gmail.com" TargetMode="External"/><Relationship Id="rId436" Type="http://schemas.openxmlformats.org/officeDocument/2006/relationships/hyperlink" Target="mailto:haruru1117@icloud.com" TargetMode="External"/><Relationship Id="rId601" Type="http://schemas.openxmlformats.org/officeDocument/2006/relationships/hyperlink" Target="mailto:nk-koujiro@nakai-kobe.co.jp" TargetMode="External"/><Relationship Id="rId643" Type="http://schemas.openxmlformats.org/officeDocument/2006/relationships/hyperlink" Target="mailto:seri10250728@icloud.com" TargetMode="External"/><Relationship Id="rId240" Type="http://schemas.openxmlformats.org/officeDocument/2006/relationships/hyperlink" Target="mailto:souta.t211@gmail.com" TargetMode="External"/><Relationship Id="rId478" Type="http://schemas.openxmlformats.org/officeDocument/2006/relationships/hyperlink" Target="mailto:jukiya.ogura@gmail.com" TargetMode="External"/><Relationship Id="rId685" Type="http://schemas.openxmlformats.org/officeDocument/2006/relationships/hyperlink" Target="mailto:ttmr1959@yahoo.co.jp" TargetMode="External"/><Relationship Id="rId35" Type="http://schemas.openxmlformats.org/officeDocument/2006/relationships/hyperlink" Target="mailto:yoshinari.kagita@gmail.com" TargetMode="External"/><Relationship Id="rId77" Type="http://schemas.openxmlformats.org/officeDocument/2006/relationships/hyperlink" Target="mailto:sadoci@docomo.ne.jp" TargetMode="External"/><Relationship Id="rId100" Type="http://schemas.openxmlformats.org/officeDocument/2006/relationships/hyperlink" Target="mailto:yk9770530@gmail.com" TargetMode="External"/><Relationship Id="rId282" Type="http://schemas.openxmlformats.org/officeDocument/2006/relationships/hyperlink" Target="mailto:takalv24@gmail.com" TargetMode="External"/><Relationship Id="rId338" Type="http://schemas.openxmlformats.org/officeDocument/2006/relationships/hyperlink" Target="mailto:a26yoshi@gmail.com" TargetMode="External"/><Relationship Id="rId503" Type="http://schemas.openxmlformats.org/officeDocument/2006/relationships/hyperlink" Target="mailto:yuji61jr@gmail.com" TargetMode="External"/><Relationship Id="rId545" Type="http://schemas.openxmlformats.org/officeDocument/2006/relationships/hyperlink" Target="mailto:m_shiotani@shiotani-glass.com" TargetMode="External"/><Relationship Id="rId587" Type="http://schemas.openxmlformats.org/officeDocument/2006/relationships/hyperlink" Target="mailto:0408yaoya@gmail.com" TargetMode="External"/><Relationship Id="rId710" Type="http://schemas.openxmlformats.org/officeDocument/2006/relationships/hyperlink" Target="mailto:ohtsu@schz.jp" TargetMode="External"/><Relationship Id="rId752" Type="http://schemas.openxmlformats.org/officeDocument/2006/relationships/hyperlink" Target="mailto:jikukawa43@gmail.com" TargetMode="External"/><Relationship Id="rId8" Type="http://schemas.openxmlformats.org/officeDocument/2006/relationships/hyperlink" Target="mailto:kimuraha@adv-tex.co.jp" TargetMode="External"/><Relationship Id="rId142" Type="http://schemas.openxmlformats.org/officeDocument/2006/relationships/hyperlink" Target="mailto:ksknt.n@icloud.com" TargetMode="External"/><Relationship Id="rId184" Type="http://schemas.openxmlformats.org/officeDocument/2006/relationships/hyperlink" Target="mailto:kinoken81208120@gmail.com" TargetMode="External"/><Relationship Id="rId391" Type="http://schemas.openxmlformats.org/officeDocument/2006/relationships/hyperlink" Target="mailto:ytsuchitani@syd.odn.ne.jp" TargetMode="External"/><Relationship Id="rId405" Type="http://schemas.openxmlformats.org/officeDocument/2006/relationships/hyperlink" Target="mailto:ryuk.hunter.7776@ezweb.ne.jp" TargetMode="External"/><Relationship Id="rId447" Type="http://schemas.openxmlformats.org/officeDocument/2006/relationships/hyperlink" Target="mailto:hiroshi@mikako.gr.jp" TargetMode="External"/><Relationship Id="rId612" Type="http://schemas.openxmlformats.org/officeDocument/2006/relationships/hyperlink" Target="mailto:h-yusuke@sauseikoji.co.jp" TargetMode="External"/><Relationship Id="rId251" Type="http://schemas.openxmlformats.org/officeDocument/2006/relationships/hyperlink" Target="mailto:takano1030@golf.zag.jp" TargetMode="External"/><Relationship Id="rId489" Type="http://schemas.openxmlformats.org/officeDocument/2006/relationships/hyperlink" Target="mailto:kengoueno78@i.softbank.jp" TargetMode="External"/><Relationship Id="rId654" Type="http://schemas.openxmlformats.org/officeDocument/2006/relationships/hyperlink" Target="mailto:ao001jp@ybb.ne.jp" TargetMode="External"/><Relationship Id="rId696" Type="http://schemas.openxmlformats.org/officeDocument/2006/relationships/hyperlink" Target="mailto:mlk126ybb.ne.jp@gmail.com" TargetMode="External"/><Relationship Id="rId46" Type="http://schemas.openxmlformats.org/officeDocument/2006/relationships/hyperlink" Target="mailto:kusafuka1108@bmail.com" TargetMode="External"/><Relationship Id="rId293" Type="http://schemas.openxmlformats.org/officeDocument/2006/relationships/hyperlink" Target="mailto:take4b1985@i.softbank.jp" TargetMode="External"/><Relationship Id="rId307" Type="http://schemas.openxmlformats.org/officeDocument/2006/relationships/hyperlink" Target="mailto:naoki.0611.tsubota@gmail.com" TargetMode="External"/><Relationship Id="rId349" Type="http://schemas.openxmlformats.org/officeDocument/2006/relationships/hyperlink" Target="mailto:hirom2233569@yahoo.co.jp" TargetMode="External"/><Relationship Id="rId514" Type="http://schemas.openxmlformats.org/officeDocument/2006/relationships/hyperlink" Target="mailto:neikotk@yahoo.co.jp" TargetMode="External"/><Relationship Id="rId556" Type="http://schemas.openxmlformats.org/officeDocument/2006/relationships/hyperlink" Target="mailto:maki-yamashita@ann.hi-ho.ne.jp" TargetMode="External"/><Relationship Id="rId721" Type="http://schemas.openxmlformats.org/officeDocument/2006/relationships/hyperlink" Target="mailto:tkrtkrluv@yahoo.co.jp" TargetMode="External"/><Relationship Id="rId763" Type="http://schemas.openxmlformats.org/officeDocument/2006/relationships/hyperlink" Target="mailto:morjin@me.com" TargetMode="External"/><Relationship Id="rId88" Type="http://schemas.openxmlformats.org/officeDocument/2006/relationships/hyperlink" Target="mailto:tokoegd230@docomo.ne.jp" TargetMode="External"/><Relationship Id="rId111" Type="http://schemas.openxmlformats.org/officeDocument/2006/relationships/hyperlink" Target="mailto:tadforyou@nifty.com" TargetMode="External"/><Relationship Id="rId153" Type="http://schemas.openxmlformats.org/officeDocument/2006/relationships/hyperlink" Target="mailto:bgm_yamaguchi@yahoo.co.jp" TargetMode="External"/><Relationship Id="rId195" Type="http://schemas.openxmlformats.org/officeDocument/2006/relationships/hyperlink" Target="mailto:214018.am@gmail.com" TargetMode="External"/><Relationship Id="rId209" Type="http://schemas.openxmlformats.org/officeDocument/2006/relationships/hyperlink" Target="mailto:gan.dam19701014@gmail.com" TargetMode="External"/><Relationship Id="rId360" Type="http://schemas.openxmlformats.org/officeDocument/2006/relationships/hyperlink" Target="mailto:miho.sekikawa-1024@docomo.ne.jp" TargetMode="External"/><Relationship Id="rId416" Type="http://schemas.openxmlformats.org/officeDocument/2006/relationships/hyperlink" Target="mailto:sweet_rikuchin@yahoo.co.jp" TargetMode="External"/><Relationship Id="rId598" Type="http://schemas.openxmlformats.org/officeDocument/2006/relationships/hyperlink" Target="mailto:kensakura@icloud.com" TargetMode="External"/><Relationship Id="rId220" Type="http://schemas.openxmlformats.org/officeDocument/2006/relationships/hyperlink" Target="mailto:sato1@roza.co.jp" TargetMode="External"/><Relationship Id="rId458" Type="http://schemas.openxmlformats.org/officeDocument/2006/relationships/hyperlink" Target="mailto:hnkmr67@gmail.com" TargetMode="External"/><Relationship Id="rId623" Type="http://schemas.openxmlformats.org/officeDocument/2006/relationships/hyperlink" Target="mailto:yu_no114@yahoo.co.jp" TargetMode="External"/><Relationship Id="rId665" Type="http://schemas.openxmlformats.org/officeDocument/2006/relationships/hyperlink" Target="mailto:nuevo@ever.ocn.ne.jp" TargetMode="External"/><Relationship Id="rId15" Type="http://schemas.openxmlformats.org/officeDocument/2006/relationships/hyperlink" Target="mailto:konishi@osaka-am-law.net" TargetMode="External"/><Relationship Id="rId57" Type="http://schemas.openxmlformats.org/officeDocument/2006/relationships/hyperlink" Target="mailto:matsuoka@switch-tiff.co.jp" TargetMode="External"/><Relationship Id="rId262" Type="http://schemas.openxmlformats.org/officeDocument/2006/relationships/hyperlink" Target="mailto:prov1x9ball@yahoo.co.jp" TargetMode="External"/><Relationship Id="rId318" Type="http://schemas.openxmlformats.org/officeDocument/2006/relationships/hyperlink" Target="mailto:fshingo1957@yahoo.ne.jp" TargetMode="External"/><Relationship Id="rId525" Type="http://schemas.openxmlformats.org/officeDocument/2006/relationships/hyperlink" Target="mailto:aloha.7777777@gmail.com" TargetMode="External"/><Relationship Id="rId567" Type="http://schemas.openxmlformats.org/officeDocument/2006/relationships/hyperlink" Target="mailto:mikuni-fukushima@ezweb.ne.jp" TargetMode="External"/><Relationship Id="rId732" Type="http://schemas.openxmlformats.org/officeDocument/2006/relationships/hyperlink" Target="mailto:kazusasb3@yahoo.co.jp" TargetMode="External"/><Relationship Id="rId99" Type="http://schemas.openxmlformats.org/officeDocument/2006/relationships/hyperlink" Target="mailto:rldinosaur@yahoo.co.jp" TargetMode="External"/><Relationship Id="rId122" Type="http://schemas.openxmlformats.org/officeDocument/2006/relationships/hyperlink" Target="mailto:yoshi33st@gmail.com" TargetMode="External"/><Relationship Id="rId164" Type="http://schemas.openxmlformats.org/officeDocument/2006/relationships/hyperlink" Target="mailto:kinoken81208120@gmail.com" TargetMode="External"/><Relationship Id="rId371" Type="http://schemas.openxmlformats.org/officeDocument/2006/relationships/hyperlink" Target="mailto:naoko.cristina.32-26@docomo.ne.jp" TargetMode="External"/><Relationship Id="rId774" Type="http://schemas.openxmlformats.org/officeDocument/2006/relationships/hyperlink" Target="mailto:msk.naito@gmal.com" TargetMode="External"/><Relationship Id="rId427" Type="http://schemas.openxmlformats.org/officeDocument/2006/relationships/hyperlink" Target="mailto:naoki19861023@gmail.com" TargetMode="External"/><Relationship Id="rId469" Type="http://schemas.openxmlformats.org/officeDocument/2006/relationships/hyperlink" Target="mailto:inoyu0101@gmail.com" TargetMode="External"/><Relationship Id="rId634" Type="http://schemas.openxmlformats.org/officeDocument/2006/relationships/hyperlink" Target="mailto:takumacenter8baseball@yahoo.co.jp" TargetMode="External"/><Relationship Id="rId676" Type="http://schemas.openxmlformats.org/officeDocument/2006/relationships/hyperlink" Target="mailto:akane.fujishiro@gmail.com" TargetMode="External"/><Relationship Id="rId26" Type="http://schemas.openxmlformats.org/officeDocument/2006/relationships/hyperlink" Target="mailto:ymt-k@nitty.com" TargetMode="External"/><Relationship Id="rId231" Type="http://schemas.openxmlformats.org/officeDocument/2006/relationships/hyperlink" Target="mailto:caribou@true.ocn.ne.jp" TargetMode="External"/><Relationship Id="rId273" Type="http://schemas.openxmlformats.org/officeDocument/2006/relationships/hyperlink" Target="mailto:tacn5296@gmail.com" TargetMode="External"/><Relationship Id="rId329" Type="http://schemas.openxmlformats.org/officeDocument/2006/relationships/hyperlink" Target="mailto:yamago8050@gmail.com" TargetMode="External"/><Relationship Id="rId480" Type="http://schemas.openxmlformats.org/officeDocument/2006/relationships/hyperlink" Target="mailto:nori.s19570827@icloud.com" TargetMode="External"/><Relationship Id="rId536" Type="http://schemas.openxmlformats.org/officeDocument/2006/relationships/hyperlink" Target="mailto:yuichiro.ymaks@icloud.com" TargetMode="External"/><Relationship Id="rId701" Type="http://schemas.openxmlformats.org/officeDocument/2006/relationships/hyperlink" Target="mailto:enishi125@gmail.com" TargetMode="External"/><Relationship Id="rId68" Type="http://schemas.openxmlformats.org/officeDocument/2006/relationships/hyperlink" Target="mailto:wm-inte1011@ezweb.ne.jp" TargetMode="External"/><Relationship Id="rId133" Type="http://schemas.openxmlformats.org/officeDocument/2006/relationships/hyperlink" Target="mailto:no.sweet1023@gmail.com" TargetMode="External"/><Relationship Id="rId175" Type="http://schemas.openxmlformats.org/officeDocument/2006/relationships/hyperlink" Target="mailto:K.momotaka@icloud.com" TargetMode="External"/><Relationship Id="rId340" Type="http://schemas.openxmlformats.org/officeDocument/2006/relationships/hyperlink" Target="mailto:mojio19741220@gmail.com" TargetMode="External"/><Relationship Id="rId578" Type="http://schemas.openxmlformats.org/officeDocument/2006/relationships/hyperlink" Target="mailto:karen0719@gmail.com" TargetMode="External"/><Relationship Id="rId743" Type="http://schemas.openxmlformats.org/officeDocument/2006/relationships/hyperlink" Target="mailto:hisashi@seal-eight.co.jp" TargetMode="External"/><Relationship Id="rId200" Type="http://schemas.openxmlformats.org/officeDocument/2006/relationships/hyperlink" Target="mailto:tomoaki1100@icloud.com" TargetMode="External"/><Relationship Id="rId382" Type="http://schemas.openxmlformats.org/officeDocument/2006/relationships/hyperlink" Target="mailto:risa-no-ringo@docomo.ne.jp" TargetMode="External"/><Relationship Id="rId438" Type="http://schemas.openxmlformats.org/officeDocument/2006/relationships/hyperlink" Target="mailto:take2951@icloud.com" TargetMode="External"/><Relationship Id="rId603" Type="http://schemas.openxmlformats.org/officeDocument/2006/relationships/hyperlink" Target="mailto:kazuya.in.430@gmail.com" TargetMode="External"/><Relationship Id="rId645" Type="http://schemas.openxmlformats.org/officeDocument/2006/relationships/hyperlink" Target="mailto:0503jp@naver.com" TargetMode="External"/><Relationship Id="rId687" Type="http://schemas.openxmlformats.org/officeDocument/2006/relationships/hyperlink" Target="mailto:hirairiecloud@gmail.com" TargetMode="External"/><Relationship Id="rId242" Type="http://schemas.openxmlformats.org/officeDocument/2006/relationships/hyperlink" Target="mailto:d.y.bergkamp@gmail.com" TargetMode="External"/><Relationship Id="rId284" Type="http://schemas.openxmlformats.org/officeDocument/2006/relationships/hyperlink" Target="mailto:holly0804_7@hotmail.com" TargetMode="External"/><Relationship Id="rId491" Type="http://schemas.openxmlformats.org/officeDocument/2006/relationships/hyperlink" Target="mailto:miooo0419@gmail.com" TargetMode="External"/><Relationship Id="rId505" Type="http://schemas.openxmlformats.org/officeDocument/2006/relationships/hyperlink" Target="mailto:sempleshot@gmail.com" TargetMode="External"/><Relationship Id="rId712" Type="http://schemas.openxmlformats.org/officeDocument/2006/relationships/hyperlink" Target="mailto:tanaka@tnk-t.co.jp" TargetMode="External"/><Relationship Id="rId37" Type="http://schemas.openxmlformats.org/officeDocument/2006/relationships/hyperlink" Target="mailto:diablo6.out@maia.eonet.ne.jp" TargetMode="External"/><Relationship Id="rId79" Type="http://schemas.openxmlformats.org/officeDocument/2006/relationships/hyperlink" Target="mailto:shugo.blue1224@docomo.ne.jp" TargetMode="External"/><Relationship Id="rId102" Type="http://schemas.openxmlformats.org/officeDocument/2006/relationships/hyperlink" Target="mailto:bgm_yamaguchi@yahoo.co.jp" TargetMode="External"/><Relationship Id="rId144" Type="http://schemas.openxmlformats.org/officeDocument/2006/relationships/hyperlink" Target="mailto:toyo.m.04@gmail.com" TargetMode="External"/><Relationship Id="rId547" Type="http://schemas.openxmlformats.org/officeDocument/2006/relationships/hyperlink" Target="mailto:kkyy0723@gmail.com" TargetMode="External"/><Relationship Id="rId589" Type="http://schemas.openxmlformats.org/officeDocument/2006/relationships/hyperlink" Target="mailto:naigai.green@gmail.com" TargetMode="External"/><Relationship Id="rId754" Type="http://schemas.openxmlformats.org/officeDocument/2006/relationships/hyperlink" Target="mailto:woopstaka0627@gmail.com" TargetMode="External"/><Relationship Id="rId90" Type="http://schemas.openxmlformats.org/officeDocument/2006/relationships/hyperlink" Target="mailto:gcd-81127-carrera@ezweb.ne.jp" TargetMode="External"/><Relationship Id="rId186" Type="http://schemas.openxmlformats.org/officeDocument/2006/relationships/hyperlink" Target="mailto:tightclub.seven@gmail.com" TargetMode="External"/><Relationship Id="rId351" Type="http://schemas.openxmlformats.org/officeDocument/2006/relationships/hyperlink" Target="mailto:yusuke_southmark@au.com" TargetMode="External"/><Relationship Id="rId393" Type="http://schemas.openxmlformats.org/officeDocument/2006/relationships/hyperlink" Target="mailto:tyu_i@hotmail.com" TargetMode="External"/><Relationship Id="rId407" Type="http://schemas.openxmlformats.org/officeDocument/2006/relationships/hyperlink" Target="mailto:bunnyafujimoto@gmail.com" TargetMode="External"/><Relationship Id="rId449" Type="http://schemas.openxmlformats.org/officeDocument/2006/relationships/hyperlink" Target="mailto:exe.co.kimura@gmail.com" TargetMode="External"/><Relationship Id="rId614" Type="http://schemas.openxmlformats.org/officeDocument/2006/relationships/hyperlink" Target="mailto:ktak828@gmail.com" TargetMode="External"/><Relationship Id="rId656" Type="http://schemas.openxmlformats.org/officeDocument/2006/relationships/hyperlink" Target="mailto:alexander.jr007@gmail.com" TargetMode="External"/><Relationship Id="rId211" Type="http://schemas.openxmlformats.org/officeDocument/2006/relationships/hyperlink" Target="mailto:ken0548ta@rb.ucom.ne.jp" TargetMode="External"/><Relationship Id="rId253" Type="http://schemas.openxmlformats.org/officeDocument/2006/relationships/hyperlink" Target="mailto:tomo8528@gmail.com" TargetMode="External"/><Relationship Id="rId295" Type="http://schemas.openxmlformats.org/officeDocument/2006/relationships/hyperlink" Target="mailto:sghmbzmr2344@gmail.com" TargetMode="External"/><Relationship Id="rId309" Type="http://schemas.openxmlformats.org/officeDocument/2006/relationships/hyperlink" Target="mailto:iritsuyo0328@icloud.com" TargetMode="External"/><Relationship Id="rId460" Type="http://schemas.openxmlformats.org/officeDocument/2006/relationships/hyperlink" Target="mailto:takeversal@gmail.com" TargetMode="External"/><Relationship Id="rId516" Type="http://schemas.openxmlformats.org/officeDocument/2006/relationships/hyperlink" Target="mailto:masuo-nkamura@sankyo-pl.co.jp" TargetMode="External"/><Relationship Id="rId698" Type="http://schemas.openxmlformats.org/officeDocument/2006/relationships/hyperlink" Target="mailto:watanabe@next-i.net" TargetMode="External"/><Relationship Id="rId48" Type="http://schemas.openxmlformats.org/officeDocument/2006/relationships/hyperlink" Target="mailto:you.mo.dk@gmail.com" TargetMode="External"/><Relationship Id="rId113" Type="http://schemas.openxmlformats.org/officeDocument/2006/relationships/hyperlink" Target="mailto:wiseguy@icloud.com" TargetMode="External"/><Relationship Id="rId320" Type="http://schemas.openxmlformats.org/officeDocument/2006/relationships/hyperlink" Target="mailto:takagakima95@gmail.com" TargetMode="External"/><Relationship Id="rId558" Type="http://schemas.openxmlformats.org/officeDocument/2006/relationships/hyperlink" Target="mailto:triple-dragon.ks@i.softbank.jp" TargetMode="External"/><Relationship Id="rId723" Type="http://schemas.openxmlformats.org/officeDocument/2006/relationships/hyperlink" Target="mailto:s50shouei1108@icloud.com" TargetMode="External"/><Relationship Id="rId765" Type="http://schemas.openxmlformats.org/officeDocument/2006/relationships/hyperlink" Target="mailto:koukunkun0425@icloud.com" TargetMode="External"/><Relationship Id="rId155" Type="http://schemas.openxmlformats.org/officeDocument/2006/relationships/hyperlink" Target="mailto:nao_11-11@Japantanner.co.jp" TargetMode="External"/><Relationship Id="rId197" Type="http://schemas.openxmlformats.org/officeDocument/2006/relationships/hyperlink" Target="mailto:aka9999toshi@gmail.com" TargetMode="External"/><Relationship Id="rId362" Type="http://schemas.openxmlformats.org/officeDocument/2006/relationships/hyperlink" Target="mailto:masa-saito@lily.ocn.ne.jp" TargetMode="External"/><Relationship Id="rId418" Type="http://schemas.openxmlformats.org/officeDocument/2006/relationships/hyperlink" Target="mailto:tsuchida.kazuya@takenaka.co.jp" TargetMode="External"/><Relationship Id="rId625" Type="http://schemas.openxmlformats.org/officeDocument/2006/relationships/hyperlink" Target="mailto:amaya39hideyuki@jasmine.ocn.ne.jp" TargetMode="External"/><Relationship Id="rId222" Type="http://schemas.openxmlformats.org/officeDocument/2006/relationships/hyperlink" Target="mailto:m.notohara@ezweb.ne.jp" TargetMode="External"/><Relationship Id="rId264" Type="http://schemas.openxmlformats.org/officeDocument/2006/relationships/hyperlink" Target="mailto:takatoshi.iwami@gmail.com" TargetMode="External"/><Relationship Id="rId471" Type="http://schemas.openxmlformats.org/officeDocument/2006/relationships/hyperlink" Target="mailto:maekawa736@wombat.tag.ne.jp" TargetMode="External"/><Relationship Id="rId667" Type="http://schemas.openxmlformats.org/officeDocument/2006/relationships/hyperlink" Target="mailto:yohji0919@gmail.com" TargetMode="External"/><Relationship Id="rId17" Type="http://schemas.openxmlformats.org/officeDocument/2006/relationships/hyperlink" Target="mailto:junji0405@hotmail.co.jp" TargetMode="External"/><Relationship Id="rId59" Type="http://schemas.openxmlformats.org/officeDocument/2006/relationships/hyperlink" Target="mailto:kitamura.t2.i0412@icloud.com" TargetMode="External"/><Relationship Id="rId124" Type="http://schemas.openxmlformats.org/officeDocument/2006/relationships/hyperlink" Target="mailto:teraoka1975@gmail.com" TargetMode="External"/><Relationship Id="rId527" Type="http://schemas.openxmlformats.org/officeDocument/2006/relationships/hyperlink" Target="mailto:sakiokaeiko@gmail.com" TargetMode="External"/><Relationship Id="rId569" Type="http://schemas.openxmlformats.org/officeDocument/2006/relationships/hyperlink" Target="mailto:daikikogyo2002@yahoo.co.jp" TargetMode="External"/><Relationship Id="rId734" Type="http://schemas.openxmlformats.org/officeDocument/2006/relationships/hyperlink" Target="mailto:eiji.ff@icloud.com" TargetMode="External"/><Relationship Id="rId776" Type="http://schemas.openxmlformats.org/officeDocument/2006/relationships/printerSettings" Target="../printerSettings/printerSettings1.bin"/><Relationship Id="rId70" Type="http://schemas.openxmlformats.org/officeDocument/2006/relationships/hyperlink" Target="mailto:t.kitai@teams-tax.com" TargetMode="External"/><Relationship Id="rId166" Type="http://schemas.openxmlformats.org/officeDocument/2006/relationships/hyperlink" Target="mailto:itecinoue@gmail.com" TargetMode="External"/><Relationship Id="rId331" Type="http://schemas.openxmlformats.org/officeDocument/2006/relationships/hyperlink" Target="mailto:fumimoto.0806@gmail.com" TargetMode="External"/><Relationship Id="rId373" Type="http://schemas.openxmlformats.org/officeDocument/2006/relationships/hyperlink" Target="mailto:kumikoera@yahoo.co.jp" TargetMode="External"/><Relationship Id="rId429" Type="http://schemas.openxmlformats.org/officeDocument/2006/relationships/hyperlink" Target="mailto:hiro.iwa.7@gmail.com" TargetMode="External"/><Relationship Id="rId580" Type="http://schemas.openxmlformats.org/officeDocument/2006/relationships/hyperlink" Target="mailto:takt___honda@softbank.ne.jp" TargetMode="External"/><Relationship Id="rId636" Type="http://schemas.openxmlformats.org/officeDocument/2006/relationships/hyperlink" Target="mailto:ayuminakauama0513@gmail.com" TargetMode="External"/><Relationship Id="rId1" Type="http://schemas.openxmlformats.org/officeDocument/2006/relationships/hyperlink" Target="mailto:juniya0713@gmail.com" TargetMode="External"/><Relationship Id="rId233" Type="http://schemas.openxmlformats.org/officeDocument/2006/relationships/hyperlink" Target="mailto:shinyaohashi0226@gmail.com" TargetMode="External"/><Relationship Id="rId440" Type="http://schemas.openxmlformats.org/officeDocument/2006/relationships/hyperlink" Target="mailto:0ru25w05789086y@gmail.com" TargetMode="External"/><Relationship Id="rId678" Type="http://schemas.openxmlformats.org/officeDocument/2006/relationships/hyperlink" Target="mailto:dragon-z-m.27@ezweb.ne.jp" TargetMode="External"/><Relationship Id="rId28" Type="http://schemas.openxmlformats.org/officeDocument/2006/relationships/hyperlink" Target="mailto:tina20031121@yahoo.com.tw" TargetMode="External"/><Relationship Id="rId275" Type="http://schemas.openxmlformats.org/officeDocument/2006/relationships/hyperlink" Target="mailto:fumie24@gmail.com" TargetMode="External"/><Relationship Id="rId300" Type="http://schemas.openxmlformats.org/officeDocument/2006/relationships/hyperlink" Target="mailto:iwami-shin@nifty.com" TargetMode="External"/><Relationship Id="rId482" Type="http://schemas.openxmlformats.org/officeDocument/2006/relationships/hyperlink" Target="mailto:marui@aqua.plala.or..jp" TargetMode="External"/><Relationship Id="rId538" Type="http://schemas.openxmlformats.org/officeDocument/2006/relationships/hyperlink" Target="mailto:t.tomoya0326@gmail.com" TargetMode="External"/><Relationship Id="rId703" Type="http://schemas.openxmlformats.org/officeDocument/2006/relationships/hyperlink" Target="mailto:yoshisona29@gmail.com" TargetMode="External"/><Relationship Id="rId745" Type="http://schemas.openxmlformats.org/officeDocument/2006/relationships/hyperlink" Target="mailto:c.daiki8i@gmail.com" TargetMode="External"/><Relationship Id="rId81" Type="http://schemas.openxmlformats.org/officeDocument/2006/relationships/hyperlink" Target="mailto:excellent@bk2.so-net.ne.jp" TargetMode="External"/><Relationship Id="rId135" Type="http://schemas.openxmlformats.org/officeDocument/2006/relationships/hyperlink" Target="mailto:hot.water.horse.13@gmail.com" TargetMode="External"/><Relationship Id="rId177" Type="http://schemas.openxmlformats.org/officeDocument/2006/relationships/hyperlink" Target="mailto:K.momotaka@icloud.com" TargetMode="External"/><Relationship Id="rId342" Type="http://schemas.openxmlformats.org/officeDocument/2006/relationships/hyperlink" Target="mailto:kdy-83.golf@i.softbank.jp" TargetMode="External"/><Relationship Id="rId384" Type="http://schemas.openxmlformats.org/officeDocument/2006/relationships/hyperlink" Target="mailto:blackvelvet103903@gmail.com" TargetMode="External"/><Relationship Id="rId591" Type="http://schemas.openxmlformats.org/officeDocument/2006/relationships/hyperlink" Target="mailto:masarunnet.wing@docomo.ne.jp" TargetMode="External"/><Relationship Id="rId605" Type="http://schemas.openxmlformats.org/officeDocument/2006/relationships/hyperlink" Target="mailto:yasukonakamura@hotmail.co.jo" TargetMode="External"/><Relationship Id="rId202" Type="http://schemas.openxmlformats.org/officeDocument/2006/relationships/hyperlink" Target="mailto:golf.tu.shion@gmail.com" TargetMode="External"/><Relationship Id="rId244" Type="http://schemas.openxmlformats.org/officeDocument/2006/relationships/hyperlink" Target="mailto:matsui117@dokomo.ne.jp" TargetMode="External"/><Relationship Id="rId647" Type="http://schemas.openxmlformats.org/officeDocument/2006/relationships/hyperlink" Target="mailto:fujiwara72301891@gmail.com" TargetMode="External"/><Relationship Id="rId689" Type="http://schemas.openxmlformats.org/officeDocument/2006/relationships/hyperlink" Target="mailto:nitta_tzk126@yahoo.co.jp" TargetMode="External"/><Relationship Id="rId39" Type="http://schemas.openxmlformats.org/officeDocument/2006/relationships/hyperlink" Target="mailto:teiyou333sada@yahoocojp" TargetMode="External"/><Relationship Id="rId286" Type="http://schemas.openxmlformats.org/officeDocument/2006/relationships/hyperlink" Target="mailto:i.500ryota@gmail.com" TargetMode="External"/><Relationship Id="rId451" Type="http://schemas.openxmlformats.org/officeDocument/2006/relationships/hyperlink" Target="mailto:t.kitabatake@gaia.eonet.ne.jp" TargetMode="External"/><Relationship Id="rId493" Type="http://schemas.openxmlformats.org/officeDocument/2006/relationships/hyperlink" Target="mailto:0422.teo@gmail.com" TargetMode="External"/><Relationship Id="rId507" Type="http://schemas.openxmlformats.org/officeDocument/2006/relationships/hyperlink" Target="mailto:ryuydk@gmail.com" TargetMode="External"/><Relationship Id="rId549" Type="http://schemas.openxmlformats.org/officeDocument/2006/relationships/hyperlink" Target="mailto:ryu1486@gmail.com" TargetMode="External"/><Relationship Id="rId714" Type="http://schemas.openxmlformats.org/officeDocument/2006/relationships/hyperlink" Target="mailto:zhongdaoyoutai077@gmail.com" TargetMode="External"/><Relationship Id="rId756" Type="http://schemas.openxmlformats.org/officeDocument/2006/relationships/hyperlink" Target="mailto:takahiro501020@yahoo.co.jp" TargetMode="External"/><Relationship Id="rId50" Type="http://schemas.openxmlformats.org/officeDocument/2006/relationships/hyperlink" Target="mailto:ikeda@newing-inc.com" TargetMode="External"/><Relationship Id="rId104" Type="http://schemas.openxmlformats.org/officeDocument/2006/relationships/hyperlink" Target="mailto:wano@919.jp." TargetMode="External"/><Relationship Id="rId146" Type="http://schemas.openxmlformats.org/officeDocument/2006/relationships/hyperlink" Target="mailto:fujiki.dyn@gmail.com" TargetMode="External"/><Relationship Id="rId188" Type="http://schemas.openxmlformats.org/officeDocument/2006/relationships/hyperlink" Target="mailto:yudai@kanatani.co.jp" TargetMode="External"/><Relationship Id="rId311" Type="http://schemas.openxmlformats.org/officeDocument/2006/relationships/hyperlink" Target="mailto:i_o_dyomb_0.5@icloud.com" TargetMode="External"/><Relationship Id="rId353" Type="http://schemas.openxmlformats.org/officeDocument/2006/relationships/hyperlink" Target="mailto:yusaku1112@gmail.com" TargetMode="External"/><Relationship Id="rId395" Type="http://schemas.openxmlformats.org/officeDocument/2006/relationships/hyperlink" Target="mailto:lin.1326221@gmail.com" TargetMode="External"/><Relationship Id="rId409" Type="http://schemas.openxmlformats.org/officeDocument/2006/relationships/hyperlink" Target="mailto:nishi1@mwc.biglobe.ne.jp" TargetMode="External"/><Relationship Id="rId560" Type="http://schemas.openxmlformats.org/officeDocument/2006/relationships/hyperlink" Target="mailto:kazuki89baseball@yahoo.co.jp" TargetMode="External"/><Relationship Id="rId92" Type="http://schemas.openxmlformats.org/officeDocument/2006/relationships/hyperlink" Target="mailto:0613ryousuke@gmail.com" TargetMode="External"/><Relationship Id="rId213" Type="http://schemas.openxmlformats.org/officeDocument/2006/relationships/hyperlink" Target="mailto:wshuna-mama-seiko@gmail.com" TargetMode="External"/><Relationship Id="rId420" Type="http://schemas.openxmlformats.org/officeDocument/2006/relationships/hyperlink" Target="mailto:masanobu177@gmail.com" TargetMode="External"/><Relationship Id="rId616" Type="http://schemas.openxmlformats.org/officeDocument/2006/relationships/hyperlink" Target="mailto:daisukeee1220@gmail.com" TargetMode="External"/><Relationship Id="rId658" Type="http://schemas.openxmlformats.org/officeDocument/2006/relationships/hyperlink" Target="mailto:little.box234@gmail.com" TargetMode="External"/><Relationship Id="rId255" Type="http://schemas.openxmlformats.org/officeDocument/2006/relationships/hyperlink" Target="mailto:kondou@house-one.co.jp" TargetMode="External"/><Relationship Id="rId297" Type="http://schemas.openxmlformats.org/officeDocument/2006/relationships/hyperlink" Target="mailto:BXL03120@nifty.ne.jp" TargetMode="External"/><Relationship Id="rId462" Type="http://schemas.openxmlformats.org/officeDocument/2006/relationships/hyperlink" Target="mailto:djk23828@kwansei.ac.jp" TargetMode="External"/><Relationship Id="rId518" Type="http://schemas.openxmlformats.org/officeDocument/2006/relationships/hyperlink" Target="mailto:shinji39229@gmail.com" TargetMode="External"/><Relationship Id="rId725" Type="http://schemas.openxmlformats.org/officeDocument/2006/relationships/hyperlink" Target="mailto:09025984059k@gmail.com" TargetMode="External"/><Relationship Id="rId115" Type="http://schemas.openxmlformats.org/officeDocument/2006/relationships/hyperlink" Target="mailto:shin512jp@gmail.com" TargetMode="External"/><Relationship Id="rId157" Type="http://schemas.openxmlformats.org/officeDocument/2006/relationships/hyperlink" Target="mailto:y_matsub86@yahoo.co.jp" TargetMode="External"/><Relationship Id="rId322" Type="http://schemas.openxmlformats.org/officeDocument/2006/relationships/hyperlink" Target="mailto:mtmonkees.11@gmail.com" TargetMode="External"/><Relationship Id="rId364" Type="http://schemas.openxmlformats.org/officeDocument/2006/relationships/hyperlink" Target="mailto:nanakosakolapomme@yahoo.co.jp" TargetMode="External"/><Relationship Id="rId767" Type="http://schemas.openxmlformats.org/officeDocument/2006/relationships/hyperlink" Target="mailto:us51b103262f1cmotti@ezweb.ne.jp" TargetMode="External"/><Relationship Id="rId61" Type="http://schemas.openxmlformats.org/officeDocument/2006/relationships/hyperlink" Target="mailto:mariko930@gmail.com" TargetMode="External"/><Relationship Id="rId199" Type="http://schemas.openxmlformats.org/officeDocument/2006/relationships/hyperlink" Target="mailto:tightclub.seven@gmail.com" TargetMode="External"/><Relationship Id="rId571" Type="http://schemas.openxmlformats.org/officeDocument/2006/relationships/hyperlink" Target="mailto:azs.gmn@gmail.com" TargetMode="External"/><Relationship Id="rId627" Type="http://schemas.openxmlformats.org/officeDocument/2006/relationships/hyperlink" Target="mailto:syunsgmt@gmail.com" TargetMode="External"/><Relationship Id="rId669" Type="http://schemas.openxmlformats.org/officeDocument/2006/relationships/hyperlink" Target="mailto:masasudi.gm.0825@gmail.com" TargetMode="External"/><Relationship Id="rId19" Type="http://schemas.openxmlformats.org/officeDocument/2006/relationships/hyperlink" Target="mailto:mmasumura151010@g.vodafone.ne.jp" TargetMode="External"/><Relationship Id="rId224" Type="http://schemas.openxmlformats.org/officeDocument/2006/relationships/hyperlink" Target="mailto:haruki15001590@yahoo.co.jp" TargetMode="External"/><Relationship Id="rId266" Type="http://schemas.openxmlformats.org/officeDocument/2006/relationships/hyperlink" Target="mailto:rk0119kt@icloud.com" TargetMode="External"/><Relationship Id="rId431" Type="http://schemas.openxmlformats.org/officeDocument/2006/relationships/hyperlink" Target="mailto:coollovepeach@gmail.com" TargetMode="External"/><Relationship Id="rId473" Type="http://schemas.openxmlformats.org/officeDocument/2006/relationships/hyperlink" Target="mailto:shipona1007@gmail.com" TargetMode="External"/><Relationship Id="rId529" Type="http://schemas.openxmlformats.org/officeDocument/2006/relationships/hyperlink" Target="mailto:ishidakazu2000@gmail.com" TargetMode="External"/><Relationship Id="rId680" Type="http://schemas.openxmlformats.org/officeDocument/2006/relationships/hyperlink" Target="mailto:utang0317@gmail.com" TargetMode="External"/><Relationship Id="rId736" Type="http://schemas.openxmlformats.org/officeDocument/2006/relationships/hyperlink" Target="mailto:simayu1276@icloud.com" TargetMode="External"/><Relationship Id="rId30" Type="http://schemas.openxmlformats.org/officeDocument/2006/relationships/hyperlink" Target="mailto:y.minamigaki@sakura-blue.co.jp" TargetMode="External"/><Relationship Id="rId126" Type="http://schemas.openxmlformats.org/officeDocument/2006/relationships/hyperlink" Target="mailto:atsushi791369@gmail.com" TargetMode="External"/><Relationship Id="rId168" Type="http://schemas.openxmlformats.org/officeDocument/2006/relationships/hyperlink" Target="mailto:arikaimati0627@gmail.com" TargetMode="External"/><Relationship Id="rId333" Type="http://schemas.openxmlformats.org/officeDocument/2006/relationships/hyperlink" Target="mailto:koji@ichiyoshi.jp" TargetMode="External"/><Relationship Id="rId540" Type="http://schemas.openxmlformats.org/officeDocument/2006/relationships/hyperlink" Target="mailto:y.s.e.r2323@gmail.com" TargetMode="External"/><Relationship Id="rId778" Type="http://schemas.openxmlformats.org/officeDocument/2006/relationships/comments" Target="../comments1.xml"/><Relationship Id="rId72" Type="http://schemas.openxmlformats.org/officeDocument/2006/relationships/hyperlink" Target="mailto:at.lite.kata@gmail.com" TargetMode="External"/><Relationship Id="rId375" Type="http://schemas.openxmlformats.org/officeDocument/2006/relationships/hyperlink" Target="mailto:wanko108@gmail.com" TargetMode="External"/><Relationship Id="rId582" Type="http://schemas.openxmlformats.org/officeDocument/2006/relationships/hyperlink" Target="mailto:seeds1130@gmail.com" TargetMode="External"/><Relationship Id="rId638" Type="http://schemas.openxmlformats.org/officeDocument/2006/relationships/hyperlink" Target="mailto:bit8b.8@docomo.ne.jp" TargetMode="External"/><Relationship Id="rId3" Type="http://schemas.openxmlformats.org/officeDocument/2006/relationships/hyperlink" Target="mailto:kmtys293711@icloud.com" TargetMode="External"/><Relationship Id="rId235" Type="http://schemas.openxmlformats.org/officeDocument/2006/relationships/hyperlink" Target="mailto:kenta.matsu.1202@gmail.com" TargetMode="External"/><Relationship Id="rId277" Type="http://schemas.openxmlformats.org/officeDocument/2006/relationships/hyperlink" Target="mailto:cocoru_2741@icloud.com" TargetMode="External"/><Relationship Id="rId400" Type="http://schemas.openxmlformats.org/officeDocument/2006/relationships/hyperlink" Target="mailto:osaru1998@hotmail.com" TargetMode="External"/><Relationship Id="rId442" Type="http://schemas.openxmlformats.org/officeDocument/2006/relationships/hyperlink" Target="mailto:yuich.ito0130@gmail.com" TargetMode="External"/><Relationship Id="rId484" Type="http://schemas.openxmlformats.org/officeDocument/2006/relationships/hyperlink" Target="mailto:uenogumi314@yahoo.co.jp" TargetMode="External"/><Relationship Id="rId705" Type="http://schemas.openxmlformats.org/officeDocument/2006/relationships/hyperlink" Target="mailto:leoharaleo@gnail.com" TargetMode="External"/><Relationship Id="rId137" Type="http://schemas.openxmlformats.org/officeDocument/2006/relationships/hyperlink" Target="mailto:wrxsti-105@yahoo.co.jp" TargetMode="External"/><Relationship Id="rId302" Type="http://schemas.openxmlformats.org/officeDocument/2006/relationships/hyperlink" Target="mailto:yuka@sse-franchise.com" TargetMode="External"/><Relationship Id="rId344" Type="http://schemas.openxmlformats.org/officeDocument/2006/relationships/hyperlink" Target="mailto:hms-katsu501961442@icloud.com" TargetMode="External"/><Relationship Id="rId691" Type="http://schemas.openxmlformats.org/officeDocument/2006/relationships/hyperlink" Target="mailto:blanc344@gmail.com" TargetMode="External"/><Relationship Id="rId747" Type="http://schemas.openxmlformats.org/officeDocument/2006/relationships/hyperlink" Target="mailto:n.take@ezweb.ne.jp" TargetMode="External"/><Relationship Id="rId41" Type="http://schemas.openxmlformats.org/officeDocument/2006/relationships/hyperlink" Target="mailto:harunaga.yakuvi@gmail.com" TargetMode="External"/><Relationship Id="rId83" Type="http://schemas.openxmlformats.org/officeDocument/2006/relationships/hyperlink" Target="mailto:maki.corporation@hotmail.com" TargetMode="External"/><Relationship Id="rId179" Type="http://schemas.openxmlformats.org/officeDocument/2006/relationships/hyperlink" Target="mailto:katayamazu@gmail.com" TargetMode="External"/><Relationship Id="rId386" Type="http://schemas.openxmlformats.org/officeDocument/2006/relationships/hyperlink" Target="mailto:miyayasu0922@yahoo.co.jp" TargetMode="External"/><Relationship Id="rId551" Type="http://schemas.openxmlformats.org/officeDocument/2006/relationships/hyperlink" Target="mailto:aka9999toshi@gmail.com" TargetMode="External"/><Relationship Id="rId593" Type="http://schemas.openxmlformats.org/officeDocument/2006/relationships/hyperlink" Target="mailto:yukikon13@gmail.com" TargetMode="External"/><Relationship Id="rId607" Type="http://schemas.openxmlformats.org/officeDocument/2006/relationships/hyperlink" Target="mailto:sumakko.taiga@docomo.ne.jp" TargetMode="External"/><Relationship Id="rId649" Type="http://schemas.openxmlformats.org/officeDocument/2006/relationships/hyperlink" Target="mailto:honbu0123@gmail.com" TargetMode="External"/><Relationship Id="rId190" Type="http://schemas.openxmlformats.org/officeDocument/2006/relationships/hyperlink" Target="mailto:nmori100663@gmail.com" TargetMode="External"/><Relationship Id="rId204" Type="http://schemas.openxmlformats.org/officeDocument/2006/relationships/hyperlink" Target="mailto:noriyuki_01018@icloud.com" TargetMode="External"/><Relationship Id="rId246" Type="http://schemas.openxmlformats.org/officeDocument/2006/relationships/hyperlink" Target="mailto:33gogoo@gmail.com" TargetMode="External"/><Relationship Id="rId288" Type="http://schemas.openxmlformats.org/officeDocument/2006/relationships/hyperlink" Target="mailto:ishun0404@yahoo.co.jp" TargetMode="External"/><Relationship Id="rId411" Type="http://schemas.openxmlformats.org/officeDocument/2006/relationships/hyperlink" Target="mailto:knchance@gmail.com" TargetMode="External"/><Relationship Id="rId453" Type="http://schemas.openxmlformats.org/officeDocument/2006/relationships/hyperlink" Target="mailto:kaikato7000@i.softbank.jp" TargetMode="External"/><Relationship Id="rId509" Type="http://schemas.openxmlformats.org/officeDocument/2006/relationships/hyperlink" Target="mailto:kaera633@gmail.com" TargetMode="External"/><Relationship Id="rId660" Type="http://schemas.openxmlformats.org/officeDocument/2006/relationships/hyperlink" Target="mailto:s60.5.15@icloud.com" TargetMode="External"/><Relationship Id="rId106" Type="http://schemas.openxmlformats.org/officeDocument/2006/relationships/hyperlink" Target="mailto:keiichikanba@yahoo.co.jp" TargetMode="External"/><Relationship Id="rId313" Type="http://schemas.openxmlformats.org/officeDocument/2006/relationships/hyperlink" Target="mailto:yasushi0021@gmail.com" TargetMode="External"/><Relationship Id="rId495" Type="http://schemas.openxmlformats.org/officeDocument/2006/relationships/hyperlink" Target="mailto:mitsuo19670422@gmail.com" TargetMode="External"/><Relationship Id="rId716" Type="http://schemas.openxmlformats.org/officeDocument/2006/relationships/hyperlink" Target="mailto:kazuhisakawabata0426@gmail.com" TargetMode="External"/><Relationship Id="rId758" Type="http://schemas.openxmlformats.org/officeDocument/2006/relationships/hyperlink" Target="mailto:kitamura.t2.i0412@icloud.com" TargetMode="External"/><Relationship Id="rId10" Type="http://schemas.openxmlformats.org/officeDocument/2006/relationships/hyperlink" Target="mailto:akkoloo220@gmail.com" TargetMode="External"/><Relationship Id="rId52" Type="http://schemas.openxmlformats.org/officeDocument/2006/relationships/hyperlink" Target="mailto:hikiami3348@ezweb.ne.jp" TargetMode="External"/><Relationship Id="rId94" Type="http://schemas.openxmlformats.org/officeDocument/2006/relationships/hyperlink" Target="mailto:imamurakesm0214@gmail.com" TargetMode="External"/><Relationship Id="rId148" Type="http://schemas.openxmlformats.org/officeDocument/2006/relationships/hyperlink" Target="mailto:katayama52@yahoo.co.jp" TargetMode="External"/><Relationship Id="rId355" Type="http://schemas.openxmlformats.org/officeDocument/2006/relationships/hyperlink" Target="mailto:sankat889@gmali.com" TargetMode="External"/><Relationship Id="rId397" Type="http://schemas.openxmlformats.org/officeDocument/2006/relationships/hyperlink" Target="mailto:kanazu325@docomo.ne.jp" TargetMode="External"/><Relationship Id="rId520" Type="http://schemas.openxmlformats.org/officeDocument/2006/relationships/hyperlink" Target="mailto:juvejuvejuve26@gmail.com" TargetMode="External"/><Relationship Id="rId562" Type="http://schemas.openxmlformats.org/officeDocument/2006/relationships/hyperlink" Target="mailto:ce77908@gmail.com" TargetMode="External"/><Relationship Id="rId618" Type="http://schemas.openxmlformats.org/officeDocument/2006/relationships/hyperlink" Target="mailto:it22skl@gmail.com" TargetMode="External"/><Relationship Id="rId215" Type="http://schemas.openxmlformats.org/officeDocument/2006/relationships/hyperlink" Target="mailto:wise.yamanaka@gmail.com" TargetMode="External"/><Relationship Id="rId257" Type="http://schemas.openxmlformats.org/officeDocument/2006/relationships/hyperlink" Target="mailto:kinomasa3@ymail.ne.jp" TargetMode="External"/><Relationship Id="rId422" Type="http://schemas.openxmlformats.org/officeDocument/2006/relationships/hyperlink" Target="mailto:syunko_mi_ma@yshoo.co.jp" TargetMode="External"/><Relationship Id="rId464" Type="http://schemas.openxmlformats.org/officeDocument/2006/relationships/hyperlink" Target="mailto:mamip39@yahoo.co.jp" TargetMode="External"/><Relationship Id="rId299" Type="http://schemas.openxmlformats.org/officeDocument/2006/relationships/hyperlink" Target="mailto:miho1008momo@icloud.com" TargetMode="External"/><Relationship Id="rId727" Type="http://schemas.openxmlformats.org/officeDocument/2006/relationships/hyperlink" Target="mailto:superpochi33@gmail.com" TargetMode="External"/><Relationship Id="rId63" Type="http://schemas.openxmlformats.org/officeDocument/2006/relationships/hyperlink" Target="mailto:akitake.k@gmail.com" TargetMode="External"/><Relationship Id="rId159" Type="http://schemas.openxmlformats.org/officeDocument/2006/relationships/hyperlink" Target="mailto:tyzaki@me.com" TargetMode="External"/><Relationship Id="rId366" Type="http://schemas.openxmlformats.org/officeDocument/2006/relationships/hyperlink" Target="mailto:arche-boss@lagoon.ocn.ne.jp" TargetMode="External"/><Relationship Id="rId573" Type="http://schemas.openxmlformats.org/officeDocument/2006/relationships/hyperlink" Target="mailto:hhcwf-shu-ch@docomo.ne.jp" TargetMode="External"/><Relationship Id="rId226" Type="http://schemas.openxmlformats.org/officeDocument/2006/relationships/hyperlink" Target="mailto:san.sanderiana@smail.com" TargetMode="External"/><Relationship Id="rId433" Type="http://schemas.openxmlformats.org/officeDocument/2006/relationships/hyperlink" Target="mailto:myoshin123@yahoo.co.jp" TargetMode="External"/><Relationship Id="rId640" Type="http://schemas.openxmlformats.org/officeDocument/2006/relationships/hyperlink" Target="mailto:at_the_maximum@outlook.jp" TargetMode="External"/><Relationship Id="rId738" Type="http://schemas.openxmlformats.org/officeDocument/2006/relationships/hyperlink" Target="mailto:kotera8300miwa@gmail.com" TargetMode="External"/><Relationship Id="rId74" Type="http://schemas.openxmlformats.org/officeDocument/2006/relationships/hyperlink" Target="mailto:forumone.mm@gmail.com" TargetMode="External"/><Relationship Id="rId377" Type="http://schemas.openxmlformats.org/officeDocument/2006/relationships/hyperlink" Target="mailto:kouno.hiroyuki1126@gmail.com" TargetMode="External"/><Relationship Id="rId500" Type="http://schemas.openxmlformats.org/officeDocument/2006/relationships/hyperlink" Target="mailto:takayasu1979@gmail.com" TargetMode="External"/><Relationship Id="rId584" Type="http://schemas.openxmlformats.org/officeDocument/2006/relationships/hyperlink" Target="mailto:antoku@alesty.jp" TargetMode="External"/><Relationship Id="rId5" Type="http://schemas.openxmlformats.org/officeDocument/2006/relationships/hyperlink" Target="mailto:s.nakasato@ezweb.ne.jp" TargetMode="External"/><Relationship Id="rId237" Type="http://schemas.openxmlformats.org/officeDocument/2006/relationships/hyperlink" Target="mailto:miyuki_815@yahoo.co.jp" TargetMode="External"/><Relationship Id="rId444" Type="http://schemas.openxmlformats.org/officeDocument/2006/relationships/hyperlink" Target="mailto:coco.3991.take@docomo.ne.jp" TargetMode="External"/><Relationship Id="rId651" Type="http://schemas.openxmlformats.org/officeDocument/2006/relationships/hyperlink" Target="mailto:satoyaryoma@gmail.com" TargetMode="External"/><Relationship Id="rId749" Type="http://schemas.openxmlformats.org/officeDocument/2006/relationships/hyperlink" Target="mailto:ohkura0000@gmail.com" TargetMode="External"/><Relationship Id="rId290" Type="http://schemas.openxmlformats.org/officeDocument/2006/relationships/hyperlink" Target="mailto:mizukawa-163@docomo.ne.jp" TargetMode="External"/><Relationship Id="rId304" Type="http://schemas.openxmlformats.org/officeDocument/2006/relationships/hyperlink" Target="mailto:K.miki.0531@gmail.com" TargetMode="External"/><Relationship Id="rId388" Type="http://schemas.openxmlformats.org/officeDocument/2006/relationships/hyperlink" Target="mailto:akiaki48102@yahoo.co.jp" TargetMode="External"/><Relationship Id="rId511" Type="http://schemas.openxmlformats.org/officeDocument/2006/relationships/hyperlink" Target="mailto:mikeuchi0319@ezweb.ne.jp" TargetMode="External"/><Relationship Id="rId609" Type="http://schemas.openxmlformats.org/officeDocument/2006/relationships/hyperlink" Target="mailto:canoelaw1122@gmail.com" TargetMode="External"/><Relationship Id="rId85" Type="http://schemas.openxmlformats.org/officeDocument/2006/relationships/hyperlink" Target="mailto:morita@nextage-kobe.com" TargetMode="External"/><Relationship Id="rId150" Type="http://schemas.openxmlformats.org/officeDocument/2006/relationships/hyperlink" Target="mailto:aks076876@gmail.com" TargetMode="External"/><Relationship Id="rId595" Type="http://schemas.openxmlformats.org/officeDocument/2006/relationships/hyperlink" Target="mailto:morookakensetsu123@yahoo.co.jp" TargetMode="External"/><Relationship Id="rId248" Type="http://schemas.openxmlformats.org/officeDocument/2006/relationships/hyperlink" Target="mailto:y-kawakami@shinzuyo.jp" TargetMode="External"/><Relationship Id="rId455" Type="http://schemas.openxmlformats.org/officeDocument/2006/relationships/hyperlink" Target="mailto:desertfox@k.vodafone.ne.jp" TargetMode="External"/><Relationship Id="rId662" Type="http://schemas.openxmlformats.org/officeDocument/2006/relationships/hyperlink" Target="mailto:mymetakashi@gmail.com" TargetMode="External"/><Relationship Id="rId12" Type="http://schemas.openxmlformats.org/officeDocument/2006/relationships/hyperlink" Target="mailto:gbbnd656@ybb.ne.jp" TargetMode="External"/><Relationship Id="rId108" Type="http://schemas.openxmlformats.org/officeDocument/2006/relationships/hyperlink" Target="mailto:moto.zrx1100@gmail.com" TargetMode="External"/><Relationship Id="rId315" Type="http://schemas.openxmlformats.org/officeDocument/2006/relationships/hyperlink" Target="mailto:ryohei.shimamoto@gmail.com" TargetMode="External"/><Relationship Id="rId522" Type="http://schemas.openxmlformats.org/officeDocument/2006/relationships/hyperlink" Target="mailto:nariyasuito110@gmail.com" TargetMode="External"/><Relationship Id="rId96" Type="http://schemas.openxmlformats.org/officeDocument/2006/relationships/hyperlink" Target="mailto:nkgw841347@gmail.com" TargetMode="External"/><Relationship Id="rId161" Type="http://schemas.openxmlformats.org/officeDocument/2006/relationships/hyperlink" Target="mailto:les.arts.martiaux.tt@gmail.com" TargetMode="External"/><Relationship Id="rId399" Type="http://schemas.openxmlformats.org/officeDocument/2006/relationships/hyperlink" Target="mailto:k8cgx492@ybb.ne.jp" TargetMode="External"/><Relationship Id="rId259" Type="http://schemas.openxmlformats.org/officeDocument/2006/relationships/hyperlink" Target="mailto:paneratta735@gmail.com" TargetMode="External"/><Relationship Id="rId466" Type="http://schemas.openxmlformats.org/officeDocument/2006/relationships/hyperlink" Target="mailto:okn-dnk-123@gaia.eonet.ne.jp" TargetMode="External"/><Relationship Id="rId673" Type="http://schemas.openxmlformats.org/officeDocument/2006/relationships/hyperlink" Target="mailto:a.0730.r@icloud.com" TargetMode="External"/><Relationship Id="rId23" Type="http://schemas.openxmlformats.org/officeDocument/2006/relationships/hyperlink" Target="mailto:s19551029@i.softbank.jp" TargetMode="External"/><Relationship Id="rId119" Type="http://schemas.openxmlformats.org/officeDocument/2006/relationships/hyperlink" Target="mailto:bcd0091@yahoo.co.jp" TargetMode="External"/><Relationship Id="rId326" Type="http://schemas.openxmlformats.org/officeDocument/2006/relationships/hyperlink" Target="mailto:yamasaki@skyblue.ocn.ne.jp" TargetMode="External"/><Relationship Id="rId533" Type="http://schemas.openxmlformats.org/officeDocument/2006/relationships/hyperlink" Target="mailto:nogami2535@gmail.com" TargetMode="External"/><Relationship Id="rId740" Type="http://schemas.openxmlformats.org/officeDocument/2006/relationships/hyperlink" Target="mailto:srn-ms@sironegumi.co.jp" TargetMode="External"/><Relationship Id="rId172" Type="http://schemas.openxmlformats.org/officeDocument/2006/relationships/hyperlink" Target="mailto:sophia@sse-franchise.com" TargetMode="External"/><Relationship Id="rId477" Type="http://schemas.openxmlformats.org/officeDocument/2006/relationships/hyperlink" Target="mailto:caribou@true.ocn.ne.jp" TargetMode="External"/><Relationship Id="rId600" Type="http://schemas.openxmlformats.org/officeDocument/2006/relationships/hyperlink" Target="mailto:takuya021802180218@yahoo.co.jp" TargetMode="External"/><Relationship Id="rId684" Type="http://schemas.openxmlformats.org/officeDocument/2006/relationships/hyperlink" Target="mailto:ce77908@gmail.com" TargetMode="External"/><Relationship Id="rId337" Type="http://schemas.openxmlformats.org/officeDocument/2006/relationships/hyperlink" Target="mailto:muramori8122@gmail.com" TargetMode="External"/><Relationship Id="rId34" Type="http://schemas.openxmlformats.org/officeDocument/2006/relationships/hyperlink" Target="mailto:setuna0423@yahoo.co.jp" TargetMode="External"/><Relationship Id="rId544" Type="http://schemas.openxmlformats.org/officeDocument/2006/relationships/hyperlink" Target="mailto:jbthk763@yahoo.co.jp" TargetMode="External"/><Relationship Id="rId751" Type="http://schemas.openxmlformats.org/officeDocument/2006/relationships/hyperlink" Target="mailto:katsuchan.kurochan.525@ezweb.ne.jp" TargetMode="External"/><Relationship Id="rId183" Type="http://schemas.openxmlformats.org/officeDocument/2006/relationships/hyperlink" Target="mailto:rs19901206@gmail.com" TargetMode="External"/><Relationship Id="rId390" Type="http://schemas.openxmlformats.org/officeDocument/2006/relationships/hyperlink" Target="mailto:tom.8315-azu@yahoo.ne.jp" TargetMode="External"/><Relationship Id="rId404" Type="http://schemas.openxmlformats.org/officeDocument/2006/relationships/hyperlink" Target="mailto:hanachan0091@softbank.ne.jp" TargetMode="External"/><Relationship Id="rId611" Type="http://schemas.openxmlformats.org/officeDocument/2006/relationships/hyperlink" Target="mailto:kubota@atec-y.co.jp" TargetMode="External"/><Relationship Id="rId250" Type="http://schemas.openxmlformats.org/officeDocument/2006/relationships/hyperlink" Target="mailto:yutaka.veda-1004@docomo.ne.jp" TargetMode="External"/><Relationship Id="rId488" Type="http://schemas.openxmlformats.org/officeDocument/2006/relationships/hyperlink" Target="mailto:kiyotaka-t@tarutani.co.jp" TargetMode="External"/><Relationship Id="rId695" Type="http://schemas.openxmlformats.org/officeDocument/2006/relationships/hyperlink" Target="mailto:vakanza.doruche@gmail.com" TargetMode="External"/><Relationship Id="rId709" Type="http://schemas.openxmlformats.org/officeDocument/2006/relationships/hyperlink" Target="mailto:seki.k@fjkk.co.jp" TargetMode="External"/><Relationship Id="rId45" Type="http://schemas.openxmlformats.org/officeDocument/2006/relationships/hyperlink" Target="mailto:atsuhiro@takagi.bz" TargetMode="External"/><Relationship Id="rId110" Type="http://schemas.openxmlformats.org/officeDocument/2006/relationships/hyperlink" Target="mailto:1916-morimoto@i.softbank.jp" TargetMode="External"/><Relationship Id="rId348" Type="http://schemas.openxmlformats.org/officeDocument/2006/relationships/hyperlink" Target="mailto:hiedki11251130@gmail.com" TargetMode="External"/><Relationship Id="rId555" Type="http://schemas.openxmlformats.org/officeDocument/2006/relationships/hyperlink" Target="mailto:masakazu.okabe@hoymail.com" TargetMode="External"/><Relationship Id="rId762" Type="http://schemas.openxmlformats.org/officeDocument/2006/relationships/hyperlink" Target="mailto:wakoasao@gmail.com" TargetMode="External"/><Relationship Id="rId194" Type="http://schemas.openxmlformats.org/officeDocument/2006/relationships/hyperlink" Target="mailto:s.okano.0214@gmail.com" TargetMode="External"/><Relationship Id="rId208" Type="http://schemas.openxmlformats.org/officeDocument/2006/relationships/hyperlink" Target="mailto:prov1x9ball@yahoo.co.jp" TargetMode="External"/><Relationship Id="rId415" Type="http://schemas.openxmlformats.org/officeDocument/2006/relationships/hyperlink" Target="mailto:miumiu-haruharu.110@ezweb.ne.jp" TargetMode="External"/><Relationship Id="rId622" Type="http://schemas.openxmlformats.org/officeDocument/2006/relationships/hyperlink" Target="mailto:Komomoy.t200251401@gmail.com" TargetMode="External"/><Relationship Id="rId261" Type="http://schemas.openxmlformats.org/officeDocument/2006/relationships/hyperlink" Target="mailto:seijirouario@yahoo.co.jp" TargetMode="External"/><Relationship Id="rId499" Type="http://schemas.openxmlformats.org/officeDocument/2006/relationships/hyperlink" Target="mailto:miyap.925@gmail.com" TargetMode="External"/><Relationship Id="rId56" Type="http://schemas.openxmlformats.org/officeDocument/2006/relationships/hyperlink" Target="mailto:s.maruoka@maruokatile.co.jp" TargetMode="External"/><Relationship Id="rId359" Type="http://schemas.openxmlformats.org/officeDocument/2006/relationships/hyperlink" Target="mailto:moena.02@docomo.ne.jp" TargetMode="External"/><Relationship Id="rId566" Type="http://schemas.openxmlformats.org/officeDocument/2006/relationships/hyperlink" Target="mailto:takt___honda@softbank.ne.jp" TargetMode="External"/><Relationship Id="rId773" Type="http://schemas.openxmlformats.org/officeDocument/2006/relationships/hyperlink" Target="mailto:nishida@studio.en.co.jp" TargetMode="External"/><Relationship Id="rId121" Type="http://schemas.openxmlformats.org/officeDocument/2006/relationships/hyperlink" Target="mailto:37.nakayama@gmail.com" TargetMode="External"/><Relationship Id="rId219" Type="http://schemas.openxmlformats.org/officeDocument/2006/relationships/hyperlink" Target="mailto:n.asuuuka.23@gmail.com" TargetMode="External"/><Relationship Id="rId426" Type="http://schemas.openxmlformats.org/officeDocument/2006/relationships/hyperlink" Target="mailto:takayuki.akiyama86@gmail.com" TargetMode="External"/><Relationship Id="rId633" Type="http://schemas.openxmlformats.org/officeDocument/2006/relationships/hyperlink" Target="mailto:mariyann777@yahoo.co.jp" TargetMode="External"/><Relationship Id="rId67" Type="http://schemas.openxmlformats.org/officeDocument/2006/relationships/hyperlink" Target="mailto:yuyu123hiro813@softbank.ne.jp" TargetMode="External"/><Relationship Id="rId272" Type="http://schemas.openxmlformats.org/officeDocument/2006/relationships/hyperlink" Target="mailto:murasyun@mx5.canvas.ne.jp" TargetMode="External"/><Relationship Id="rId577" Type="http://schemas.openxmlformats.org/officeDocument/2006/relationships/hyperlink" Target="mailto:bp-ing@ezweb.ne.jp" TargetMode="External"/><Relationship Id="rId700" Type="http://schemas.openxmlformats.org/officeDocument/2006/relationships/hyperlink" Target="mailto:woody.buzz.1238@gmail.com" TargetMode="External"/><Relationship Id="rId132" Type="http://schemas.openxmlformats.org/officeDocument/2006/relationships/hyperlink" Target="mailto:suzuki.shiro@suzukishouten.co.jp" TargetMode="External"/><Relationship Id="rId437" Type="http://schemas.openxmlformats.org/officeDocument/2006/relationships/hyperlink" Target="mailto:carpeice1806@gmail.com" TargetMode="External"/><Relationship Id="rId644" Type="http://schemas.openxmlformats.org/officeDocument/2006/relationships/hyperlink" Target="mailto:juvenile_hall@hotmail.co.jp" TargetMode="External"/><Relationship Id="rId283" Type="http://schemas.openxmlformats.org/officeDocument/2006/relationships/hyperlink" Target="mailto:tagechi1255@gmail.com" TargetMode="External"/><Relationship Id="rId490" Type="http://schemas.openxmlformats.org/officeDocument/2006/relationships/hyperlink" Target="mailto:rika.h9110-2008@ezweb.ne.jp" TargetMode="External"/><Relationship Id="rId504" Type="http://schemas.openxmlformats.org/officeDocument/2006/relationships/hyperlink" Target="mailto:naoya163.base@gmail.com" TargetMode="External"/><Relationship Id="rId711" Type="http://schemas.openxmlformats.org/officeDocument/2006/relationships/hyperlink" Target="mailto:mokuo@torihei.com" TargetMode="External"/><Relationship Id="rId78" Type="http://schemas.openxmlformats.org/officeDocument/2006/relationships/hyperlink" Target="mailto:shizaika@osa-taiki.co.jp" TargetMode="External"/><Relationship Id="rId143" Type="http://schemas.openxmlformats.org/officeDocument/2006/relationships/hyperlink" Target="mailto:rldinosaur@yahoo.co.jp" TargetMode="External"/><Relationship Id="rId350" Type="http://schemas.openxmlformats.org/officeDocument/2006/relationships/hyperlink" Target="mailto:bunbunouraku@gmail.com" TargetMode="External"/><Relationship Id="rId588" Type="http://schemas.openxmlformats.org/officeDocument/2006/relationships/hyperlink" Target="mailto:ko.nakanaka78@mail.com" TargetMode="External"/><Relationship Id="rId9" Type="http://schemas.openxmlformats.org/officeDocument/2006/relationships/hyperlink" Target="mailto:berrysg@d7.dion.ne.jp" TargetMode="External"/><Relationship Id="rId210" Type="http://schemas.openxmlformats.org/officeDocument/2006/relationships/hyperlink" Target="mailto:takahirosavada0714.ts@gmail.com" TargetMode="External"/><Relationship Id="rId448" Type="http://schemas.openxmlformats.org/officeDocument/2006/relationships/hyperlink" Target="mailto:t.nitou1975@gmail.com" TargetMode="External"/><Relationship Id="rId655" Type="http://schemas.openxmlformats.org/officeDocument/2006/relationships/hyperlink" Target="mailto:alexander.jr007@gmail.com" TargetMode="External"/><Relationship Id="rId294" Type="http://schemas.openxmlformats.org/officeDocument/2006/relationships/hyperlink" Target="mailto:kyotokosen94@gmail.com" TargetMode="External"/><Relationship Id="rId308" Type="http://schemas.openxmlformats.org/officeDocument/2006/relationships/hyperlink" Target="mailto:masataka0227@yahoo.co.jp" TargetMode="External"/><Relationship Id="rId515" Type="http://schemas.openxmlformats.org/officeDocument/2006/relationships/hyperlink" Target="mailto:rei7471973@hotmail.com" TargetMode="External"/><Relationship Id="rId722" Type="http://schemas.openxmlformats.org/officeDocument/2006/relationships/hyperlink" Target="mailto:g1206matsu@gmail.com" TargetMode="External"/><Relationship Id="rId89" Type="http://schemas.openxmlformats.org/officeDocument/2006/relationships/hyperlink" Target="mailto:m.kazuka@gmail.com" TargetMode="External"/><Relationship Id="rId154" Type="http://schemas.openxmlformats.org/officeDocument/2006/relationships/hyperlink" Target="mailto:egawa0302@icloud.com" TargetMode="External"/><Relationship Id="rId361" Type="http://schemas.openxmlformats.org/officeDocument/2006/relationships/hyperlink" Target="mailto:ashiya852000@yahoo.co.jp" TargetMode="External"/><Relationship Id="rId599" Type="http://schemas.openxmlformats.org/officeDocument/2006/relationships/hyperlink" Target="mailto:ex.masash@gail.com" TargetMode="External"/><Relationship Id="rId459" Type="http://schemas.openxmlformats.org/officeDocument/2006/relationships/hyperlink" Target="mailto:sgm0729@yahoo.co.jp" TargetMode="External"/><Relationship Id="rId666" Type="http://schemas.openxmlformats.org/officeDocument/2006/relationships/hyperlink" Target="mailto:openmind1112@gmail.com" TargetMode="External"/><Relationship Id="rId16" Type="http://schemas.openxmlformats.org/officeDocument/2006/relationships/hyperlink" Target="mailto:seetsukun.h@gmail.com" TargetMode="External"/><Relationship Id="rId221" Type="http://schemas.openxmlformats.org/officeDocument/2006/relationships/hyperlink" Target="mailto:ysokakhk@gmail.com" TargetMode="External"/><Relationship Id="rId319" Type="http://schemas.openxmlformats.org/officeDocument/2006/relationships/hyperlink" Target="mailto:yellow@wao.or.jp" TargetMode="External"/><Relationship Id="rId526" Type="http://schemas.openxmlformats.org/officeDocument/2006/relationships/hyperlink" Target="mailto:i.hirai60@gmail.com" TargetMode="External"/><Relationship Id="rId733" Type="http://schemas.openxmlformats.org/officeDocument/2006/relationships/hyperlink" Target="mailto:koichi.u.0826@gmail.com" TargetMode="External"/><Relationship Id="rId165" Type="http://schemas.openxmlformats.org/officeDocument/2006/relationships/hyperlink" Target="mailto:cacao620@gmail.com" TargetMode="External"/><Relationship Id="rId372" Type="http://schemas.openxmlformats.org/officeDocument/2006/relationships/hyperlink" Target="mailto:k08042303881@i.softbank.jp" TargetMode="External"/><Relationship Id="rId677" Type="http://schemas.openxmlformats.org/officeDocument/2006/relationships/hyperlink" Target="mailto:bw-s.kanchi@docomo.ne.jp" TargetMode="External"/><Relationship Id="rId232" Type="http://schemas.openxmlformats.org/officeDocument/2006/relationships/hyperlink" Target="mailto:kumi7375@gmail.com" TargetMode="External"/><Relationship Id="rId27" Type="http://schemas.openxmlformats.org/officeDocument/2006/relationships/hyperlink" Target="mailto:kanon.m.no.1@docomo.ne.jp" TargetMode="External"/><Relationship Id="rId537" Type="http://schemas.openxmlformats.org/officeDocument/2006/relationships/hyperlink" Target="mailto:nk-koujiro@nakai-kobe.co.jp" TargetMode="External"/><Relationship Id="rId744" Type="http://schemas.openxmlformats.org/officeDocument/2006/relationships/hyperlink" Target="mailto:nakabo0206@gmail.com" TargetMode="External"/><Relationship Id="rId80" Type="http://schemas.openxmlformats.org/officeDocument/2006/relationships/hyperlink" Target="mailto:sasaki@sk-wp.jp" TargetMode="External"/><Relationship Id="rId176" Type="http://schemas.openxmlformats.org/officeDocument/2006/relationships/hyperlink" Target="mailto:toko.8y2@gmail.com" TargetMode="External"/><Relationship Id="rId383" Type="http://schemas.openxmlformats.org/officeDocument/2006/relationships/hyperlink" Target="mailto:take14711471@icloud.com" TargetMode="External"/><Relationship Id="rId590" Type="http://schemas.openxmlformats.org/officeDocument/2006/relationships/hyperlink" Target="mailto:rldinosaur@yahoo.co.jp" TargetMode="External"/><Relationship Id="rId604" Type="http://schemas.openxmlformats.org/officeDocument/2006/relationships/hyperlink" Target="mailto:ayano450619@icloud.com" TargetMode="External"/><Relationship Id="rId243" Type="http://schemas.openxmlformats.org/officeDocument/2006/relationships/hyperlink" Target="mailto:ryota0506takajr@gmail.com" TargetMode="External"/><Relationship Id="rId450" Type="http://schemas.openxmlformats.org/officeDocument/2006/relationships/hyperlink" Target="mailto:santacruz0220@gmail.com" TargetMode="External"/><Relationship Id="rId688" Type="http://schemas.openxmlformats.org/officeDocument/2006/relationships/hyperlink" Target="mailto:ryusei070401@icloud.com" TargetMode="External"/><Relationship Id="rId38" Type="http://schemas.openxmlformats.org/officeDocument/2006/relationships/hyperlink" Target="mailto:kangjionsang324@gmail.com" TargetMode="External"/><Relationship Id="rId103" Type="http://schemas.openxmlformats.org/officeDocument/2006/relationships/hyperlink" Target="mailto:a.k.uminchuu@gmail.com" TargetMode="External"/><Relationship Id="rId310" Type="http://schemas.openxmlformats.org/officeDocument/2006/relationships/hyperlink" Target="mailto:uchikei0127@gmail.com" TargetMode="External"/><Relationship Id="rId548" Type="http://schemas.openxmlformats.org/officeDocument/2006/relationships/hyperlink" Target="mailto:m-terao135@docomo.ne.jp" TargetMode="External"/><Relationship Id="rId755" Type="http://schemas.openxmlformats.org/officeDocument/2006/relationships/hyperlink" Target="mailto:degudegu2017@gmail.com" TargetMode="External"/><Relationship Id="rId91" Type="http://schemas.openxmlformats.org/officeDocument/2006/relationships/hyperlink" Target="mailto:ryo.dream21@gmail.com" TargetMode="External"/><Relationship Id="rId187" Type="http://schemas.openxmlformats.org/officeDocument/2006/relationships/hyperlink" Target="mailto:x-trail0903@ezweb.ne.jp" TargetMode="External"/><Relationship Id="rId394" Type="http://schemas.openxmlformats.org/officeDocument/2006/relationships/hyperlink" Target="mailto:hiroshiyo1010@gmail.com" TargetMode="External"/><Relationship Id="rId408" Type="http://schemas.openxmlformats.org/officeDocument/2006/relationships/hyperlink" Target="mailto:kazu.nissy727@ezweb.ne.jp" TargetMode="External"/><Relationship Id="rId615" Type="http://schemas.openxmlformats.org/officeDocument/2006/relationships/hyperlink" Target="mailto:kensouou0810@gmail.com" TargetMode="External"/><Relationship Id="rId254" Type="http://schemas.openxmlformats.org/officeDocument/2006/relationships/hyperlink" Target="mailto:teppei1892416@gmail.com" TargetMode="External"/><Relationship Id="rId699" Type="http://schemas.openxmlformats.org/officeDocument/2006/relationships/hyperlink" Target="mailto:aradai.no8@icloud.com" TargetMode="External"/><Relationship Id="rId49" Type="http://schemas.openxmlformats.org/officeDocument/2006/relationships/hyperlink" Target="mailto:iwai@dr-t-eam.com" TargetMode="External"/><Relationship Id="rId114" Type="http://schemas.openxmlformats.org/officeDocument/2006/relationships/hyperlink" Target="mailto:ty_77-88@docomo.ne.jp" TargetMode="External"/><Relationship Id="rId461" Type="http://schemas.openxmlformats.org/officeDocument/2006/relationships/hyperlink" Target="mailto:1962.hiei@gmail.com" TargetMode="External"/><Relationship Id="rId559" Type="http://schemas.openxmlformats.org/officeDocument/2006/relationships/hyperlink" Target="mailto:kotomifukutake@gmail.com" TargetMode="External"/><Relationship Id="rId766" Type="http://schemas.openxmlformats.org/officeDocument/2006/relationships/hyperlink" Target="mailto:smdtkm0629@gmail.com" TargetMode="External"/><Relationship Id="rId198" Type="http://schemas.openxmlformats.org/officeDocument/2006/relationships/hyperlink" Target="mailto:judy-garland@hotmail.co.jp" TargetMode="External"/><Relationship Id="rId321" Type="http://schemas.openxmlformats.org/officeDocument/2006/relationships/hyperlink" Target="mailto:scottle1016@yahoo.co.jp" TargetMode="External"/><Relationship Id="rId419" Type="http://schemas.openxmlformats.org/officeDocument/2006/relationships/hyperlink" Target="mailto:hirotee@hcc5.bai.ne.jp" TargetMode="External"/><Relationship Id="rId626" Type="http://schemas.openxmlformats.org/officeDocument/2006/relationships/hyperlink" Target="mailto:yukakku496@gmail.com" TargetMode="External"/><Relationship Id="rId265" Type="http://schemas.openxmlformats.org/officeDocument/2006/relationships/hyperlink" Target="mailto:m381128mjoho@yahoo.co.jp" TargetMode="External"/><Relationship Id="rId472" Type="http://schemas.openxmlformats.org/officeDocument/2006/relationships/hyperlink" Target="mailto:ssent@icloud.com" TargetMode="External"/><Relationship Id="rId125" Type="http://schemas.openxmlformats.org/officeDocument/2006/relationships/hyperlink" Target="mailto:kirara061210@yahoo.co.jp" TargetMode="External"/><Relationship Id="rId332" Type="http://schemas.openxmlformats.org/officeDocument/2006/relationships/hyperlink" Target="mailto:sumonmakizao@yahoo.co.jp" TargetMode="External"/><Relationship Id="rId777" Type="http://schemas.openxmlformats.org/officeDocument/2006/relationships/vmlDrawing" Target="../drawings/vmlDrawing1.vml"/><Relationship Id="rId637" Type="http://schemas.openxmlformats.org/officeDocument/2006/relationships/hyperlink" Target="mailto:luckhi11007@gmail.com" TargetMode="External"/><Relationship Id="rId276" Type="http://schemas.openxmlformats.org/officeDocument/2006/relationships/hyperlink" Target="mailto:dk75125@yahoo.co.jp" TargetMode="External"/><Relationship Id="rId483" Type="http://schemas.openxmlformats.org/officeDocument/2006/relationships/hyperlink" Target="mailto:me19771024@gmail.com" TargetMode="External"/><Relationship Id="rId690" Type="http://schemas.openxmlformats.org/officeDocument/2006/relationships/hyperlink" Target="mailto:manamibaseball@yahoo.co.jp" TargetMode="External"/><Relationship Id="rId704" Type="http://schemas.openxmlformats.org/officeDocument/2006/relationships/hyperlink" Target="mailto:moriwaki82176642@gmail.com" TargetMode="External"/><Relationship Id="rId40" Type="http://schemas.openxmlformats.org/officeDocument/2006/relationships/hyperlink" Target="mailto:takesi-seki@mitaka-soko.co.jp" TargetMode="External"/><Relationship Id="rId136" Type="http://schemas.openxmlformats.org/officeDocument/2006/relationships/hyperlink" Target="mailto:ma.i.cla0616@gmail.com" TargetMode="External"/><Relationship Id="rId343" Type="http://schemas.openxmlformats.org/officeDocument/2006/relationships/hyperlink" Target="mailto:tokai_kt@konoike.co.jp" TargetMode="External"/><Relationship Id="rId550" Type="http://schemas.openxmlformats.org/officeDocument/2006/relationships/hyperlink" Target="mailto:setwing1025@gmail.com" TargetMode="External"/><Relationship Id="rId203" Type="http://schemas.openxmlformats.org/officeDocument/2006/relationships/hyperlink" Target="mailto:fishboy8714405@i-softbank.jp" TargetMode="External"/><Relationship Id="rId648" Type="http://schemas.openxmlformats.org/officeDocument/2006/relationships/hyperlink" Target="mailto:non.honbuchan3@gmail.com" TargetMode="External"/><Relationship Id="rId287" Type="http://schemas.openxmlformats.org/officeDocument/2006/relationships/hyperlink" Target="mailto:mspc1970@i.softbank.jp" TargetMode="External"/><Relationship Id="rId410" Type="http://schemas.openxmlformats.org/officeDocument/2006/relationships/hyperlink" Target="mailto:trex1024kendy@icloud.com" TargetMode="External"/><Relationship Id="rId494" Type="http://schemas.openxmlformats.org/officeDocument/2006/relationships/hyperlink" Target="mailto:t_tatsuaki_nara@yahoo.co.jp" TargetMode="External"/><Relationship Id="rId508" Type="http://schemas.openxmlformats.org/officeDocument/2006/relationships/hyperlink" Target="mailto:noritaka.hamada.bby@gmail.com" TargetMode="External"/><Relationship Id="rId715" Type="http://schemas.openxmlformats.org/officeDocument/2006/relationships/hyperlink" Target="mailto:tei_9999@yahoo.co%20.jp" TargetMode="External"/><Relationship Id="rId147" Type="http://schemas.openxmlformats.org/officeDocument/2006/relationships/hyperlink" Target="mailto:jps.y36u@gmail.com" TargetMode="External"/><Relationship Id="rId354" Type="http://schemas.openxmlformats.org/officeDocument/2006/relationships/hyperlink" Target="mailto:yonedasuguru@gmail.com" TargetMode="External"/><Relationship Id="rId51" Type="http://schemas.openxmlformats.org/officeDocument/2006/relationships/hyperlink" Target="mailto:nabe.19840302@gmail.com" TargetMode="External"/><Relationship Id="rId561" Type="http://schemas.openxmlformats.org/officeDocument/2006/relationships/hyperlink" Target="mailto:chicagomatsuo@icloud.com" TargetMode="External"/><Relationship Id="rId659" Type="http://schemas.openxmlformats.org/officeDocument/2006/relationships/hyperlink" Target="mailto:f.cho-san@ezweb.na.jp" TargetMode="External"/><Relationship Id="rId214" Type="http://schemas.openxmlformats.org/officeDocument/2006/relationships/hyperlink" Target="mailto:soranori123@gmail.com" TargetMode="External"/><Relationship Id="rId298" Type="http://schemas.openxmlformats.org/officeDocument/2006/relationships/hyperlink" Target="mailto:srhtn1972@gmail.com" TargetMode="External"/><Relationship Id="rId421" Type="http://schemas.openxmlformats.org/officeDocument/2006/relationships/hyperlink" Target="mailto:junne0702@gmail.com" TargetMode="External"/><Relationship Id="rId519" Type="http://schemas.openxmlformats.org/officeDocument/2006/relationships/hyperlink" Target="mailto:iwai.sanki@gmail.com" TargetMode="External"/><Relationship Id="rId158" Type="http://schemas.openxmlformats.org/officeDocument/2006/relationships/hyperlink" Target="mailto:flying.sakyo@gmail.com" TargetMode="External"/><Relationship Id="rId726" Type="http://schemas.openxmlformats.org/officeDocument/2006/relationships/hyperlink" Target="mailto:yu.mochida1981@gmail.com" TargetMode="External"/><Relationship Id="rId62" Type="http://schemas.openxmlformats.org/officeDocument/2006/relationships/hyperlink" Target="mailto:ikeda@newing-inc.com" TargetMode="External"/><Relationship Id="rId365" Type="http://schemas.openxmlformats.org/officeDocument/2006/relationships/hyperlink" Target="mailto:lucillekunou@gmail.com" TargetMode="External"/><Relationship Id="rId572" Type="http://schemas.openxmlformats.org/officeDocument/2006/relationships/hyperlink" Target="mailto:iba@kajima.com" TargetMode="External"/><Relationship Id="rId225" Type="http://schemas.openxmlformats.org/officeDocument/2006/relationships/hyperlink" Target="mailto:gorina.0512@icloud.com" TargetMode="External"/><Relationship Id="rId432" Type="http://schemas.openxmlformats.org/officeDocument/2006/relationships/hyperlink" Target="mailto:noob.dabo3@gmail.com" TargetMode="External"/><Relationship Id="rId737" Type="http://schemas.openxmlformats.org/officeDocument/2006/relationships/hyperlink" Target="mailto:mizuki9159@gmail.com" TargetMode="External"/><Relationship Id="rId73" Type="http://schemas.openxmlformats.org/officeDocument/2006/relationships/hyperlink" Target="mailto:remi7261030yoroshiku@yahoo.co.jp" TargetMode="External"/><Relationship Id="rId169" Type="http://schemas.openxmlformats.org/officeDocument/2006/relationships/hyperlink" Target="mailto:hiroo-fujioka@au.com" TargetMode="External"/><Relationship Id="rId376" Type="http://schemas.openxmlformats.org/officeDocument/2006/relationships/hyperlink" Target="mailto:kogaaig@yahoo.co.jp" TargetMode="External"/><Relationship Id="rId583" Type="http://schemas.openxmlformats.org/officeDocument/2006/relationships/hyperlink" Target="mailto:t.sgn9679@gmail.com" TargetMode="External"/><Relationship Id="rId4" Type="http://schemas.openxmlformats.org/officeDocument/2006/relationships/hyperlink" Target="mailto:ms.toshie-1011@au.com" TargetMode="External"/><Relationship Id="rId236" Type="http://schemas.openxmlformats.org/officeDocument/2006/relationships/hyperlink" Target="mailto:nimbus0731@i.softbank.jp" TargetMode="External"/><Relationship Id="rId443" Type="http://schemas.openxmlformats.org/officeDocument/2006/relationships/hyperlink" Target="mailto:koko08203117@i.softbank.jp" TargetMode="External"/><Relationship Id="rId650" Type="http://schemas.openxmlformats.org/officeDocument/2006/relationships/hyperlink" Target="mailto:rgokan@gmail.com" TargetMode="External"/><Relationship Id="rId303" Type="http://schemas.openxmlformats.org/officeDocument/2006/relationships/hyperlink" Target="mailto:mi.ukita.1101@gmail.com" TargetMode="External"/><Relationship Id="rId748" Type="http://schemas.openxmlformats.org/officeDocument/2006/relationships/hyperlink" Target="mailto:satoshi-0210-1970@docomo.ne.jp" TargetMode="External"/><Relationship Id="rId84" Type="http://schemas.openxmlformats.org/officeDocument/2006/relationships/hyperlink" Target="mailto:richskysalt@gmail.com" TargetMode="External"/><Relationship Id="rId387" Type="http://schemas.openxmlformats.org/officeDocument/2006/relationships/hyperlink" Target="mailto:buchi@i.softbank.jp" TargetMode="External"/><Relationship Id="rId510" Type="http://schemas.openxmlformats.org/officeDocument/2006/relationships/hyperlink" Target="mailto:take.c812@gmail.com" TargetMode="External"/><Relationship Id="rId594" Type="http://schemas.openxmlformats.org/officeDocument/2006/relationships/hyperlink" Target="mailto:katsu210@gmail.com" TargetMode="External"/><Relationship Id="rId608" Type="http://schemas.openxmlformats.org/officeDocument/2006/relationships/hyperlink" Target="mailto:hagelove6@gmail.com" TargetMode="External"/><Relationship Id="rId247" Type="http://schemas.openxmlformats.org/officeDocument/2006/relationships/hyperlink" Target="mailto:teka76315@yahoo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371-F82B-4DBB-96EF-90DD2920FBF7}">
  <sheetPr codeName="Sheet1">
    <pageSetUpPr fitToPage="1"/>
  </sheetPr>
  <dimension ref="A1:BE2416"/>
  <sheetViews>
    <sheetView tabSelected="1" zoomScale="93" zoomScaleNormal="93" zoomScaleSheetLayoutView="115" workbookViewId="0">
      <pane xSplit="3" ySplit="1" topLeftCell="D2266" activePane="bottomRight" state="frozen"/>
      <selection pane="topRight" activeCell="C1" sqref="C1"/>
      <selection pane="bottomLeft" activeCell="A4" sqref="A4"/>
      <selection pane="bottomRight" activeCell="I2282" sqref="I2282"/>
    </sheetView>
  </sheetViews>
  <sheetFormatPr defaultColWidth="9" defaultRowHeight="19.8"/>
  <cols>
    <col min="1" max="1" width="16.21875" style="40" customWidth="1"/>
    <col min="2" max="2" width="17.21875" style="1" customWidth="1"/>
    <col min="3" max="3" width="26.109375" style="5" customWidth="1"/>
    <col min="4" max="4" width="25.33203125" style="5" customWidth="1"/>
    <col min="5" max="6" width="17.44140625" style="43" customWidth="1"/>
    <col min="7" max="7" width="14.88671875" style="1" customWidth="1"/>
    <col min="8" max="8" width="75.88671875" style="2" customWidth="1"/>
    <col min="9" max="9" width="19.44140625" style="3" customWidth="1"/>
    <col min="10" max="10" width="35.33203125" style="2" customWidth="1"/>
    <col min="11" max="11" width="36.6640625" style="2" customWidth="1"/>
    <col min="12" max="12" width="18.6640625" style="1" customWidth="1"/>
    <col min="13" max="13" width="25.21875" style="2" customWidth="1"/>
    <col min="14" max="14" width="12.88671875" style="4" customWidth="1"/>
    <col min="15" max="15" width="63.21875" style="4" customWidth="1"/>
    <col min="16" max="16" width="27.21875" style="4" bestFit="1" customWidth="1"/>
    <col min="17" max="17" width="29.6640625" style="47" customWidth="1"/>
    <col min="18" max="18" width="12.77734375" style="1" customWidth="1"/>
    <col min="19" max="19" width="10.77734375" style="47" bestFit="1" customWidth="1"/>
    <col min="20" max="20" width="31.6640625" style="87" bestFit="1" customWidth="1"/>
    <col min="21" max="21" width="18.44140625" style="87" hidden="1" customWidth="1"/>
    <col min="22" max="22" width="83.33203125" style="2" hidden="1" customWidth="1"/>
    <col min="23" max="23" width="18.109375" style="1" customWidth="1"/>
    <col min="24" max="24" width="20.109375" style="1" customWidth="1"/>
    <col min="25" max="25" width="38.21875" style="61" hidden="1" customWidth="1"/>
    <col min="26" max="29" width="27.109375" style="61" hidden="1" customWidth="1"/>
    <col min="30" max="31" width="26.6640625" style="61" hidden="1" customWidth="1"/>
    <col min="32" max="32" width="38.21875" style="63" hidden="1" customWidth="1"/>
    <col min="33" max="33" width="43.21875" style="63" hidden="1" customWidth="1"/>
    <col min="34" max="36" width="12.109375" style="63" hidden="1" customWidth="1"/>
    <col min="37" max="37" width="25.21875" style="63" hidden="1" customWidth="1"/>
    <col min="38" max="39" width="34.6640625" style="63" hidden="1" customWidth="1"/>
    <col min="40" max="40" width="60.44140625" style="63" hidden="1" customWidth="1"/>
    <col min="41" max="41" width="30.77734375" style="64" hidden="1" customWidth="1"/>
    <col min="42" max="42" width="43.77734375" style="67" hidden="1" customWidth="1"/>
    <col min="43" max="43" width="11.6640625" style="63" hidden="1" customWidth="1"/>
    <col min="44" max="44" width="18.44140625" style="63" hidden="1" customWidth="1"/>
    <col min="49" max="49" width="173.44140625" style="5" bestFit="1" customWidth="1"/>
    <col min="50" max="50" width="38.21875" style="5" bestFit="1" customWidth="1"/>
    <col min="51" max="51" width="23.21875" style="5" bestFit="1" customWidth="1"/>
    <col min="52" max="52" width="20.77734375" style="5" bestFit="1" customWidth="1"/>
    <col min="53" max="53" width="9" style="5" customWidth="1"/>
    <col min="54" max="54" width="9" style="5"/>
    <col min="55" max="55" width="19.109375" style="5" customWidth="1"/>
    <col min="56" max="56" width="48.21875" style="5" bestFit="1" customWidth="1"/>
    <col min="57" max="16384" width="9" style="5"/>
  </cols>
  <sheetData>
    <row r="1" spans="1:57" ht="32.25" customHeight="1">
      <c r="A1" s="53" t="s">
        <v>0</v>
      </c>
      <c r="B1" s="6" t="s">
        <v>7</v>
      </c>
      <c r="C1" s="33" t="s">
        <v>1</v>
      </c>
      <c r="D1" s="33" t="s">
        <v>5672</v>
      </c>
      <c r="E1" s="37" t="s">
        <v>2</v>
      </c>
      <c r="F1" s="6" t="s">
        <v>8074</v>
      </c>
      <c r="G1" s="6" t="s">
        <v>25</v>
      </c>
      <c r="H1" s="7" t="s">
        <v>3</v>
      </c>
      <c r="I1" s="84" t="s">
        <v>1606</v>
      </c>
      <c r="J1" s="6" t="s">
        <v>4</v>
      </c>
      <c r="K1" s="7" t="s">
        <v>26</v>
      </c>
      <c r="L1" s="6" t="s">
        <v>5</v>
      </c>
      <c r="M1" s="6" t="s">
        <v>3569</v>
      </c>
      <c r="N1" s="8" t="s">
        <v>404</v>
      </c>
      <c r="O1" s="8" t="s">
        <v>8077</v>
      </c>
      <c r="P1" s="8" t="s">
        <v>8078</v>
      </c>
      <c r="Q1" s="8" t="s">
        <v>8075</v>
      </c>
      <c r="R1" s="6" t="s">
        <v>6846</v>
      </c>
      <c r="S1" s="8" t="s">
        <v>8076</v>
      </c>
      <c r="T1" s="9" t="s">
        <v>8084</v>
      </c>
      <c r="U1" s="9" t="s">
        <v>6456</v>
      </c>
      <c r="V1" s="93" t="s">
        <v>27</v>
      </c>
      <c r="W1" s="100" t="s">
        <v>6</v>
      </c>
      <c r="X1" s="9" t="s">
        <v>8072</v>
      </c>
      <c r="Y1" s="51" t="s">
        <v>8086</v>
      </c>
      <c r="Z1" s="51" t="s">
        <v>8087</v>
      </c>
      <c r="AA1" s="51" t="s">
        <v>8088</v>
      </c>
      <c r="AB1" s="51" t="s">
        <v>8089</v>
      </c>
      <c r="AC1" s="51" t="s">
        <v>8090</v>
      </c>
      <c r="AD1" s="51" t="s">
        <v>39</v>
      </c>
      <c r="AE1" s="51" t="s">
        <v>8107</v>
      </c>
      <c r="AF1" s="62" t="s">
        <v>8121</v>
      </c>
      <c r="AG1" s="62" t="s">
        <v>8122</v>
      </c>
      <c r="AH1" s="62" t="s">
        <v>8123</v>
      </c>
      <c r="AI1" s="62" t="s">
        <v>8124</v>
      </c>
      <c r="AJ1" s="62" t="s">
        <v>8125</v>
      </c>
      <c r="AK1" s="62" t="s">
        <v>39</v>
      </c>
      <c r="AL1" s="62" t="s">
        <v>8126</v>
      </c>
      <c r="AM1" s="62" t="s">
        <v>8127</v>
      </c>
      <c r="AN1" s="62" t="s">
        <v>8174</v>
      </c>
      <c r="AO1" s="65" t="s">
        <v>5803</v>
      </c>
      <c r="AP1" s="62" t="s">
        <v>6309</v>
      </c>
      <c r="AQ1" s="106" t="s">
        <v>1810</v>
      </c>
      <c r="AR1" s="68" t="s">
        <v>6456</v>
      </c>
    </row>
    <row r="2" spans="1:57">
      <c r="A2" s="39">
        <v>43498</v>
      </c>
      <c r="B2" s="11" t="s">
        <v>528</v>
      </c>
      <c r="C2" s="16" t="s">
        <v>1336</v>
      </c>
      <c r="D2" s="16"/>
      <c r="E2" s="38">
        <v>19441</v>
      </c>
      <c r="F2" s="38"/>
      <c r="G2" s="10" t="s">
        <v>406</v>
      </c>
      <c r="H2" s="12" t="s">
        <v>1017</v>
      </c>
      <c r="I2" s="13">
        <v>2.8</v>
      </c>
      <c r="J2" s="15" t="s">
        <v>1337</v>
      </c>
      <c r="K2" s="12"/>
      <c r="L2" s="11" t="s">
        <v>33</v>
      </c>
      <c r="M2" s="15"/>
      <c r="N2" s="17">
        <v>5500</v>
      </c>
      <c r="O2" s="17"/>
      <c r="P2" s="17"/>
      <c r="Q2" s="48"/>
      <c r="R2" s="11"/>
      <c r="S2" s="48"/>
      <c r="T2" s="85"/>
      <c r="U2" s="88"/>
      <c r="V2" s="32" t="s">
        <v>1467</v>
      </c>
      <c r="W2" s="25" t="s">
        <v>8</v>
      </c>
      <c r="X2" s="11"/>
      <c r="Y2" s="50" t="s">
        <v>11</v>
      </c>
      <c r="Z2" s="50"/>
      <c r="AA2" s="50"/>
      <c r="AB2" s="50"/>
      <c r="AC2" s="50"/>
      <c r="AD2" s="50"/>
      <c r="AE2" s="50"/>
      <c r="AF2" s="34"/>
      <c r="AG2" s="34"/>
      <c r="AH2" s="34"/>
      <c r="AI2" s="34"/>
      <c r="AJ2" s="34"/>
      <c r="AK2" s="34"/>
      <c r="AL2" s="34"/>
      <c r="AM2" s="34"/>
      <c r="AN2" s="34"/>
      <c r="AO2" s="65"/>
      <c r="AP2" s="69"/>
      <c r="AQ2" s="62"/>
      <c r="AR2" s="34"/>
      <c r="AW2" s="5" t="s">
        <v>1547</v>
      </c>
      <c r="AX2" s="5" t="s">
        <v>11</v>
      </c>
      <c r="AY2" s="5" t="s">
        <v>22</v>
      </c>
      <c r="AZ2" s="5" t="s">
        <v>33</v>
      </c>
      <c r="BA2" s="5" t="s">
        <v>8098</v>
      </c>
      <c r="BB2" s="5" t="s">
        <v>8099</v>
      </c>
      <c r="BC2" s="5" t="s">
        <v>8103</v>
      </c>
      <c r="BD2" s="5" t="s">
        <v>8115</v>
      </c>
      <c r="BE2" s="5" t="s">
        <v>8128</v>
      </c>
    </row>
    <row r="3" spans="1:57">
      <c r="A3" s="39">
        <v>43567</v>
      </c>
      <c r="B3" s="11" t="s">
        <v>22</v>
      </c>
      <c r="C3" s="16" t="s">
        <v>28</v>
      </c>
      <c r="D3" s="16"/>
      <c r="E3" s="38">
        <v>32008</v>
      </c>
      <c r="F3" s="38"/>
      <c r="G3" s="10" t="s">
        <v>29</v>
      </c>
      <c r="H3" s="12" t="s">
        <v>30</v>
      </c>
      <c r="I3" s="13" t="s">
        <v>1607</v>
      </c>
      <c r="J3" s="15" t="s">
        <v>32</v>
      </c>
      <c r="K3" s="14" t="s">
        <v>31</v>
      </c>
      <c r="L3" s="11" t="s">
        <v>35</v>
      </c>
      <c r="M3" s="15"/>
      <c r="N3" s="17"/>
      <c r="O3" s="17"/>
      <c r="P3" s="17"/>
      <c r="Q3" s="48"/>
      <c r="R3" s="11"/>
      <c r="S3" s="48"/>
      <c r="T3" s="85"/>
      <c r="U3" s="88"/>
      <c r="V3" s="32"/>
      <c r="W3" s="25" t="s">
        <v>10</v>
      </c>
      <c r="X3" s="11"/>
      <c r="Y3" s="50" t="s">
        <v>14</v>
      </c>
      <c r="Z3" s="50"/>
      <c r="AA3" s="50"/>
      <c r="AB3" s="50"/>
      <c r="AC3" s="50"/>
      <c r="AD3" s="50"/>
      <c r="AE3" s="50"/>
      <c r="AF3" s="34"/>
      <c r="AG3" s="34"/>
      <c r="AH3" s="34"/>
      <c r="AI3" s="34"/>
      <c r="AJ3" s="34"/>
      <c r="AK3" s="34"/>
      <c r="AL3" s="34"/>
      <c r="AM3" s="34"/>
      <c r="AN3" s="34"/>
      <c r="AO3" s="65"/>
      <c r="AP3" s="69"/>
      <c r="AQ3" s="62"/>
      <c r="AR3" s="34"/>
      <c r="AW3" s="5" t="s">
        <v>1409</v>
      </c>
      <c r="AX3" s="5" t="s">
        <v>12</v>
      </c>
      <c r="AY3" s="5" t="s">
        <v>23</v>
      </c>
      <c r="AZ3" s="5" t="s">
        <v>34</v>
      </c>
      <c r="BA3" s="5" t="s">
        <v>8097</v>
      </c>
      <c r="BB3" s="5" t="s">
        <v>8100</v>
      </c>
      <c r="BC3" s="5" t="s">
        <v>8104</v>
      </c>
      <c r="BD3" s="5" t="s">
        <v>8116</v>
      </c>
      <c r="BE3" s="5" t="s">
        <v>8129</v>
      </c>
    </row>
    <row r="4" spans="1:57">
      <c r="A4" s="39">
        <v>43574</v>
      </c>
      <c r="B4" s="11" t="s">
        <v>49</v>
      </c>
      <c r="C4" s="16" t="s">
        <v>45</v>
      </c>
      <c r="D4" s="16"/>
      <c r="E4" s="38">
        <v>30876</v>
      </c>
      <c r="F4" s="38"/>
      <c r="G4" s="11" t="s">
        <v>609</v>
      </c>
      <c r="H4" s="12" t="s">
        <v>608</v>
      </c>
      <c r="I4" s="13" t="s">
        <v>1609</v>
      </c>
      <c r="J4" s="15" t="s">
        <v>47</v>
      </c>
      <c r="K4" s="14" t="s">
        <v>46</v>
      </c>
      <c r="L4" s="11" t="s">
        <v>34</v>
      </c>
      <c r="M4" s="15"/>
      <c r="N4" s="17"/>
      <c r="O4" s="17"/>
      <c r="P4" s="17"/>
      <c r="Q4" s="48"/>
      <c r="R4" s="11"/>
      <c r="S4" s="48"/>
      <c r="T4" s="85"/>
      <c r="U4" s="88"/>
      <c r="V4" s="32" t="s">
        <v>50</v>
      </c>
      <c r="W4" s="25" t="s">
        <v>8</v>
      </c>
      <c r="X4" s="11"/>
      <c r="Y4" s="50" t="s">
        <v>11</v>
      </c>
      <c r="Z4" s="50"/>
      <c r="AA4" s="50"/>
      <c r="AB4" s="50"/>
      <c r="AC4" s="50"/>
      <c r="AD4" s="50"/>
      <c r="AE4" s="50"/>
      <c r="AF4" s="34"/>
      <c r="AG4" s="34"/>
      <c r="AH4" s="34"/>
      <c r="AI4" s="34"/>
      <c r="AJ4" s="34"/>
      <c r="AK4" s="34"/>
      <c r="AL4" s="34"/>
      <c r="AM4" s="34"/>
      <c r="AN4" s="34"/>
      <c r="AO4" s="65"/>
      <c r="AP4" s="69"/>
      <c r="AQ4" s="62"/>
      <c r="AR4" s="34"/>
      <c r="AW4" s="5" t="s">
        <v>6598</v>
      </c>
      <c r="AX4" s="5" t="s">
        <v>13</v>
      </c>
      <c r="AY4" s="5" t="s">
        <v>24</v>
      </c>
      <c r="AZ4" s="5" t="s">
        <v>35</v>
      </c>
      <c r="BB4" s="5" t="s">
        <v>8101</v>
      </c>
      <c r="BC4" s="5" t="s">
        <v>8105</v>
      </c>
      <c r="BD4" s="5" t="s">
        <v>8118</v>
      </c>
      <c r="BE4" s="5" t="s">
        <v>8131</v>
      </c>
    </row>
    <row r="5" spans="1:57">
      <c r="A5" s="39">
        <v>43574</v>
      </c>
      <c r="B5" s="11" t="s">
        <v>49</v>
      </c>
      <c r="C5" s="16" t="s">
        <v>51</v>
      </c>
      <c r="D5" s="16"/>
      <c r="E5" s="38">
        <v>30250</v>
      </c>
      <c r="F5" s="101"/>
      <c r="G5" s="102" t="s">
        <v>52</v>
      </c>
      <c r="H5" s="12" t="s">
        <v>53</v>
      </c>
      <c r="I5" s="13" t="s">
        <v>1610</v>
      </c>
      <c r="J5" s="12" t="s">
        <v>54</v>
      </c>
      <c r="K5" s="14" t="s">
        <v>55</v>
      </c>
      <c r="L5" s="11" t="s">
        <v>33</v>
      </c>
      <c r="M5" s="12"/>
      <c r="N5" s="17"/>
      <c r="O5" s="17"/>
      <c r="P5" s="17"/>
      <c r="Q5" s="48"/>
      <c r="R5" s="11"/>
      <c r="S5" s="48"/>
      <c r="T5" s="85"/>
      <c r="U5" s="88"/>
      <c r="V5" s="32" t="s">
        <v>50</v>
      </c>
      <c r="W5" s="25" t="s">
        <v>8</v>
      </c>
      <c r="X5" s="11"/>
      <c r="Y5" s="50" t="s">
        <v>12</v>
      </c>
      <c r="Z5" s="50"/>
      <c r="AA5" s="50"/>
      <c r="AB5" s="50"/>
      <c r="AC5" s="50"/>
      <c r="AD5" s="50"/>
      <c r="AE5" s="50"/>
      <c r="AF5" s="34"/>
      <c r="AG5" s="34"/>
      <c r="AH5" s="34"/>
      <c r="AI5" s="34"/>
      <c r="AJ5" s="34"/>
      <c r="AK5" s="34"/>
      <c r="AL5" s="34"/>
      <c r="AM5" s="34"/>
      <c r="AN5" s="34"/>
      <c r="AO5" s="65"/>
      <c r="AP5" s="69"/>
      <c r="AQ5" s="62"/>
      <c r="AR5" s="34"/>
      <c r="AW5" s="5" t="s">
        <v>3848</v>
      </c>
      <c r="AX5" s="5" t="s">
        <v>20</v>
      </c>
      <c r="AY5" s="5" t="s">
        <v>2170</v>
      </c>
      <c r="AZ5" s="5" t="s">
        <v>36</v>
      </c>
      <c r="BB5" s="5" t="s">
        <v>8102</v>
      </c>
      <c r="BC5" s="5" t="s">
        <v>8106</v>
      </c>
      <c r="BD5" s="5" t="s">
        <v>8165</v>
      </c>
      <c r="BE5" s="5" t="s">
        <v>8132</v>
      </c>
    </row>
    <row r="6" spans="1:57">
      <c r="A6" s="39">
        <v>43574</v>
      </c>
      <c r="B6" s="11" t="s">
        <v>22</v>
      </c>
      <c r="C6" s="16" t="s">
        <v>40</v>
      </c>
      <c r="D6" s="16"/>
      <c r="E6" s="38">
        <v>21045.081296296295</v>
      </c>
      <c r="F6" s="38"/>
      <c r="G6" s="10" t="s">
        <v>44</v>
      </c>
      <c r="H6" s="12" t="s">
        <v>41</v>
      </c>
      <c r="I6" s="13" t="s">
        <v>1608</v>
      </c>
      <c r="J6" s="15" t="s">
        <v>42</v>
      </c>
      <c r="K6" s="12"/>
      <c r="L6" s="11" t="s">
        <v>33</v>
      </c>
      <c r="M6" s="15"/>
      <c r="N6" s="17"/>
      <c r="O6" s="17"/>
      <c r="P6" s="17"/>
      <c r="Q6" s="48"/>
      <c r="R6" s="11"/>
      <c r="S6" s="48"/>
      <c r="T6" s="85" t="s">
        <v>81</v>
      </c>
      <c r="U6" s="88"/>
      <c r="V6" s="32" t="s">
        <v>81</v>
      </c>
      <c r="W6" s="25"/>
      <c r="X6" s="11"/>
      <c r="Y6" s="50"/>
      <c r="Z6" s="50"/>
      <c r="AA6" s="50"/>
      <c r="AB6" s="50"/>
      <c r="AC6" s="50"/>
      <c r="AD6" s="50"/>
      <c r="AE6" s="50"/>
      <c r="AF6" s="34"/>
      <c r="AG6" s="34"/>
      <c r="AH6" s="34"/>
      <c r="AI6" s="34"/>
      <c r="AJ6" s="34"/>
      <c r="AK6" s="34"/>
      <c r="AL6" s="34"/>
      <c r="AM6" s="34"/>
      <c r="AN6" s="34"/>
      <c r="AO6" s="65"/>
      <c r="AP6" s="69"/>
      <c r="AQ6" s="62"/>
      <c r="AR6" s="34"/>
      <c r="AW6" s="5" t="s">
        <v>3849</v>
      </c>
      <c r="AX6" s="5" t="s">
        <v>15</v>
      </c>
      <c r="AY6" s="5" t="s">
        <v>2171</v>
      </c>
      <c r="AZ6" s="5" t="s">
        <v>37</v>
      </c>
      <c r="BD6" s="5" t="s">
        <v>8119</v>
      </c>
      <c r="BE6" s="5" t="s">
        <v>8133</v>
      </c>
    </row>
    <row r="7" spans="1:57">
      <c r="A7" s="39">
        <v>43574</v>
      </c>
      <c r="B7" s="11" t="s">
        <v>22</v>
      </c>
      <c r="C7" s="16" t="s">
        <v>43</v>
      </c>
      <c r="D7" s="16"/>
      <c r="E7" s="38">
        <v>17020</v>
      </c>
      <c r="F7" s="38"/>
      <c r="G7" s="10" t="s">
        <v>44</v>
      </c>
      <c r="H7" s="12" t="s">
        <v>41</v>
      </c>
      <c r="I7" s="13" t="s">
        <v>1608</v>
      </c>
      <c r="J7" s="15" t="s">
        <v>42</v>
      </c>
      <c r="K7" s="12"/>
      <c r="L7" s="11" t="s">
        <v>33</v>
      </c>
      <c r="M7" s="15"/>
      <c r="N7" s="17"/>
      <c r="O7" s="17"/>
      <c r="P7" s="17"/>
      <c r="Q7" s="48"/>
      <c r="R7" s="11"/>
      <c r="S7" s="48"/>
      <c r="T7" s="85" t="s">
        <v>81</v>
      </c>
      <c r="U7" s="88"/>
      <c r="V7" s="32" t="s">
        <v>81</v>
      </c>
      <c r="W7" s="25"/>
      <c r="X7" s="11"/>
      <c r="Y7" s="50"/>
      <c r="Z7" s="50"/>
      <c r="AA7" s="50"/>
      <c r="AB7" s="50"/>
      <c r="AC7" s="50"/>
      <c r="AD7" s="50"/>
      <c r="AE7" s="50"/>
      <c r="AF7" s="34"/>
      <c r="AG7" s="34"/>
      <c r="AH7" s="34"/>
      <c r="AI7" s="34"/>
      <c r="AJ7" s="34"/>
      <c r="AK7" s="34"/>
      <c r="AL7" s="34"/>
      <c r="AM7" s="34"/>
      <c r="AN7" s="34"/>
      <c r="AO7" s="65"/>
      <c r="AP7" s="69"/>
      <c r="AQ7" s="62"/>
      <c r="AR7" s="34"/>
      <c r="AW7" s="5" t="s">
        <v>7402</v>
      </c>
      <c r="AX7" s="5" t="s">
        <v>16</v>
      </c>
      <c r="AY7" s="5" t="s">
        <v>3391</v>
      </c>
      <c r="AZ7" s="5" t="s">
        <v>38</v>
      </c>
      <c r="BD7" s="5" t="s">
        <v>8120</v>
      </c>
    </row>
    <row r="8" spans="1:57">
      <c r="A8" s="39">
        <v>43575</v>
      </c>
      <c r="B8" s="11" t="s">
        <v>22</v>
      </c>
      <c r="C8" s="16" t="s">
        <v>56</v>
      </c>
      <c r="D8" s="16"/>
      <c r="E8" s="38">
        <v>26189</v>
      </c>
      <c r="F8" s="38"/>
      <c r="G8" s="10" t="s">
        <v>57</v>
      </c>
      <c r="H8" s="12" t="s">
        <v>58</v>
      </c>
      <c r="I8" s="13" t="s">
        <v>1611</v>
      </c>
      <c r="J8" s="15" t="s">
        <v>59</v>
      </c>
      <c r="K8" s="12"/>
      <c r="L8" s="11" t="s">
        <v>36</v>
      </c>
      <c r="M8" s="15"/>
      <c r="N8" s="17"/>
      <c r="O8" s="17"/>
      <c r="P8" s="17"/>
      <c r="Q8" s="48"/>
      <c r="R8" s="11"/>
      <c r="S8" s="48"/>
      <c r="T8" s="85"/>
      <c r="U8" s="88"/>
      <c r="V8" s="32" t="s">
        <v>60</v>
      </c>
      <c r="W8" s="25" t="s">
        <v>8</v>
      </c>
      <c r="X8" s="11"/>
      <c r="Y8" s="50" t="s">
        <v>12</v>
      </c>
      <c r="Z8" s="50"/>
      <c r="AA8" s="50"/>
      <c r="AB8" s="50"/>
      <c r="AC8" s="50"/>
      <c r="AD8" s="50"/>
      <c r="AE8" s="50"/>
      <c r="AF8" s="34"/>
      <c r="AG8" s="34"/>
      <c r="AH8" s="34"/>
      <c r="AI8" s="34"/>
      <c r="AJ8" s="34"/>
      <c r="AK8" s="34"/>
      <c r="AL8" s="34"/>
      <c r="AM8" s="34"/>
      <c r="AN8" s="34"/>
      <c r="AO8" s="65"/>
      <c r="AP8" s="69"/>
      <c r="AQ8" s="62"/>
      <c r="AR8" s="34"/>
      <c r="AW8" s="5" t="s">
        <v>8134</v>
      </c>
      <c r="AX8" s="5" t="s">
        <v>18</v>
      </c>
      <c r="AY8" s="18" t="s">
        <v>5659</v>
      </c>
      <c r="AZ8" s="5" t="s">
        <v>39</v>
      </c>
    </row>
    <row r="9" spans="1:57">
      <c r="A9" s="39">
        <v>43576</v>
      </c>
      <c r="B9" s="11" t="s">
        <v>49</v>
      </c>
      <c r="C9" s="16" t="s">
        <v>63</v>
      </c>
      <c r="D9" s="16"/>
      <c r="E9" s="38">
        <v>23619</v>
      </c>
      <c r="F9" s="38"/>
      <c r="G9" s="10" t="s">
        <v>64</v>
      </c>
      <c r="H9" s="12" t="s">
        <v>65</v>
      </c>
      <c r="I9" s="13" t="s">
        <v>1612</v>
      </c>
      <c r="J9" s="15" t="s">
        <v>66</v>
      </c>
      <c r="K9" s="12"/>
      <c r="L9" s="11"/>
      <c r="M9" s="15"/>
      <c r="N9" s="17"/>
      <c r="O9" s="17"/>
      <c r="P9" s="17"/>
      <c r="Q9" s="48"/>
      <c r="R9" s="11"/>
      <c r="S9" s="48"/>
      <c r="T9" s="85"/>
      <c r="U9" s="88"/>
      <c r="V9" s="32" t="s">
        <v>67</v>
      </c>
      <c r="W9" s="25" t="s">
        <v>8</v>
      </c>
      <c r="X9" s="11"/>
      <c r="Y9" s="50" t="s">
        <v>39</v>
      </c>
      <c r="Z9" s="50"/>
      <c r="AA9" s="50"/>
      <c r="AB9" s="50"/>
      <c r="AC9" s="50"/>
      <c r="AD9" s="50"/>
      <c r="AE9" s="50"/>
      <c r="AF9" s="34"/>
      <c r="AG9" s="34"/>
      <c r="AH9" s="34"/>
      <c r="AI9" s="34"/>
      <c r="AJ9" s="34"/>
      <c r="AK9" s="34"/>
      <c r="AL9" s="34"/>
      <c r="AM9" s="34"/>
      <c r="AN9" s="34"/>
      <c r="AO9" s="65"/>
      <c r="AP9" s="69"/>
      <c r="AQ9" s="62"/>
      <c r="AR9" s="34"/>
      <c r="AW9" s="5" t="s">
        <v>6604</v>
      </c>
      <c r="AX9" s="5" t="s">
        <v>17</v>
      </c>
    </row>
    <row r="10" spans="1:57">
      <c r="A10" s="39">
        <v>43577</v>
      </c>
      <c r="B10" s="11" t="s">
        <v>22</v>
      </c>
      <c r="C10" s="16" t="s">
        <v>61</v>
      </c>
      <c r="D10" s="16"/>
      <c r="E10" s="38">
        <v>23969</v>
      </c>
      <c r="F10" s="38"/>
      <c r="G10" s="10" t="s">
        <v>57</v>
      </c>
      <c r="H10" s="12" t="s">
        <v>58</v>
      </c>
      <c r="I10" s="13" t="s">
        <v>1611</v>
      </c>
      <c r="J10" s="15" t="s">
        <v>62</v>
      </c>
      <c r="K10" s="12"/>
      <c r="L10" s="11" t="s">
        <v>33</v>
      </c>
      <c r="M10" s="15"/>
      <c r="N10" s="17"/>
      <c r="O10" s="17"/>
      <c r="P10" s="17"/>
      <c r="Q10" s="48"/>
      <c r="R10" s="11"/>
      <c r="S10" s="48"/>
      <c r="T10" s="85"/>
      <c r="U10" s="88"/>
      <c r="V10" s="32"/>
      <c r="W10" s="25" t="s">
        <v>8</v>
      </c>
      <c r="X10" s="11"/>
      <c r="Y10" s="50" t="s">
        <v>11</v>
      </c>
      <c r="Z10" s="50"/>
      <c r="AA10" s="50"/>
      <c r="AB10" s="50"/>
      <c r="AC10" s="50"/>
      <c r="AD10" s="50"/>
      <c r="AE10" s="50"/>
      <c r="AF10" s="34"/>
      <c r="AG10" s="34"/>
      <c r="AH10" s="34"/>
      <c r="AI10" s="34"/>
      <c r="AJ10" s="34"/>
      <c r="AK10" s="34"/>
      <c r="AL10" s="34"/>
      <c r="AM10" s="34"/>
      <c r="AN10" s="34"/>
      <c r="AO10" s="65"/>
      <c r="AP10" s="69"/>
      <c r="AQ10" s="62"/>
      <c r="AR10" s="34"/>
      <c r="AW10" s="5" t="s">
        <v>9</v>
      </c>
      <c r="AX10" s="5" t="s">
        <v>19</v>
      </c>
    </row>
    <row r="11" spans="1:57">
      <c r="A11" s="39">
        <v>43579</v>
      </c>
      <c r="B11" s="11" t="s">
        <v>22</v>
      </c>
      <c r="C11" s="16" t="s">
        <v>68</v>
      </c>
      <c r="D11" s="16"/>
      <c r="E11" s="38">
        <v>23281</v>
      </c>
      <c r="F11" s="38"/>
      <c r="G11" s="10" t="s">
        <v>69</v>
      </c>
      <c r="H11" s="12" t="s">
        <v>70</v>
      </c>
      <c r="I11" s="13" t="s">
        <v>1613</v>
      </c>
      <c r="J11" s="15" t="s">
        <v>71</v>
      </c>
      <c r="K11" s="12"/>
      <c r="L11" s="11" t="s">
        <v>36</v>
      </c>
      <c r="M11" s="15"/>
      <c r="N11" s="17"/>
      <c r="O11" s="17"/>
      <c r="P11" s="17"/>
      <c r="Q11" s="48"/>
      <c r="R11" s="11"/>
      <c r="S11" s="48"/>
      <c r="T11" s="85"/>
      <c r="U11" s="88"/>
      <c r="V11" s="32"/>
      <c r="W11" s="25" t="s">
        <v>48</v>
      </c>
      <c r="X11" s="11"/>
      <c r="Y11" s="50" t="s">
        <v>18</v>
      </c>
      <c r="Z11" s="50"/>
      <c r="AA11" s="50"/>
      <c r="AB11" s="50"/>
      <c r="AC11" s="50"/>
      <c r="AD11" s="50"/>
      <c r="AE11" s="50"/>
      <c r="AF11" s="34"/>
      <c r="AG11" s="34"/>
      <c r="AH11" s="34"/>
      <c r="AI11" s="34"/>
      <c r="AJ11" s="34"/>
      <c r="AK11" s="34"/>
      <c r="AL11" s="34"/>
      <c r="AM11" s="34"/>
      <c r="AN11" s="34"/>
      <c r="AO11" s="65"/>
      <c r="AP11" s="69"/>
      <c r="AQ11" s="62"/>
      <c r="AR11" s="34"/>
      <c r="AW11" s="5" t="s">
        <v>39</v>
      </c>
      <c r="AX11" s="5" t="s">
        <v>14</v>
      </c>
    </row>
    <row r="12" spans="1:57">
      <c r="A12" s="39">
        <v>43580</v>
      </c>
      <c r="B12" s="11" t="s">
        <v>22</v>
      </c>
      <c r="C12" s="16" t="s">
        <v>72</v>
      </c>
      <c r="D12" s="16"/>
      <c r="E12" s="38">
        <v>23553</v>
      </c>
      <c r="F12" s="38"/>
      <c r="G12" s="10" t="s">
        <v>73</v>
      </c>
      <c r="H12" s="12" t="s">
        <v>74</v>
      </c>
      <c r="I12" s="13" t="s">
        <v>1614</v>
      </c>
      <c r="J12" s="15" t="s">
        <v>75</v>
      </c>
      <c r="K12" s="12"/>
      <c r="L12" s="11" t="s">
        <v>34</v>
      </c>
      <c r="M12" s="15"/>
      <c r="N12" s="17"/>
      <c r="O12" s="17"/>
      <c r="P12" s="17"/>
      <c r="Q12" s="48"/>
      <c r="R12" s="11"/>
      <c r="S12" s="48"/>
      <c r="T12" s="85"/>
      <c r="U12" s="88"/>
      <c r="V12" s="32" t="s">
        <v>76</v>
      </c>
      <c r="W12" s="25" t="s">
        <v>8</v>
      </c>
      <c r="X12" s="11"/>
      <c r="Y12" s="50"/>
      <c r="Z12" s="50"/>
      <c r="AA12" s="50"/>
      <c r="AB12" s="50"/>
      <c r="AC12" s="50"/>
      <c r="AD12" s="50"/>
      <c r="AE12" s="50"/>
      <c r="AF12" s="34"/>
      <c r="AG12" s="34"/>
      <c r="AH12" s="34"/>
      <c r="AI12" s="34"/>
      <c r="AJ12" s="34"/>
      <c r="AK12" s="34"/>
      <c r="AL12" s="34"/>
      <c r="AM12" s="34"/>
      <c r="AN12" s="34"/>
      <c r="AO12" s="65"/>
      <c r="AP12" s="69"/>
      <c r="AQ12" s="62"/>
      <c r="AR12" s="34"/>
      <c r="AW12" s="5" t="s">
        <v>8</v>
      </c>
      <c r="AX12" s="5" t="s">
        <v>21</v>
      </c>
    </row>
    <row r="13" spans="1:57">
      <c r="A13" s="39">
        <v>43581</v>
      </c>
      <c r="B13" s="11" t="s">
        <v>49</v>
      </c>
      <c r="C13" s="16" t="s">
        <v>82</v>
      </c>
      <c r="D13" s="16"/>
      <c r="E13" s="38">
        <v>26202</v>
      </c>
      <c r="F13" s="38"/>
      <c r="G13" s="10" t="s">
        <v>83</v>
      </c>
      <c r="H13" s="12" t="s">
        <v>84</v>
      </c>
      <c r="I13" s="13" t="s">
        <v>1615</v>
      </c>
      <c r="J13" s="15" t="s">
        <v>86</v>
      </c>
      <c r="K13" s="14" t="s">
        <v>85</v>
      </c>
      <c r="L13" s="11" t="s">
        <v>36</v>
      </c>
      <c r="M13" s="15"/>
      <c r="N13" s="17"/>
      <c r="O13" s="17"/>
      <c r="P13" s="17"/>
      <c r="Q13" s="48"/>
      <c r="R13" s="11"/>
      <c r="S13" s="48"/>
      <c r="T13" s="85"/>
      <c r="U13" s="88"/>
      <c r="V13" s="32" t="s">
        <v>87</v>
      </c>
      <c r="W13" s="25" t="s">
        <v>8</v>
      </c>
      <c r="X13" s="11"/>
      <c r="Y13" s="50" t="s">
        <v>14</v>
      </c>
      <c r="Z13" s="50"/>
      <c r="AA13" s="50"/>
      <c r="AB13" s="50"/>
      <c r="AC13" s="50"/>
      <c r="AD13" s="50"/>
      <c r="AE13" s="50"/>
      <c r="AF13" s="34"/>
      <c r="AG13" s="34"/>
      <c r="AH13" s="34"/>
      <c r="AI13" s="34"/>
      <c r="AJ13" s="34"/>
      <c r="AK13" s="34"/>
      <c r="AL13" s="34"/>
      <c r="AM13" s="34"/>
      <c r="AN13" s="34"/>
      <c r="AO13" s="65"/>
      <c r="AP13" s="69"/>
      <c r="AQ13" s="62"/>
      <c r="AR13" s="34"/>
      <c r="AW13" s="5" t="s">
        <v>6772</v>
      </c>
      <c r="AX13" s="5" t="s">
        <v>39</v>
      </c>
    </row>
    <row r="14" spans="1:57">
      <c r="A14" s="39">
        <v>43581</v>
      </c>
      <c r="B14" s="11" t="s">
        <v>49</v>
      </c>
      <c r="C14" s="16" t="s">
        <v>88</v>
      </c>
      <c r="D14" s="16"/>
      <c r="E14" s="38">
        <v>21104</v>
      </c>
      <c r="F14" s="38"/>
      <c r="G14" s="10" t="s">
        <v>89</v>
      </c>
      <c r="H14" s="12" t="s">
        <v>90</v>
      </c>
      <c r="I14" s="13">
        <v>82.4</v>
      </c>
      <c r="J14" s="15" t="s">
        <v>92</v>
      </c>
      <c r="K14" s="14" t="s">
        <v>91</v>
      </c>
      <c r="L14" s="11" t="s">
        <v>34</v>
      </c>
      <c r="M14" s="15"/>
      <c r="N14" s="17"/>
      <c r="O14" s="17"/>
      <c r="P14" s="17"/>
      <c r="Q14" s="48"/>
      <c r="R14" s="11"/>
      <c r="S14" s="48"/>
      <c r="T14" s="85"/>
      <c r="U14" s="88"/>
      <c r="V14" s="32" t="s">
        <v>87</v>
      </c>
      <c r="W14" s="25" t="s">
        <v>8</v>
      </c>
      <c r="X14" s="11"/>
      <c r="Y14" s="50" t="s">
        <v>13</v>
      </c>
      <c r="Z14" s="50"/>
      <c r="AA14" s="50"/>
      <c r="AB14" s="50"/>
      <c r="AC14" s="50"/>
      <c r="AD14" s="50"/>
      <c r="AE14" s="50"/>
      <c r="AF14" s="34"/>
      <c r="AG14" s="34"/>
      <c r="AH14" s="34"/>
      <c r="AI14" s="34"/>
      <c r="AJ14" s="34"/>
      <c r="AK14" s="34"/>
      <c r="AL14" s="34"/>
      <c r="AM14" s="34"/>
      <c r="AN14" s="34"/>
      <c r="AO14" s="65"/>
      <c r="AP14" s="69"/>
      <c r="AQ14" s="62"/>
      <c r="AR14" s="34"/>
      <c r="AW14" s="5" t="s">
        <v>4073</v>
      </c>
    </row>
    <row r="15" spans="1:57">
      <c r="A15" s="39">
        <v>43581</v>
      </c>
      <c r="B15" s="11" t="s">
        <v>22</v>
      </c>
      <c r="C15" s="16" t="s">
        <v>77</v>
      </c>
      <c r="D15" s="16"/>
      <c r="E15" s="38">
        <v>30905</v>
      </c>
      <c r="F15" s="38"/>
      <c r="G15" s="10" t="s">
        <v>78</v>
      </c>
      <c r="H15" s="12" t="s">
        <v>79</v>
      </c>
      <c r="I15" s="13">
        <v>0.6</v>
      </c>
      <c r="J15" s="15" t="s">
        <v>80</v>
      </c>
      <c r="K15" s="12"/>
      <c r="L15" s="11" t="s">
        <v>36</v>
      </c>
      <c r="M15" s="15"/>
      <c r="N15" s="17"/>
      <c r="O15" s="17"/>
      <c r="P15" s="17"/>
      <c r="Q15" s="48"/>
      <c r="R15" s="11"/>
      <c r="S15" s="48"/>
      <c r="T15" s="85" t="s">
        <v>81</v>
      </c>
      <c r="U15" s="88"/>
      <c r="V15" s="32" t="s">
        <v>81</v>
      </c>
      <c r="W15" s="25"/>
      <c r="X15" s="11"/>
      <c r="Y15" s="50" t="s">
        <v>18</v>
      </c>
      <c r="Z15" s="50"/>
      <c r="AA15" s="50"/>
      <c r="AB15" s="50"/>
      <c r="AC15" s="50"/>
      <c r="AD15" s="50"/>
      <c r="AE15" s="50"/>
      <c r="AF15" s="34"/>
      <c r="AG15" s="34"/>
      <c r="AH15" s="34"/>
      <c r="AI15" s="34"/>
      <c r="AJ15" s="34"/>
      <c r="AK15" s="34"/>
      <c r="AL15" s="34"/>
      <c r="AM15" s="34"/>
      <c r="AN15" s="34"/>
      <c r="AO15" s="65"/>
      <c r="AP15" s="69"/>
      <c r="AQ15" s="62"/>
      <c r="AR15" s="34"/>
      <c r="AW15" s="5" t="s">
        <v>6715</v>
      </c>
    </row>
    <row r="16" spans="1:57">
      <c r="A16" s="39">
        <v>43582</v>
      </c>
      <c r="B16" s="11" t="s">
        <v>22</v>
      </c>
      <c r="C16" s="16" t="s">
        <v>93</v>
      </c>
      <c r="D16" s="16"/>
      <c r="E16" s="38">
        <v>22298</v>
      </c>
      <c r="F16" s="38"/>
      <c r="G16" s="10" t="s">
        <v>44</v>
      </c>
      <c r="H16" s="12" t="s">
        <v>94</v>
      </c>
      <c r="I16" s="13" t="s">
        <v>1616</v>
      </c>
      <c r="J16" s="15" t="s">
        <v>95</v>
      </c>
      <c r="K16" s="12"/>
      <c r="L16" s="11" t="s">
        <v>36</v>
      </c>
      <c r="M16" s="15"/>
      <c r="N16" s="17"/>
      <c r="O16" s="17"/>
      <c r="P16" s="17"/>
      <c r="Q16" s="48"/>
      <c r="R16" s="11"/>
      <c r="S16" s="48"/>
      <c r="T16" s="85"/>
      <c r="U16" s="88"/>
      <c r="V16" s="32"/>
      <c r="W16" s="25" t="s">
        <v>8</v>
      </c>
      <c r="X16" s="11"/>
      <c r="Y16" s="50" t="s">
        <v>12</v>
      </c>
      <c r="Z16" s="50"/>
      <c r="AA16" s="50"/>
      <c r="AB16" s="50"/>
      <c r="AC16" s="50"/>
      <c r="AD16" s="50"/>
      <c r="AE16" s="50"/>
      <c r="AF16" s="34"/>
      <c r="AG16" s="34"/>
      <c r="AH16" s="34"/>
      <c r="AI16" s="34"/>
      <c r="AJ16" s="34"/>
      <c r="AK16" s="34"/>
      <c r="AL16" s="34"/>
      <c r="AM16" s="34"/>
      <c r="AN16" s="34"/>
      <c r="AO16" s="65"/>
      <c r="AP16" s="69"/>
      <c r="AQ16" s="62"/>
      <c r="AR16" s="34"/>
      <c r="AW16" s="5" t="s">
        <v>6605</v>
      </c>
    </row>
    <row r="17" spans="1:44" customFormat="1">
      <c r="A17" s="39">
        <v>43582</v>
      </c>
      <c r="B17" s="11" t="s">
        <v>22</v>
      </c>
      <c r="C17" s="16" t="s">
        <v>96</v>
      </c>
      <c r="D17" s="16"/>
      <c r="E17" s="38">
        <v>28654</v>
      </c>
      <c r="F17" s="38"/>
      <c r="G17" s="10" t="s">
        <v>44</v>
      </c>
      <c r="H17" s="12" t="s">
        <v>94</v>
      </c>
      <c r="I17" s="13" t="s">
        <v>1616</v>
      </c>
      <c r="J17" s="15" t="s">
        <v>97</v>
      </c>
      <c r="K17" s="12"/>
      <c r="L17" s="11" t="s">
        <v>39</v>
      </c>
      <c r="M17" s="15"/>
      <c r="N17" s="17"/>
      <c r="O17" s="17"/>
      <c r="P17" s="17"/>
      <c r="Q17" s="48"/>
      <c r="R17" s="11"/>
      <c r="S17" s="48"/>
      <c r="T17" s="85"/>
      <c r="U17" s="88"/>
      <c r="V17" s="32"/>
      <c r="W17" s="25" t="s">
        <v>8</v>
      </c>
      <c r="X17" s="11"/>
      <c r="Y17" s="50" t="s">
        <v>18</v>
      </c>
      <c r="Z17" s="50"/>
      <c r="AA17" s="50"/>
      <c r="AB17" s="50"/>
      <c r="AC17" s="50"/>
      <c r="AD17" s="50"/>
      <c r="AE17" s="50"/>
      <c r="AF17" s="34"/>
      <c r="AG17" s="34"/>
      <c r="AH17" s="34"/>
      <c r="AI17" s="34"/>
      <c r="AJ17" s="34"/>
      <c r="AK17" s="34"/>
      <c r="AL17" s="34"/>
      <c r="AM17" s="34"/>
      <c r="AN17" s="34"/>
      <c r="AO17" s="65"/>
      <c r="AP17" s="69"/>
      <c r="AQ17" s="62"/>
      <c r="AR17" s="34"/>
    </row>
    <row r="18" spans="1:44" customFormat="1">
      <c r="A18" s="39">
        <v>43583</v>
      </c>
      <c r="B18" s="11" t="s">
        <v>22</v>
      </c>
      <c r="C18" s="16" t="s">
        <v>98</v>
      </c>
      <c r="D18" s="16"/>
      <c r="E18" s="38">
        <v>29290</v>
      </c>
      <c r="F18" s="38"/>
      <c r="G18" s="10" t="s">
        <v>44</v>
      </c>
      <c r="H18" s="12" t="s">
        <v>99</v>
      </c>
      <c r="I18" s="13" t="s">
        <v>1617</v>
      </c>
      <c r="J18" s="15" t="s">
        <v>100</v>
      </c>
      <c r="K18" s="12"/>
      <c r="L18" s="11" t="s">
        <v>36</v>
      </c>
      <c r="M18" s="15"/>
      <c r="N18" s="17"/>
      <c r="O18" s="17"/>
      <c r="P18" s="17"/>
      <c r="Q18" s="48"/>
      <c r="R18" s="11"/>
      <c r="S18" s="48"/>
      <c r="T18" s="85"/>
      <c r="U18" s="88"/>
      <c r="V18" s="32"/>
      <c r="W18" s="25" t="s">
        <v>48</v>
      </c>
      <c r="X18" s="11"/>
      <c r="Y18" s="50" t="s">
        <v>15</v>
      </c>
      <c r="Z18" s="50"/>
      <c r="AA18" s="50"/>
      <c r="AB18" s="50"/>
      <c r="AC18" s="50"/>
      <c r="AD18" s="50"/>
      <c r="AE18" s="50"/>
      <c r="AF18" s="34"/>
      <c r="AG18" s="34"/>
      <c r="AH18" s="34"/>
      <c r="AI18" s="34"/>
      <c r="AJ18" s="34"/>
      <c r="AK18" s="34"/>
      <c r="AL18" s="34"/>
      <c r="AM18" s="34"/>
      <c r="AN18" s="34"/>
      <c r="AO18" s="65"/>
      <c r="AP18" s="69"/>
      <c r="AQ18" s="62"/>
      <c r="AR18" s="34"/>
    </row>
    <row r="19" spans="1:44" customFormat="1">
      <c r="A19" s="39">
        <v>43583</v>
      </c>
      <c r="B19" s="11" t="s">
        <v>49</v>
      </c>
      <c r="C19" s="16" t="s">
        <v>101</v>
      </c>
      <c r="D19" s="16"/>
      <c r="E19" s="38">
        <v>24003</v>
      </c>
      <c r="F19" s="38"/>
      <c r="G19" s="10" t="s">
        <v>102</v>
      </c>
      <c r="H19" s="12" t="s">
        <v>103</v>
      </c>
      <c r="I19" s="13" t="s">
        <v>1618</v>
      </c>
      <c r="J19" s="15" t="s">
        <v>104</v>
      </c>
      <c r="K19" s="12"/>
      <c r="L19" s="11" t="s">
        <v>37</v>
      </c>
      <c r="M19" s="15"/>
      <c r="N19" s="17"/>
      <c r="O19" s="17"/>
      <c r="P19" s="17"/>
      <c r="Q19" s="48"/>
      <c r="R19" s="11"/>
      <c r="S19" s="48"/>
      <c r="T19" s="85"/>
      <c r="U19" s="88"/>
      <c r="V19" s="32" t="s">
        <v>105</v>
      </c>
      <c r="W19" s="25" t="s">
        <v>8</v>
      </c>
      <c r="X19" s="11"/>
      <c r="Y19" s="50" t="s">
        <v>13</v>
      </c>
      <c r="Z19" s="50"/>
      <c r="AA19" s="50"/>
      <c r="AB19" s="50"/>
      <c r="AC19" s="50"/>
      <c r="AD19" s="50"/>
      <c r="AE19" s="50"/>
      <c r="AF19" s="34"/>
      <c r="AG19" s="34"/>
      <c r="AH19" s="34"/>
      <c r="AI19" s="34"/>
      <c r="AJ19" s="34"/>
      <c r="AK19" s="34"/>
      <c r="AL19" s="34"/>
      <c r="AM19" s="34"/>
      <c r="AN19" s="34"/>
      <c r="AO19" s="65"/>
      <c r="AP19" s="69"/>
      <c r="AQ19" s="62"/>
      <c r="AR19" s="34"/>
    </row>
    <row r="20" spans="1:44" customFormat="1">
      <c r="A20" s="39">
        <v>43584</v>
      </c>
      <c r="B20" s="11" t="s">
        <v>22</v>
      </c>
      <c r="C20" s="16" t="s">
        <v>106</v>
      </c>
      <c r="D20" s="16"/>
      <c r="E20" s="38">
        <v>23188</v>
      </c>
      <c r="F20" s="38"/>
      <c r="G20" s="10" t="s">
        <v>107</v>
      </c>
      <c r="H20" s="12" t="s">
        <v>108</v>
      </c>
      <c r="I20" s="13" t="s">
        <v>1619</v>
      </c>
      <c r="J20" s="15" t="s">
        <v>109</v>
      </c>
      <c r="K20" s="12"/>
      <c r="L20" s="11" t="s">
        <v>36</v>
      </c>
      <c r="M20" s="15"/>
      <c r="N20" s="17"/>
      <c r="O20" s="17"/>
      <c r="P20" s="17"/>
      <c r="Q20" s="48"/>
      <c r="R20" s="11"/>
      <c r="S20" s="48"/>
      <c r="T20" s="85"/>
      <c r="U20" s="88"/>
      <c r="V20" s="32"/>
      <c r="W20" s="25" t="s">
        <v>8</v>
      </c>
      <c r="X20" s="11"/>
      <c r="Y20" s="50" t="s">
        <v>12</v>
      </c>
      <c r="Z20" s="50"/>
      <c r="AA20" s="50"/>
      <c r="AB20" s="50"/>
      <c r="AC20" s="50"/>
      <c r="AD20" s="50"/>
      <c r="AE20" s="50"/>
      <c r="AF20" s="34"/>
      <c r="AG20" s="34"/>
      <c r="AH20" s="34"/>
      <c r="AI20" s="34"/>
      <c r="AJ20" s="34"/>
      <c r="AK20" s="34"/>
      <c r="AL20" s="34"/>
      <c r="AM20" s="34"/>
      <c r="AN20" s="34"/>
      <c r="AO20" s="65"/>
      <c r="AP20" s="69"/>
      <c r="AQ20" s="62"/>
      <c r="AR20" s="34"/>
    </row>
    <row r="21" spans="1:44" customFormat="1">
      <c r="A21" s="39">
        <v>43584</v>
      </c>
      <c r="B21" s="11" t="s">
        <v>49</v>
      </c>
      <c r="C21" s="16" t="s">
        <v>114</v>
      </c>
      <c r="D21" s="16"/>
      <c r="E21" s="38">
        <v>31126</v>
      </c>
      <c r="F21" s="38"/>
      <c r="G21" s="10" t="s">
        <v>115</v>
      </c>
      <c r="H21" s="19" t="s">
        <v>116</v>
      </c>
      <c r="I21" s="13" t="s">
        <v>1620</v>
      </c>
      <c r="J21" s="15" t="s">
        <v>117</v>
      </c>
      <c r="K21" s="12"/>
      <c r="L21" s="11" t="s">
        <v>33</v>
      </c>
      <c r="M21" s="15"/>
      <c r="N21" s="17"/>
      <c r="O21" s="17"/>
      <c r="P21" s="17"/>
      <c r="Q21" s="48"/>
      <c r="R21" s="11"/>
      <c r="S21" s="48"/>
      <c r="T21" s="85"/>
      <c r="U21" s="88"/>
      <c r="V21" s="32" t="s">
        <v>105</v>
      </c>
      <c r="W21" s="25" t="s">
        <v>8</v>
      </c>
      <c r="X21" s="11"/>
      <c r="Y21" s="50"/>
      <c r="Z21" s="50"/>
      <c r="AA21" s="50"/>
      <c r="AB21" s="50"/>
      <c r="AC21" s="50"/>
      <c r="AD21" s="50"/>
      <c r="AE21" s="50"/>
      <c r="AF21" s="34"/>
      <c r="AG21" s="34"/>
      <c r="AH21" s="34"/>
      <c r="AI21" s="34"/>
      <c r="AJ21" s="34"/>
      <c r="AK21" s="34"/>
      <c r="AL21" s="34"/>
      <c r="AM21" s="34"/>
      <c r="AN21" s="34"/>
      <c r="AO21" s="65"/>
      <c r="AP21" s="69"/>
      <c r="AQ21" s="62"/>
      <c r="AR21" s="34"/>
    </row>
    <row r="22" spans="1:44" customFormat="1">
      <c r="A22" s="39">
        <v>43584</v>
      </c>
      <c r="B22" s="11" t="s">
        <v>22</v>
      </c>
      <c r="C22" s="16" t="s">
        <v>118</v>
      </c>
      <c r="D22" s="16"/>
      <c r="E22" s="38">
        <v>22738</v>
      </c>
      <c r="F22" s="38"/>
      <c r="G22" s="10" t="s">
        <v>119</v>
      </c>
      <c r="H22" s="12" t="s">
        <v>120</v>
      </c>
      <c r="I22" s="13" t="s">
        <v>1621</v>
      </c>
      <c r="J22" s="15" t="s">
        <v>121</v>
      </c>
      <c r="K22" s="12"/>
      <c r="L22" s="11" t="s">
        <v>36</v>
      </c>
      <c r="M22" s="15"/>
      <c r="N22" s="17"/>
      <c r="O22" s="17"/>
      <c r="P22" s="17"/>
      <c r="Q22" s="48"/>
      <c r="R22" s="11"/>
      <c r="S22" s="48"/>
      <c r="T22" s="85"/>
      <c r="U22" s="88"/>
      <c r="V22" s="32"/>
      <c r="W22" s="25" t="s">
        <v>8</v>
      </c>
      <c r="X22" s="11"/>
      <c r="Y22" s="50" t="s">
        <v>15</v>
      </c>
      <c r="Z22" s="50"/>
      <c r="AA22" s="50"/>
      <c r="AB22" s="50"/>
      <c r="AC22" s="50"/>
      <c r="AD22" s="50"/>
      <c r="AE22" s="50"/>
      <c r="AF22" s="34"/>
      <c r="AG22" s="34"/>
      <c r="AH22" s="34"/>
      <c r="AI22" s="34"/>
      <c r="AJ22" s="34"/>
      <c r="AK22" s="34"/>
      <c r="AL22" s="34"/>
      <c r="AM22" s="34"/>
      <c r="AN22" s="34"/>
      <c r="AO22" s="65"/>
      <c r="AP22" s="69"/>
      <c r="AQ22" s="62"/>
      <c r="AR22" s="34"/>
    </row>
    <row r="23" spans="1:44" customFormat="1">
      <c r="A23" s="39">
        <v>43585</v>
      </c>
      <c r="B23" s="11" t="s">
        <v>49</v>
      </c>
      <c r="C23" s="16" t="s">
        <v>110</v>
      </c>
      <c r="D23" s="16"/>
      <c r="E23" s="38">
        <v>22923</v>
      </c>
      <c r="F23" s="38"/>
      <c r="G23" s="10" t="s">
        <v>111</v>
      </c>
      <c r="H23" s="12" t="s">
        <v>112</v>
      </c>
      <c r="I23" s="13" t="s">
        <v>1622</v>
      </c>
      <c r="J23" s="15" t="s">
        <v>113</v>
      </c>
      <c r="K23" s="12"/>
      <c r="L23" s="11" t="s">
        <v>34</v>
      </c>
      <c r="M23" s="15"/>
      <c r="N23" s="17"/>
      <c r="O23" s="17"/>
      <c r="P23" s="17"/>
      <c r="Q23" s="48"/>
      <c r="R23" s="11"/>
      <c r="S23" s="48"/>
      <c r="T23" s="85"/>
      <c r="U23" s="88"/>
      <c r="V23" s="32" t="s">
        <v>67</v>
      </c>
      <c r="W23" s="25" t="s">
        <v>8</v>
      </c>
      <c r="X23" s="11"/>
      <c r="Y23" s="50" t="s">
        <v>16</v>
      </c>
      <c r="Z23" s="50"/>
      <c r="AA23" s="50"/>
      <c r="AB23" s="50"/>
      <c r="AC23" s="50"/>
      <c r="AD23" s="50"/>
      <c r="AE23" s="50"/>
      <c r="AF23" s="34"/>
      <c r="AG23" s="34"/>
      <c r="AH23" s="34"/>
      <c r="AI23" s="34"/>
      <c r="AJ23" s="34"/>
      <c r="AK23" s="34"/>
      <c r="AL23" s="34"/>
      <c r="AM23" s="34"/>
      <c r="AN23" s="34"/>
      <c r="AO23" s="65"/>
      <c r="AP23" s="69"/>
      <c r="AQ23" s="62"/>
      <c r="AR23" s="34"/>
    </row>
    <row r="24" spans="1:44" customFormat="1">
      <c r="A24" s="39">
        <v>43585</v>
      </c>
      <c r="B24" s="11" t="s">
        <v>22</v>
      </c>
      <c r="C24" s="16" t="s">
        <v>122</v>
      </c>
      <c r="D24" s="16"/>
      <c r="E24" s="38"/>
      <c r="F24" s="38"/>
      <c r="G24" s="10"/>
      <c r="H24" s="12"/>
      <c r="I24" s="13"/>
      <c r="J24" s="15" t="s">
        <v>123</v>
      </c>
      <c r="K24" s="12"/>
      <c r="L24" s="11"/>
      <c r="M24" s="15"/>
      <c r="N24" s="17"/>
      <c r="O24" s="17"/>
      <c r="P24" s="17"/>
      <c r="Q24" s="48"/>
      <c r="R24" s="11"/>
      <c r="S24" s="48"/>
      <c r="T24" s="85" t="s">
        <v>8085</v>
      </c>
      <c r="U24" s="88"/>
      <c r="V24" s="32" t="s">
        <v>128</v>
      </c>
      <c r="W24" s="25"/>
      <c r="X24" s="11"/>
      <c r="Y24" s="50"/>
      <c r="Z24" s="50"/>
      <c r="AA24" s="50"/>
      <c r="AB24" s="50"/>
      <c r="AC24" s="50"/>
      <c r="AD24" s="50"/>
      <c r="AE24" s="50"/>
      <c r="AF24" s="34"/>
      <c r="AG24" s="34"/>
      <c r="AH24" s="34"/>
      <c r="AI24" s="34"/>
      <c r="AJ24" s="34"/>
      <c r="AK24" s="34"/>
      <c r="AL24" s="34"/>
      <c r="AM24" s="34"/>
      <c r="AN24" s="34"/>
      <c r="AO24" s="65"/>
      <c r="AP24" s="69"/>
      <c r="AQ24" s="62"/>
      <c r="AR24" s="34"/>
    </row>
    <row r="25" spans="1:44" customFormat="1">
      <c r="A25" s="39">
        <v>43586</v>
      </c>
      <c r="B25" s="11" t="s">
        <v>49</v>
      </c>
      <c r="C25" s="16" t="s">
        <v>124</v>
      </c>
      <c r="D25" s="16"/>
      <c r="E25" s="38">
        <v>16771</v>
      </c>
      <c r="F25" s="38"/>
      <c r="G25" s="10" t="s">
        <v>125</v>
      </c>
      <c r="H25" s="12" t="s">
        <v>126</v>
      </c>
      <c r="I25" s="13" t="s">
        <v>1623</v>
      </c>
      <c r="J25" s="15" t="s">
        <v>127</v>
      </c>
      <c r="K25" s="12"/>
      <c r="L25" s="11" t="s">
        <v>33</v>
      </c>
      <c r="M25" s="15"/>
      <c r="N25" s="17"/>
      <c r="O25" s="17"/>
      <c r="P25" s="17"/>
      <c r="Q25" s="48"/>
      <c r="R25" s="11"/>
      <c r="S25" s="48"/>
      <c r="T25" s="85"/>
      <c r="U25" s="88"/>
      <c r="V25" s="32" t="s">
        <v>105</v>
      </c>
      <c r="W25" s="25" t="s">
        <v>8</v>
      </c>
      <c r="X25" s="11"/>
      <c r="Y25" s="50" t="s">
        <v>13</v>
      </c>
      <c r="Z25" s="50"/>
      <c r="AA25" s="50"/>
      <c r="AB25" s="50"/>
      <c r="AC25" s="50"/>
      <c r="AD25" s="50"/>
      <c r="AE25" s="50"/>
      <c r="AF25" s="34"/>
      <c r="AG25" s="34"/>
      <c r="AH25" s="34"/>
      <c r="AI25" s="34"/>
      <c r="AJ25" s="34"/>
      <c r="AK25" s="34"/>
      <c r="AL25" s="34"/>
      <c r="AM25" s="34"/>
      <c r="AN25" s="34"/>
      <c r="AO25" s="65"/>
      <c r="AP25" s="69"/>
      <c r="AQ25" s="62"/>
      <c r="AR25" s="34"/>
    </row>
    <row r="26" spans="1:44" customFormat="1">
      <c r="A26" s="39">
        <v>43588</v>
      </c>
      <c r="B26" s="11" t="s">
        <v>22</v>
      </c>
      <c r="C26" s="16" t="s">
        <v>129</v>
      </c>
      <c r="D26" s="16"/>
      <c r="E26" s="38">
        <v>25022</v>
      </c>
      <c r="F26" s="38"/>
      <c r="G26" s="10" t="s">
        <v>130</v>
      </c>
      <c r="H26" s="12" t="s">
        <v>131</v>
      </c>
      <c r="I26" s="13" t="s">
        <v>1624</v>
      </c>
      <c r="J26" s="15" t="s">
        <v>132</v>
      </c>
      <c r="K26" s="12"/>
      <c r="L26" s="11" t="s">
        <v>36</v>
      </c>
      <c r="M26" s="15"/>
      <c r="N26" s="17"/>
      <c r="O26" s="17"/>
      <c r="P26" s="17"/>
      <c r="Q26" s="48"/>
      <c r="R26" s="11"/>
      <c r="S26" s="48"/>
      <c r="T26" s="85"/>
      <c r="U26" s="88"/>
      <c r="V26" s="32"/>
      <c r="W26" s="25" t="s">
        <v>10</v>
      </c>
      <c r="X26" s="11"/>
      <c r="Y26" s="50" t="s">
        <v>18</v>
      </c>
      <c r="Z26" s="50"/>
      <c r="AA26" s="50"/>
      <c r="AB26" s="50"/>
      <c r="AC26" s="50"/>
      <c r="AD26" s="50"/>
      <c r="AE26" s="50"/>
      <c r="AF26" s="34"/>
      <c r="AG26" s="34"/>
      <c r="AH26" s="34"/>
      <c r="AI26" s="34"/>
      <c r="AJ26" s="34"/>
      <c r="AK26" s="34"/>
      <c r="AL26" s="34"/>
      <c r="AM26" s="34"/>
      <c r="AN26" s="34"/>
      <c r="AO26" s="65"/>
      <c r="AP26" s="69"/>
      <c r="AQ26" s="62"/>
      <c r="AR26" s="34"/>
    </row>
    <row r="27" spans="1:44" customFormat="1">
      <c r="A27" s="39">
        <v>43589</v>
      </c>
      <c r="B27" s="11" t="s">
        <v>22</v>
      </c>
      <c r="C27" s="16" t="s">
        <v>133</v>
      </c>
      <c r="D27" s="16"/>
      <c r="E27" s="38">
        <v>22861</v>
      </c>
      <c r="F27" s="38"/>
      <c r="G27" s="10" t="s">
        <v>207</v>
      </c>
      <c r="H27" s="12" t="s">
        <v>134</v>
      </c>
      <c r="I27" s="13" t="s">
        <v>1625</v>
      </c>
      <c r="J27" s="15" t="s">
        <v>135</v>
      </c>
      <c r="K27" s="12"/>
      <c r="L27" s="11" t="s">
        <v>36</v>
      </c>
      <c r="M27" s="15"/>
      <c r="N27" s="17"/>
      <c r="O27" s="17"/>
      <c r="P27" s="17"/>
      <c r="Q27" s="48"/>
      <c r="R27" s="11"/>
      <c r="S27" s="48"/>
      <c r="T27" s="85"/>
      <c r="U27" s="88"/>
      <c r="V27" s="32"/>
      <c r="W27" s="25" t="s">
        <v>8</v>
      </c>
      <c r="X27" s="11"/>
      <c r="Y27" s="50" t="s">
        <v>12</v>
      </c>
      <c r="Z27" s="50"/>
      <c r="AA27" s="50"/>
      <c r="AB27" s="50"/>
      <c r="AC27" s="50"/>
      <c r="AD27" s="50"/>
      <c r="AE27" s="50"/>
      <c r="AF27" s="34"/>
      <c r="AG27" s="34"/>
      <c r="AH27" s="34"/>
      <c r="AI27" s="34"/>
      <c r="AJ27" s="34"/>
      <c r="AK27" s="34"/>
      <c r="AL27" s="34"/>
      <c r="AM27" s="34"/>
      <c r="AN27" s="34"/>
      <c r="AO27" s="65"/>
      <c r="AP27" s="69"/>
      <c r="AQ27" s="62"/>
      <c r="AR27" s="34"/>
    </row>
    <row r="28" spans="1:44" customFormat="1">
      <c r="A28" s="39">
        <v>43590</v>
      </c>
      <c r="B28" s="11" t="s">
        <v>22</v>
      </c>
      <c r="C28" s="16" t="s">
        <v>136</v>
      </c>
      <c r="D28" s="16"/>
      <c r="E28" s="38">
        <v>22679</v>
      </c>
      <c r="F28" s="38"/>
      <c r="G28" s="10" t="s">
        <v>610</v>
      </c>
      <c r="H28" s="12" t="s">
        <v>137</v>
      </c>
      <c r="I28" s="13" t="s">
        <v>1626</v>
      </c>
      <c r="J28" s="15" t="s">
        <v>138</v>
      </c>
      <c r="K28" s="12"/>
      <c r="L28" s="11" t="s">
        <v>36</v>
      </c>
      <c r="M28" s="15"/>
      <c r="N28" s="17"/>
      <c r="O28" s="17"/>
      <c r="P28" s="17"/>
      <c r="Q28" s="48"/>
      <c r="R28" s="11"/>
      <c r="S28" s="48"/>
      <c r="T28" s="85"/>
      <c r="U28" s="88"/>
      <c r="V28" s="32"/>
      <c r="W28" s="25" t="s">
        <v>8</v>
      </c>
      <c r="X28" s="11"/>
      <c r="Y28" s="50" t="s">
        <v>12</v>
      </c>
      <c r="Z28" s="50"/>
      <c r="AA28" s="50"/>
      <c r="AB28" s="50"/>
      <c r="AC28" s="50"/>
      <c r="AD28" s="50"/>
      <c r="AE28" s="50"/>
      <c r="AF28" s="34"/>
      <c r="AG28" s="34"/>
      <c r="AH28" s="34"/>
      <c r="AI28" s="34"/>
      <c r="AJ28" s="34"/>
      <c r="AK28" s="34"/>
      <c r="AL28" s="34"/>
      <c r="AM28" s="34"/>
      <c r="AN28" s="34"/>
      <c r="AO28" s="65"/>
      <c r="AP28" s="69"/>
      <c r="AQ28" s="62"/>
      <c r="AR28" s="34" t="s">
        <v>1408</v>
      </c>
    </row>
    <row r="29" spans="1:44" customFormat="1">
      <c r="A29" s="39">
        <v>43590</v>
      </c>
      <c r="B29" s="11" t="s">
        <v>49</v>
      </c>
      <c r="C29" s="16" t="s">
        <v>139</v>
      </c>
      <c r="D29" s="16"/>
      <c r="E29" s="38">
        <v>33647</v>
      </c>
      <c r="F29" s="38"/>
      <c r="G29" s="10" t="s">
        <v>611</v>
      </c>
      <c r="H29" s="12" t="s">
        <v>140</v>
      </c>
      <c r="I29" s="13" t="s">
        <v>1627</v>
      </c>
      <c r="J29" s="15" t="s">
        <v>141</v>
      </c>
      <c r="K29" s="12"/>
      <c r="L29" s="11" t="s">
        <v>34</v>
      </c>
      <c r="M29" s="15"/>
      <c r="N29" s="17"/>
      <c r="O29" s="17"/>
      <c r="P29" s="17"/>
      <c r="Q29" s="48"/>
      <c r="R29" s="11"/>
      <c r="S29" s="48"/>
      <c r="T29" s="85"/>
      <c r="U29" s="88" t="s">
        <v>1408</v>
      </c>
      <c r="V29" s="32" t="s">
        <v>142</v>
      </c>
      <c r="W29" s="25" t="s">
        <v>48</v>
      </c>
      <c r="X29" s="11"/>
      <c r="Y29" s="50" t="s">
        <v>12</v>
      </c>
      <c r="Z29" s="50"/>
      <c r="AA29" s="50"/>
      <c r="AB29" s="50"/>
      <c r="AC29" s="50"/>
      <c r="AD29" s="50"/>
      <c r="AE29" s="50"/>
      <c r="AF29" s="34"/>
      <c r="AG29" s="34"/>
      <c r="AH29" s="34"/>
      <c r="AI29" s="34"/>
      <c r="AJ29" s="34"/>
      <c r="AK29" s="34"/>
      <c r="AL29" s="34"/>
      <c r="AM29" s="34"/>
      <c r="AN29" s="34"/>
      <c r="AO29" s="65"/>
      <c r="AP29" s="69"/>
      <c r="AQ29" s="62"/>
      <c r="AR29" s="34"/>
    </row>
    <row r="30" spans="1:44" customFormat="1">
      <c r="A30" s="39">
        <v>43591</v>
      </c>
      <c r="B30" s="11" t="s">
        <v>22</v>
      </c>
      <c r="C30" s="16" t="s">
        <v>143</v>
      </c>
      <c r="D30" s="16"/>
      <c r="E30" s="38">
        <v>27499</v>
      </c>
      <c r="F30" s="38"/>
      <c r="G30" s="10" t="s">
        <v>144</v>
      </c>
      <c r="H30" s="12" t="s">
        <v>145</v>
      </c>
      <c r="I30" s="13" t="s">
        <v>1628</v>
      </c>
      <c r="J30" s="15" t="s">
        <v>146</v>
      </c>
      <c r="K30" s="12"/>
      <c r="L30" s="11"/>
      <c r="M30" s="15"/>
      <c r="N30" s="17"/>
      <c r="O30" s="17"/>
      <c r="P30" s="17"/>
      <c r="Q30" s="48"/>
      <c r="R30" s="11"/>
      <c r="S30" s="48"/>
      <c r="T30" s="85"/>
      <c r="U30" s="88"/>
      <c r="V30" s="32"/>
      <c r="W30" s="25" t="s">
        <v>8</v>
      </c>
      <c r="X30" s="11"/>
      <c r="Y30" s="50"/>
      <c r="Z30" s="50"/>
      <c r="AA30" s="50"/>
      <c r="AB30" s="50"/>
      <c r="AC30" s="50"/>
      <c r="AD30" s="50"/>
      <c r="AE30" s="50"/>
      <c r="AF30" s="34"/>
      <c r="AG30" s="34"/>
      <c r="AH30" s="34"/>
      <c r="AI30" s="34"/>
      <c r="AJ30" s="34"/>
      <c r="AK30" s="34"/>
      <c r="AL30" s="34"/>
      <c r="AM30" s="34"/>
      <c r="AN30" s="34"/>
      <c r="AO30" s="65"/>
      <c r="AP30" s="69"/>
      <c r="AQ30" s="62"/>
      <c r="AR30" s="34"/>
    </row>
    <row r="31" spans="1:44" customFormat="1">
      <c r="A31" s="39">
        <v>43591</v>
      </c>
      <c r="B31" s="11" t="s">
        <v>22</v>
      </c>
      <c r="C31" s="16" t="s">
        <v>151</v>
      </c>
      <c r="D31" s="16"/>
      <c r="E31" s="38">
        <v>25128</v>
      </c>
      <c r="F31" s="38"/>
      <c r="G31" s="10" t="s">
        <v>612</v>
      </c>
      <c r="H31" s="12" t="s">
        <v>152</v>
      </c>
      <c r="I31" s="13" t="s">
        <v>1630</v>
      </c>
      <c r="J31" s="15" t="s">
        <v>153</v>
      </c>
      <c r="K31" s="12"/>
      <c r="L31" s="11" t="s">
        <v>36</v>
      </c>
      <c r="M31" s="15"/>
      <c r="N31" s="17"/>
      <c r="O31" s="17"/>
      <c r="P31" s="17"/>
      <c r="Q31" s="48"/>
      <c r="R31" s="11"/>
      <c r="S31" s="48"/>
      <c r="T31" s="85"/>
      <c r="U31" s="88"/>
      <c r="V31" s="32"/>
      <c r="W31" s="25" t="s">
        <v>48</v>
      </c>
      <c r="X31" s="11"/>
      <c r="Y31" s="50" t="s">
        <v>13</v>
      </c>
      <c r="Z31" s="50"/>
      <c r="AA31" s="50"/>
      <c r="AB31" s="50"/>
      <c r="AC31" s="50"/>
      <c r="AD31" s="50"/>
      <c r="AE31" s="50"/>
      <c r="AF31" s="34"/>
      <c r="AG31" s="34"/>
      <c r="AH31" s="34"/>
      <c r="AI31" s="34"/>
      <c r="AJ31" s="34"/>
      <c r="AK31" s="34"/>
      <c r="AL31" s="34"/>
      <c r="AM31" s="34"/>
      <c r="AN31" s="34"/>
      <c r="AO31" s="65"/>
      <c r="AP31" s="69"/>
      <c r="AQ31" s="62"/>
      <c r="AR31" s="34"/>
    </row>
    <row r="32" spans="1:44" customFormat="1">
      <c r="A32" s="39">
        <v>43591</v>
      </c>
      <c r="B32" s="11" t="s">
        <v>22</v>
      </c>
      <c r="C32" s="16" t="s">
        <v>154</v>
      </c>
      <c r="D32" s="16"/>
      <c r="E32" s="38">
        <v>20391</v>
      </c>
      <c r="F32" s="38"/>
      <c r="G32" s="10" t="s">
        <v>155</v>
      </c>
      <c r="H32" s="12" t="s">
        <v>1631</v>
      </c>
      <c r="I32" s="13" t="s">
        <v>1626</v>
      </c>
      <c r="J32" s="15" t="s">
        <v>157</v>
      </c>
      <c r="K32" s="14" t="s">
        <v>158</v>
      </c>
      <c r="L32" s="11" t="s">
        <v>36</v>
      </c>
      <c r="M32" s="15"/>
      <c r="N32" s="17"/>
      <c r="O32" s="17"/>
      <c r="P32" s="17"/>
      <c r="Q32" s="48"/>
      <c r="R32" s="11"/>
      <c r="S32" s="48"/>
      <c r="T32" s="85"/>
      <c r="U32" s="88"/>
      <c r="V32" s="32"/>
      <c r="W32" s="25" t="s">
        <v>48</v>
      </c>
      <c r="X32" s="11"/>
      <c r="Y32" s="50" t="s">
        <v>14</v>
      </c>
      <c r="Z32" s="50"/>
      <c r="AA32" s="50"/>
      <c r="AB32" s="50"/>
      <c r="AC32" s="50"/>
      <c r="AD32" s="50"/>
      <c r="AE32" s="50"/>
      <c r="AF32" s="34"/>
      <c r="AG32" s="34"/>
      <c r="AH32" s="34"/>
      <c r="AI32" s="34"/>
      <c r="AJ32" s="34"/>
      <c r="AK32" s="34"/>
      <c r="AL32" s="34"/>
      <c r="AM32" s="34"/>
      <c r="AN32" s="34"/>
      <c r="AO32" s="65"/>
      <c r="AP32" s="69"/>
      <c r="AQ32" s="62"/>
      <c r="AR32" s="34"/>
    </row>
    <row r="33" spans="1:44" customFormat="1">
      <c r="A33" s="39">
        <v>43591</v>
      </c>
      <c r="B33" s="11" t="s">
        <v>22</v>
      </c>
      <c r="C33" s="16" t="s">
        <v>147</v>
      </c>
      <c r="D33" s="16"/>
      <c r="E33" s="38">
        <v>22247</v>
      </c>
      <c r="F33" s="38"/>
      <c r="G33" s="10" t="s">
        <v>148</v>
      </c>
      <c r="H33" s="12" t="s">
        <v>149</v>
      </c>
      <c r="I33" s="13" t="s">
        <v>1629</v>
      </c>
      <c r="J33" s="15" t="s">
        <v>150</v>
      </c>
      <c r="K33" s="12"/>
      <c r="L33" s="11"/>
      <c r="M33" s="15"/>
      <c r="N33" s="17"/>
      <c r="O33" s="17"/>
      <c r="P33" s="17"/>
      <c r="Q33" s="48"/>
      <c r="R33" s="11"/>
      <c r="S33" s="48"/>
      <c r="T33" s="85" t="s">
        <v>81</v>
      </c>
      <c r="U33" s="88"/>
      <c r="V33" s="32" t="s">
        <v>386</v>
      </c>
      <c r="W33" s="25" t="s">
        <v>10</v>
      </c>
      <c r="X33" s="11"/>
      <c r="Y33" s="50" t="s">
        <v>18</v>
      </c>
      <c r="Z33" s="50"/>
      <c r="AA33" s="50"/>
      <c r="AB33" s="50"/>
      <c r="AC33" s="50"/>
      <c r="AD33" s="50"/>
      <c r="AE33" s="50"/>
      <c r="AF33" s="34"/>
      <c r="AG33" s="34"/>
      <c r="AH33" s="34"/>
      <c r="AI33" s="34"/>
      <c r="AJ33" s="34"/>
      <c r="AK33" s="34"/>
      <c r="AL33" s="34"/>
      <c r="AM33" s="34"/>
      <c r="AN33" s="34"/>
      <c r="AO33" s="65"/>
      <c r="AP33" s="69"/>
      <c r="AQ33" s="62"/>
      <c r="AR33" s="34"/>
    </row>
    <row r="34" spans="1:44" customFormat="1">
      <c r="A34" s="39">
        <v>43594</v>
      </c>
      <c r="B34" s="11" t="s">
        <v>22</v>
      </c>
      <c r="C34" s="16" t="s">
        <v>159</v>
      </c>
      <c r="D34" s="16"/>
      <c r="E34" s="38">
        <v>19139</v>
      </c>
      <c r="F34" s="38"/>
      <c r="G34" s="10" t="s">
        <v>207</v>
      </c>
      <c r="H34" s="12" t="s">
        <v>160</v>
      </c>
      <c r="I34" s="13" t="s">
        <v>1632</v>
      </c>
      <c r="J34" s="15" t="s">
        <v>161</v>
      </c>
      <c r="K34" s="12"/>
      <c r="L34" s="11" t="s">
        <v>39</v>
      </c>
      <c r="M34" s="15"/>
      <c r="N34" s="17"/>
      <c r="O34" s="17"/>
      <c r="P34" s="17"/>
      <c r="Q34" s="48"/>
      <c r="R34" s="11"/>
      <c r="S34" s="48"/>
      <c r="T34" s="85"/>
      <c r="U34" s="88"/>
      <c r="V34" s="32"/>
      <c r="W34" s="25"/>
      <c r="X34" s="11"/>
      <c r="Y34" s="50" t="s">
        <v>20</v>
      </c>
      <c r="Z34" s="50"/>
      <c r="AA34" s="50"/>
      <c r="AB34" s="50"/>
      <c r="AC34" s="50"/>
      <c r="AD34" s="50"/>
      <c r="AE34" s="50"/>
      <c r="AF34" s="34"/>
      <c r="AG34" s="34"/>
      <c r="AH34" s="34"/>
      <c r="AI34" s="34"/>
      <c r="AJ34" s="34"/>
      <c r="AK34" s="34"/>
      <c r="AL34" s="34"/>
      <c r="AM34" s="34"/>
      <c r="AN34" s="34"/>
      <c r="AO34" s="65"/>
      <c r="AP34" s="69"/>
      <c r="AQ34" s="62"/>
      <c r="AR34" s="34"/>
    </row>
    <row r="35" spans="1:44" customFormat="1">
      <c r="A35" s="39">
        <v>43594</v>
      </c>
      <c r="B35" s="11" t="s">
        <v>49</v>
      </c>
      <c r="C35" s="16" t="s">
        <v>167</v>
      </c>
      <c r="D35" s="16"/>
      <c r="E35" s="38">
        <v>24985</v>
      </c>
      <c r="F35" s="38"/>
      <c r="G35" s="10" t="s">
        <v>168</v>
      </c>
      <c r="H35" s="12" t="s">
        <v>169</v>
      </c>
      <c r="I35" s="13" t="s">
        <v>1633</v>
      </c>
      <c r="J35" s="15" t="s">
        <v>170</v>
      </c>
      <c r="K35" s="12"/>
      <c r="L35" s="11" t="s">
        <v>36</v>
      </c>
      <c r="M35" s="15"/>
      <c r="N35" s="17"/>
      <c r="O35" s="17"/>
      <c r="P35" s="17"/>
      <c r="Q35" s="48"/>
      <c r="R35" s="11"/>
      <c r="S35" s="48"/>
      <c r="T35" s="85"/>
      <c r="U35" s="88"/>
      <c r="V35" s="32"/>
      <c r="W35" s="25" t="s">
        <v>8</v>
      </c>
      <c r="X35" s="11"/>
      <c r="Y35" s="50" t="s">
        <v>14</v>
      </c>
      <c r="Z35" s="50"/>
      <c r="AA35" s="50"/>
      <c r="AB35" s="50"/>
      <c r="AC35" s="50"/>
      <c r="AD35" s="50"/>
      <c r="AE35" s="50"/>
      <c r="AF35" s="34"/>
      <c r="AG35" s="34"/>
      <c r="AH35" s="34"/>
      <c r="AI35" s="34"/>
      <c r="AJ35" s="34"/>
      <c r="AK35" s="34"/>
      <c r="AL35" s="34"/>
      <c r="AM35" s="34"/>
      <c r="AN35" s="34"/>
      <c r="AO35" s="65"/>
      <c r="AP35" s="69"/>
      <c r="AQ35" s="62"/>
      <c r="AR35" s="34"/>
    </row>
    <row r="36" spans="1:44" customFormat="1">
      <c r="A36" s="39">
        <v>43594</v>
      </c>
      <c r="B36" s="11" t="s">
        <v>49</v>
      </c>
      <c r="C36" s="16" t="s">
        <v>171</v>
      </c>
      <c r="D36" s="16"/>
      <c r="E36" s="38">
        <v>27694</v>
      </c>
      <c r="F36" s="38"/>
      <c r="G36" s="10" t="s">
        <v>168</v>
      </c>
      <c r="H36" s="12" t="s">
        <v>169</v>
      </c>
      <c r="I36" s="13" t="s">
        <v>1633</v>
      </c>
      <c r="J36" s="15" t="s">
        <v>172</v>
      </c>
      <c r="K36" s="12"/>
      <c r="L36" s="11" t="s">
        <v>36</v>
      </c>
      <c r="M36" s="15"/>
      <c r="N36" s="17"/>
      <c r="O36" s="17"/>
      <c r="P36" s="17"/>
      <c r="Q36" s="48"/>
      <c r="R36" s="11"/>
      <c r="S36" s="48"/>
      <c r="T36" s="85"/>
      <c r="U36" s="88"/>
      <c r="V36" s="32" t="s">
        <v>173</v>
      </c>
      <c r="W36" s="25" t="s">
        <v>8</v>
      </c>
      <c r="X36" s="11"/>
      <c r="Y36" s="50" t="s">
        <v>14</v>
      </c>
      <c r="Z36" s="50"/>
      <c r="AA36" s="50"/>
      <c r="AB36" s="50"/>
      <c r="AC36" s="50"/>
      <c r="AD36" s="50"/>
      <c r="AE36" s="50"/>
      <c r="AF36" s="34"/>
      <c r="AG36" s="34"/>
      <c r="AH36" s="34"/>
      <c r="AI36" s="34"/>
      <c r="AJ36" s="34"/>
      <c r="AK36" s="34"/>
      <c r="AL36" s="34"/>
      <c r="AM36" s="34"/>
      <c r="AN36" s="34"/>
      <c r="AO36" s="65"/>
      <c r="AP36" s="69"/>
      <c r="AQ36" s="62"/>
      <c r="AR36" s="34"/>
    </row>
    <row r="37" spans="1:44" customFormat="1">
      <c r="A37" s="39">
        <v>43595</v>
      </c>
      <c r="B37" s="11" t="s">
        <v>22</v>
      </c>
      <c r="C37" s="16" t="s">
        <v>162</v>
      </c>
      <c r="D37" s="16"/>
      <c r="E37" s="38">
        <v>29892</v>
      </c>
      <c r="F37" s="38"/>
      <c r="G37" s="10" t="s">
        <v>163</v>
      </c>
      <c r="H37" s="12" t="s">
        <v>164</v>
      </c>
      <c r="I37" s="13" t="s">
        <v>1634</v>
      </c>
      <c r="J37" s="15" t="s">
        <v>165</v>
      </c>
      <c r="K37" s="12"/>
      <c r="L37" s="11" t="s">
        <v>34</v>
      </c>
      <c r="M37" s="15"/>
      <c r="N37" s="17"/>
      <c r="O37" s="17"/>
      <c r="P37" s="17"/>
      <c r="Q37" s="48"/>
      <c r="R37" s="11"/>
      <c r="S37" s="48"/>
      <c r="T37" s="85"/>
      <c r="U37" s="88"/>
      <c r="V37" s="32" t="s">
        <v>166</v>
      </c>
      <c r="W37" s="25" t="s">
        <v>8</v>
      </c>
      <c r="X37" s="11"/>
      <c r="Y37" s="50" t="s">
        <v>14</v>
      </c>
      <c r="Z37" s="50"/>
      <c r="AA37" s="50"/>
      <c r="AB37" s="50"/>
      <c r="AC37" s="50"/>
      <c r="AD37" s="50"/>
      <c r="AE37" s="50"/>
      <c r="AF37" s="34"/>
      <c r="AG37" s="34"/>
      <c r="AH37" s="34"/>
      <c r="AI37" s="34"/>
      <c r="AJ37" s="34"/>
      <c r="AK37" s="34"/>
      <c r="AL37" s="34"/>
      <c r="AM37" s="34"/>
      <c r="AN37" s="34"/>
      <c r="AO37" s="65"/>
      <c r="AP37" s="69"/>
      <c r="AQ37" s="62"/>
      <c r="AR37" s="34"/>
    </row>
    <row r="38" spans="1:44" customFormat="1">
      <c r="A38" s="39">
        <v>43595</v>
      </c>
      <c r="B38" s="11" t="s">
        <v>22</v>
      </c>
      <c r="C38" s="16" t="s">
        <v>174</v>
      </c>
      <c r="D38" s="16"/>
      <c r="E38" s="38">
        <v>25161</v>
      </c>
      <c r="F38" s="38"/>
      <c r="G38" s="10" t="s">
        <v>175</v>
      </c>
      <c r="H38" s="12" t="s">
        <v>176</v>
      </c>
      <c r="I38" s="13" t="s">
        <v>1635</v>
      </c>
      <c r="J38" s="15" t="s">
        <v>177</v>
      </c>
      <c r="K38" s="12"/>
      <c r="L38" s="11" t="s">
        <v>33</v>
      </c>
      <c r="M38" s="15"/>
      <c r="N38" s="17"/>
      <c r="O38" s="17"/>
      <c r="P38" s="17"/>
      <c r="Q38" s="48"/>
      <c r="R38" s="11"/>
      <c r="S38" s="48"/>
      <c r="T38" s="85"/>
      <c r="U38" s="88"/>
      <c r="V38" s="32"/>
      <c r="W38" s="25" t="s">
        <v>48</v>
      </c>
      <c r="X38" s="11"/>
      <c r="Y38" s="50" t="s">
        <v>15</v>
      </c>
      <c r="Z38" s="50"/>
      <c r="AA38" s="50"/>
      <c r="AB38" s="50"/>
      <c r="AC38" s="50"/>
      <c r="AD38" s="50"/>
      <c r="AE38" s="50"/>
      <c r="AF38" s="34"/>
      <c r="AG38" s="34"/>
      <c r="AH38" s="34"/>
      <c r="AI38" s="34"/>
      <c r="AJ38" s="34"/>
      <c r="AK38" s="34"/>
      <c r="AL38" s="34"/>
      <c r="AM38" s="34"/>
      <c r="AN38" s="34"/>
      <c r="AO38" s="65"/>
      <c r="AP38" s="69"/>
      <c r="AQ38" s="62"/>
      <c r="AR38" s="34"/>
    </row>
    <row r="39" spans="1:44" customFormat="1">
      <c r="A39" s="39">
        <v>43595</v>
      </c>
      <c r="B39" s="11" t="s">
        <v>24</v>
      </c>
      <c r="C39" s="16" t="s">
        <v>178</v>
      </c>
      <c r="D39" s="16"/>
      <c r="E39" s="38">
        <v>23752</v>
      </c>
      <c r="F39" s="38"/>
      <c r="G39" s="10" t="s">
        <v>180</v>
      </c>
      <c r="H39" s="12" t="s">
        <v>181</v>
      </c>
      <c r="I39" s="13" t="s">
        <v>1636</v>
      </c>
      <c r="J39" s="15" t="s">
        <v>182</v>
      </c>
      <c r="K39" s="12"/>
      <c r="L39" s="11" t="s">
        <v>36</v>
      </c>
      <c r="M39" s="15"/>
      <c r="N39" s="17"/>
      <c r="O39" s="17"/>
      <c r="P39" s="17"/>
      <c r="Q39" s="48"/>
      <c r="R39" s="11"/>
      <c r="S39" s="48"/>
      <c r="T39" s="85"/>
      <c r="U39" s="88"/>
      <c r="V39" s="32" t="s">
        <v>179</v>
      </c>
      <c r="W39" s="25" t="s">
        <v>8</v>
      </c>
      <c r="X39" s="11"/>
      <c r="Y39" s="50" t="s">
        <v>13</v>
      </c>
      <c r="Z39" s="50"/>
      <c r="AA39" s="50"/>
      <c r="AB39" s="50"/>
      <c r="AC39" s="50"/>
      <c r="AD39" s="50"/>
      <c r="AE39" s="50"/>
      <c r="AF39" s="34"/>
      <c r="AG39" s="34"/>
      <c r="AH39" s="34"/>
      <c r="AI39" s="34"/>
      <c r="AJ39" s="34"/>
      <c r="AK39" s="34"/>
      <c r="AL39" s="34"/>
      <c r="AM39" s="34"/>
      <c r="AN39" s="34"/>
      <c r="AO39" s="65"/>
      <c r="AP39" s="69"/>
      <c r="AQ39" s="62"/>
      <c r="AR39" s="34"/>
    </row>
    <row r="40" spans="1:44" customFormat="1">
      <c r="A40" s="39">
        <v>43595</v>
      </c>
      <c r="B40" s="11" t="s">
        <v>24</v>
      </c>
      <c r="C40" s="16" t="s">
        <v>183</v>
      </c>
      <c r="D40" s="16"/>
      <c r="E40" s="38"/>
      <c r="F40" s="38"/>
      <c r="G40" s="10" t="s">
        <v>196</v>
      </c>
      <c r="H40" s="12" t="s">
        <v>185</v>
      </c>
      <c r="I40" s="13" t="s">
        <v>1637</v>
      </c>
      <c r="J40" s="15"/>
      <c r="K40" s="12"/>
      <c r="L40" s="11"/>
      <c r="M40" s="15"/>
      <c r="N40" s="17"/>
      <c r="O40" s="17"/>
      <c r="P40" s="17"/>
      <c r="Q40" s="48"/>
      <c r="R40" s="11"/>
      <c r="S40" s="48"/>
      <c r="T40" s="85"/>
      <c r="U40" s="88"/>
      <c r="V40" s="32" t="s">
        <v>184</v>
      </c>
      <c r="W40" s="25" t="s">
        <v>8</v>
      </c>
      <c r="X40" s="11"/>
      <c r="Y40" s="50"/>
      <c r="Z40" s="50"/>
      <c r="AA40" s="50"/>
      <c r="AB40" s="50"/>
      <c r="AC40" s="50"/>
      <c r="AD40" s="50"/>
      <c r="AE40" s="50"/>
      <c r="AF40" s="34"/>
      <c r="AG40" s="34"/>
      <c r="AH40" s="34"/>
      <c r="AI40" s="34"/>
      <c r="AJ40" s="34"/>
      <c r="AK40" s="34"/>
      <c r="AL40" s="34"/>
      <c r="AM40" s="34"/>
      <c r="AN40" s="34"/>
      <c r="AO40" s="65"/>
      <c r="AP40" s="69"/>
      <c r="AQ40" s="62"/>
      <c r="AR40" s="34"/>
    </row>
    <row r="41" spans="1:44" customFormat="1">
      <c r="A41" s="39">
        <v>43596</v>
      </c>
      <c r="B41" s="11" t="s">
        <v>22</v>
      </c>
      <c r="C41" s="16" t="s">
        <v>195</v>
      </c>
      <c r="D41" s="16"/>
      <c r="E41" s="38">
        <v>16179</v>
      </c>
      <c r="F41" s="38"/>
      <c r="G41" s="10" t="s">
        <v>196</v>
      </c>
      <c r="H41" s="12" t="s">
        <v>1638</v>
      </c>
      <c r="I41" s="13" t="s">
        <v>1639</v>
      </c>
      <c r="J41" s="15" t="s">
        <v>197</v>
      </c>
      <c r="K41" s="12"/>
      <c r="L41" s="11"/>
      <c r="M41" s="15"/>
      <c r="N41" s="17"/>
      <c r="O41" s="17"/>
      <c r="P41" s="17"/>
      <c r="Q41" s="48"/>
      <c r="R41" s="11"/>
      <c r="S41" s="48"/>
      <c r="T41" s="85"/>
      <c r="U41" s="88"/>
      <c r="V41" s="32"/>
      <c r="W41" s="25"/>
      <c r="X41" s="11"/>
      <c r="Y41" s="50"/>
      <c r="Z41" s="50"/>
      <c r="AA41" s="50"/>
      <c r="AB41" s="50"/>
      <c r="AC41" s="50"/>
      <c r="AD41" s="50"/>
      <c r="AE41" s="50"/>
      <c r="AF41" s="34"/>
      <c r="AG41" s="34"/>
      <c r="AH41" s="34"/>
      <c r="AI41" s="34"/>
      <c r="AJ41" s="34"/>
      <c r="AK41" s="34"/>
      <c r="AL41" s="34"/>
      <c r="AM41" s="34"/>
      <c r="AN41" s="34"/>
      <c r="AO41" s="65"/>
      <c r="AP41" s="69"/>
      <c r="AQ41" s="62"/>
      <c r="AR41" s="34"/>
    </row>
    <row r="42" spans="1:44" customFormat="1">
      <c r="A42" s="39">
        <v>43596</v>
      </c>
      <c r="B42" s="11" t="s">
        <v>22</v>
      </c>
      <c r="C42" s="16" t="s">
        <v>198</v>
      </c>
      <c r="D42" s="16"/>
      <c r="E42" s="38">
        <v>18585</v>
      </c>
      <c r="F42" s="38"/>
      <c r="G42" s="10" t="s">
        <v>613</v>
      </c>
      <c r="H42" s="12" t="s">
        <v>199</v>
      </c>
      <c r="I42" s="13" t="s">
        <v>1613</v>
      </c>
      <c r="J42" s="15" t="s">
        <v>203</v>
      </c>
      <c r="K42" s="12"/>
      <c r="L42" s="11"/>
      <c r="M42" s="15"/>
      <c r="N42" s="17"/>
      <c r="O42" s="17"/>
      <c r="P42" s="17"/>
      <c r="Q42" s="48"/>
      <c r="R42" s="11"/>
      <c r="S42" s="48"/>
      <c r="T42" s="85"/>
      <c r="U42" s="88"/>
      <c r="V42" s="32" t="s">
        <v>200</v>
      </c>
      <c r="W42" s="25"/>
      <c r="X42" s="11"/>
      <c r="Y42" s="50"/>
      <c r="Z42" s="50"/>
      <c r="AA42" s="50"/>
      <c r="AB42" s="50"/>
      <c r="AC42" s="50"/>
      <c r="AD42" s="50"/>
      <c r="AE42" s="50"/>
      <c r="AF42" s="34"/>
      <c r="AG42" s="34"/>
      <c r="AH42" s="34"/>
      <c r="AI42" s="34"/>
      <c r="AJ42" s="34"/>
      <c r="AK42" s="34"/>
      <c r="AL42" s="34"/>
      <c r="AM42" s="34"/>
      <c r="AN42" s="34"/>
      <c r="AO42" s="65"/>
      <c r="AP42" s="69"/>
      <c r="AQ42" s="62"/>
      <c r="AR42" s="34"/>
    </row>
    <row r="43" spans="1:44" customFormat="1">
      <c r="A43" s="39">
        <v>43596</v>
      </c>
      <c r="B43" s="11" t="s">
        <v>22</v>
      </c>
      <c r="C43" s="16" t="s">
        <v>201</v>
      </c>
      <c r="D43" s="16"/>
      <c r="E43" s="38">
        <v>25435</v>
      </c>
      <c r="F43" s="38"/>
      <c r="G43" s="10" t="s">
        <v>148</v>
      </c>
      <c r="H43" s="12" t="s">
        <v>202</v>
      </c>
      <c r="I43" s="13" t="s">
        <v>1640</v>
      </c>
      <c r="J43" s="15" t="s">
        <v>205</v>
      </c>
      <c r="K43" s="12" t="s">
        <v>204</v>
      </c>
      <c r="L43" s="11" t="s">
        <v>36</v>
      </c>
      <c r="M43" s="15"/>
      <c r="N43" s="17"/>
      <c r="O43" s="17"/>
      <c r="P43" s="17"/>
      <c r="Q43" s="48"/>
      <c r="R43" s="11"/>
      <c r="S43" s="48"/>
      <c r="T43" s="85"/>
      <c r="U43" s="88"/>
      <c r="V43" s="32"/>
      <c r="W43" s="25" t="s">
        <v>8</v>
      </c>
      <c r="X43" s="11"/>
      <c r="Y43" s="50" t="s">
        <v>18</v>
      </c>
      <c r="Z43" s="50"/>
      <c r="AA43" s="50"/>
      <c r="AB43" s="50"/>
      <c r="AC43" s="50"/>
      <c r="AD43" s="50"/>
      <c r="AE43" s="50"/>
      <c r="AF43" s="34"/>
      <c r="AG43" s="34"/>
      <c r="AH43" s="34"/>
      <c r="AI43" s="34"/>
      <c r="AJ43" s="34"/>
      <c r="AK43" s="34"/>
      <c r="AL43" s="34"/>
      <c r="AM43" s="34"/>
      <c r="AN43" s="34"/>
      <c r="AO43" s="65"/>
      <c r="AP43" s="69"/>
      <c r="AQ43" s="62"/>
      <c r="AR43" s="34"/>
    </row>
    <row r="44" spans="1:44" customFormat="1">
      <c r="A44" s="39">
        <v>43596</v>
      </c>
      <c r="B44" s="11" t="s">
        <v>22</v>
      </c>
      <c r="C44" s="16" t="s">
        <v>206</v>
      </c>
      <c r="D44" s="16"/>
      <c r="E44" s="38">
        <v>28239</v>
      </c>
      <c r="F44" s="38"/>
      <c r="G44" s="10" t="s">
        <v>207</v>
      </c>
      <c r="H44" s="12" t="s">
        <v>208</v>
      </c>
      <c r="I44" s="13" t="s">
        <v>1641</v>
      </c>
      <c r="J44" s="15" t="s">
        <v>211</v>
      </c>
      <c r="K44" s="12"/>
      <c r="L44" s="11" t="s">
        <v>36</v>
      </c>
      <c r="M44" s="15"/>
      <c r="N44" s="17"/>
      <c r="O44" s="17"/>
      <c r="P44" s="17"/>
      <c r="Q44" s="48"/>
      <c r="R44" s="11"/>
      <c r="S44" s="48"/>
      <c r="T44" s="85"/>
      <c r="U44" s="88"/>
      <c r="V44" s="32"/>
      <c r="W44" s="25" t="s">
        <v>10</v>
      </c>
      <c r="X44" s="11"/>
      <c r="Y44" s="50" t="s">
        <v>12</v>
      </c>
      <c r="Z44" s="50"/>
      <c r="AA44" s="50"/>
      <c r="AB44" s="50"/>
      <c r="AC44" s="50"/>
      <c r="AD44" s="50"/>
      <c r="AE44" s="50"/>
      <c r="AF44" s="34"/>
      <c r="AG44" s="34"/>
      <c r="AH44" s="34"/>
      <c r="AI44" s="34"/>
      <c r="AJ44" s="34"/>
      <c r="AK44" s="34"/>
      <c r="AL44" s="34"/>
      <c r="AM44" s="34"/>
      <c r="AN44" s="34"/>
      <c r="AO44" s="65"/>
      <c r="AP44" s="69"/>
      <c r="AQ44" s="62"/>
      <c r="AR44" s="34"/>
    </row>
    <row r="45" spans="1:44" customFormat="1">
      <c r="A45" s="39">
        <v>43596</v>
      </c>
      <c r="B45" s="11" t="s">
        <v>22</v>
      </c>
      <c r="C45" s="16" t="s">
        <v>212</v>
      </c>
      <c r="D45" s="16"/>
      <c r="E45" s="38">
        <v>22329</v>
      </c>
      <c r="F45" s="38"/>
      <c r="G45" s="10" t="s">
        <v>207</v>
      </c>
      <c r="H45" s="12" t="s">
        <v>213</v>
      </c>
      <c r="I45" s="13" t="s">
        <v>1642</v>
      </c>
      <c r="J45" s="15" t="s">
        <v>214</v>
      </c>
      <c r="K45" s="12"/>
      <c r="L45" s="11" t="s">
        <v>36</v>
      </c>
      <c r="M45" s="15"/>
      <c r="N45" s="17"/>
      <c r="O45" s="17"/>
      <c r="P45" s="17"/>
      <c r="Q45" s="48"/>
      <c r="R45" s="11"/>
      <c r="S45" s="48"/>
      <c r="T45" s="85"/>
      <c r="U45" s="88"/>
      <c r="V45" s="32"/>
      <c r="W45" s="25" t="s">
        <v>9</v>
      </c>
      <c r="X45" s="11"/>
      <c r="Y45" s="50" t="s">
        <v>18</v>
      </c>
      <c r="Z45" s="50"/>
      <c r="AA45" s="50"/>
      <c r="AB45" s="50"/>
      <c r="AC45" s="50"/>
      <c r="AD45" s="50"/>
      <c r="AE45" s="50"/>
      <c r="AF45" s="34"/>
      <c r="AG45" s="34"/>
      <c r="AH45" s="34"/>
      <c r="AI45" s="34"/>
      <c r="AJ45" s="34"/>
      <c r="AK45" s="34"/>
      <c r="AL45" s="34"/>
      <c r="AM45" s="34"/>
      <c r="AN45" s="34"/>
      <c r="AO45" s="65"/>
      <c r="AP45" s="69"/>
      <c r="AQ45" s="62"/>
      <c r="AR45" s="34"/>
    </row>
    <row r="46" spans="1:44" customFormat="1">
      <c r="A46" s="39">
        <v>43596</v>
      </c>
      <c r="B46" s="11" t="s">
        <v>22</v>
      </c>
      <c r="C46" s="16" t="s">
        <v>215</v>
      </c>
      <c r="D46" s="16"/>
      <c r="E46" s="38">
        <v>31646</v>
      </c>
      <c r="F46" s="38"/>
      <c r="G46" s="10" t="s">
        <v>148</v>
      </c>
      <c r="H46" s="12" t="s">
        <v>216</v>
      </c>
      <c r="I46" s="13" t="s">
        <v>1640</v>
      </c>
      <c r="J46" s="15" t="s">
        <v>217</v>
      </c>
      <c r="K46" s="12"/>
      <c r="L46" s="11" t="s">
        <v>34</v>
      </c>
      <c r="M46" s="15"/>
      <c r="N46" s="17"/>
      <c r="O46" s="17"/>
      <c r="P46" s="17"/>
      <c r="Q46" s="48"/>
      <c r="R46" s="11"/>
      <c r="S46" s="48"/>
      <c r="T46" s="85" t="s">
        <v>81</v>
      </c>
      <c r="U46" s="88"/>
      <c r="V46" s="32" t="s">
        <v>387</v>
      </c>
      <c r="W46" s="25" t="s">
        <v>10</v>
      </c>
      <c r="X46" s="11"/>
      <c r="Y46" s="50" t="s">
        <v>18</v>
      </c>
      <c r="Z46" s="50"/>
      <c r="AA46" s="50"/>
      <c r="AB46" s="50"/>
      <c r="AC46" s="50"/>
      <c r="AD46" s="50"/>
      <c r="AE46" s="50"/>
      <c r="AF46" s="34"/>
      <c r="AG46" s="34"/>
      <c r="AH46" s="34"/>
      <c r="AI46" s="34"/>
      <c r="AJ46" s="34"/>
      <c r="AK46" s="34"/>
      <c r="AL46" s="34"/>
      <c r="AM46" s="34"/>
      <c r="AN46" s="34"/>
      <c r="AO46" s="65"/>
      <c r="AP46" s="69"/>
      <c r="AQ46" s="62"/>
      <c r="AR46" s="34"/>
    </row>
    <row r="47" spans="1:44" customFormat="1">
      <c r="A47" s="39">
        <v>43596</v>
      </c>
      <c r="B47" s="11" t="s">
        <v>22</v>
      </c>
      <c r="C47" s="16" t="s">
        <v>209</v>
      </c>
      <c r="D47" s="16"/>
      <c r="E47" s="38">
        <v>22018</v>
      </c>
      <c r="F47" s="38"/>
      <c r="G47" s="10"/>
      <c r="H47" s="12"/>
      <c r="I47" s="13"/>
      <c r="J47" s="15" t="s">
        <v>210</v>
      </c>
      <c r="K47" s="12"/>
      <c r="L47" s="11"/>
      <c r="M47" s="15"/>
      <c r="N47" s="17"/>
      <c r="O47" s="17"/>
      <c r="P47" s="17"/>
      <c r="Q47" s="48"/>
      <c r="R47" s="11"/>
      <c r="S47" s="48"/>
      <c r="T47" s="85" t="s">
        <v>81</v>
      </c>
      <c r="U47" s="88"/>
      <c r="V47" s="32" t="s">
        <v>81</v>
      </c>
      <c r="W47" s="25"/>
      <c r="X47" s="11"/>
      <c r="Y47" s="50" t="s">
        <v>11</v>
      </c>
      <c r="Z47" s="50"/>
      <c r="AA47" s="50"/>
      <c r="AB47" s="50"/>
      <c r="AC47" s="50"/>
      <c r="AD47" s="50"/>
      <c r="AE47" s="50"/>
      <c r="AF47" s="34"/>
      <c r="AG47" s="34"/>
      <c r="AH47" s="34"/>
      <c r="AI47" s="34"/>
      <c r="AJ47" s="34"/>
      <c r="AK47" s="34"/>
      <c r="AL47" s="34"/>
      <c r="AM47" s="34"/>
      <c r="AN47" s="34"/>
      <c r="AO47" s="65"/>
      <c r="AP47" s="69"/>
      <c r="AQ47" s="62"/>
      <c r="AR47" s="34" t="s">
        <v>1408</v>
      </c>
    </row>
    <row r="48" spans="1:44" customFormat="1">
      <c r="A48" s="39">
        <v>43597</v>
      </c>
      <c r="B48" s="11" t="s">
        <v>49</v>
      </c>
      <c r="C48" s="16" t="s">
        <v>192</v>
      </c>
      <c r="D48" s="16"/>
      <c r="E48" s="38">
        <v>20243</v>
      </c>
      <c r="F48" s="38"/>
      <c r="G48" s="10" t="s">
        <v>78</v>
      </c>
      <c r="H48" s="12" t="s">
        <v>193</v>
      </c>
      <c r="I48" s="13" t="s">
        <v>1643</v>
      </c>
      <c r="J48" s="15" t="s">
        <v>194</v>
      </c>
      <c r="K48" s="12"/>
      <c r="L48" s="11" t="s">
        <v>33</v>
      </c>
      <c r="M48" s="15"/>
      <c r="N48" s="17"/>
      <c r="O48" s="17"/>
      <c r="P48" s="17"/>
      <c r="Q48" s="48"/>
      <c r="R48" s="11"/>
      <c r="S48" s="48"/>
      <c r="T48" s="85"/>
      <c r="U48" s="88" t="s">
        <v>1408</v>
      </c>
      <c r="V48" s="32" t="s">
        <v>105</v>
      </c>
      <c r="W48" s="25"/>
      <c r="X48" s="11"/>
      <c r="Y48" s="50" t="s">
        <v>14</v>
      </c>
      <c r="Z48" s="50"/>
      <c r="AA48" s="50"/>
      <c r="AB48" s="50"/>
      <c r="AC48" s="50"/>
      <c r="AD48" s="50"/>
      <c r="AE48" s="50"/>
      <c r="AF48" s="34"/>
      <c r="AG48" s="34"/>
      <c r="AH48" s="34"/>
      <c r="AI48" s="34"/>
      <c r="AJ48" s="34"/>
      <c r="AK48" s="34"/>
      <c r="AL48" s="34"/>
      <c r="AM48" s="34"/>
      <c r="AN48" s="34"/>
      <c r="AO48" s="65"/>
      <c r="AP48" s="69"/>
      <c r="AQ48" s="62"/>
      <c r="AR48" s="34"/>
    </row>
    <row r="49" spans="1:44" customFormat="1">
      <c r="A49" s="39">
        <v>43598</v>
      </c>
      <c r="B49" s="11" t="s">
        <v>22</v>
      </c>
      <c r="C49" s="16" t="s">
        <v>186</v>
      </c>
      <c r="D49" s="16"/>
      <c r="E49" s="38">
        <v>25300</v>
      </c>
      <c r="F49" s="38"/>
      <c r="G49" s="10" t="s">
        <v>187</v>
      </c>
      <c r="H49" s="12" t="s">
        <v>188</v>
      </c>
      <c r="I49" s="13" t="s">
        <v>1644</v>
      </c>
      <c r="J49" s="15" t="s">
        <v>190</v>
      </c>
      <c r="K49" s="14" t="s">
        <v>189</v>
      </c>
      <c r="L49" s="11" t="s">
        <v>36</v>
      </c>
      <c r="M49" s="15"/>
      <c r="N49" s="17"/>
      <c r="O49" s="17"/>
      <c r="P49" s="17"/>
      <c r="Q49" s="48"/>
      <c r="R49" s="11"/>
      <c r="S49" s="48"/>
      <c r="T49" s="85"/>
      <c r="U49" s="88"/>
      <c r="V49" s="32" t="s">
        <v>191</v>
      </c>
      <c r="W49" s="25" t="s">
        <v>48</v>
      </c>
      <c r="X49" s="11"/>
      <c r="Y49" s="50" t="s">
        <v>11</v>
      </c>
      <c r="Z49" s="50"/>
      <c r="AA49" s="50"/>
      <c r="AB49" s="50"/>
      <c r="AC49" s="50"/>
      <c r="AD49" s="50"/>
      <c r="AE49" s="50"/>
      <c r="AF49" s="34"/>
      <c r="AG49" s="34"/>
      <c r="AH49" s="34"/>
      <c r="AI49" s="34"/>
      <c r="AJ49" s="34"/>
      <c r="AK49" s="34"/>
      <c r="AL49" s="34"/>
      <c r="AM49" s="34"/>
      <c r="AN49" s="34"/>
      <c r="AO49" s="65"/>
      <c r="AP49" s="69"/>
      <c r="AQ49" s="62"/>
      <c r="AR49" s="34"/>
    </row>
    <row r="50" spans="1:44" customFormat="1">
      <c r="A50" s="39">
        <v>43600</v>
      </c>
      <c r="B50" s="11" t="s">
        <v>49</v>
      </c>
      <c r="C50" s="16" t="s">
        <v>218</v>
      </c>
      <c r="D50" s="16"/>
      <c r="E50" s="38">
        <v>29289</v>
      </c>
      <c r="F50" s="38"/>
      <c r="G50" s="10" t="s">
        <v>219</v>
      </c>
      <c r="H50" s="12" t="s">
        <v>220</v>
      </c>
      <c r="I50" s="13" t="s">
        <v>1645</v>
      </c>
      <c r="J50" s="15" t="s">
        <v>221</v>
      </c>
      <c r="K50" s="12"/>
      <c r="L50" s="11" t="s">
        <v>33</v>
      </c>
      <c r="M50" s="15"/>
      <c r="N50" s="17"/>
      <c r="O50" s="17"/>
      <c r="P50" s="17"/>
      <c r="Q50" s="48"/>
      <c r="R50" s="11"/>
      <c r="S50" s="48"/>
      <c r="T50" s="85"/>
      <c r="U50" s="88"/>
      <c r="V50" s="32" t="s">
        <v>222</v>
      </c>
      <c r="W50" s="25" t="s">
        <v>10</v>
      </c>
      <c r="X50" s="11"/>
      <c r="Y50" s="50"/>
      <c r="Z50" s="50"/>
      <c r="AA50" s="50"/>
      <c r="AB50" s="50"/>
      <c r="AC50" s="50"/>
      <c r="AD50" s="50"/>
      <c r="AE50" s="50"/>
      <c r="AF50" s="34"/>
      <c r="AG50" s="34"/>
      <c r="AH50" s="34"/>
      <c r="AI50" s="34"/>
      <c r="AJ50" s="34"/>
      <c r="AK50" s="34"/>
      <c r="AL50" s="34"/>
      <c r="AM50" s="34"/>
      <c r="AN50" s="34"/>
      <c r="AO50" s="65"/>
      <c r="AP50" s="69"/>
      <c r="AQ50" s="62"/>
      <c r="AR50" s="34"/>
    </row>
    <row r="51" spans="1:44" customFormat="1">
      <c r="A51" s="39">
        <v>43600</v>
      </c>
      <c r="B51" s="11" t="s">
        <v>49</v>
      </c>
      <c r="C51" s="16" t="s">
        <v>224</v>
      </c>
      <c r="D51" s="16"/>
      <c r="E51" s="38">
        <v>27751</v>
      </c>
      <c r="F51" s="38"/>
      <c r="G51" s="10" t="s">
        <v>225</v>
      </c>
      <c r="H51" s="12" t="s">
        <v>226</v>
      </c>
      <c r="I51" s="13" t="s">
        <v>1646</v>
      </c>
      <c r="J51" s="15" t="s">
        <v>223</v>
      </c>
      <c r="K51" s="12"/>
      <c r="L51" s="11" t="s">
        <v>36</v>
      </c>
      <c r="M51" s="15"/>
      <c r="N51" s="17"/>
      <c r="O51" s="17"/>
      <c r="P51" s="17"/>
      <c r="Q51" s="48"/>
      <c r="R51" s="11"/>
      <c r="S51" s="48"/>
      <c r="T51" s="85"/>
      <c r="U51" s="88"/>
      <c r="V51" s="32" t="s">
        <v>222</v>
      </c>
      <c r="W51" s="25" t="s">
        <v>10</v>
      </c>
      <c r="X51" s="11"/>
      <c r="Y51" s="50"/>
      <c r="Z51" s="50"/>
      <c r="AA51" s="50"/>
      <c r="AB51" s="50"/>
      <c r="AC51" s="50"/>
      <c r="AD51" s="50"/>
      <c r="AE51" s="50"/>
      <c r="AF51" s="34"/>
      <c r="AG51" s="34"/>
      <c r="AH51" s="34"/>
      <c r="AI51" s="34"/>
      <c r="AJ51" s="34"/>
      <c r="AK51" s="34"/>
      <c r="AL51" s="34"/>
      <c r="AM51" s="34"/>
      <c r="AN51" s="34"/>
      <c r="AO51" s="65"/>
      <c r="AP51" s="69"/>
      <c r="AQ51" s="62"/>
      <c r="AR51" s="34"/>
    </row>
    <row r="52" spans="1:44" customFormat="1">
      <c r="A52" s="39">
        <v>43600</v>
      </c>
      <c r="B52" s="11" t="s">
        <v>49</v>
      </c>
      <c r="C52" s="16" t="s">
        <v>227</v>
      </c>
      <c r="D52" s="16"/>
      <c r="E52" s="38">
        <v>37069</v>
      </c>
      <c r="F52" s="38"/>
      <c r="G52" s="10" t="s">
        <v>228</v>
      </c>
      <c r="H52" s="12" t="s">
        <v>229</v>
      </c>
      <c r="I52" s="13" t="s">
        <v>1647</v>
      </c>
      <c r="J52" s="15" t="s">
        <v>230</v>
      </c>
      <c r="K52" s="12"/>
      <c r="L52" s="11" t="s">
        <v>38</v>
      </c>
      <c r="M52" s="15"/>
      <c r="N52" s="17"/>
      <c r="O52" s="17"/>
      <c r="P52" s="17"/>
      <c r="Q52" s="48"/>
      <c r="R52" s="11"/>
      <c r="S52" s="48"/>
      <c r="T52" s="85"/>
      <c r="U52" s="88"/>
      <c r="V52" s="32" t="s">
        <v>361</v>
      </c>
      <c r="W52" s="25" t="s">
        <v>8</v>
      </c>
      <c r="X52" s="11"/>
      <c r="Y52" s="50" t="s">
        <v>13</v>
      </c>
      <c r="Z52" s="50"/>
      <c r="AA52" s="50"/>
      <c r="AB52" s="50"/>
      <c r="AC52" s="50"/>
      <c r="AD52" s="50"/>
      <c r="AE52" s="50"/>
      <c r="AF52" s="34"/>
      <c r="AG52" s="34"/>
      <c r="AH52" s="34"/>
      <c r="AI52" s="34"/>
      <c r="AJ52" s="34"/>
      <c r="AK52" s="34"/>
      <c r="AL52" s="34"/>
      <c r="AM52" s="34"/>
      <c r="AN52" s="34"/>
      <c r="AO52" s="65"/>
      <c r="AP52" s="69"/>
      <c r="AQ52" s="62"/>
      <c r="AR52" s="34"/>
    </row>
    <row r="53" spans="1:44" customFormat="1">
      <c r="A53" s="39">
        <v>43600</v>
      </c>
      <c r="B53" s="11" t="s">
        <v>22</v>
      </c>
      <c r="C53" s="16" t="s">
        <v>231</v>
      </c>
      <c r="D53" s="16"/>
      <c r="E53" s="38">
        <v>23713</v>
      </c>
      <c r="F53" s="38"/>
      <c r="G53" s="10" t="s">
        <v>232</v>
      </c>
      <c r="H53" s="12" t="s">
        <v>233</v>
      </c>
      <c r="I53" s="13" t="s">
        <v>1648</v>
      </c>
      <c r="J53" s="15" t="s">
        <v>234</v>
      </c>
      <c r="K53" s="12"/>
      <c r="L53" s="11"/>
      <c r="M53" s="15"/>
      <c r="N53" s="17"/>
      <c r="O53" s="17"/>
      <c r="P53" s="17"/>
      <c r="Q53" s="48"/>
      <c r="R53" s="11"/>
      <c r="S53" s="48"/>
      <c r="T53" s="85"/>
      <c r="U53" s="88"/>
      <c r="V53" s="32"/>
      <c r="W53" s="25" t="s">
        <v>8</v>
      </c>
      <c r="X53" s="11"/>
      <c r="Y53" s="50" t="s">
        <v>11</v>
      </c>
      <c r="Z53" s="50"/>
      <c r="AA53" s="50"/>
      <c r="AB53" s="50"/>
      <c r="AC53" s="50"/>
      <c r="AD53" s="50"/>
      <c r="AE53" s="50"/>
      <c r="AF53" s="34"/>
      <c r="AG53" s="34"/>
      <c r="AH53" s="34"/>
      <c r="AI53" s="34"/>
      <c r="AJ53" s="34"/>
      <c r="AK53" s="34"/>
      <c r="AL53" s="34"/>
      <c r="AM53" s="34"/>
      <c r="AN53" s="34"/>
      <c r="AO53" s="65"/>
      <c r="AP53" s="69"/>
      <c r="AQ53" s="62"/>
      <c r="AR53" s="34"/>
    </row>
    <row r="54" spans="1:44" customFormat="1">
      <c r="A54" s="39">
        <v>43600</v>
      </c>
      <c r="B54" s="11" t="s">
        <v>22</v>
      </c>
      <c r="C54" s="16" t="s">
        <v>235</v>
      </c>
      <c r="D54" s="16"/>
      <c r="E54" s="38">
        <v>30054</v>
      </c>
      <c r="F54" s="38"/>
      <c r="G54" s="10" t="s">
        <v>236</v>
      </c>
      <c r="H54" s="12" t="s">
        <v>237</v>
      </c>
      <c r="I54" s="13" t="s">
        <v>1649</v>
      </c>
      <c r="J54" s="15" t="s">
        <v>238</v>
      </c>
      <c r="K54" s="12"/>
      <c r="L54" s="11" t="s">
        <v>36</v>
      </c>
      <c r="M54" s="15"/>
      <c r="N54" s="17"/>
      <c r="O54" s="17"/>
      <c r="P54" s="17"/>
      <c r="Q54" s="48"/>
      <c r="R54" s="11"/>
      <c r="S54" s="48"/>
      <c r="T54" s="85"/>
      <c r="U54" s="88"/>
      <c r="V54" s="32"/>
      <c r="W54" s="25" t="s">
        <v>8</v>
      </c>
      <c r="X54" s="11"/>
      <c r="Y54" s="50"/>
      <c r="Z54" s="50"/>
      <c r="AA54" s="50"/>
      <c r="AB54" s="50"/>
      <c r="AC54" s="50"/>
      <c r="AD54" s="50"/>
      <c r="AE54" s="50"/>
      <c r="AF54" s="34"/>
      <c r="AG54" s="34"/>
      <c r="AH54" s="34"/>
      <c r="AI54" s="34"/>
      <c r="AJ54" s="34"/>
      <c r="AK54" s="34"/>
      <c r="AL54" s="34"/>
      <c r="AM54" s="34"/>
      <c r="AN54" s="34"/>
      <c r="AO54" s="65"/>
      <c r="AP54" s="69"/>
      <c r="AQ54" s="62"/>
      <c r="AR54" s="34"/>
    </row>
    <row r="55" spans="1:44" customFormat="1">
      <c r="A55" s="39">
        <v>43601</v>
      </c>
      <c r="B55" s="11" t="s">
        <v>49</v>
      </c>
      <c r="C55" s="16" t="s">
        <v>239</v>
      </c>
      <c r="D55" s="16"/>
      <c r="E55" s="38">
        <v>24309</v>
      </c>
      <c r="F55" s="38"/>
      <c r="G55" s="10" t="s">
        <v>240</v>
      </c>
      <c r="H55" s="12" t="s">
        <v>241</v>
      </c>
      <c r="I55" s="13" t="s">
        <v>1650</v>
      </c>
      <c r="J55" s="15" t="s">
        <v>242</v>
      </c>
      <c r="K55" s="12"/>
      <c r="L55" s="11" t="s">
        <v>37</v>
      </c>
      <c r="M55" s="15"/>
      <c r="N55" s="17"/>
      <c r="O55" s="17"/>
      <c r="P55" s="17"/>
      <c r="Q55" s="48"/>
      <c r="R55" s="11"/>
      <c r="S55" s="48"/>
      <c r="T55" s="85"/>
      <c r="U55" s="88"/>
      <c r="V55" s="32"/>
      <c r="W55" s="25" t="s">
        <v>8</v>
      </c>
      <c r="X55" s="11"/>
      <c r="Y55" s="50"/>
      <c r="Z55" s="50"/>
      <c r="AA55" s="50"/>
      <c r="AB55" s="50"/>
      <c r="AC55" s="50"/>
      <c r="AD55" s="50"/>
      <c r="AE55" s="50"/>
      <c r="AF55" s="34"/>
      <c r="AG55" s="34"/>
      <c r="AH55" s="34"/>
      <c r="AI55" s="34"/>
      <c r="AJ55" s="34"/>
      <c r="AK55" s="34"/>
      <c r="AL55" s="34"/>
      <c r="AM55" s="34"/>
      <c r="AN55" s="34"/>
      <c r="AO55" s="65"/>
      <c r="AP55" s="69"/>
      <c r="AQ55" s="62"/>
      <c r="AR55" s="34"/>
    </row>
    <row r="56" spans="1:44" customFormat="1">
      <c r="A56" s="39">
        <v>43601</v>
      </c>
      <c r="B56" s="11" t="s">
        <v>49</v>
      </c>
      <c r="C56" s="16" t="s">
        <v>244</v>
      </c>
      <c r="D56" s="16"/>
      <c r="E56" s="38">
        <v>20500</v>
      </c>
      <c r="F56" s="38"/>
      <c r="G56" s="10" t="s">
        <v>245</v>
      </c>
      <c r="H56" s="12" t="s">
        <v>246</v>
      </c>
      <c r="I56" s="13" t="s">
        <v>1651</v>
      </c>
      <c r="J56" s="15" t="s">
        <v>247</v>
      </c>
      <c r="K56" s="12"/>
      <c r="L56" s="11" t="s">
        <v>37</v>
      </c>
      <c r="M56" s="15"/>
      <c r="N56" s="17"/>
      <c r="O56" s="17"/>
      <c r="P56" s="17"/>
      <c r="Q56" s="48"/>
      <c r="R56" s="11"/>
      <c r="S56" s="48"/>
      <c r="T56" s="85"/>
      <c r="U56" s="88"/>
      <c r="V56" s="32" t="s">
        <v>243</v>
      </c>
      <c r="W56" s="25" t="s">
        <v>8</v>
      </c>
      <c r="X56" s="11"/>
      <c r="Y56" s="50" t="s">
        <v>13</v>
      </c>
      <c r="Z56" s="50"/>
      <c r="AA56" s="50"/>
      <c r="AB56" s="50"/>
      <c r="AC56" s="50"/>
      <c r="AD56" s="50"/>
      <c r="AE56" s="50"/>
      <c r="AF56" s="34"/>
      <c r="AG56" s="34"/>
      <c r="AH56" s="34"/>
      <c r="AI56" s="34"/>
      <c r="AJ56" s="34"/>
      <c r="AK56" s="34"/>
      <c r="AL56" s="34"/>
      <c r="AM56" s="34"/>
      <c r="AN56" s="34"/>
      <c r="AO56" s="65"/>
      <c r="AP56" s="69"/>
      <c r="AQ56" s="62"/>
      <c r="AR56" s="34"/>
    </row>
    <row r="57" spans="1:44" customFormat="1">
      <c r="A57" s="39">
        <v>43601</v>
      </c>
      <c r="B57" s="11" t="s">
        <v>22</v>
      </c>
      <c r="C57" s="16" t="s">
        <v>248</v>
      </c>
      <c r="D57" s="16"/>
      <c r="E57" s="38">
        <v>18076</v>
      </c>
      <c r="F57" s="38"/>
      <c r="G57" s="10" t="s">
        <v>130</v>
      </c>
      <c r="H57" s="12" t="s">
        <v>249</v>
      </c>
      <c r="I57" s="13" t="s">
        <v>1652</v>
      </c>
      <c r="J57" s="15" t="s">
        <v>250</v>
      </c>
      <c r="K57" s="12"/>
      <c r="L57" s="11" t="s">
        <v>39</v>
      </c>
      <c r="M57" s="15"/>
      <c r="N57" s="17"/>
      <c r="O57" s="17"/>
      <c r="P57" s="17"/>
      <c r="Q57" s="48"/>
      <c r="R57" s="11"/>
      <c r="S57" s="48"/>
      <c r="T57" s="85"/>
      <c r="U57" s="88"/>
      <c r="V57" s="32"/>
      <c r="W57" s="25" t="s">
        <v>10</v>
      </c>
      <c r="X57" s="11"/>
      <c r="Y57" s="50" t="s">
        <v>13</v>
      </c>
      <c r="Z57" s="50"/>
      <c r="AA57" s="50"/>
      <c r="AB57" s="50"/>
      <c r="AC57" s="50"/>
      <c r="AD57" s="50"/>
      <c r="AE57" s="50"/>
      <c r="AF57" s="34"/>
      <c r="AG57" s="34"/>
      <c r="AH57" s="34"/>
      <c r="AI57" s="34"/>
      <c r="AJ57" s="34"/>
      <c r="AK57" s="34"/>
      <c r="AL57" s="34"/>
      <c r="AM57" s="34"/>
      <c r="AN57" s="34"/>
      <c r="AO57" s="65"/>
      <c r="AP57" s="69"/>
      <c r="AQ57" s="62"/>
      <c r="AR57" s="34"/>
    </row>
    <row r="58" spans="1:44" customFormat="1">
      <c r="A58" s="39">
        <v>43602</v>
      </c>
      <c r="B58" s="11" t="s">
        <v>22</v>
      </c>
      <c r="C58" s="16" t="s">
        <v>251</v>
      </c>
      <c r="D58" s="16"/>
      <c r="E58" s="38">
        <v>18871</v>
      </c>
      <c r="F58" s="38"/>
      <c r="G58" s="10" t="s">
        <v>252</v>
      </c>
      <c r="H58" s="12" t="s">
        <v>253</v>
      </c>
      <c r="I58" s="13" t="s">
        <v>1653</v>
      </c>
      <c r="J58" s="15" t="s">
        <v>254</v>
      </c>
      <c r="K58" s="12"/>
      <c r="L58" s="11" t="s">
        <v>39</v>
      </c>
      <c r="M58" s="15"/>
      <c r="N58" s="17"/>
      <c r="O58" s="17"/>
      <c r="P58" s="17"/>
      <c r="Q58" s="48"/>
      <c r="R58" s="11"/>
      <c r="S58" s="48"/>
      <c r="T58" s="85"/>
      <c r="U58" s="88"/>
      <c r="V58" s="32"/>
      <c r="W58" s="25" t="s">
        <v>10</v>
      </c>
      <c r="X58" s="11"/>
      <c r="Y58" s="50" t="s">
        <v>20</v>
      </c>
      <c r="Z58" s="50"/>
      <c r="AA58" s="50"/>
      <c r="AB58" s="50"/>
      <c r="AC58" s="50"/>
      <c r="AD58" s="50"/>
      <c r="AE58" s="50"/>
      <c r="AF58" s="34"/>
      <c r="AG58" s="34"/>
      <c r="AH58" s="34"/>
      <c r="AI58" s="34"/>
      <c r="AJ58" s="34"/>
      <c r="AK58" s="34"/>
      <c r="AL58" s="34"/>
      <c r="AM58" s="34"/>
      <c r="AN58" s="34"/>
      <c r="AO58" s="65"/>
      <c r="AP58" s="69"/>
      <c r="AQ58" s="62"/>
      <c r="AR58" s="34"/>
    </row>
    <row r="59" spans="1:44" customFormat="1">
      <c r="A59" s="39">
        <v>43602</v>
      </c>
      <c r="B59" s="11" t="s">
        <v>22</v>
      </c>
      <c r="C59" s="16" t="s">
        <v>255</v>
      </c>
      <c r="D59" s="16"/>
      <c r="E59" s="38">
        <v>22092</v>
      </c>
      <c r="F59" s="38"/>
      <c r="G59" s="10" t="s">
        <v>614</v>
      </c>
      <c r="H59" s="12" t="s">
        <v>256</v>
      </c>
      <c r="I59" s="13" t="s">
        <v>1654</v>
      </c>
      <c r="J59" s="15" t="s">
        <v>257</v>
      </c>
      <c r="K59" s="12"/>
      <c r="L59" s="11" t="s">
        <v>36</v>
      </c>
      <c r="M59" s="15"/>
      <c r="N59" s="17"/>
      <c r="O59" s="17"/>
      <c r="P59" s="17"/>
      <c r="Q59" s="48"/>
      <c r="R59" s="11"/>
      <c r="S59" s="48"/>
      <c r="T59" s="85"/>
      <c r="U59" s="88"/>
      <c r="V59" s="32" t="s">
        <v>258</v>
      </c>
      <c r="W59" s="25" t="s">
        <v>8</v>
      </c>
      <c r="X59" s="11"/>
      <c r="Y59" s="50"/>
      <c r="Z59" s="50"/>
      <c r="AA59" s="50"/>
      <c r="AB59" s="50"/>
      <c r="AC59" s="50"/>
      <c r="AD59" s="50"/>
      <c r="AE59" s="50"/>
      <c r="AF59" s="34"/>
      <c r="AG59" s="34"/>
      <c r="AH59" s="34"/>
      <c r="AI59" s="34"/>
      <c r="AJ59" s="34"/>
      <c r="AK59" s="34"/>
      <c r="AL59" s="34"/>
      <c r="AM59" s="34"/>
      <c r="AN59" s="34"/>
      <c r="AO59" s="65"/>
      <c r="AP59" s="69"/>
      <c r="AQ59" s="62"/>
      <c r="AR59" s="34"/>
    </row>
    <row r="60" spans="1:44" customFormat="1">
      <c r="A60" s="39">
        <v>43602</v>
      </c>
      <c r="B60" s="11" t="s">
        <v>22</v>
      </c>
      <c r="C60" s="16" t="s">
        <v>259</v>
      </c>
      <c r="D60" s="16"/>
      <c r="E60" s="38">
        <v>35579</v>
      </c>
      <c r="F60" s="38"/>
      <c r="G60" s="10" t="s">
        <v>615</v>
      </c>
      <c r="H60" s="12" t="s">
        <v>260</v>
      </c>
      <c r="I60" s="13" t="s">
        <v>1655</v>
      </c>
      <c r="J60" s="15" t="s">
        <v>261</v>
      </c>
      <c r="K60" s="12"/>
      <c r="L60" s="11" t="s">
        <v>39</v>
      </c>
      <c r="M60" s="15"/>
      <c r="N60" s="17"/>
      <c r="O60" s="17"/>
      <c r="P60" s="17"/>
      <c r="Q60" s="48"/>
      <c r="R60" s="11"/>
      <c r="S60" s="48"/>
      <c r="T60" s="85"/>
      <c r="U60" s="88"/>
      <c r="V60" s="32" t="s">
        <v>262</v>
      </c>
      <c r="W60" s="25" t="s">
        <v>8</v>
      </c>
      <c r="X60" s="11"/>
      <c r="Y60" s="50" t="s">
        <v>12</v>
      </c>
      <c r="Z60" s="50"/>
      <c r="AA60" s="50"/>
      <c r="AB60" s="50"/>
      <c r="AC60" s="50"/>
      <c r="AD60" s="50"/>
      <c r="AE60" s="50"/>
      <c r="AF60" s="34"/>
      <c r="AG60" s="34"/>
      <c r="AH60" s="34"/>
      <c r="AI60" s="34"/>
      <c r="AJ60" s="34"/>
      <c r="AK60" s="34"/>
      <c r="AL60" s="34"/>
      <c r="AM60" s="34"/>
      <c r="AN60" s="34"/>
      <c r="AO60" s="65"/>
      <c r="AP60" s="69"/>
      <c r="AQ60" s="62"/>
      <c r="AR60" s="34"/>
    </row>
    <row r="61" spans="1:44" customFormat="1">
      <c r="A61" s="39">
        <v>43602</v>
      </c>
      <c r="B61" s="11" t="s">
        <v>22</v>
      </c>
      <c r="C61" s="16" t="s">
        <v>263</v>
      </c>
      <c r="D61" s="16"/>
      <c r="E61" s="38">
        <v>36439</v>
      </c>
      <c r="F61" s="38"/>
      <c r="G61" s="10"/>
      <c r="H61" s="12"/>
      <c r="I61" s="13"/>
      <c r="J61" s="15" t="s">
        <v>264</v>
      </c>
      <c r="K61" s="12"/>
      <c r="L61" s="11" t="s">
        <v>39</v>
      </c>
      <c r="M61" s="15"/>
      <c r="N61" s="17"/>
      <c r="O61" s="17"/>
      <c r="P61" s="17"/>
      <c r="Q61" s="48"/>
      <c r="R61" s="11"/>
      <c r="S61" s="48"/>
      <c r="T61" s="85"/>
      <c r="U61" s="88"/>
      <c r="V61" s="32" t="s">
        <v>262</v>
      </c>
      <c r="W61" s="25" t="s">
        <v>8</v>
      </c>
      <c r="X61" s="11"/>
      <c r="Y61" s="50"/>
      <c r="Z61" s="50"/>
      <c r="AA61" s="50"/>
      <c r="AB61" s="50"/>
      <c r="AC61" s="50"/>
      <c r="AD61" s="50"/>
      <c r="AE61" s="50"/>
      <c r="AF61" s="34"/>
      <c r="AG61" s="34"/>
      <c r="AH61" s="34"/>
      <c r="AI61" s="34"/>
      <c r="AJ61" s="34"/>
      <c r="AK61" s="34"/>
      <c r="AL61" s="34"/>
      <c r="AM61" s="34"/>
      <c r="AN61" s="34"/>
      <c r="AO61" s="65"/>
      <c r="AP61" s="69"/>
      <c r="AQ61" s="62"/>
      <c r="AR61" s="34"/>
    </row>
    <row r="62" spans="1:44" customFormat="1">
      <c r="A62" s="39">
        <v>43602</v>
      </c>
      <c r="B62" s="11" t="s">
        <v>22</v>
      </c>
      <c r="C62" s="16" t="s">
        <v>288</v>
      </c>
      <c r="D62" s="16"/>
      <c r="E62" s="38">
        <v>21731</v>
      </c>
      <c r="F62" s="38"/>
      <c r="G62" s="10" t="s">
        <v>289</v>
      </c>
      <c r="H62" s="12" t="s">
        <v>290</v>
      </c>
      <c r="I62" s="13" t="s">
        <v>1656</v>
      </c>
      <c r="J62" s="15" t="s">
        <v>291</v>
      </c>
      <c r="K62" s="12"/>
      <c r="L62" s="11"/>
      <c r="M62" s="15"/>
      <c r="N62" s="17"/>
      <c r="O62" s="17"/>
      <c r="P62" s="17"/>
      <c r="Q62" s="48"/>
      <c r="R62" s="11"/>
      <c r="S62" s="48"/>
      <c r="T62" s="85"/>
      <c r="U62" s="88"/>
      <c r="V62" s="32"/>
      <c r="W62" s="25"/>
      <c r="X62" s="11"/>
      <c r="Y62" s="50"/>
      <c r="Z62" s="50"/>
      <c r="AA62" s="50"/>
      <c r="AB62" s="50"/>
      <c r="AC62" s="50"/>
      <c r="AD62" s="50"/>
      <c r="AE62" s="50"/>
      <c r="AF62" s="34"/>
      <c r="AG62" s="34"/>
      <c r="AH62" s="34"/>
      <c r="AI62" s="34"/>
      <c r="AJ62" s="34"/>
      <c r="AK62" s="34"/>
      <c r="AL62" s="34"/>
      <c r="AM62" s="34"/>
      <c r="AN62" s="34"/>
      <c r="AO62" s="65"/>
      <c r="AP62" s="70"/>
      <c r="AQ62" s="71"/>
      <c r="AR62" s="78"/>
    </row>
    <row r="63" spans="1:44" customFormat="1">
      <c r="A63" s="39">
        <v>43602</v>
      </c>
      <c r="B63" s="11" t="s">
        <v>22</v>
      </c>
      <c r="C63" s="16" t="s">
        <v>292</v>
      </c>
      <c r="D63" s="16"/>
      <c r="E63" s="38">
        <v>19500</v>
      </c>
      <c r="F63" s="38"/>
      <c r="G63" s="10" t="s">
        <v>293</v>
      </c>
      <c r="H63" s="12" t="s">
        <v>294</v>
      </c>
      <c r="I63" s="13" t="s">
        <v>1657</v>
      </c>
      <c r="J63" s="15" t="s">
        <v>295</v>
      </c>
      <c r="K63" s="12"/>
      <c r="L63" s="11" t="s">
        <v>33</v>
      </c>
      <c r="M63" s="15"/>
      <c r="N63" s="17"/>
      <c r="O63" s="17"/>
      <c r="P63" s="17"/>
      <c r="Q63" s="48"/>
      <c r="R63" s="20"/>
      <c r="S63" s="48"/>
      <c r="T63" s="86" t="s">
        <v>81</v>
      </c>
      <c r="U63" s="89"/>
      <c r="V63" s="94" t="s">
        <v>305</v>
      </c>
      <c r="W63" s="25" t="s">
        <v>10</v>
      </c>
      <c r="X63" s="11"/>
      <c r="Y63" s="50" t="s">
        <v>14</v>
      </c>
      <c r="Z63" s="50"/>
      <c r="AA63" s="50"/>
      <c r="AB63" s="50"/>
      <c r="AC63" s="50"/>
      <c r="AD63" s="50"/>
      <c r="AE63" s="50"/>
      <c r="AF63" s="34"/>
      <c r="AG63" s="34"/>
      <c r="AH63" s="34"/>
      <c r="AI63" s="34"/>
      <c r="AJ63" s="34"/>
      <c r="AK63" s="34"/>
      <c r="AL63" s="34"/>
      <c r="AM63" s="34"/>
      <c r="AN63" s="34"/>
      <c r="AO63" s="65"/>
      <c r="AP63" s="69"/>
      <c r="AQ63" s="62"/>
      <c r="AR63" s="34"/>
    </row>
    <row r="64" spans="1:44" customFormat="1">
      <c r="A64" s="39">
        <v>43603</v>
      </c>
      <c r="B64" s="11" t="s">
        <v>49</v>
      </c>
      <c r="C64" s="16" t="s">
        <v>270</v>
      </c>
      <c r="D64" s="16"/>
      <c r="E64" s="38">
        <v>24692</v>
      </c>
      <c r="F64" s="38"/>
      <c r="G64" s="10" t="s">
        <v>271</v>
      </c>
      <c r="H64" s="12" t="s">
        <v>272</v>
      </c>
      <c r="I64" s="13" t="s">
        <v>1658</v>
      </c>
      <c r="J64" s="15" t="s">
        <v>274</v>
      </c>
      <c r="K64" s="14" t="s">
        <v>273</v>
      </c>
      <c r="L64" s="11" t="s">
        <v>33</v>
      </c>
      <c r="M64" s="15"/>
      <c r="N64" s="17"/>
      <c r="O64" s="17"/>
      <c r="P64" s="17"/>
      <c r="Q64" s="48"/>
      <c r="R64" s="11"/>
      <c r="S64" s="48"/>
      <c r="T64" s="85"/>
      <c r="U64" s="88"/>
      <c r="V64" s="32" t="s">
        <v>105</v>
      </c>
      <c r="W64" s="25" t="s">
        <v>48</v>
      </c>
      <c r="X64" s="11"/>
      <c r="Y64" s="50" t="s">
        <v>14</v>
      </c>
      <c r="Z64" s="50"/>
      <c r="AA64" s="50"/>
      <c r="AB64" s="50"/>
      <c r="AC64" s="50"/>
      <c r="AD64" s="50"/>
      <c r="AE64" s="50"/>
      <c r="AF64" s="34"/>
      <c r="AG64" s="34"/>
      <c r="AH64" s="34"/>
      <c r="AI64" s="34"/>
      <c r="AJ64" s="34"/>
      <c r="AK64" s="34"/>
      <c r="AL64" s="34"/>
      <c r="AM64" s="34"/>
      <c r="AN64" s="34"/>
      <c r="AO64" s="65"/>
      <c r="AP64" s="69"/>
      <c r="AQ64" s="62"/>
      <c r="AR64" s="34"/>
    </row>
    <row r="65" spans="1:44" customFormat="1">
      <c r="A65" s="39">
        <v>43603</v>
      </c>
      <c r="B65" s="11" t="s">
        <v>22</v>
      </c>
      <c r="C65" s="16" t="s">
        <v>275</v>
      </c>
      <c r="D65" s="16"/>
      <c r="E65" s="38">
        <v>23806</v>
      </c>
      <c r="F65" s="38"/>
      <c r="G65" s="10" t="s">
        <v>276</v>
      </c>
      <c r="H65" s="12" t="s">
        <v>277</v>
      </c>
      <c r="I65" s="13" t="s">
        <v>1659</v>
      </c>
      <c r="J65" s="15" t="s">
        <v>278</v>
      </c>
      <c r="K65" s="12"/>
      <c r="L65" s="11" t="s">
        <v>36</v>
      </c>
      <c r="M65" s="15"/>
      <c r="N65" s="17"/>
      <c r="O65" s="17"/>
      <c r="P65" s="17"/>
      <c r="Q65" s="48"/>
      <c r="R65" s="11"/>
      <c r="S65" s="48"/>
      <c r="T65" s="85"/>
      <c r="U65" s="88"/>
      <c r="V65" s="32"/>
      <c r="W65" s="25" t="s">
        <v>8</v>
      </c>
      <c r="X65" s="11"/>
      <c r="Y65" s="50" t="s">
        <v>12</v>
      </c>
      <c r="Z65" s="50"/>
      <c r="AA65" s="50"/>
      <c r="AB65" s="50"/>
      <c r="AC65" s="50"/>
      <c r="AD65" s="50"/>
      <c r="AE65" s="50"/>
      <c r="AF65" s="34"/>
      <c r="AG65" s="34"/>
      <c r="AH65" s="34"/>
      <c r="AI65" s="34"/>
      <c r="AJ65" s="34"/>
      <c r="AK65" s="34"/>
      <c r="AL65" s="34"/>
      <c r="AM65" s="34"/>
      <c r="AN65" s="34"/>
      <c r="AO65" s="65"/>
      <c r="AP65" s="69"/>
      <c r="AQ65" s="62"/>
      <c r="AR65" s="34"/>
    </row>
    <row r="66" spans="1:44" customFormat="1">
      <c r="A66" s="39">
        <v>43603</v>
      </c>
      <c r="B66" s="11" t="s">
        <v>22</v>
      </c>
      <c r="C66" s="16" t="s">
        <v>8080</v>
      </c>
      <c r="D66" s="16"/>
      <c r="E66" s="38">
        <v>31853</v>
      </c>
      <c r="F66" s="38"/>
      <c r="G66" s="10" t="s">
        <v>280</v>
      </c>
      <c r="H66" s="12" t="s">
        <v>281</v>
      </c>
      <c r="I66" s="13" t="s">
        <v>1642</v>
      </c>
      <c r="J66" s="15" t="s">
        <v>282</v>
      </c>
      <c r="K66" s="12"/>
      <c r="L66" s="11" t="s">
        <v>36</v>
      </c>
      <c r="M66" s="15"/>
      <c r="N66" s="17"/>
      <c r="O66" s="17"/>
      <c r="P66" s="17"/>
      <c r="Q66" s="48"/>
      <c r="R66" s="11"/>
      <c r="S66" s="48"/>
      <c r="T66" s="85" t="s">
        <v>81</v>
      </c>
      <c r="U66" s="88"/>
      <c r="V66" s="32" t="s">
        <v>279</v>
      </c>
      <c r="W66" s="25" t="s">
        <v>10</v>
      </c>
      <c r="X66" s="11"/>
      <c r="Y66" s="50" t="s">
        <v>12</v>
      </c>
      <c r="Z66" s="50"/>
      <c r="AA66" s="50"/>
      <c r="AB66" s="50"/>
      <c r="AC66" s="50"/>
      <c r="AD66" s="50"/>
      <c r="AE66" s="50"/>
      <c r="AF66" s="34"/>
      <c r="AG66" s="34"/>
      <c r="AH66" s="34"/>
      <c r="AI66" s="34"/>
      <c r="AJ66" s="34"/>
      <c r="AK66" s="34"/>
      <c r="AL66" s="34"/>
      <c r="AM66" s="34"/>
      <c r="AN66" s="34"/>
      <c r="AO66" s="65"/>
      <c r="AP66" s="69"/>
      <c r="AQ66" s="62"/>
      <c r="AR66" s="34"/>
    </row>
    <row r="67" spans="1:44" customFormat="1">
      <c r="A67" s="39">
        <v>43603</v>
      </c>
      <c r="B67" s="11" t="s">
        <v>22</v>
      </c>
      <c r="C67" s="16" t="s">
        <v>283</v>
      </c>
      <c r="D67" s="16"/>
      <c r="E67" s="38">
        <v>26882</v>
      </c>
      <c r="F67" s="38"/>
      <c r="G67" s="10" t="s">
        <v>284</v>
      </c>
      <c r="H67" s="12" t="s">
        <v>285</v>
      </c>
      <c r="I67" s="13" t="s">
        <v>1660</v>
      </c>
      <c r="J67" s="15" t="s">
        <v>286</v>
      </c>
      <c r="K67" s="12"/>
      <c r="L67" s="11" t="s">
        <v>33</v>
      </c>
      <c r="M67" s="15"/>
      <c r="N67" s="17"/>
      <c r="O67" s="17"/>
      <c r="P67" s="17"/>
      <c r="Q67" s="48"/>
      <c r="R67" s="11"/>
      <c r="S67" s="48"/>
      <c r="T67" s="85" t="s">
        <v>81</v>
      </c>
      <c r="U67" s="88"/>
      <c r="V67" s="32" t="s">
        <v>287</v>
      </c>
      <c r="W67" s="25" t="s">
        <v>10</v>
      </c>
      <c r="X67" s="11"/>
      <c r="Y67" s="50"/>
      <c r="Z67" s="50"/>
      <c r="AA67" s="50"/>
      <c r="AB67" s="50"/>
      <c r="AC67" s="50"/>
      <c r="AD67" s="50"/>
      <c r="AE67" s="50"/>
      <c r="AF67" s="34"/>
      <c r="AG67" s="34"/>
      <c r="AH67" s="34"/>
      <c r="AI67" s="34"/>
      <c r="AJ67" s="34"/>
      <c r="AK67" s="34"/>
      <c r="AL67" s="34"/>
      <c r="AM67" s="34"/>
      <c r="AN67" s="34"/>
      <c r="AO67" s="65"/>
      <c r="AP67" s="69"/>
      <c r="AQ67" s="62"/>
      <c r="AR67" s="34"/>
    </row>
    <row r="68" spans="1:44" customFormat="1">
      <c r="A68" s="39">
        <v>43604</v>
      </c>
      <c r="B68" s="11" t="s">
        <v>22</v>
      </c>
      <c r="C68" s="16" t="s">
        <v>265</v>
      </c>
      <c r="D68" s="16"/>
      <c r="E68" s="38">
        <v>30962</v>
      </c>
      <c r="F68" s="38"/>
      <c r="G68" s="10" t="s">
        <v>266</v>
      </c>
      <c r="H68" s="12" t="s">
        <v>267</v>
      </c>
      <c r="I68" s="13" t="s">
        <v>1658</v>
      </c>
      <c r="J68" s="15" t="s">
        <v>269</v>
      </c>
      <c r="K68" s="14" t="s">
        <v>268</v>
      </c>
      <c r="L68" s="11" t="s">
        <v>36</v>
      </c>
      <c r="M68" s="15"/>
      <c r="N68" s="17"/>
      <c r="O68" s="17"/>
      <c r="P68" s="17"/>
      <c r="Q68" s="48"/>
      <c r="R68" s="11"/>
      <c r="S68" s="48"/>
      <c r="T68" s="85" t="s">
        <v>81</v>
      </c>
      <c r="U68" s="88"/>
      <c r="V68" s="32" t="s">
        <v>279</v>
      </c>
      <c r="W68" s="25" t="s">
        <v>48</v>
      </c>
      <c r="X68" s="11"/>
      <c r="Y68" s="50" t="s">
        <v>12</v>
      </c>
      <c r="Z68" s="50"/>
      <c r="AA68" s="50"/>
      <c r="AB68" s="50"/>
      <c r="AC68" s="50"/>
      <c r="AD68" s="50"/>
      <c r="AE68" s="50"/>
      <c r="AF68" s="34"/>
      <c r="AG68" s="34"/>
      <c r="AH68" s="34"/>
      <c r="AI68" s="34"/>
      <c r="AJ68" s="34"/>
      <c r="AK68" s="34"/>
      <c r="AL68" s="34"/>
      <c r="AM68" s="34"/>
      <c r="AN68" s="34"/>
      <c r="AO68" s="65"/>
      <c r="AP68" s="69"/>
      <c r="AQ68" s="62"/>
      <c r="AR68" s="34"/>
    </row>
    <row r="69" spans="1:44" customFormat="1">
      <c r="A69" s="39">
        <v>43605</v>
      </c>
      <c r="B69" s="11" t="s">
        <v>22</v>
      </c>
      <c r="C69" s="16" t="s">
        <v>296</v>
      </c>
      <c r="D69" s="16"/>
      <c r="E69" s="38">
        <v>24945</v>
      </c>
      <c r="F69" s="38"/>
      <c r="G69" s="10" t="s">
        <v>297</v>
      </c>
      <c r="H69" s="12" t="s">
        <v>298</v>
      </c>
      <c r="I69" s="13" t="s">
        <v>1661</v>
      </c>
      <c r="J69" s="15" t="s">
        <v>299</v>
      </c>
      <c r="K69" s="12"/>
      <c r="L69" s="11" t="s">
        <v>36</v>
      </c>
      <c r="M69" s="15"/>
      <c r="N69" s="17"/>
      <c r="O69" s="17"/>
      <c r="P69" s="17"/>
      <c r="Q69" s="48"/>
      <c r="R69" s="11"/>
      <c r="S69" s="48"/>
      <c r="T69" s="85"/>
      <c r="U69" s="88"/>
      <c r="V69" s="32"/>
      <c r="W69" s="25" t="s">
        <v>10</v>
      </c>
      <c r="X69" s="11"/>
      <c r="Y69" s="50" t="s">
        <v>19</v>
      </c>
      <c r="Z69" s="50"/>
      <c r="AA69" s="50"/>
      <c r="AB69" s="50"/>
      <c r="AC69" s="50"/>
      <c r="AD69" s="50"/>
      <c r="AE69" s="50"/>
      <c r="AF69" s="34"/>
      <c r="AG69" s="34"/>
      <c r="AH69" s="34"/>
      <c r="AI69" s="34"/>
      <c r="AJ69" s="34"/>
      <c r="AK69" s="34"/>
      <c r="AL69" s="34"/>
      <c r="AM69" s="34"/>
      <c r="AN69" s="34"/>
      <c r="AO69" s="65"/>
      <c r="AP69" s="69"/>
      <c r="AQ69" s="62"/>
      <c r="AR69" s="34"/>
    </row>
    <row r="70" spans="1:44" customFormat="1">
      <c r="A70" s="39">
        <v>43605</v>
      </c>
      <c r="B70" s="11" t="s">
        <v>22</v>
      </c>
      <c r="C70" s="16" t="s">
        <v>300</v>
      </c>
      <c r="D70" s="16"/>
      <c r="E70" s="38">
        <v>23638</v>
      </c>
      <c r="F70" s="38"/>
      <c r="G70" s="10" t="s">
        <v>301</v>
      </c>
      <c r="H70" s="12" t="s">
        <v>302</v>
      </c>
      <c r="I70" s="13" t="s">
        <v>1662</v>
      </c>
      <c r="J70" s="15" t="s">
        <v>303</v>
      </c>
      <c r="K70" s="12"/>
      <c r="L70" s="11" t="s">
        <v>34</v>
      </c>
      <c r="M70" s="15"/>
      <c r="N70" s="17"/>
      <c r="O70" s="17"/>
      <c r="P70" s="17"/>
      <c r="Q70" s="48"/>
      <c r="R70" s="11"/>
      <c r="S70" s="48"/>
      <c r="T70" s="85"/>
      <c r="U70" s="88"/>
      <c r="V70" s="32" t="s">
        <v>304</v>
      </c>
      <c r="W70" s="25" t="s">
        <v>8</v>
      </c>
      <c r="X70" s="11"/>
      <c r="Y70" s="50" t="s">
        <v>12</v>
      </c>
      <c r="Z70" s="50"/>
      <c r="AA70" s="50"/>
      <c r="AB70" s="50"/>
      <c r="AC70" s="50"/>
      <c r="AD70" s="50"/>
      <c r="AE70" s="50"/>
      <c r="AF70" s="34"/>
      <c r="AG70" s="34"/>
      <c r="AH70" s="34"/>
      <c r="AI70" s="34"/>
      <c r="AJ70" s="34"/>
      <c r="AK70" s="34"/>
      <c r="AL70" s="34"/>
      <c r="AM70" s="34"/>
      <c r="AN70" s="34"/>
      <c r="AO70" s="65"/>
      <c r="AP70" s="69"/>
      <c r="AQ70" s="62"/>
      <c r="AR70" s="34"/>
    </row>
    <row r="71" spans="1:44" customFormat="1">
      <c r="A71" s="39">
        <v>43605</v>
      </c>
      <c r="B71" s="11" t="s">
        <v>22</v>
      </c>
      <c r="C71" s="16" t="s">
        <v>306</v>
      </c>
      <c r="D71" s="16"/>
      <c r="E71" s="38">
        <v>20236</v>
      </c>
      <c r="F71" s="38"/>
      <c r="G71" s="10" t="s">
        <v>307</v>
      </c>
      <c r="H71" s="12" t="s">
        <v>308</v>
      </c>
      <c r="I71" s="13" t="s">
        <v>1663</v>
      </c>
      <c r="J71" s="15" t="s">
        <v>309</v>
      </c>
      <c r="K71" s="12"/>
      <c r="L71" s="11" t="s">
        <v>39</v>
      </c>
      <c r="M71" s="15"/>
      <c r="N71" s="17"/>
      <c r="O71" s="17"/>
      <c r="P71" s="17"/>
      <c r="Q71" s="48"/>
      <c r="R71" s="11"/>
      <c r="S71" s="48"/>
      <c r="T71" s="85" t="s">
        <v>81</v>
      </c>
      <c r="U71" s="88"/>
      <c r="V71" s="32" t="s">
        <v>279</v>
      </c>
      <c r="W71" s="25" t="s">
        <v>10</v>
      </c>
      <c r="X71" s="11"/>
      <c r="Y71" s="50" t="s">
        <v>12</v>
      </c>
      <c r="Z71" s="50"/>
      <c r="AA71" s="50"/>
      <c r="AB71" s="50"/>
      <c r="AC71" s="50"/>
      <c r="AD71" s="50"/>
      <c r="AE71" s="50"/>
      <c r="AF71" s="34"/>
      <c r="AG71" s="34"/>
      <c r="AH71" s="34"/>
      <c r="AI71" s="34"/>
      <c r="AJ71" s="34"/>
      <c r="AK71" s="34"/>
      <c r="AL71" s="34"/>
      <c r="AM71" s="34"/>
      <c r="AN71" s="34"/>
      <c r="AO71" s="65"/>
      <c r="AP71" s="69"/>
      <c r="AQ71" s="62"/>
      <c r="AR71" s="34"/>
    </row>
    <row r="72" spans="1:44" customFormat="1">
      <c r="A72" s="39">
        <v>43607</v>
      </c>
      <c r="B72" s="11" t="s">
        <v>49</v>
      </c>
      <c r="C72" s="16" t="s">
        <v>315</v>
      </c>
      <c r="D72" s="16"/>
      <c r="E72" s="38">
        <v>28639</v>
      </c>
      <c r="F72" s="38"/>
      <c r="G72" s="10" t="s">
        <v>316</v>
      </c>
      <c r="H72" s="21" t="s">
        <v>317</v>
      </c>
      <c r="I72" s="13" t="s">
        <v>1665</v>
      </c>
      <c r="J72" s="15" t="s">
        <v>318</v>
      </c>
      <c r="K72" s="14" t="s">
        <v>319</v>
      </c>
      <c r="L72" s="11" t="s">
        <v>33</v>
      </c>
      <c r="M72" s="15"/>
      <c r="N72" s="17"/>
      <c r="O72" s="17"/>
      <c r="P72" s="17"/>
      <c r="Q72" s="48"/>
      <c r="R72" s="11"/>
      <c r="S72" s="48"/>
      <c r="T72" s="85"/>
      <c r="U72" s="88"/>
      <c r="V72" s="32" t="s">
        <v>320</v>
      </c>
      <c r="W72" s="25" t="s">
        <v>48</v>
      </c>
      <c r="X72" s="11"/>
      <c r="Y72" s="50" t="s">
        <v>13</v>
      </c>
      <c r="Z72" s="50"/>
      <c r="AA72" s="50"/>
      <c r="AB72" s="50"/>
      <c r="AC72" s="50"/>
      <c r="AD72" s="50"/>
      <c r="AE72" s="50"/>
      <c r="AF72" s="34"/>
      <c r="AG72" s="34"/>
      <c r="AH72" s="34"/>
      <c r="AI72" s="34"/>
      <c r="AJ72" s="34"/>
      <c r="AK72" s="34"/>
      <c r="AL72" s="34"/>
      <c r="AM72" s="34"/>
      <c r="AN72" s="34"/>
      <c r="AO72" s="65"/>
      <c r="AP72" s="69"/>
      <c r="AQ72" s="62"/>
      <c r="AR72" s="34"/>
    </row>
    <row r="73" spans="1:44" customFormat="1">
      <c r="A73" s="39">
        <v>43607</v>
      </c>
      <c r="B73" s="11" t="s">
        <v>22</v>
      </c>
      <c r="C73" s="16" t="s">
        <v>310</v>
      </c>
      <c r="D73" s="16"/>
      <c r="E73" s="38">
        <v>20580</v>
      </c>
      <c r="F73" s="38"/>
      <c r="G73" s="10" t="s">
        <v>311</v>
      </c>
      <c r="H73" s="12" t="s">
        <v>312</v>
      </c>
      <c r="I73" s="13" t="s">
        <v>1664</v>
      </c>
      <c r="J73" s="15" t="s">
        <v>313</v>
      </c>
      <c r="K73" s="14" t="s">
        <v>314</v>
      </c>
      <c r="L73" s="11" t="s">
        <v>34</v>
      </c>
      <c r="M73" s="15"/>
      <c r="N73" s="17"/>
      <c r="O73" s="17"/>
      <c r="P73" s="17"/>
      <c r="Q73" s="48"/>
      <c r="R73" s="11"/>
      <c r="S73" s="48"/>
      <c r="T73" s="85" t="s">
        <v>81</v>
      </c>
      <c r="U73" s="88"/>
      <c r="V73" s="32" t="s">
        <v>279</v>
      </c>
      <c r="W73" s="25" t="s">
        <v>10</v>
      </c>
      <c r="X73" s="11"/>
      <c r="Y73" s="50" t="s">
        <v>12</v>
      </c>
      <c r="Z73" s="50"/>
      <c r="AA73" s="50"/>
      <c r="AB73" s="50"/>
      <c r="AC73" s="50"/>
      <c r="AD73" s="50"/>
      <c r="AE73" s="50"/>
      <c r="AF73" s="34"/>
      <c r="AG73" s="34"/>
      <c r="AH73" s="34"/>
      <c r="AI73" s="34"/>
      <c r="AJ73" s="34"/>
      <c r="AK73" s="34"/>
      <c r="AL73" s="34"/>
      <c r="AM73" s="34"/>
      <c r="AN73" s="34"/>
      <c r="AO73" s="65"/>
      <c r="AP73" s="69"/>
      <c r="AQ73" s="62"/>
      <c r="AR73" s="34"/>
    </row>
    <row r="74" spans="1:44" customFormat="1">
      <c r="A74" s="39">
        <v>43608</v>
      </c>
      <c r="B74" s="11" t="s">
        <v>49</v>
      </c>
      <c r="C74" s="16" t="s">
        <v>321</v>
      </c>
      <c r="D74" s="16"/>
      <c r="E74" s="38">
        <v>31149</v>
      </c>
      <c r="F74" s="38"/>
      <c r="G74" s="10" t="s">
        <v>322</v>
      </c>
      <c r="H74" s="12" t="s">
        <v>323</v>
      </c>
      <c r="I74" s="13" t="s">
        <v>1616</v>
      </c>
      <c r="J74" s="15" t="s">
        <v>325</v>
      </c>
      <c r="K74" s="14" t="s">
        <v>324</v>
      </c>
      <c r="L74" s="11" t="s">
        <v>33</v>
      </c>
      <c r="M74" s="15"/>
      <c r="N74" s="17"/>
      <c r="O74" s="17"/>
      <c r="P74" s="17"/>
      <c r="Q74" s="48"/>
      <c r="R74" s="11"/>
      <c r="S74" s="48"/>
      <c r="T74" s="85"/>
      <c r="U74" s="88"/>
      <c r="V74" s="32" t="s">
        <v>326</v>
      </c>
      <c r="W74" s="25" t="s">
        <v>8</v>
      </c>
      <c r="X74" s="11"/>
      <c r="Y74" s="50" t="s">
        <v>17</v>
      </c>
      <c r="Z74" s="50"/>
      <c r="AA74" s="50"/>
      <c r="AB74" s="50"/>
      <c r="AC74" s="50"/>
      <c r="AD74" s="50"/>
      <c r="AE74" s="50"/>
      <c r="AF74" s="34"/>
      <c r="AG74" s="34"/>
      <c r="AH74" s="34"/>
      <c r="AI74" s="34"/>
      <c r="AJ74" s="34"/>
      <c r="AK74" s="34"/>
      <c r="AL74" s="34"/>
      <c r="AM74" s="34"/>
      <c r="AN74" s="34"/>
      <c r="AO74" s="65"/>
      <c r="AP74" s="69"/>
      <c r="AQ74" s="62"/>
      <c r="AR74" s="34"/>
    </row>
    <row r="75" spans="1:44" customFormat="1">
      <c r="A75" s="39">
        <v>43608</v>
      </c>
      <c r="B75" s="11" t="s">
        <v>22</v>
      </c>
      <c r="C75" s="16" t="s">
        <v>332</v>
      </c>
      <c r="D75" s="16"/>
      <c r="E75" s="38">
        <v>21654</v>
      </c>
      <c r="F75" s="38"/>
      <c r="G75" s="10" t="s">
        <v>616</v>
      </c>
      <c r="H75" s="12" t="s">
        <v>333</v>
      </c>
      <c r="I75" s="13" t="s">
        <v>1666</v>
      </c>
      <c r="J75" s="15" t="s">
        <v>335</v>
      </c>
      <c r="K75" s="14" t="s">
        <v>334</v>
      </c>
      <c r="L75" s="11" t="s">
        <v>33</v>
      </c>
      <c r="M75" s="15"/>
      <c r="N75" s="17"/>
      <c r="O75" s="17"/>
      <c r="P75" s="17"/>
      <c r="Q75" s="48"/>
      <c r="R75" s="11"/>
      <c r="S75" s="48"/>
      <c r="T75" s="85"/>
      <c r="U75" s="88"/>
      <c r="V75" s="32" t="s">
        <v>336</v>
      </c>
      <c r="W75" s="25" t="s">
        <v>8</v>
      </c>
      <c r="X75" s="11"/>
      <c r="Y75" s="50" t="s">
        <v>17</v>
      </c>
      <c r="Z75" s="50"/>
      <c r="AA75" s="50"/>
      <c r="AB75" s="50"/>
      <c r="AC75" s="50"/>
      <c r="AD75" s="50"/>
      <c r="AE75" s="50"/>
      <c r="AF75" s="34"/>
      <c r="AG75" s="34"/>
      <c r="AH75" s="34"/>
      <c r="AI75" s="34"/>
      <c r="AJ75" s="34"/>
      <c r="AK75" s="34"/>
      <c r="AL75" s="34"/>
      <c r="AM75" s="34"/>
      <c r="AN75" s="34"/>
      <c r="AO75" s="65"/>
      <c r="AP75" s="69"/>
      <c r="AQ75" s="62"/>
      <c r="AR75" s="34"/>
    </row>
    <row r="76" spans="1:44" customFormat="1">
      <c r="A76" s="39">
        <v>43609</v>
      </c>
      <c r="B76" s="11" t="s">
        <v>22</v>
      </c>
      <c r="C76" s="16" t="s">
        <v>327</v>
      </c>
      <c r="D76" s="16"/>
      <c r="E76" s="38">
        <v>18406</v>
      </c>
      <c r="F76" s="38"/>
      <c r="G76" s="10" t="s">
        <v>328</v>
      </c>
      <c r="H76" s="12" t="s">
        <v>329</v>
      </c>
      <c r="I76" s="13" t="s">
        <v>1625</v>
      </c>
      <c r="J76" s="15" t="s">
        <v>331</v>
      </c>
      <c r="K76" s="14" t="s">
        <v>330</v>
      </c>
      <c r="L76" s="11" t="s">
        <v>33</v>
      </c>
      <c r="M76" s="15"/>
      <c r="N76" s="17"/>
      <c r="O76" s="17"/>
      <c r="P76" s="17"/>
      <c r="Q76" s="48"/>
      <c r="R76" s="11"/>
      <c r="S76" s="48"/>
      <c r="T76" s="85" t="s">
        <v>81</v>
      </c>
      <c r="U76" s="88"/>
      <c r="V76" s="32" t="s">
        <v>279</v>
      </c>
      <c r="W76" s="25" t="s">
        <v>9</v>
      </c>
      <c r="X76" s="11"/>
      <c r="Y76" s="50" t="s">
        <v>12</v>
      </c>
      <c r="Z76" s="50"/>
      <c r="AA76" s="50"/>
      <c r="AB76" s="50"/>
      <c r="AC76" s="50"/>
      <c r="AD76" s="50"/>
      <c r="AE76" s="50"/>
      <c r="AF76" s="34"/>
      <c r="AG76" s="34"/>
      <c r="AH76" s="34"/>
      <c r="AI76" s="34"/>
      <c r="AJ76" s="34"/>
      <c r="AK76" s="34"/>
      <c r="AL76" s="34"/>
      <c r="AM76" s="34"/>
      <c r="AN76" s="34"/>
      <c r="AO76" s="65"/>
      <c r="AP76" s="69"/>
      <c r="AQ76" s="62"/>
      <c r="AR76" s="34"/>
    </row>
    <row r="77" spans="1:44" customFormat="1">
      <c r="A77" s="39">
        <v>43610</v>
      </c>
      <c r="B77" s="11" t="s">
        <v>49</v>
      </c>
      <c r="C77" s="16" t="s">
        <v>337</v>
      </c>
      <c r="D77" s="16"/>
      <c r="E77" s="38">
        <v>23867</v>
      </c>
      <c r="F77" s="38"/>
      <c r="G77" s="10" t="s">
        <v>339</v>
      </c>
      <c r="H77" s="12" t="s">
        <v>1667</v>
      </c>
      <c r="I77" s="13" t="s">
        <v>1668</v>
      </c>
      <c r="J77" s="15" t="s">
        <v>341</v>
      </c>
      <c r="K77" s="12"/>
      <c r="L77" s="11" t="s">
        <v>36</v>
      </c>
      <c r="M77" s="15"/>
      <c r="N77" s="17"/>
      <c r="O77" s="17"/>
      <c r="P77" s="17"/>
      <c r="Q77" s="48"/>
      <c r="R77" s="11"/>
      <c r="S77" s="48"/>
      <c r="T77" s="85"/>
      <c r="U77" s="88"/>
      <c r="V77" s="32"/>
      <c r="W77" s="25" t="s">
        <v>48</v>
      </c>
      <c r="X77" s="11"/>
      <c r="Y77" s="50" t="s">
        <v>12</v>
      </c>
      <c r="Z77" s="50"/>
      <c r="AA77" s="50"/>
      <c r="AB77" s="50"/>
      <c r="AC77" s="50"/>
      <c r="AD77" s="50"/>
      <c r="AE77" s="50"/>
      <c r="AF77" s="34"/>
      <c r="AG77" s="34"/>
      <c r="AH77" s="34"/>
      <c r="AI77" s="34"/>
      <c r="AJ77" s="34"/>
      <c r="AK77" s="34"/>
      <c r="AL77" s="34"/>
      <c r="AM77" s="34"/>
      <c r="AN77" s="34"/>
      <c r="AO77" s="65"/>
      <c r="AP77" s="69"/>
      <c r="AQ77" s="62"/>
      <c r="AR77" s="34"/>
    </row>
    <row r="78" spans="1:44" customFormat="1">
      <c r="A78" s="39">
        <v>43610</v>
      </c>
      <c r="B78" s="11" t="s">
        <v>22</v>
      </c>
      <c r="C78" s="16" t="s">
        <v>338</v>
      </c>
      <c r="D78" s="16"/>
      <c r="E78" s="38">
        <v>23857</v>
      </c>
      <c r="F78" s="38"/>
      <c r="G78" s="10" t="s">
        <v>339</v>
      </c>
      <c r="H78" s="12" t="s">
        <v>340</v>
      </c>
      <c r="I78" s="13" t="s">
        <v>1668</v>
      </c>
      <c r="J78" s="15" t="s">
        <v>342</v>
      </c>
      <c r="K78" s="12"/>
      <c r="L78" s="11" t="s">
        <v>37</v>
      </c>
      <c r="M78" s="15"/>
      <c r="N78" s="17"/>
      <c r="O78" s="17"/>
      <c r="P78" s="17"/>
      <c r="Q78" s="48"/>
      <c r="R78" s="11"/>
      <c r="S78" s="48"/>
      <c r="T78" s="85"/>
      <c r="U78" s="88"/>
      <c r="V78" s="32"/>
      <c r="W78" s="25" t="s">
        <v>48</v>
      </c>
      <c r="X78" s="11"/>
      <c r="Y78" s="50" t="s">
        <v>14</v>
      </c>
      <c r="Z78" s="50"/>
      <c r="AA78" s="50"/>
      <c r="AB78" s="50"/>
      <c r="AC78" s="50"/>
      <c r="AD78" s="50"/>
      <c r="AE78" s="50"/>
      <c r="AF78" s="34"/>
      <c r="AG78" s="34"/>
      <c r="AH78" s="34"/>
      <c r="AI78" s="34"/>
      <c r="AJ78" s="34"/>
      <c r="AK78" s="34"/>
      <c r="AL78" s="34"/>
      <c r="AM78" s="34"/>
      <c r="AN78" s="34"/>
      <c r="AO78" s="65"/>
      <c r="AP78" s="69"/>
      <c r="AQ78" s="62"/>
      <c r="AR78" s="34"/>
    </row>
    <row r="79" spans="1:44" customFormat="1">
      <c r="A79" s="39">
        <v>43611</v>
      </c>
      <c r="B79" s="11" t="s">
        <v>528</v>
      </c>
      <c r="C79" s="16" t="s">
        <v>296</v>
      </c>
      <c r="D79" s="16"/>
      <c r="E79" s="38">
        <v>24945</v>
      </c>
      <c r="F79" s="38"/>
      <c r="G79" s="10" t="s">
        <v>297</v>
      </c>
      <c r="H79" s="12" t="s">
        <v>298</v>
      </c>
      <c r="I79" s="13" t="s">
        <v>1661</v>
      </c>
      <c r="J79" s="15" t="s">
        <v>299</v>
      </c>
      <c r="K79" s="12"/>
      <c r="L79" s="11" t="s">
        <v>36</v>
      </c>
      <c r="M79" s="15"/>
      <c r="N79" s="17"/>
      <c r="O79" s="17"/>
      <c r="P79" s="17"/>
      <c r="Q79" s="48"/>
      <c r="R79" s="11"/>
      <c r="S79" s="48"/>
      <c r="T79" s="85"/>
      <c r="U79" s="88"/>
      <c r="V79" s="32"/>
      <c r="W79" s="25" t="s">
        <v>10</v>
      </c>
      <c r="X79" s="11"/>
      <c r="Y79" s="50" t="s">
        <v>19</v>
      </c>
      <c r="Z79" s="50"/>
      <c r="AA79" s="50"/>
      <c r="AB79" s="50"/>
      <c r="AC79" s="50"/>
      <c r="AD79" s="50"/>
      <c r="AE79" s="50"/>
      <c r="AF79" s="34"/>
      <c r="AG79" s="34"/>
      <c r="AH79" s="34"/>
      <c r="AI79" s="34"/>
      <c r="AJ79" s="34"/>
      <c r="AK79" s="34"/>
      <c r="AL79" s="34"/>
      <c r="AM79" s="34"/>
      <c r="AN79" s="34"/>
      <c r="AO79" s="65"/>
      <c r="AP79" s="69"/>
      <c r="AQ79" s="62"/>
      <c r="AR79" s="34"/>
    </row>
    <row r="80" spans="1:44" customFormat="1">
      <c r="A80" s="39">
        <v>43615</v>
      </c>
      <c r="B80" s="11" t="s">
        <v>22</v>
      </c>
      <c r="C80" s="16" t="s">
        <v>343</v>
      </c>
      <c r="D80" s="16"/>
      <c r="E80" s="38">
        <v>32143</v>
      </c>
      <c r="F80" s="38"/>
      <c r="G80" s="10" t="s">
        <v>344</v>
      </c>
      <c r="H80" s="12" t="s">
        <v>345</v>
      </c>
      <c r="I80" s="13" t="s">
        <v>1652</v>
      </c>
      <c r="J80" s="15" t="s">
        <v>347</v>
      </c>
      <c r="K80" s="14" t="s">
        <v>346</v>
      </c>
      <c r="L80" s="11" t="s">
        <v>36</v>
      </c>
      <c r="M80" s="15"/>
      <c r="N80" s="17"/>
      <c r="O80" s="17"/>
      <c r="P80" s="17"/>
      <c r="Q80" s="48"/>
      <c r="R80" s="11"/>
      <c r="S80" s="48"/>
      <c r="T80" s="85"/>
      <c r="U80" s="88"/>
      <c r="V80" s="32"/>
      <c r="W80" s="25" t="s">
        <v>48</v>
      </c>
      <c r="X80" s="11"/>
      <c r="Y80" s="50" t="s">
        <v>11</v>
      </c>
      <c r="Z80" s="50"/>
      <c r="AA80" s="50"/>
      <c r="AB80" s="50"/>
      <c r="AC80" s="50"/>
      <c r="AD80" s="50"/>
      <c r="AE80" s="50"/>
      <c r="AF80" s="34"/>
      <c r="AG80" s="34"/>
      <c r="AH80" s="34"/>
      <c r="AI80" s="34"/>
      <c r="AJ80" s="34"/>
      <c r="AK80" s="34"/>
      <c r="AL80" s="34"/>
      <c r="AM80" s="34"/>
      <c r="AN80" s="34"/>
      <c r="AO80" s="65"/>
      <c r="AP80" s="69"/>
      <c r="AQ80" s="62"/>
      <c r="AR80" s="34"/>
    </row>
    <row r="81" spans="1:44" customFormat="1">
      <c r="A81" s="39">
        <v>43615</v>
      </c>
      <c r="B81" s="11" t="s">
        <v>22</v>
      </c>
      <c r="C81" s="16" t="s">
        <v>348</v>
      </c>
      <c r="D81" s="16"/>
      <c r="E81" s="38">
        <v>16095</v>
      </c>
      <c r="F81" s="38"/>
      <c r="G81" s="10" t="s">
        <v>307</v>
      </c>
      <c r="H81" s="12" t="s">
        <v>349</v>
      </c>
      <c r="I81" s="13" t="s">
        <v>1649</v>
      </c>
      <c r="J81" s="15" t="s">
        <v>350</v>
      </c>
      <c r="K81" s="12"/>
      <c r="L81" s="11" t="s">
        <v>37</v>
      </c>
      <c r="M81" s="15"/>
      <c r="N81" s="17"/>
      <c r="O81" s="17"/>
      <c r="P81" s="17"/>
      <c r="Q81" s="48"/>
      <c r="R81" s="11"/>
      <c r="S81" s="48"/>
      <c r="T81" s="85"/>
      <c r="U81" s="88"/>
      <c r="V81" s="32"/>
      <c r="W81" s="25" t="s">
        <v>9</v>
      </c>
      <c r="X81" s="11"/>
      <c r="Y81" s="50"/>
      <c r="Z81" s="50"/>
      <c r="AA81" s="50"/>
      <c r="AB81" s="50"/>
      <c r="AC81" s="50"/>
      <c r="AD81" s="50"/>
      <c r="AE81" s="50"/>
      <c r="AF81" s="34"/>
      <c r="AG81" s="34"/>
      <c r="AH81" s="34"/>
      <c r="AI81" s="34"/>
      <c r="AJ81" s="34"/>
      <c r="AK81" s="34"/>
      <c r="AL81" s="34"/>
      <c r="AM81" s="34"/>
      <c r="AN81" s="34"/>
      <c r="AO81" s="65"/>
      <c r="AP81" s="69"/>
      <c r="AQ81" s="62"/>
      <c r="AR81" s="34"/>
    </row>
    <row r="82" spans="1:44" customFormat="1">
      <c r="A82" s="39">
        <v>43615</v>
      </c>
      <c r="B82" s="11" t="s">
        <v>22</v>
      </c>
      <c r="C82" s="16" t="s">
        <v>351</v>
      </c>
      <c r="D82" s="16"/>
      <c r="E82" s="38">
        <v>20461</v>
      </c>
      <c r="F82" s="38"/>
      <c r="G82" s="10" t="s">
        <v>307</v>
      </c>
      <c r="H82" s="12" t="s">
        <v>1669</v>
      </c>
      <c r="I82" s="13" t="s">
        <v>1649</v>
      </c>
      <c r="J82" s="15" t="s">
        <v>352</v>
      </c>
      <c r="K82" s="12"/>
      <c r="L82" s="11" t="s">
        <v>37</v>
      </c>
      <c r="M82" s="15"/>
      <c r="N82" s="17"/>
      <c r="O82" s="17"/>
      <c r="P82" s="17"/>
      <c r="Q82" s="48"/>
      <c r="R82" s="11"/>
      <c r="S82" s="48"/>
      <c r="T82" s="85"/>
      <c r="U82" s="88"/>
      <c r="V82" s="32"/>
      <c r="W82" s="25" t="s">
        <v>9</v>
      </c>
      <c r="X82" s="11"/>
      <c r="Y82" s="50"/>
      <c r="Z82" s="50"/>
      <c r="AA82" s="50"/>
      <c r="AB82" s="50"/>
      <c r="AC82" s="50"/>
      <c r="AD82" s="50"/>
      <c r="AE82" s="50"/>
      <c r="AF82" s="34"/>
      <c r="AG82" s="34"/>
      <c r="AH82" s="34"/>
      <c r="AI82" s="34"/>
      <c r="AJ82" s="34"/>
      <c r="AK82" s="34"/>
      <c r="AL82" s="34"/>
      <c r="AM82" s="34"/>
      <c r="AN82" s="34"/>
      <c r="AO82" s="65"/>
      <c r="AP82" s="69"/>
      <c r="AQ82" s="62"/>
      <c r="AR82" s="34"/>
    </row>
    <row r="83" spans="1:44" customFormat="1">
      <c r="A83" s="39">
        <v>43615</v>
      </c>
      <c r="B83" s="11" t="s">
        <v>49</v>
      </c>
      <c r="C83" s="16" t="s">
        <v>353</v>
      </c>
      <c r="D83" s="16"/>
      <c r="E83" s="38">
        <v>35520</v>
      </c>
      <c r="F83" s="38"/>
      <c r="G83" s="10" t="s">
        <v>354</v>
      </c>
      <c r="H83" s="12" t="s">
        <v>355</v>
      </c>
      <c r="I83" s="13" t="s">
        <v>1670</v>
      </c>
      <c r="J83" s="15" t="s">
        <v>356</v>
      </c>
      <c r="K83" s="12"/>
      <c r="L83" s="11"/>
      <c r="M83" s="15"/>
      <c r="N83" s="17"/>
      <c r="O83" s="17"/>
      <c r="P83" s="17"/>
      <c r="Q83" s="48"/>
      <c r="R83" s="11"/>
      <c r="S83" s="48"/>
      <c r="T83" s="85"/>
      <c r="U83" s="88"/>
      <c r="V83" s="32"/>
      <c r="W83" s="25"/>
      <c r="X83" s="11"/>
      <c r="Y83" s="50"/>
      <c r="Z83" s="50"/>
      <c r="AA83" s="50"/>
      <c r="AB83" s="50"/>
      <c r="AC83" s="50"/>
      <c r="AD83" s="50"/>
      <c r="AE83" s="50"/>
      <c r="AF83" s="34"/>
      <c r="AG83" s="34"/>
      <c r="AH83" s="34"/>
      <c r="AI83" s="34"/>
      <c r="AJ83" s="34"/>
      <c r="AK83" s="34"/>
      <c r="AL83" s="34"/>
      <c r="AM83" s="34"/>
      <c r="AN83" s="34"/>
      <c r="AO83" s="65"/>
      <c r="AP83" s="69"/>
      <c r="AQ83" s="62"/>
      <c r="AR83" s="34"/>
    </row>
    <row r="84" spans="1:44" customFormat="1">
      <c r="A84" s="39">
        <v>43615</v>
      </c>
      <c r="B84" s="11" t="s">
        <v>22</v>
      </c>
      <c r="C84" s="16" t="s">
        <v>357</v>
      </c>
      <c r="D84" s="16"/>
      <c r="E84" s="38">
        <v>14328</v>
      </c>
      <c r="F84" s="38"/>
      <c r="G84" s="10" t="s">
        <v>358</v>
      </c>
      <c r="H84" s="12" t="s">
        <v>359</v>
      </c>
      <c r="I84" s="13" t="s">
        <v>1663</v>
      </c>
      <c r="J84" s="15" t="s">
        <v>360</v>
      </c>
      <c r="K84" s="12"/>
      <c r="L84" s="11" t="s">
        <v>39</v>
      </c>
      <c r="M84" s="15"/>
      <c r="N84" s="17"/>
      <c r="O84" s="17"/>
      <c r="P84" s="17"/>
      <c r="Q84" s="48"/>
      <c r="R84" s="11"/>
      <c r="S84" s="48"/>
      <c r="T84" s="85"/>
      <c r="U84" s="88"/>
      <c r="V84" s="32"/>
      <c r="W84" s="25" t="s">
        <v>9</v>
      </c>
      <c r="X84" s="11"/>
      <c r="Y84" s="50"/>
      <c r="Z84" s="50"/>
      <c r="AA84" s="50"/>
      <c r="AB84" s="50"/>
      <c r="AC84" s="50"/>
      <c r="AD84" s="50"/>
      <c r="AE84" s="50"/>
      <c r="AF84" s="34"/>
      <c r="AG84" s="34"/>
      <c r="AH84" s="34"/>
      <c r="AI84" s="34"/>
      <c r="AJ84" s="34"/>
      <c r="AK84" s="34"/>
      <c r="AL84" s="34"/>
      <c r="AM84" s="34"/>
      <c r="AN84" s="34"/>
      <c r="AO84" s="65"/>
      <c r="AP84" s="69"/>
      <c r="AQ84" s="62"/>
      <c r="AR84" s="34"/>
    </row>
    <row r="85" spans="1:44" customFormat="1">
      <c r="A85" s="39">
        <v>43617</v>
      </c>
      <c r="B85" s="11" t="s">
        <v>22</v>
      </c>
      <c r="C85" s="16" t="s">
        <v>362</v>
      </c>
      <c r="D85" s="16"/>
      <c r="E85" s="38"/>
      <c r="F85" s="38"/>
      <c r="G85" s="10" t="s">
        <v>363</v>
      </c>
      <c r="H85" s="12" t="s">
        <v>364</v>
      </c>
      <c r="I85" s="13" t="s">
        <v>1617</v>
      </c>
      <c r="J85" s="15" t="s">
        <v>365</v>
      </c>
      <c r="K85" s="14" t="s">
        <v>366</v>
      </c>
      <c r="L85" s="11" t="s">
        <v>36</v>
      </c>
      <c r="M85" s="15"/>
      <c r="N85" s="17">
        <v>0</v>
      </c>
      <c r="O85" s="17"/>
      <c r="P85" s="17"/>
      <c r="Q85" s="48"/>
      <c r="R85" s="11"/>
      <c r="S85" s="48"/>
      <c r="T85" s="85"/>
      <c r="U85" s="88"/>
      <c r="V85" s="32" t="s">
        <v>367</v>
      </c>
      <c r="W85" s="25" t="s">
        <v>10</v>
      </c>
      <c r="X85" s="11"/>
      <c r="Y85" s="50"/>
      <c r="Z85" s="50"/>
      <c r="AA85" s="50"/>
      <c r="AB85" s="50"/>
      <c r="AC85" s="50"/>
      <c r="AD85" s="50"/>
      <c r="AE85" s="50"/>
      <c r="AF85" s="34"/>
      <c r="AG85" s="34"/>
      <c r="AH85" s="34"/>
      <c r="AI85" s="34"/>
      <c r="AJ85" s="34"/>
      <c r="AK85" s="34"/>
      <c r="AL85" s="34"/>
      <c r="AM85" s="34"/>
      <c r="AN85" s="34"/>
      <c r="AO85" s="65"/>
      <c r="AP85" s="69"/>
      <c r="AQ85" s="62"/>
      <c r="AR85" s="34"/>
    </row>
    <row r="86" spans="1:44" customFormat="1">
      <c r="A86" s="39">
        <v>43618</v>
      </c>
      <c r="B86" s="11" t="s">
        <v>22</v>
      </c>
      <c r="C86" s="16" t="s">
        <v>368</v>
      </c>
      <c r="D86" s="16"/>
      <c r="E86" s="38"/>
      <c r="F86" s="38"/>
      <c r="G86" s="10" t="s">
        <v>617</v>
      </c>
      <c r="H86" s="12" t="s">
        <v>369</v>
      </c>
      <c r="I86" s="13" t="s">
        <v>1652</v>
      </c>
      <c r="J86" s="15" t="s">
        <v>370</v>
      </c>
      <c r="K86" s="12"/>
      <c r="L86" s="11"/>
      <c r="M86" s="15"/>
      <c r="N86" s="17">
        <v>0</v>
      </c>
      <c r="O86" s="17"/>
      <c r="P86" s="17"/>
      <c r="Q86" s="48"/>
      <c r="R86" s="11"/>
      <c r="S86" s="48"/>
      <c r="T86" s="85"/>
      <c r="U86" s="88"/>
      <c r="V86" s="32" t="s">
        <v>371</v>
      </c>
      <c r="W86" s="25"/>
      <c r="X86" s="11"/>
      <c r="Y86" s="50"/>
      <c r="Z86" s="50"/>
      <c r="AA86" s="50"/>
      <c r="AB86" s="50"/>
      <c r="AC86" s="50"/>
      <c r="AD86" s="50"/>
      <c r="AE86" s="50"/>
      <c r="AF86" s="34"/>
      <c r="AG86" s="34"/>
      <c r="AH86" s="34"/>
      <c r="AI86" s="34"/>
      <c r="AJ86" s="34"/>
      <c r="AK86" s="34"/>
      <c r="AL86" s="34"/>
      <c r="AM86" s="34"/>
      <c r="AN86" s="34"/>
      <c r="AO86" s="65"/>
      <c r="AP86" s="69"/>
      <c r="AQ86" s="62"/>
      <c r="AR86" s="34" t="s">
        <v>1408</v>
      </c>
    </row>
    <row r="87" spans="1:44" customFormat="1">
      <c r="A87" s="39">
        <v>43618</v>
      </c>
      <c r="B87" s="11" t="s">
        <v>22</v>
      </c>
      <c r="C87" s="16" t="s">
        <v>373</v>
      </c>
      <c r="D87" s="16"/>
      <c r="E87" s="38">
        <v>19390</v>
      </c>
      <c r="F87" s="38"/>
      <c r="G87" s="10" t="s">
        <v>78</v>
      </c>
      <c r="H87" s="12" t="s">
        <v>193</v>
      </c>
      <c r="I87" s="13" t="s">
        <v>1643</v>
      </c>
      <c r="J87" s="15"/>
      <c r="K87" s="12"/>
      <c r="L87" s="11"/>
      <c r="M87" s="15"/>
      <c r="N87" s="17">
        <v>0</v>
      </c>
      <c r="O87" s="17"/>
      <c r="P87" s="17"/>
      <c r="Q87" s="48"/>
      <c r="R87" s="11"/>
      <c r="S87" s="48"/>
      <c r="T87" s="85"/>
      <c r="U87" s="88" t="s">
        <v>1408</v>
      </c>
      <c r="V87" s="32" t="s">
        <v>372</v>
      </c>
      <c r="W87" s="25"/>
      <c r="X87" s="11"/>
      <c r="Y87" s="50"/>
      <c r="Z87" s="50"/>
      <c r="AA87" s="50"/>
      <c r="AB87" s="50"/>
      <c r="AC87" s="50"/>
      <c r="AD87" s="50"/>
      <c r="AE87" s="50"/>
      <c r="AF87" s="34"/>
      <c r="AG87" s="34"/>
      <c r="AH87" s="34"/>
      <c r="AI87" s="34"/>
      <c r="AJ87" s="34"/>
      <c r="AK87" s="34"/>
      <c r="AL87" s="34"/>
      <c r="AM87" s="34"/>
      <c r="AN87" s="34"/>
      <c r="AO87" s="65"/>
      <c r="AP87" s="69"/>
      <c r="AQ87" s="62"/>
      <c r="AR87" s="34"/>
    </row>
    <row r="88" spans="1:44" customFormat="1">
      <c r="A88" s="39">
        <v>43618</v>
      </c>
      <c r="B88" s="11" t="s">
        <v>49</v>
      </c>
      <c r="C88" s="16" t="s">
        <v>374</v>
      </c>
      <c r="D88" s="16"/>
      <c r="E88" s="38">
        <v>27891</v>
      </c>
      <c r="F88" s="38"/>
      <c r="G88" s="10" t="s">
        <v>618</v>
      </c>
      <c r="H88" s="12" t="s">
        <v>375</v>
      </c>
      <c r="I88" s="13" t="s">
        <v>1671</v>
      </c>
      <c r="J88" s="15" t="s">
        <v>376</v>
      </c>
      <c r="K88" s="12"/>
      <c r="L88" s="11" t="s">
        <v>34</v>
      </c>
      <c r="M88" s="15"/>
      <c r="N88" s="17">
        <v>15000</v>
      </c>
      <c r="O88" s="17"/>
      <c r="P88" s="17"/>
      <c r="Q88" s="48"/>
      <c r="R88" s="11"/>
      <c r="S88" s="48"/>
      <c r="T88" s="85"/>
      <c r="U88" s="88"/>
      <c r="V88" s="32"/>
      <c r="W88" s="25" t="s">
        <v>48</v>
      </c>
      <c r="X88" s="11"/>
      <c r="Y88" s="50" t="s">
        <v>13</v>
      </c>
      <c r="Z88" s="50"/>
      <c r="AA88" s="50"/>
      <c r="AB88" s="50"/>
      <c r="AC88" s="50"/>
      <c r="AD88" s="50"/>
      <c r="AE88" s="50"/>
      <c r="AF88" s="34"/>
      <c r="AG88" s="34"/>
      <c r="AH88" s="34"/>
      <c r="AI88" s="34"/>
      <c r="AJ88" s="34"/>
      <c r="AK88" s="34"/>
      <c r="AL88" s="34"/>
      <c r="AM88" s="34"/>
      <c r="AN88" s="34"/>
      <c r="AO88" s="65"/>
      <c r="AP88" s="69"/>
      <c r="AQ88" s="62"/>
      <c r="AR88" s="34"/>
    </row>
    <row r="89" spans="1:44" customFormat="1">
      <c r="A89" s="39">
        <v>43619</v>
      </c>
      <c r="B89" s="11" t="s">
        <v>49</v>
      </c>
      <c r="C89" s="16" t="s">
        <v>381</v>
      </c>
      <c r="D89" s="16"/>
      <c r="E89" s="38">
        <v>29610</v>
      </c>
      <c r="F89" s="38"/>
      <c r="G89" s="10" t="s">
        <v>382</v>
      </c>
      <c r="H89" s="12" t="s">
        <v>383</v>
      </c>
      <c r="I89" s="13" t="s">
        <v>1673</v>
      </c>
      <c r="J89" s="15" t="s">
        <v>384</v>
      </c>
      <c r="K89" s="12"/>
      <c r="L89" s="11"/>
      <c r="M89" s="15"/>
      <c r="N89" s="17">
        <v>7500</v>
      </c>
      <c r="O89" s="17"/>
      <c r="P89" s="17"/>
      <c r="Q89" s="48"/>
      <c r="R89" s="11"/>
      <c r="S89" s="48"/>
      <c r="T89" s="85"/>
      <c r="U89" s="88"/>
      <c r="V89" s="32" t="s">
        <v>385</v>
      </c>
      <c r="W89" s="25"/>
      <c r="X89" s="11"/>
      <c r="Y89" s="50"/>
      <c r="Z89" s="50"/>
      <c r="AA89" s="50"/>
      <c r="AB89" s="50"/>
      <c r="AC89" s="50"/>
      <c r="AD89" s="50"/>
      <c r="AE89" s="50"/>
      <c r="AF89" s="34"/>
      <c r="AG89" s="34"/>
      <c r="AH89" s="34"/>
      <c r="AI89" s="34"/>
      <c r="AJ89" s="34"/>
      <c r="AK89" s="34"/>
      <c r="AL89" s="34"/>
      <c r="AM89" s="34"/>
      <c r="AN89" s="34"/>
      <c r="AO89" s="65"/>
      <c r="AP89" s="69"/>
      <c r="AQ89" s="62"/>
      <c r="AR89" s="34"/>
    </row>
    <row r="90" spans="1:44" customFormat="1">
      <c r="A90" s="39">
        <v>43619</v>
      </c>
      <c r="B90" s="11" t="s">
        <v>49</v>
      </c>
      <c r="C90" s="16" t="s">
        <v>388</v>
      </c>
      <c r="D90" s="16"/>
      <c r="E90" s="38">
        <v>26026</v>
      </c>
      <c r="F90" s="38"/>
      <c r="G90" s="10" t="s">
        <v>389</v>
      </c>
      <c r="H90" s="12" t="s">
        <v>390</v>
      </c>
      <c r="I90" s="13" t="s">
        <v>1674</v>
      </c>
      <c r="J90" s="15" t="s">
        <v>391</v>
      </c>
      <c r="K90" s="12"/>
      <c r="L90" s="11" t="s">
        <v>34</v>
      </c>
      <c r="M90" s="15"/>
      <c r="N90" s="17">
        <v>0</v>
      </c>
      <c r="O90" s="17"/>
      <c r="P90" s="17"/>
      <c r="Q90" s="48"/>
      <c r="R90" s="11"/>
      <c r="S90" s="48"/>
      <c r="T90" s="85"/>
      <c r="U90" s="88"/>
      <c r="V90" s="32"/>
      <c r="W90" s="25" t="s">
        <v>10</v>
      </c>
      <c r="X90" s="11"/>
      <c r="Y90" s="50" t="s">
        <v>13</v>
      </c>
      <c r="Z90" s="50"/>
      <c r="AA90" s="50"/>
      <c r="AB90" s="50"/>
      <c r="AC90" s="50"/>
      <c r="AD90" s="50"/>
      <c r="AE90" s="50"/>
      <c r="AF90" s="34"/>
      <c r="AG90" s="34"/>
      <c r="AH90" s="34"/>
      <c r="AI90" s="34"/>
      <c r="AJ90" s="34"/>
      <c r="AK90" s="34"/>
      <c r="AL90" s="34"/>
      <c r="AM90" s="34"/>
      <c r="AN90" s="34"/>
      <c r="AO90" s="65"/>
      <c r="AP90" s="69"/>
      <c r="AQ90" s="62"/>
      <c r="AR90" s="34"/>
    </row>
    <row r="91" spans="1:44" customFormat="1">
      <c r="A91" s="39">
        <v>43621</v>
      </c>
      <c r="B91" s="11" t="s">
        <v>22</v>
      </c>
      <c r="C91" s="16" t="s">
        <v>392</v>
      </c>
      <c r="D91" s="16"/>
      <c r="E91" s="38">
        <v>17180</v>
      </c>
      <c r="F91" s="38"/>
      <c r="G91" s="10" t="s">
        <v>148</v>
      </c>
      <c r="H91" s="12" t="s">
        <v>393</v>
      </c>
      <c r="I91" s="13" t="s">
        <v>1675</v>
      </c>
      <c r="J91" s="15" t="s">
        <v>394</v>
      </c>
      <c r="K91" s="12"/>
      <c r="L91" s="11" t="s">
        <v>37</v>
      </c>
      <c r="M91" s="15"/>
      <c r="N91" s="17">
        <v>0</v>
      </c>
      <c r="O91" s="17"/>
      <c r="P91" s="17"/>
      <c r="Q91" s="48"/>
      <c r="R91" s="11"/>
      <c r="S91" s="48"/>
      <c r="T91" s="85"/>
      <c r="U91" s="88"/>
      <c r="V91" s="32"/>
      <c r="W91" s="25"/>
      <c r="X91" s="11"/>
      <c r="Y91" s="50"/>
      <c r="Z91" s="50"/>
      <c r="AA91" s="50"/>
      <c r="AB91" s="50"/>
      <c r="AC91" s="50"/>
      <c r="AD91" s="50"/>
      <c r="AE91" s="50"/>
      <c r="AF91" s="34"/>
      <c r="AG91" s="34"/>
      <c r="AH91" s="34"/>
      <c r="AI91" s="34"/>
      <c r="AJ91" s="34"/>
      <c r="AK91" s="34"/>
      <c r="AL91" s="34"/>
      <c r="AM91" s="34"/>
      <c r="AN91" s="34"/>
      <c r="AO91" s="65"/>
      <c r="AP91" s="69"/>
      <c r="AQ91" s="62"/>
      <c r="AR91" s="34"/>
    </row>
    <row r="92" spans="1:44" customFormat="1">
      <c r="A92" s="39">
        <v>43621</v>
      </c>
      <c r="B92" s="11" t="s">
        <v>22</v>
      </c>
      <c r="C92" s="16" t="s">
        <v>395</v>
      </c>
      <c r="D92" s="16"/>
      <c r="E92" s="38">
        <v>22668</v>
      </c>
      <c r="F92" s="38"/>
      <c r="G92" s="10" t="s">
        <v>396</v>
      </c>
      <c r="H92" s="12" t="s">
        <v>397</v>
      </c>
      <c r="I92" s="13" t="s">
        <v>1676</v>
      </c>
      <c r="J92" s="15" t="s">
        <v>398</v>
      </c>
      <c r="K92" s="12"/>
      <c r="L92" s="11" t="s">
        <v>37</v>
      </c>
      <c r="M92" s="15"/>
      <c r="N92" s="17">
        <v>0</v>
      </c>
      <c r="O92" s="17"/>
      <c r="P92" s="17"/>
      <c r="Q92" s="48"/>
      <c r="R92" s="11"/>
      <c r="S92" s="48"/>
      <c r="T92" s="85"/>
      <c r="U92" s="88"/>
      <c r="V92" s="32"/>
      <c r="W92" s="25"/>
      <c r="X92" s="11"/>
      <c r="Y92" s="50"/>
      <c r="Z92" s="50"/>
      <c r="AA92" s="50"/>
      <c r="AB92" s="50"/>
      <c r="AC92" s="50"/>
      <c r="AD92" s="50"/>
      <c r="AE92" s="50"/>
      <c r="AF92" s="34"/>
      <c r="AG92" s="34"/>
      <c r="AH92" s="34"/>
      <c r="AI92" s="34"/>
      <c r="AJ92" s="34"/>
      <c r="AK92" s="34"/>
      <c r="AL92" s="34"/>
      <c r="AM92" s="34"/>
      <c r="AN92" s="34"/>
      <c r="AO92" s="65"/>
      <c r="AP92" s="69"/>
      <c r="AQ92" s="62"/>
      <c r="AR92" s="34"/>
    </row>
    <row r="93" spans="1:44" customFormat="1">
      <c r="A93" s="39">
        <v>43621</v>
      </c>
      <c r="B93" s="11" t="s">
        <v>49</v>
      </c>
      <c r="C93" s="16" t="s">
        <v>399</v>
      </c>
      <c r="D93" s="16"/>
      <c r="E93" s="38">
        <v>32966</v>
      </c>
      <c r="F93" s="38"/>
      <c r="G93" s="10" t="s">
        <v>400</v>
      </c>
      <c r="H93" s="22" t="s">
        <v>401</v>
      </c>
      <c r="I93" s="13" t="s">
        <v>1677</v>
      </c>
      <c r="J93" s="15" t="s">
        <v>402</v>
      </c>
      <c r="K93" s="12"/>
      <c r="L93" s="11" t="s">
        <v>34</v>
      </c>
      <c r="M93" s="15"/>
      <c r="N93" s="17">
        <v>0</v>
      </c>
      <c r="O93" s="17"/>
      <c r="P93" s="17"/>
      <c r="Q93" s="48"/>
      <c r="R93" s="11"/>
      <c r="S93" s="48"/>
      <c r="T93" s="85"/>
      <c r="U93" s="88"/>
      <c r="V93" s="32" t="s">
        <v>403</v>
      </c>
      <c r="W93" s="25" t="s">
        <v>8</v>
      </c>
      <c r="X93" s="11"/>
      <c r="Y93" s="50" t="s">
        <v>13</v>
      </c>
      <c r="Z93" s="50"/>
      <c r="AA93" s="50"/>
      <c r="AB93" s="50"/>
      <c r="AC93" s="50"/>
      <c r="AD93" s="50"/>
      <c r="AE93" s="50"/>
      <c r="AF93" s="34"/>
      <c r="AG93" s="34"/>
      <c r="AH93" s="34"/>
      <c r="AI93" s="34"/>
      <c r="AJ93" s="34"/>
      <c r="AK93" s="34"/>
      <c r="AL93" s="34"/>
      <c r="AM93" s="34"/>
      <c r="AN93" s="34"/>
      <c r="AO93" s="65"/>
      <c r="AP93" s="69"/>
      <c r="AQ93" s="62"/>
      <c r="AR93" s="34"/>
    </row>
    <row r="94" spans="1:44" customFormat="1">
      <c r="A94" s="39">
        <v>43621</v>
      </c>
      <c r="B94" s="11" t="s">
        <v>49</v>
      </c>
      <c r="C94" s="16" t="s">
        <v>405</v>
      </c>
      <c r="D94" s="16"/>
      <c r="E94" s="38">
        <v>22099</v>
      </c>
      <c r="F94" s="38"/>
      <c r="G94" s="10" t="s">
        <v>406</v>
      </c>
      <c r="H94" s="12" t="s">
        <v>407</v>
      </c>
      <c r="I94" s="13" t="s">
        <v>1637</v>
      </c>
      <c r="J94" s="15" t="s">
        <v>408</v>
      </c>
      <c r="K94" s="12"/>
      <c r="L94" s="11" t="s">
        <v>33</v>
      </c>
      <c r="M94" s="15"/>
      <c r="N94" s="17">
        <v>0</v>
      </c>
      <c r="O94" s="17"/>
      <c r="P94" s="17"/>
      <c r="Q94" s="48"/>
      <c r="R94" s="11"/>
      <c r="S94" s="48"/>
      <c r="T94" s="85"/>
      <c r="U94" s="88"/>
      <c r="V94" s="32" t="s">
        <v>279</v>
      </c>
      <c r="W94" s="25" t="s">
        <v>10</v>
      </c>
      <c r="X94" s="11"/>
      <c r="Y94" s="50" t="s">
        <v>12</v>
      </c>
      <c r="Z94" s="50"/>
      <c r="AA94" s="50"/>
      <c r="AB94" s="50"/>
      <c r="AC94" s="50"/>
      <c r="AD94" s="50"/>
      <c r="AE94" s="50"/>
      <c r="AF94" s="34"/>
      <c r="AG94" s="34"/>
      <c r="AH94" s="34"/>
      <c r="AI94" s="34"/>
      <c r="AJ94" s="34"/>
      <c r="AK94" s="34"/>
      <c r="AL94" s="34"/>
      <c r="AM94" s="34"/>
      <c r="AN94" s="34"/>
      <c r="AO94" s="65"/>
      <c r="AP94" s="69"/>
      <c r="AQ94" s="62"/>
      <c r="AR94" s="34"/>
    </row>
    <row r="95" spans="1:44" customFormat="1">
      <c r="A95" s="39">
        <v>43621</v>
      </c>
      <c r="B95" s="11" t="s">
        <v>49</v>
      </c>
      <c r="C95" s="16" t="s">
        <v>409</v>
      </c>
      <c r="D95" s="16"/>
      <c r="E95" s="38">
        <v>16813</v>
      </c>
      <c r="F95" s="82"/>
      <c r="G95" s="23" t="s">
        <v>619</v>
      </c>
      <c r="H95" s="12" t="s">
        <v>410</v>
      </c>
      <c r="I95" s="13" t="s">
        <v>1678</v>
      </c>
      <c r="J95" s="15" t="s">
        <v>411</v>
      </c>
      <c r="K95" s="12"/>
      <c r="L95" s="11" t="s">
        <v>33</v>
      </c>
      <c r="M95" s="15"/>
      <c r="N95" s="17">
        <v>0</v>
      </c>
      <c r="O95" s="17"/>
      <c r="P95" s="17"/>
      <c r="Q95" s="48"/>
      <c r="R95" s="11"/>
      <c r="S95" s="48"/>
      <c r="T95" s="85"/>
      <c r="U95" s="88"/>
      <c r="V95" s="32" t="s">
        <v>412</v>
      </c>
      <c r="W95" s="25"/>
      <c r="X95" s="11"/>
      <c r="Y95" s="50"/>
      <c r="Z95" s="50"/>
      <c r="AA95" s="50"/>
      <c r="AB95" s="50"/>
      <c r="AC95" s="50"/>
      <c r="AD95" s="50"/>
      <c r="AE95" s="50"/>
      <c r="AF95" s="34"/>
      <c r="AG95" s="34"/>
      <c r="AH95" s="34"/>
      <c r="AI95" s="34"/>
      <c r="AJ95" s="34"/>
      <c r="AK95" s="34"/>
      <c r="AL95" s="34"/>
      <c r="AM95" s="34"/>
      <c r="AN95" s="34"/>
      <c r="AO95" s="65"/>
      <c r="AP95" s="69"/>
      <c r="AQ95" s="62"/>
      <c r="AR95" s="34"/>
    </row>
    <row r="96" spans="1:44" customFormat="1">
      <c r="A96" s="39">
        <v>43621</v>
      </c>
      <c r="B96" s="11" t="s">
        <v>49</v>
      </c>
      <c r="C96" s="16" t="s">
        <v>413</v>
      </c>
      <c r="D96" s="16"/>
      <c r="E96" s="38">
        <v>31181</v>
      </c>
      <c r="F96" s="38"/>
      <c r="G96" s="10" t="s">
        <v>620</v>
      </c>
      <c r="H96" s="12" t="s">
        <v>414</v>
      </c>
      <c r="I96" s="13" t="s">
        <v>1607</v>
      </c>
      <c r="J96" s="15" t="s">
        <v>415</v>
      </c>
      <c r="K96" s="12"/>
      <c r="L96" s="11"/>
      <c r="M96" s="15"/>
      <c r="N96" s="17">
        <v>10800</v>
      </c>
      <c r="O96" s="17"/>
      <c r="P96" s="17"/>
      <c r="Q96" s="48"/>
      <c r="R96" s="11"/>
      <c r="S96" s="48"/>
      <c r="T96" s="85"/>
      <c r="U96" s="88"/>
      <c r="V96" s="32"/>
      <c r="W96" s="25"/>
      <c r="X96" s="11"/>
      <c r="Y96" s="50" t="s">
        <v>13</v>
      </c>
      <c r="Z96" s="50"/>
      <c r="AA96" s="50"/>
      <c r="AB96" s="50"/>
      <c r="AC96" s="50"/>
      <c r="AD96" s="50"/>
      <c r="AE96" s="50"/>
      <c r="AF96" s="34"/>
      <c r="AG96" s="34"/>
      <c r="AH96" s="34"/>
      <c r="AI96" s="34"/>
      <c r="AJ96" s="34"/>
      <c r="AK96" s="34"/>
      <c r="AL96" s="34"/>
      <c r="AM96" s="34"/>
      <c r="AN96" s="34"/>
      <c r="AO96" s="65"/>
      <c r="AP96" s="69"/>
      <c r="AQ96" s="62"/>
      <c r="AR96" s="34"/>
    </row>
    <row r="97" spans="1:44" customFormat="1">
      <c r="A97" s="39">
        <v>43622</v>
      </c>
      <c r="B97" s="11" t="s">
        <v>22</v>
      </c>
      <c r="C97" s="16" t="s">
        <v>416</v>
      </c>
      <c r="D97" s="16"/>
      <c r="E97" s="38">
        <v>22368</v>
      </c>
      <c r="F97" s="38"/>
      <c r="G97" s="10" t="s">
        <v>148</v>
      </c>
      <c r="H97" s="12" t="s">
        <v>417</v>
      </c>
      <c r="I97" s="13" t="s">
        <v>1652</v>
      </c>
      <c r="J97" s="15" t="s">
        <v>418</v>
      </c>
      <c r="K97" s="12"/>
      <c r="L97" s="11" t="s">
        <v>33</v>
      </c>
      <c r="M97" s="15"/>
      <c r="N97" s="17">
        <v>0</v>
      </c>
      <c r="O97" s="17"/>
      <c r="P97" s="17"/>
      <c r="Q97" s="48"/>
      <c r="R97" s="11"/>
      <c r="S97" s="48"/>
      <c r="T97" s="85"/>
      <c r="U97" s="88"/>
      <c r="V97" s="32"/>
      <c r="W97" s="25" t="s">
        <v>8</v>
      </c>
      <c r="X97" s="11"/>
      <c r="Y97" s="50" t="s">
        <v>18</v>
      </c>
      <c r="Z97" s="50"/>
      <c r="AA97" s="50"/>
      <c r="AB97" s="50"/>
      <c r="AC97" s="50"/>
      <c r="AD97" s="50"/>
      <c r="AE97" s="50"/>
      <c r="AF97" s="34"/>
      <c r="AG97" s="34"/>
      <c r="AH97" s="34"/>
      <c r="AI97" s="34"/>
      <c r="AJ97" s="34"/>
      <c r="AK97" s="34"/>
      <c r="AL97" s="34"/>
      <c r="AM97" s="34"/>
      <c r="AN97" s="34"/>
      <c r="AO97" s="65"/>
      <c r="AP97" s="69"/>
      <c r="AQ97" s="62"/>
      <c r="AR97" s="34"/>
    </row>
    <row r="98" spans="1:44" customFormat="1">
      <c r="A98" s="39">
        <v>43622</v>
      </c>
      <c r="B98" s="11" t="s">
        <v>22</v>
      </c>
      <c r="C98" s="16" t="s">
        <v>423</v>
      </c>
      <c r="D98" s="16"/>
      <c r="E98" s="38">
        <v>23876</v>
      </c>
      <c r="F98" s="38"/>
      <c r="G98" s="10" t="s">
        <v>148</v>
      </c>
      <c r="H98" s="12" t="s">
        <v>417</v>
      </c>
      <c r="I98" s="13" t="s">
        <v>1652</v>
      </c>
      <c r="J98" s="15" t="s">
        <v>424</v>
      </c>
      <c r="K98" s="12"/>
      <c r="L98" s="11" t="s">
        <v>34</v>
      </c>
      <c r="M98" s="15"/>
      <c r="N98" s="17">
        <v>0</v>
      </c>
      <c r="O98" s="17"/>
      <c r="P98" s="17"/>
      <c r="Q98" s="48"/>
      <c r="R98" s="11"/>
      <c r="S98" s="48"/>
      <c r="T98" s="85"/>
      <c r="U98" s="88"/>
      <c r="V98" s="32"/>
      <c r="W98" s="25" t="s">
        <v>8</v>
      </c>
      <c r="X98" s="11"/>
      <c r="Y98" s="50" t="s">
        <v>18</v>
      </c>
      <c r="Z98" s="50"/>
      <c r="AA98" s="50"/>
      <c r="AB98" s="50"/>
      <c r="AC98" s="50"/>
      <c r="AD98" s="50"/>
      <c r="AE98" s="50"/>
      <c r="AF98" s="34"/>
      <c r="AG98" s="34"/>
      <c r="AH98" s="34"/>
      <c r="AI98" s="34"/>
      <c r="AJ98" s="34"/>
      <c r="AK98" s="34"/>
      <c r="AL98" s="34"/>
      <c r="AM98" s="34"/>
      <c r="AN98" s="34"/>
      <c r="AO98" s="65"/>
      <c r="AP98" s="69"/>
      <c r="AQ98" s="62"/>
      <c r="AR98" s="34"/>
    </row>
    <row r="99" spans="1:44" customFormat="1">
      <c r="A99" s="39">
        <v>43622</v>
      </c>
      <c r="B99" s="11" t="s">
        <v>49</v>
      </c>
      <c r="C99" s="16" t="s">
        <v>419</v>
      </c>
      <c r="D99" s="16"/>
      <c r="E99" s="38">
        <v>34812</v>
      </c>
      <c r="F99" s="38"/>
      <c r="G99" s="10" t="s">
        <v>420</v>
      </c>
      <c r="H99" s="12" t="s">
        <v>421</v>
      </c>
      <c r="I99" s="13" t="s">
        <v>1679</v>
      </c>
      <c r="J99" s="15" t="s">
        <v>422</v>
      </c>
      <c r="K99" s="12"/>
      <c r="L99" s="11"/>
      <c r="M99" s="15"/>
      <c r="N99" s="17">
        <v>16200</v>
      </c>
      <c r="O99" s="17"/>
      <c r="P99" s="17"/>
      <c r="Q99" s="48"/>
      <c r="R99" s="11"/>
      <c r="S99" s="48"/>
      <c r="T99" s="85"/>
      <c r="U99" s="88"/>
      <c r="V99" s="32"/>
      <c r="W99" s="25" t="s">
        <v>10</v>
      </c>
      <c r="X99" s="11"/>
      <c r="Y99" s="50" t="s">
        <v>13</v>
      </c>
      <c r="Z99" s="50"/>
      <c r="AA99" s="50"/>
      <c r="AB99" s="50"/>
      <c r="AC99" s="50"/>
      <c r="AD99" s="50"/>
      <c r="AE99" s="50"/>
      <c r="AF99" s="34"/>
      <c r="AG99" s="34"/>
      <c r="AH99" s="34"/>
      <c r="AI99" s="34"/>
      <c r="AJ99" s="34"/>
      <c r="AK99" s="34"/>
      <c r="AL99" s="34"/>
      <c r="AM99" s="34"/>
      <c r="AN99" s="34"/>
      <c r="AO99" s="65"/>
      <c r="AP99" s="69"/>
      <c r="AQ99" s="62"/>
      <c r="AR99" s="34"/>
    </row>
    <row r="100" spans="1:44" customFormat="1">
      <c r="A100" s="39">
        <v>43622</v>
      </c>
      <c r="B100" s="11" t="s">
        <v>22</v>
      </c>
      <c r="C100" s="16" t="s">
        <v>425</v>
      </c>
      <c r="D100" s="16"/>
      <c r="E100" s="38">
        <v>22951</v>
      </c>
      <c r="F100" s="38"/>
      <c r="G100" s="10" t="s">
        <v>426</v>
      </c>
      <c r="H100" s="12" t="s">
        <v>427</v>
      </c>
      <c r="I100" s="13" t="s">
        <v>1680</v>
      </c>
      <c r="J100" s="15" t="s">
        <v>428</v>
      </c>
      <c r="K100" s="12"/>
      <c r="L100" s="11" t="s">
        <v>36</v>
      </c>
      <c r="M100" s="15"/>
      <c r="N100" s="17">
        <v>5400</v>
      </c>
      <c r="O100" s="17"/>
      <c r="P100" s="17"/>
      <c r="Q100" s="48"/>
      <c r="R100" s="11"/>
      <c r="S100" s="48"/>
      <c r="T100" s="85"/>
      <c r="U100" s="88"/>
      <c r="V100" s="32"/>
      <c r="W100" s="25" t="s">
        <v>48</v>
      </c>
      <c r="X100" s="11"/>
      <c r="Y100" s="50" t="s">
        <v>12</v>
      </c>
      <c r="Z100" s="50"/>
      <c r="AA100" s="50"/>
      <c r="AB100" s="50"/>
      <c r="AC100" s="50"/>
      <c r="AD100" s="50"/>
      <c r="AE100" s="50"/>
      <c r="AF100" s="34"/>
      <c r="AG100" s="34"/>
      <c r="AH100" s="34"/>
      <c r="AI100" s="34"/>
      <c r="AJ100" s="34"/>
      <c r="AK100" s="34"/>
      <c r="AL100" s="34"/>
      <c r="AM100" s="34"/>
      <c r="AN100" s="34"/>
      <c r="AO100" s="65"/>
      <c r="AP100" s="69"/>
      <c r="AQ100" s="62"/>
      <c r="AR100" s="34"/>
    </row>
    <row r="101" spans="1:44" customFormat="1">
      <c r="A101" s="39">
        <v>43622</v>
      </c>
      <c r="B101" s="11" t="s">
        <v>49</v>
      </c>
      <c r="C101" s="16" t="s">
        <v>429</v>
      </c>
      <c r="D101" s="16"/>
      <c r="E101" s="38">
        <v>25842</v>
      </c>
      <c r="F101" s="38"/>
      <c r="G101" s="10" t="s">
        <v>430</v>
      </c>
      <c r="H101" s="12" t="s">
        <v>431</v>
      </c>
      <c r="I101" s="13" t="s">
        <v>1681</v>
      </c>
      <c r="J101" s="15" t="s">
        <v>432</v>
      </c>
      <c r="K101" s="12"/>
      <c r="L101" s="11" t="s">
        <v>33</v>
      </c>
      <c r="M101" s="15"/>
      <c r="N101" s="17">
        <v>0</v>
      </c>
      <c r="O101" s="17"/>
      <c r="P101" s="17"/>
      <c r="Q101" s="48"/>
      <c r="R101" s="11"/>
      <c r="S101" s="48"/>
      <c r="T101" s="85"/>
      <c r="U101" s="88"/>
      <c r="V101" s="32"/>
      <c r="W101" s="25" t="s">
        <v>8</v>
      </c>
      <c r="X101" s="11"/>
      <c r="Y101" s="50"/>
      <c r="Z101" s="50"/>
      <c r="AA101" s="50"/>
      <c r="AB101" s="50"/>
      <c r="AC101" s="50"/>
      <c r="AD101" s="50"/>
      <c r="AE101" s="50"/>
      <c r="AF101" s="34"/>
      <c r="AG101" s="34"/>
      <c r="AH101" s="34"/>
      <c r="AI101" s="34"/>
      <c r="AJ101" s="34"/>
      <c r="AK101" s="34"/>
      <c r="AL101" s="34"/>
      <c r="AM101" s="34"/>
      <c r="AN101" s="34"/>
      <c r="AO101" s="65"/>
      <c r="AP101" s="69"/>
      <c r="AQ101" s="62"/>
      <c r="AR101" s="34"/>
    </row>
    <row r="102" spans="1:44" customFormat="1">
      <c r="A102" s="39">
        <v>43622</v>
      </c>
      <c r="B102" s="11" t="s">
        <v>22</v>
      </c>
      <c r="C102" s="16" t="s">
        <v>433</v>
      </c>
      <c r="D102" s="16"/>
      <c r="E102" s="38">
        <v>18646</v>
      </c>
      <c r="F102" s="38"/>
      <c r="G102" s="10" t="s">
        <v>78</v>
      </c>
      <c r="H102" s="12" t="s">
        <v>434</v>
      </c>
      <c r="I102" s="13" t="s">
        <v>1641</v>
      </c>
      <c r="J102" s="15" t="s">
        <v>435</v>
      </c>
      <c r="K102" s="12"/>
      <c r="L102" s="11" t="s">
        <v>39</v>
      </c>
      <c r="M102" s="15"/>
      <c r="N102" s="17">
        <v>0</v>
      </c>
      <c r="O102" s="17"/>
      <c r="P102" s="17"/>
      <c r="Q102" s="48"/>
      <c r="R102" s="11"/>
      <c r="S102" s="48"/>
      <c r="T102" s="85"/>
      <c r="U102" s="88"/>
      <c r="V102" s="32"/>
      <c r="W102" s="25" t="s">
        <v>9</v>
      </c>
      <c r="X102" s="11"/>
      <c r="Y102" s="50" t="s">
        <v>18</v>
      </c>
      <c r="Z102" s="50"/>
      <c r="AA102" s="50"/>
      <c r="AB102" s="50"/>
      <c r="AC102" s="50"/>
      <c r="AD102" s="50"/>
      <c r="AE102" s="50"/>
      <c r="AF102" s="34"/>
      <c r="AG102" s="34"/>
      <c r="AH102" s="34"/>
      <c r="AI102" s="34"/>
      <c r="AJ102" s="34"/>
      <c r="AK102" s="34"/>
      <c r="AL102" s="34"/>
      <c r="AM102" s="34"/>
      <c r="AN102" s="34"/>
      <c r="AO102" s="65"/>
      <c r="AP102" s="69"/>
      <c r="AQ102" s="62"/>
      <c r="AR102" s="34"/>
    </row>
    <row r="103" spans="1:44" customFormat="1">
      <c r="A103" s="39">
        <v>43623</v>
      </c>
      <c r="B103" s="11" t="s">
        <v>22</v>
      </c>
      <c r="C103" s="16" t="s">
        <v>436</v>
      </c>
      <c r="D103" s="16"/>
      <c r="E103" s="38">
        <v>28879</v>
      </c>
      <c r="F103" s="38"/>
      <c r="G103" s="10" t="s">
        <v>69</v>
      </c>
      <c r="H103" s="12" t="s">
        <v>437</v>
      </c>
      <c r="I103" s="13" t="s">
        <v>1682</v>
      </c>
      <c r="J103" s="15" t="s">
        <v>438</v>
      </c>
      <c r="K103" s="12"/>
      <c r="L103" s="11" t="s">
        <v>33</v>
      </c>
      <c r="M103" s="15"/>
      <c r="N103" s="17">
        <v>0</v>
      </c>
      <c r="O103" s="17"/>
      <c r="P103" s="17"/>
      <c r="Q103" s="48"/>
      <c r="R103" s="11"/>
      <c r="S103" s="48"/>
      <c r="T103" s="85"/>
      <c r="U103" s="88"/>
      <c r="V103" s="32" t="s">
        <v>439</v>
      </c>
      <c r="W103" s="25"/>
      <c r="X103" s="11"/>
      <c r="Y103" s="50"/>
      <c r="Z103" s="50"/>
      <c r="AA103" s="50"/>
      <c r="AB103" s="50"/>
      <c r="AC103" s="50"/>
      <c r="AD103" s="50"/>
      <c r="AE103" s="50"/>
      <c r="AF103" s="34"/>
      <c r="AG103" s="34"/>
      <c r="AH103" s="34"/>
      <c r="AI103" s="34"/>
      <c r="AJ103" s="34"/>
      <c r="AK103" s="34"/>
      <c r="AL103" s="34"/>
      <c r="AM103" s="34"/>
      <c r="AN103" s="34"/>
      <c r="AO103" s="65"/>
      <c r="AP103" s="69"/>
      <c r="AQ103" s="62"/>
      <c r="AR103" s="34"/>
    </row>
    <row r="104" spans="1:44" customFormat="1">
      <c r="A104" s="39">
        <v>43623</v>
      </c>
      <c r="B104" s="11" t="s">
        <v>49</v>
      </c>
      <c r="C104" s="16" t="s">
        <v>440</v>
      </c>
      <c r="D104" s="16"/>
      <c r="E104" s="38">
        <v>25307</v>
      </c>
      <c r="F104" s="38"/>
      <c r="G104" s="10" t="s">
        <v>441</v>
      </c>
      <c r="H104" s="12" t="s">
        <v>442</v>
      </c>
      <c r="I104" s="13" t="s">
        <v>1683</v>
      </c>
      <c r="J104" s="15" t="s">
        <v>443</v>
      </c>
      <c r="K104" s="12"/>
      <c r="L104" s="11" t="s">
        <v>33</v>
      </c>
      <c r="M104" s="15"/>
      <c r="N104" s="17">
        <v>10800</v>
      </c>
      <c r="O104" s="17"/>
      <c r="P104" s="17"/>
      <c r="Q104" s="48"/>
      <c r="R104" s="11"/>
      <c r="S104" s="48"/>
      <c r="T104" s="85"/>
      <c r="U104" s="88"/>
      <c r="V104" s="32" t="s">
        <v>105</v>
      </c>
      <c r="W104" s="25"/>
      <c r="X104" s="11"/>
      <c r="Y104" s="50"/>
      <c r="Z104" s="50"/>
      <c r="AA104" s="50"/>
      <c r="AB104" s="50"/>
      <c r="AC104" s="50"/>
      <c r="AD104" s="50"/>
      <c r="AE104" s="50"/>
      <c r="AF104" s="34"/>
      <c r="AG104" s="34"/>
      <c r="AH104" s="34"/>
      <c r="AI104" s="34"/>
      <c r="AJ104" s="34"/>
      <c r="AK104" s="34"/>
      <c r="AL104" s="34"/>
      <c r="AM104" s="34"/>
      <c r="AN104" s="34"/>
      <c r="AO104" s="65"/>
      <c r="AP104" s="69"/>
      <c r="AQ104" s="62"/>
      <c r="AR104" s="34"/>
    </row>
    <row r="105" spans="1:44" customFormat="1">
      <c r="A105" s="39">
        <v>43623</v>
      </c>
      <c r="B105" s="11" t="s">
        <v>22</v>
      </c>
      <c r="C105" s="16" t="s">
        <v>444</v>
      </c>
      <c r="D105" s="16"/>
      <c r="E105" s="38">
        <v>12381</v>
      </c>
      <c r="F105" s="38"/>
      <c r="G105" s="10" t="s">
        <v>148</v>
      </c>
      <c r="H105" s="12" t="s">
        <v>445</v>
      </c>
      <c r="I105" s="13" t="s">
        <v>1629</v>
      </c>
      <c r="J105" s="15" t="s">
        <v>446</v>
      </c>
      <c r="K105" s="12"/>
      <c r="L105" s="11" t="s">
        <v>39</v>
      </c>
      <c r="M105" s="15"/>
      <c r="N105" s="17">
        <v>0</v>
      </c>
      <c r="O105" s="17"/>
      <c r="P105" s="17"/>
      <c r="Q105" s="48"/>
      <c r="R105" s="11"/>
      <c r="S105" s="48"/>
      <c r="T105" s="85"/>
      <c r="U105" s="88"/>
      <c r="V105" s="32"/>
      <c r="W105" s="25"/>
      <c r="X105" s="11"/>
      <c r="Y105" s="50"/>
      <c r="Z105" s="50"/>
      <c r="AA105" s="50"/>
      <c r="AB105" s="50"/>
      <c r="AC105" s="50"/>
      <c r="AD105" s="50"/>
      <c r="AE105" s="50"/>
      <c r="AF105" s="34"/>
      <c r="AG105" s="34"/>
      <c r="AH105" s="34"/>
      <c r="AI105" s="34"/>
      <c r="AJ105" s="34"/>
      <c r="AK105" s="34"/>
      <c r="AL105" s="34"/>
      <c r="AM105" s="34"/>
      <c r="AN105" s="34"/>
      <c r="AO105" s="65"/>
      <c r="AP105" s="69"/>
      <c r="AQ105" s="62"/>
      <c r="AR105" s="34"/>
    </row>
    <row r="106" spans="1:44" customFormat="1">
      <c r="A106" s="39">
        <v>43623</v>
      </c>
      <c r="B106" s="11" t="s">
        <v>49</v>
      </c>
      <c r="C106" s="16" t="s">
        <v>447</v>
      </c>
      <c r="D106" s="16"/>
      <c r="E106" s="38">
        <v>19268</v>
      </c>
      <c r="F106" s="38"/>
      <c r="G106" s="10" t="s">
        <v>448</v>
      </c>
      <c r="H106" s="12" t="s">
        <v>449</v>
      </c>
      <c r="I106" s="13" t="s">
        <v>1684</v>
      </c>
      <c r="J106" s="15" t="s">
        <v>450</v>
      </c>
      <c r="K106" s="14" t="s">
        <v>451</v>
      </c>
      <c r="L106" s="11" t="s">
        <v>33</v>
      </c>
      <c r="M106" s="15"/>
      <c r="N106" s="17">
        <v>10800</v>
      </c>
      <c r="O106" s="17"/>
      <c r="P106" s="17"/>
      <c r="Q106" s="48"/>
      <c r="R106" s="11"/>
      <c r="S106" s="48"/>
      <c r="T106" s="85"/>
      <c r="U106" s="88"/>
      <c r="V106" s="32" t="s">
        <v>336</v>
      </c>
      <c r="W106" s="25" t="s">
        <v>10</v>
      </c>
      <c r="X106" s="11"/>
      <c r="Y106" s="50" t="s">
        <v>14</v>
      </c>
      <c r="Z106" s="50"/>
      <c r="AA106" s="50"/>
      <c r="AB106" s="50"/>
      <c r="AC106" s="50"/>
      <c r="AD106" s="50"/>
      <c r="AE106" s="50"/>
      <c r="AF106" s="34"/>
      <c r="AG106" s="34"/>
      <c r="AH106" s="34"/>
      <c r="AI106" s="34"/>
      <c r="AJ106" s="34"/>
      <c r="AK106" s="34"/>
      <c r="AL106" s="34"/>
      <c r="AM106" s="34"/>
      <c r="AN106" s="34"/>
      <c r="AO106" s="65"/>
      <c r="AP106" s="69"/>
      <c r="AQ106" s="62"/>
      <c r="AR106" s="34"/>
    </row>
    <row r="107" spans="1:44" customFormat="1">
      <c r="A107" s="39">
        <v>43623</v>
      </c>
      <c r="B107" s="11" t="s">
        <v>49</v>
      </c>
      <c r="C107" s="16" t="s">
        <v>452</v>
      </c>
      <c r="D107" s="16"/>
      <c r="E107" s="38">
        <v>18855</v>
      </c>
      <c r="F107" s="38"/>
      <c r="G107" s="10" t="s">
        <v>453</v>
      </c>
      <c r="H107" s="12" t="s">
        <v>454</v>
      </c>
      <c r="I107" s="13" t="s">
        <v>1685</v>
      </c>
      <c r="J107" s="15" t="s">
        <v>455</v>
      </c>
      <c r="K107" s="12"/>
      <c r="L107" s="11"/>
      <c r="M107" s="15"/>
      <c r="N107" s="17">
        <v>10800</v>
      </c>
      <c r="O107" s="17"/>
      <c r="P107" s="17"/>
      <c r="Q107" s="48"/>
      <c r="R107" s="11"/>
      <c r="S107" s="48"/>
      <c r="T107" s="85"/>
      <c r="U107" s="88"/>
      <c r="V107" s="32" t="s">
        <v>336</v>
      </c>
      <c r="W107" s="25"/>
      <c r="X107" s="11"/>
      <c r="Y107" s="50"/>
      <c r="Z107" s="50"/>
      <c r="AA107" s="50"/>
      <c r="AB107" s="50"/>
      <c r="AC107" s="50"/>
      <c r="AD107" s="50"/>
      <c r="AE107" s="50"/>
      <c r="AF107" s="34"/>
      <c r="AG107" s="34"/>
      <c r="AH107" s="34"/>
      <c r="AI107" s="34"/>
      <c r="AJ107" s="34"/>
      <c r="AK107" s="34"/>
      <c r="AL107" s="34"/>
      <c r="AM107" s="34"/>
      <c r="AN107" s="34"/>
      <c r="AO107" s="65"/>
      <c r="AP107" s="69"/>
      <c r="AQ107" s="62"/>
      <c r="AR107" s="34"/>
    </row>
    <row r="108" spans="1:44" customFormat="1">
      <c r="A108" s="39">
        <v>43623</v>
      </c>
      <c r="B108" s="11" t="s">
        <v>49</v>
      </c>
      <c r="C108" s="16" t="s">
        <v>468</v>
      </c>
      <c r="D108" s="16"/>
      <c r="E108" s="38">
        <v>22911</v>
      </c>
      <c r="F108" s="38"/>
      <c r="G108" s="10" t="s">
        <v>621</v>
      </c>
      <c r="H108" s="12" t="s">
        <v>469</v>
      </c>
      <c r="I108" s="13" t="s">
        <v>1652</v>
      </c>
      <c r="J108" s="15" t="s">
        <v>470</v>
      </c>
      <c r="K108" s="12"/>
      <c r="L108" s="11" t="s">
        <v>34</v>
      </c>
      <c r="M108" s="15"/>
      <c r="N108" s="17">
        <v>0</v>
      </c>
      <c r="O108" s="17"/>
      <c r="P108" s="17"/>
      <c r="Q108" s="48"/>
      <c r="R108" s="11"/>
      <c r="S108" s="48"/>
      <c r="T108" s="85"/>
      <c r="U108" s="88"/>
      <c r="V108" s="32" t="s">
        <v>471</v>
      </c>
      <c r="W108" s="25"/>
      <c r="X108" s="11"/>
      <c r="Y108" s="50"/>
      <c r="Z108" s="50"/>
      <c r="AA108" s="50"/>
      <c r="AB108" s="50"/>
      <c r="AC108" s="50"/>
      <c r="AD108" s="50"/>
      <c r="AE108" s="50"/>
      <c r="AF108" s="34"/>
      <c r="AG108" s="34"/>
      <c r="AH108" s="34"/>
      <c r="AI108" s="34"/>
      <c r="AJ108" s="34"/>
      <c r="AK108" s="34"/>
      <c r="AL108" s="34"/>
      <c r="AM108" s="34"/>
      <c r="AN108" s="34"/>
      <c r="AO108" s="65"/>
      <c r="AP108" s="69"/>
      <c r="AQ108" s="62"/>
      <c r="AR108" s="34"/>
    </row>
    <row r="109" spans="1:44" customFormat="1">
      <c r="A109" s="39">
        <v>43624</v>
      </c>
      <c r="B109" s="11" t="s">
        <v>22</v>
      </c>
      <c r="C109" s="16" t="s">
        <v>456</v>
      </c>
      <c r="D109" s="16"/>
      <c r="E109" s="38"/>
      <c r="F109" s="38"/>
      <c r="G109" s="10" t="s">
        <v>148</v>
      </c>
      <c r="H109" s="12" t="s">
        <v>458</v>
      </c>
      <c r="I109" s="13" t="s">
        <v>1686</v>
      </c>
      <c r="J109" s="15" t="s">
        <v>459</v>
      </c>
      <c r="K109" s="12"/>
      <c r="L109" s="11"/>
      <c r="M109" s="15"/>
      <c r="N109" s="17">
        <v>0</v>
      </c>
      <c r="O109" s="17"/>
      <c r="P109" s="17"/>
      <c r="Q109" s="48"/>
      <c r="R109" s="11"/>
      <c r="S109" s="48"/>
      <c r="T109" s="85"/>
      <c r="U109" s="88"/>
      <c r="V109" s="32"/>
      <c r="W109" s="25"/>
      <c r="X109" s="11"/>
      <c r="Y109" s="50"/>
      <c r="Z109" s="50"/>
      <c r="AA109" s="50"/>
      <c r="AB109" s="50"/>
      <c r="AC109" s="50"/>
      <c r="AD109" s="50"/>
      <c r="AE109" s="50"/>
      <c r="AF109" s="34"/>
      <c r="AG109" s="34"/>
      <c r="AH109" s="34"/>
      <c r="AI109" s="34"/>
      <c r="AJ109" s="34"/>
      <c r="AK109" s="34"/>
      <c r="AL109" s="34"/>
      <c r="AM109" s="34"/>
      <c r="AN109" s="34"/>
      <c r="AO109" s="65"/>
      <c r="AP109" s="69"/>
      <c r="AQ109" s="62"/>
      <c r="AR109" s="34"/>
    </row>
    <row r="110" spans="1:44" customFormat="1">
      <c r="A110" s="39">
        <v>43624</v>
      </c>
      <c r="B110" s="11" t="s">
        <v>22</v>
      </c>
      <c r="C110" s="16" t="s">
        <v>457</v>
      </c>
      <c r="D110" s="16"/>
      <c r="E110" s="38">
        <v>18879</v>
      </c>
      <c r="F110" s="38"/>
      <c r="G110" s="10" t="s">
        <v>460</v>
      </c>
      <c r="H110" s="12" t="s">
        <v>461</v>
      </c>
      <c r="I110" s="13" t="s">
        <v>1629</v>
      </c>
      <c r="J110" s="15" t="s">
        <v>462</v>
      </c>
      <c r="K110" s="12"/>
      <c r="L110" s="11" t="s">
        <v>39</v>
      </c>
      <c r="M110" s="15"/>
      <c r="N110" s="17">
        <v>0</v>
      </c>
      <c r="O110" s="17"/>
      <c r="P110" s="17"/>
      <c r="Q110" s="48"/>
      <c r="R110" s="11"/>
      <c r="S110" s="48"/>
      <c r="T110" s="85"/>
      <c r="U110" s="88"/>
      <c r="V110" s="32"/>
      <c r="W110" s="25"/>
      <c r="X110" s="11"/>
      <c r="Y110" s="50"/>
      <c r="Z110" s="50"/>
      <c r="AA110" s="50"/>
      <c r="AB110" s="50"/>
      <c r="AC110" s="50"/>
      <c r="AD110" s="50"/>
      <c r="AE110" s="50"/>
      <c r="AF110" s="34"/>
      <c r="AG110" s="34"/>
      <c r="AH110" s="34"/>
      <c r="AI110" s="34"/>
      <c r="AJ110" s="34"/>
      <c r="AK110" s="34"/>
      <c r="AL110" s="34"/>
      <c r="AM110" s="34"/>
      <c r="AN110" s="34"/>
      <c r="AO110" s="65"/>
      <c r="AP110" s="69"/>
      <c r="AQ110" s="62"/>
      <c r="AR110" s="34"/>
    </row>
    <row r="111" spans="1:44" customFormat="1">
      <c r="A111" s="39">
        <v>43624</v>
      </c>
      <c r="B111" s="11" t="s">
        <v>49</v>
      </c>
      <c r="C111" s="16" t="s">
        <v>463</v>
      </c>
      <c r="D111" s="16"/>
      <c r="E111" s="38">
        <v>32455</v>
      </c>
      <c r="F111" s="38"/>
      <c r="G111" s="10" t="s">
        <v>464</v>
      </c>
      <c r="H111" s="12" t="s">
        <v>465</v>
      </c>
      <c r="I111" s="13" t="s">
        <v>1687</v>
      </c>
      <c r="J111" s="15" t="s">
        <v>466</v>
      </c>
      <c r="K111" s="12"/>
      <c r="L111" s="11" t="s">
        <v>33</v>
      </c>
      <c r="M111" s="15"/>
      <c r="N111" s="17">
        <v>10800</v>
      </c>
      <c r="O111" s="17"/>
      <c r="P111" s="17"/>
      <c r="Q111" s="48"/>
      <c r="R111" s="11"/>
      <c r="S111" s="48"/>
      <c r="T111" s="85"/>
      <c r="U111" s="88"/>
      <c r="V111" s="32" t="s">
        <v>467</v>
      </c>
      <c r="W111" s="25" t="s">
        <v>8</v>
      </c>
      <c r="X111" s="11"/>
      <c r="Y111" s="50" t="s">
        <v>12</v>
      </c>
      <c r="Z111" s="50"/>
      <c r="AA111" s="50"/>
      <c r="AB111" s="50"/>
      <c r="AC111" s="50"/>
      <c r="AD111" s="50"/>
      <c r="AE111" s="50"/>
      <c r="AF111" s="34"/>
      <c r="AG111" s="34"/>
      <c r="AH111" s="34"/>
      <c r="AI111" s="34"/>
      <c r="AJ111" s="34"/>
      <c r="AK111" s="34"/>
      <c r="AL111" s="34"/>
      <c r="AM111" s="34"/>
      <c r="AN111" s="34"/>
      <c r="AO111" s="65"/>
      <c r="AP111" s="69"/>
      <c r="AQ111" s="62"/>
      <c r="AR111" s="34"/>
    </row>
    <row r="112" spans="1:44" customFormat="1">
      <c r="A112" s="39">
        <v>43624</v>
      </c>
      <c r="B112" s="11" t="s">
        <v>22</v>
      </c>
      <c r="C112" s="16" t="s">
        <v>488</v>
      </c>
      <c r="D112" s="16"/>
      <c r="E112" s="38">
        <v>21367</v>
      </c>
      <c r="F112" s="38"/>
      <c r="G112" s="10" t="s">
        <v>44</v>
      </c>
      <c r="H112" s="12" t="s">
        <v>489</v>
      </c>
      <c r="I112" s="13" t="s">
        <v>1680</v>
      </c>
      <c r="J112" s="15" t="s">
        <v>490</v>
      </c>
      <c r="K112" s="12"/>
      <c r="L112" s="11" t="s">
        <v>36</v>
      </c>
      <c r="M112" s="15"/>
      <c r="N112" s="17">
        <v>0</v>
      </c>
      <c r="O112" s="17"/>
      <c r="P112" s="17"/>
      <c r="Q112" s="48"/>
      <c r="R112" s="11"/>
      <c r="S112" s="48"/>
      <c r="T112" s="85"/>
      <c r="U112" s="88"/>
      <c r="V112" s="32"/>
      <c r="W112" s="25" t="s">
        <v>10</v>
      </c>
      <c r="X112" s="11"/>
      <c r="Y112" s="50"/>
      <c r="Z112" s="50"/>
      <c r="AA112" s="50"/>
      <c r="AB112" s="50"/>
      <c r="AC112" s="50"/>
      <c r="AD112" s="50"/>
      <c r="AE112" s="50"/>
      <c r="AF112" s="34"/>
      <c r="AG112" s="34"/>
      <c r="AH112" s="34"/>
      <c r="AI112" s="34"/>
      <c r="AJ112" s="34"/>
      <c r="AK112" s="34"/>
      <c r="AL112" s="34"/>
      <c r="AM112" s="34"/>
      <c r="AN112" s="34"/>
      <c r="AO112" s="65"/>
      <c r="AP112" s="69"/>
      <c r="AQ112" s="62"/>
      <c r="AR112" s="34"/>
    </row>
    <row r="113" spans="1:44" customFormat="1">
      <c r="A113" s="39">
        <v>43624</v>
      </c>
      <c r="B113" s="11" t="s">
        <v>22</v>
      </c>
      <c r="C113" s="16" t="s">
        <v>491</v>
      </c>
      <c r="D113" s="16"/>
      <c r="E113" s="38">
        <v>18250</v>
      </c>
      <c r="F113" s="38"/>
      <c r="G113" s="10" t="s">
        <v>358</v>
      </c>
      <c r="H113" s="12" t="s">
        <v>492</v>
      </c>
      <c r="I113" s="13" t="s">
        <v>1654</v>
      </c>
      <c r="J113" s="15" t="s">
        <v>493</v>
      </c>
      <c r="K113" s="12"/>
      <c r="L113" s="11" t="s">
        <v>37</v>
      </c>
      <c r="M113" s="15"/>
      <c r="N113" s="17">
        <v>0</v>
      </c>
      <c r="O113" s="17"/>
      <c r="P113" s="17"/>
      <c r="Q113" s="48"/>
      <c r="R113" s="11"/>
      <c r="S113" s="48"/>
      <c r="T113" s="85" t="s">
        <v>81</v>
      </c>
      <c r="U113" s="88"/>
      <c r="V113" s="32" t="s">
        <v>279</v>
      </c>
      <c r="W113" s="25" t="s">
        <v>10</v>
      </c>
      <c r="X113" s="11"/>
      <c r="Y113" s="50"/>
      <c r="Z113" s="50"/>
      <c r="AA113" s="50"/>
      <c r="AB113" s="50"/>
      <c r="AC113" s="50"/>
      <c r="AD113" s="50"/>
      <c r="AE113" s="50"/>
      <c r="AF113" s="34"/>
      <c r="AG113" s="34"/>
      <c r="AH113" s="34"/>
      <c r="AI113" s="34"/>
      <c r="AJ113" s="34"/>
      <c r="AK113" s="34"/>
      <c r="AL113" s="34"/>
      <c r="AM113" s="34"/>
      <c r="AN113" s="34"/>
      <c r="AO113" s="65"/>
      <c r="AP113" s="69"/>
      <c r="AQ113" s="62"/>
      <c r="AR113" s="34"/>
    </row>
    <row r="114" spans="1:44" customFormat="1">
      <c r="A114" s="39">
        <v>43625</v>
      </c>
      <c r="B114" s="11" t="s">
        <v>22</v>
      </c>
      <c r="C114" s="16" t="s">
        <v>476</v>
      </c>
      <c r="D114" s="16"/>
      <c r="E114" s="38">
        <v>23188</v>
      </c>
      <c r="F114" s="38"/>
      <c r="G114" s="10" t="s">
        <v>477</v>
      </c>
      <c r="H114" s="12" t="s">
        <v>478</v>
      </c>
      <c r="I114" s="13" t="s">
        <v>1688</v>
      </c>
      <c r="J114" s="15" t="s">
        <v>479</v>
      </c>
      <c r="K114" s="12"/>
      <c r="L114" s="11" t="s">
        <v>33</v>
      </c>
      <c r="M114" s="15"/>
      <c r="N114" s="17">
        <v>0</v>
      </c>
      <c r="O114" s="17"/>
      <c r="P114" s="17"/>
      <c r="Q114" s="48"/>
      <c r="R114" s="11"/>
      <c r="S114" s="48"/>
      <c r="T114" s="85"/>
      <c r="U114" s="88"/>
      <c r="V114" s="32" t="s">
        <v>336</v>
      </c>
      <c r="W114" s="25" t="s">
        <v>8</v>
      </c>
      <c r="X114" s="11"/>
      <c r="Y114" s="50"/>
      <c r="Z114" s="50"/>
      <c r="AA114" s="50"/>
      <c r="AB114" s="50"/>
      <c r="AC114" s="50"/>
      <c r="AD114" s="50"/>
      <c r="AE114" s="50"/>
      <c r="AF114" s="34"/>
      <c r="AG114" s="34"/>
      <c r="AH114" s="34"/>
      <c r="AI114" s="34"/>
      <c r="AJ114" s="34"/>
      <c r="AK114" s="34"/>
      <c r="AL114" s="34"/>
      <c r="AM114" s="34"/>
      <c r="AN114" s="34"/>
      <c r="AO114" s="65"/>
      <c r="AP114" s="69"/>
      <c r="AQ114" s="62"/>
      <c r="AR114" s="34"/>
    </row>
    <row r="115" spans="1:44" customFormat="1">
      <c r="A115" s="39">
        <v>43625</v>
      </c>
      <c r="B115" s="11" t="s">
        <v>22</v>
      </c>
      <c r="C115" s="16" t="s">
        <v>480</v>
      </c>
      <c r="D115" s="16"/>
      <c r="E115" s="38">
        <v>28215</v>
      </c>
      <c r="F115" s="38"/>
      <c r="G115" s="10" t="s">
        <v>477</v>
      </c>
      <c r="H115" s="12" t="s">
        <v>478</v>
      </c>
      <c r="I115" s="13" t="s">
        <v>1688</v>
      </c>
      <c r="J115" s="15" t="s">
        <v>481</v>
      </c>
      <c r="K115" s="12"/>
      <c r="L115" s="11" t="s">
        <v>34</v>
      </c>
      <c r="M115" s="15"/>
      <c r="N115" s="17">
        <v>0</v>
      </c>
      <c r="O115" s="17"/>
      <c r="P115" s="17"/>
      <c r="Q115" s="48"/>
      <c r="R115" s="11"/>
      <c r="S115" s="48"/>
      <c r="T115" s="85"/>
      <c r="U115" s="88"/>
      <c r="V115" s="32" t="s">
        <v>336</v>
      </c>
      <c r="W115" s="25" t="s">
        <v>8</v>
      </c>
      <c r="X115" s="11"/>
      <c r="Y115" s="50"/>
      <c r="Z115" s="50"/>
      <c r="AA115" s="50"/>
      <c r="AB115" s="50"/>
      <c r="AC115" s="50"/>
      <c r="AD115" s="50"/>
      <c r="AE115" s="50"/>
      <c r="AF115" s="34"/>
      <c r="AG115" s="34"/>
      <c r="AH115" s="34"/>
      <c r="AI115" s="34"/>
      <c r="AJ115" s="34"/>
      <c r="AK115" s="34"/>
      <c r="AL115" s="34"/>
      <c r="AM115" s="34"/>
      <c r="AN115" s="34"/>
      <c r="AO115" s="65"/>
      <c r="AP115" s="69"/>
      <c r="AQ115" s="62"/>
      <c r="AR115" s="34"/>
    </row>
    <row r="116" spans="1:44" customFormat="1">
      <c r="A116" s="39">
        <v>43625</v>
      </c>
      <c r="B116" s="11" t="s">
        <v>49</v>
      </c>
      <c r="C116" s="16" t="s">
        <v>482</v>
      </c>
      <c r="D116" s="16"/>
      <c r="E116" s="38">
        <v>19010</v>
      </c>
      <c r="F116" s="38"/>
      <c r="G116" s="10" t="s">
        <v>448</v>
      </c>
      <c r="H116" s="12" t="s">
        <v>622</v>
      </c>
      <c r="I116" s="13" t="s">
        <v>1684</v>
      </c>
      <c r="J116" s="15" t="s">
        <v>483</v>
      </c>
      <c r="K116" s="12"/>
      <c r="L116" s="11" t="s">
        <v>33</v>
      </c>
      <c r="M116" s="15"/>
      <c r="N116" s="17">
        <v>0</v>
      </c>
      <c r="O116" s="17"/>
      <c r="P116" s="17"/>
      <c r="Q116" s="48"/>
      <c r="R116" s="11"/>
      <c r="S116" s="48"/>
      <c r="T116" s="85"/>
      <c r="U116" s="88"/>
      <c r="V116" s="32" t="s">
        <v>105</v>
      </c>
      <c r="W116" s="25" t="s">
        <v>9</v>
      </c>
      <c r="X116" s="11"/>
      <c r="Y116" s="50"/>
      <c r="Z116" s="50"/>
      <c r="AA116" s="50"/>
      <c r="AB116" s="50"/>
      <c r="AC116" s="50"/>
      <c r="AD116" s="50"/>
      <c r="AE116" s="50"/>
      <c r="AF116" s="34"/>
      <c r="AG116" s="34"/>
      <c r="AH116" s="34"/>
      <c r="AI116" s="34"/>
      <c r="AJ116" s="34"/>
      <c r="AK116" s="34"/>
      <c r="AL116" s="34"/>
      <c r="AM116" s="34"/>
      <c r="AN116" s="34"/>
      <c r="AO116" s="65"/>
      <c r="AP116" s="69"/>
      <c r="AQ116" s="62"/>
      <c r="AR116" s="34"/>
    </row>
    <row r="117" spans="1:44" customFormat="1">
      <c r="A117" s="39">
        <v>43625</v>
      </c>
      <c r="B117" s="11" t="s">
        <v>22</v>
      </c>
      <c r="C117" s="16" t="s">
        <v>484</v>
      </c>
      <c r="D117" s="16"/>
      <c r="E117" s="38">
        <v>26046</v>
      </c>
      <c r="F117" s="38"/>
      <c r="G117" s="10" t="s">
        <v>485</v>
      </c>
      <c r="H117" s="12" t="s">
        <v>486</v>
      </c>
      <c r="I117" s="13" t="s">
        <v>1689</v>
      </c>
      <c r="J117" s="15" t="s">
        <v>487</v>
      </c>
      <c r="K117" s="12"/>
      <c r="L117" s="11" t="s">
        <v>33</v>
      </c>
      <c r="M117" s="15"/>
      <c r="N117" s="17">
        <v>0</v>
      </c>
      <c r="O117" s="17"/>
      <c r="P117" s="17"/>
      <c r="Q117" s="48"/>
      <c r="R117" s="11"/>
      <c r="S117" s="48"/>
      <c r="T117" s="85"/>
      <c r="U117" s="88"/>
      <c r="V117" s="32"/>
      <c r="W117" s="25" t="s">
        <v>9</v>
      </c>
      <c r="X117" s="11"/>
      <c r="Y117" s="50"/>
      <c r="Z117" s="50"/>
      <c r="AA117" s="50"/>
      <c r="AB117" s="50"/>
      <c r="AC117" s="50"/>
      <c r="AD117" s="50"/>
      <c r="AE117" s="50"/>
      <c r="AF117" s="34"/>
      <c r="AG117" s="34"/>
      <c r="AH117" s="34"/>
      <c r="AI117" s="34"/>
      <c r="AJ117" s="34"/>
      <c r="AK117" s="34"/>
      <c r="AL117" s="34"/>
      <c r="AM117" s="34"/>
      <c r="AN117" s="34"/>
      <c r="AO117" s="65"/>
      <c r="AP117" s="69"/>
      <c r="AQ117" s="62"/>
      <c r="AR117" s="34"/>
    </row>
    <row r="118" spans="1:44" customFormat="1">
      <c r="A118" s="39">
        <v>43626</v>
      </c>
      <c r="B118" s="11" t="s">
        <v>49</v>
      </c>
      <c r="C118" s="16" t="s">
        <v>472</v>
      </c>
      <c r="D118" s="16"/>
      <c r="E118" s="38">
        <v>20029</v>
      </c>
      <c r="F118" s="38"/>
      <c r="G118" s="10" t="s">
        <v>473</v>
      </c>
      <c r="H118" s="12" t="s">
        <v>474</v>
      </c>
      <c r="I118" s="13" t="s">
        <v>1612</v>
      </c>
      <c r="J118" s="15" t="s">
        <v>475</v>
      </c>
      <c r="K118" s="12"/>
      <c r="L118" s="11" t="s">
        <v>34</v>
      </c>
      <c r="M118" s="15"/>
      <c r="N118" s="17">
        <v>10800</v>
      </c>
      <c r="O118" s="17"/>
      <c r="P118" s="17"/>
      <c r="Q118" s="48"/>
      <c r="R118" s="11"/>
      <c r="S118" s="48"/>
      <c r="T118" s="85"/>
      <c r="U118" s="88"/>
      <c r="V118" s="32" t="s">
        <v>471</v>
      </c>
      <c r="W118" s="25" t="s">
        <v>8</v>
      </c>
      <c r="X118" s="11"/>
      <c r="Y118" s="50" t="s">
        <v>14</v>
      </c>
      <c r="Z118" s="50"/>
      <c r="AA118" s="50"/>
      <c r="AB118" s="50"/>
      <c r="AC118" s="50"/>
      <c r="AD118" s="50"/>
      <c r="AE118" s="50"/>
      <c r="AF118" s="34"/>
      <c r="AG118" s="34"/>
      <c r="AH118" s="34"/>
      <c r="AI118" s="34"/>
      <c r="AJ118" s="34"/>
      <c r="AK118" s="34"/>
      <c r="AL118" s="34"/>
      <c r="AM118" s="34"/>
      <c r="AN118" s="34"/>
      <c r="AO118" s="65"/>
      <c r="AP118" s="69"/>
      <c r="AQ118" s="62"/>
      <c r="AR118" s="34"/>
    </row>
    <row r="119" spans="1:44" customFormat="1">
      <c r="A119" s="39">
        <v>43626</v>
      </c>
      <c r="B119" s="11" t="s">
        <v>22</v>
      </c>
      <c r="C119" s="16" t="s">
        <v>494</v>
      </c>
      <c r="D119" s="16"/>
      <c r="E119" s="38">
        <v>27939</v>
      </c>
      <c r="F119" s="38"/>
      <c r="G119" s="10" t="s">
        <v>322</v>
      </c>
      <c r="H119" s="12" t="s">
        <v>495</v>
      </c>
      <c r="I119" s="13" t="s">
        <v>1690</v>
      </c>
      <c r="J119" s="15" t="s">
        <v>496</v>
      </c>
      <c r="K119" s="12"/>
      <c r="L119" s="11" t="s">
        <v>33</v>
      </c>
      <c r="M119" s="15"/>
      <c r="N119" s="17">
        <v>2700</v>
      </c>
      <c r="O119" s="17"/>
      <c r="P119" s="17"/>
      <c r="Q119" s="48"/>
      <c r="R119" s="11"/>
      <c r="S119" s="48"/>
      <c r="T119" s="85"/>
      <c r="U119" s="88"/>
      <c r="V119" s="32" t="s">
        <v>523</v>
      </c>
      <c r="W119" s="25"/>
      <c r="X119" s="11"/>
      <c r="Y119" s="50"/>
      <c r="Z119" s="50"/>
      <c r="AA119" s="50"/>
      <c r="AB119" s="50"/>
      <c r="AC119" s="50"/>
      <c r="AD119" s="50"/>
      <c r="AE119" s="50"/>
      <c r="AF119" s="34"/>
      <c r="AG119" s="34"/>
      <c r="AH119" s="34"/>
      <c r="AI119" s="34"/>
      <c r="AJ119" s="34"/>
      <c r="AK119" s="34"/>
      <c r="AL119" s="34"/>
      <c r="AM119" s="34"/>
      <c r="AN119" s="34"/>
      <c r="AO119" s="65"/>
      <c r="AP119" s="69"/>
      <c r="AQ119" s="62"/>
      <c r="AR119" s="34"/>
    </row>
    <row r="120" spans="1:44" customFormat="1">
      <c r="A120" s="39">
        <v>43628</v>
      </c>
      <c r="B120" s="11" t="s">
        <v>22</v>
      </c>
      <c r="C120" s="16" t="s">
        <v>497</v>
      </c>
      <c r="D120" s="16"/>
      <c r="E120" s="38">
        <v>30268</v>
      </c>
      <c r="F120" s="38"/>
      <c r="G120" s="10" t="s">
        <v>344</v>
      </c>
      <c r="H120" s="12" t="s">
        <v>498</v>
      </c>
      <c r="I120" s="13" t="s">
        <v>1691</v>
      </c>
      <c r="J120" s="15" t="s">
        <v>499</v>
      </c>
      <c r="K120" s="12"/>
      <c r="L120" s="11" t="s">
        <v>36</v>
      </c>
      <c r="M120" s="15"/>
      <c r="N120" s="17">
        <v>0</v>
      </c>
      <c r="O120" s="17"/>
      <c r="P120" s="17"/>
      <c r="Q120" s="48"/>
      <c r="R120" s="11"/>
      <c r="S120" s="48"/>
      <c r="T120" s="85"/>
      <c r="U120" s="88"/>
      <c r="V120" s="32"/>
      <c r="W120" s="25" t="s">
        <v>9</v>
      </c>
      <c r="X120" s="11"/>
      <c r="Y120" s="50" t="s">
        <v>12</v>
      </c>
      <c r="Z120" s="50"/>
      <c r="AA120" s="50"/>
      <c r="AB120" s="50"/>
      <c r="AC120" s="50"/>
      <c r="AD120" s="50"/>
      <c r="AE120" s="50"/>
      <c r="AF120" s="34"/>
      <c r="AG120" s="34"/>
      <c r="AH120" s="34"/>
      <c r="AI120" s="34"/>
      <c r="AJ120" s="34"/>
      <c r="AK120" s="34"/>
      <c r="AL120" s="34"/>
      <c r="AM120" s="34"/>
      <c r="AN120" s="34"/>
      <c r="AO120" s="65"/>
      <c r="AP120" s="69"/>
      <c r="AQ120" s="62"/>
      <c r="AR120" s="34"/>
    </row>
    <row r="121" spans="1:44" customFormat="1">
      <c r="A121" s="39">
        <v>43628</v>
      </c>
      <c r="B121" s="11" t="s">
        <v>49</v>
      </c>
      <c r="C121" s="16" t="s">
        <v>500</v>
      </c>
      <c r="D121" s="16"/>
      <c r="E121" s="38">
        <v>26165</v>
      </c>
      <c r="F121" s="38"/>
      <c r="G121" s="10" t="s">
        <v>501</v>
      </c>
      <c r="H121" s="12" t="s">
        <v>502</v>
      </c>
      <c r="I121" s="13" t="s">
        <v>1692</v>
      </c>
      <c r="J121" s="15" t="s">
        <v>503</v>
      </c>
      <c r="K121" s="12"/>
      <c r="L121" s="11"/>
      <c r="M121" s="15"/>
      <c r="N121" s="17">
        <v>16200</v>
      </c>
      <c r="O121" s="17"/>
      <c r="P121" s="17"/>
      <c r="Q121" s="48"/>
      <c r="R121" s="11"/>
      <c r="S121" s="48"/>
      <c r="T121" s="85"/>
      <c r="U121" s="88"/>
      <c r="V121" s="32" t="s">
        <v>504</v>
      </c>
      <c r="W121" s="25"/>
      <c r="X121" s="11"/>
      <c r="Y121" s="50"/>
      <c r="Z121" s="50"/>
      <c r="AA121" s="50"/>
      <c r="AB121" s="50"/>
      <c r="AC121" s="50"/>
      <c r="AD121" s="50"/>
      <c r="AE121" s="50"/>
      <c r="AF121" s="34"/>
      <c r="AG121" s="34"/>
      <c r="AH121" s="34"/>
      <c r="AI121" s="34"/>
      <c r="AJ121" s="34"/>
      <c r="AK121" s="34"/>
      <c r="AL121" s="34"/>
      <c r="AM121" s="34"/>
      <c r="AN121" s="34"/>
      <c r="AO121" s="65"/>
      <c r="AP121" s="69"/>
      <c r="AQ121" s="62"/>
      <c r="AR121" s="34"/>
    </row>
    <row r="122" spans="1:44" customFormat="1">
      <c r="A122" s="39">
        <v>43628</v>
      </c>
      <c r="B122" s="11" t="s">
        <v>22</v>
      </c>
      <c r="C122" s="16" t="s">
        <v>510</v>
      </c>
      <c r="D122" s="16"/>
      <c r="E122" s="38">
        <v>23024</v>
      </c>
      <c r="F122" s="38"/>
      <c r="G122" s="10" t="s">
        <v>358</v>
      </c>
      <c r="H122" s="12" t="s">
        <v>505</v>
      </c>
      <c r="I122" s="13" t="s">
        <v>1654</v>
      </c>
      <c r="J122" s="15" t="s">
        <v>506</v>
      </c>
      <c r="K122" s="12"/>
      <c r="L122" s="11" t="s">
        <v>37</v>
      </c>
      <c r="M122" s="15"/>
      <c r="N122" s="17">
        <v>0</v>
      </c>
      <c r="O122" s="17"/>
      <c r="P122" s="17"/>
      <c r="Q122" s="48"/>
      <c r="R122" s="11"/>
      <c r="S122" s="48"/>
      <c r="T122" s="85"/>
      <c r="U122" s="88"/>
      <c r="V122" s="32"/>
      <c r="W122" s="25"/>
      <c r="X122" s="11"/>
      <c r="Y122" s="50"/>
      <c r="Z122" s="50"/>
      <c r="AA122" s="50"/>
      <c r="AB122" s="50"/>
      <c r="AC122" s="50"/>
      <c r="AD122" s="50"/>
      <c r="AE122" s="50"/>
      <c r="AF122" s="34"/>
      <c r="AG122" s="34"/>
      <c r="AH122" s="34"/>
      <c r="AI122" s="34"/>
      <c r="AJ122" s="34"/>
      <c r="AK122" s="34"/>
      <c r="AL122" s="34"/>
      <c r="AM122" s="34"/>
      <c r="AN122" s="34"/>
      <c r="AO122" s="65"/>
      <c r="AP122" s="69"/>
      <c r="AQ122" s="62"/>
      <c r="AR122" s="34"/>
    </row>
    <row r="123" spans="1:44" customFormat="1">
      <c r="A123" s="39">
        <v>43628</v>
      </c>
      <c r="B123" s="11" t="s">
        <v>22</v>
      </c>
      <c r="C123" s="16" t="s">
        <v>511</v>
      </c>
      <c r="D123" s="16"/>
      <c r="E123" s="38">
        <v>16160</v>
      </c>
      <c r="F123" s="38"/>
      <c r="G123" s="10" t="s">
        <v>307</v>
      </c>
      <c r="H123" s="12" t="s">
        <v>507</v>
      </c>
      <c r="I123" s="13" t="s">
        <v>1611</v>
      </c>
      <c r="J123" s="15" t="s">
        <v>508</v>
      </c>
      <c r="K123" s="12"/>
      <c r="L123" s="11" t="s">
        <v>39</v>
      </c>
      <c r="M123" s="15"/>
      <c r="N123" s="17">
        <v>0</v>
      </c>
      <c r="O123" s="17"/>
      <c r="P123" s="17"/>
      <c r="Q123" s="48"/>
      <c r="R123" s="11"/>
      <c r="S123" s="48"/>
      <c r="T123" s="85"/>
      <c r="U123" s="88"/>
      <c r="V123" s="32" t="s">
        <v>509</v>
      </c>
      <c r="W123" s="25" t="s">
        <v>10</v>
      </c>
      <c r="X123" s="11"/>
      <c r="Y123" s="50"/>
      <c r="Z123" s="50"/>
      <c r="AA123" s="50"/>
      <c r="AB123" s="50"/>
      <c r="AC123" s="50"/>
      <c r="AD123" s="50"/>
      <c r="AE123" s="50"/>
      <c r="AF123" s="34"/>
      <c r="AG123" s="34"/>
      <c r="AH123" s="34"/>
      <c r="AI123" s="34"/>
      <c r="AJ123" s="34"/>
      <c r="AK123" s="34"/>
      <c r="AL123" s="34"/>
      <c r="AM123" s="34"/>
      <c r="AN123" s="34"/>
      <c r="AO123" s="65"/>
      <c r="AP123" s="69"/>
      <c r="AQ123" s="62"/>
      <c r="AR123" s="34"/>
    </row>
    <row r="124" spans="1:44" customFormat="1">
      <c r="A124" s="39">
        <v>43628</v>
      </c>
      <c r="B124" s="11" t="s">
        <v>528</v>
      </c>
      <c r="C124" s="16" t="s">
        <v>494</v>
      </c>
      <c r="D124" s="16"/>
      <c r="E124" s="38">
        <v>27939</v>
      </c>
      <c r="F124" s="38"/>
      <c r="G124" s="10" t="s">
        <v>322</v>
      </c>
      <c r="H124" s="12" t="s">
        <v>495</v>
      </c>
      <c r="I124" s="13" t="s">
        <v>1687</v>
      </c>
      <c r="J124" s="15" t="s">
        <v>496</v>
      </c>
      <c r="K124" s="12"/>
      <c r="L124" s="11" t="s">
        <v>33</v>
      </c>
      <c r="M124" s="15"/>
      <c r="N124" s="17">
        <v>5400</v>
      </c>
      <c r="O124" s="17"/>
      <c r="P124" s="17"/>
      <c r="Q124" s="48"/>
      <c r="R124" s="11"/>
      <c r="S124" s="48"/>
      <c r="T124" s="85"/>
      <c r="U124" s="88"/>
      <c r="V124" s="32" t="s">
        <v>523</v>
      </c>
      <c r="W124" s="25"/>
      <c r="X124" s="11"/>
      <c r="Y124" s="50"/>
      <c r="Z124" s="50"/>
      <c r="AA124" s="50"/>
      <c r="AB124" s="50"/>
      <c r="AC124" s="50"/>
      <c r="AD124" s="50"/>
      <c r="AE124" s="50"/>
      <c r="AF124" s="34"/>
      <c r="AG124" s="34"/>
      <c r="AH124" s="34"/>
      <c r="AI124" s="34"/>
      <c r="AJ124" s="34"/>
      <c r="AK124" s="34"/>
      <c r="AL124" s="34"/>
      <c r="AM124" s="34"/>
      <c r="AN124" s="34"/>
      <c r="AO124" s="65"/>
      <c r="AP124" s="69"/>
      <c r="AQ124" s="62"/>
      <c r="AR124" s="34"/>
    </row>
    <row r="125" spans="1:44" customFormat="1">
      <c r="A125" s="39">
        <v>43628</v>
      </c>
      <c r="B125" s="11" t="s">
        <v>528</v>
      </c>
      <c r="C125" s="16" t="s">
        <v>494</v>
      </c>
      <c r="D125" s="16"/>
      <c r="E125" s="38">
        <v>27939</v>
      </c>
      <c r="F125" s="38"/>
      <c r="G125" s="10" t="s">
        <v>322</v>
      </c>
      <c r="H125" s="12" t="s">
        <v>495</v>
      </c>
      <c r="I125" s="13" t="s">
        <v>1687</v>
      </c>
      <c r="J125" s="15" t="s">
        <v>496</v>
      </c>
      <c r="K125" s="12"/>
      <c r="L125" s="11" t="s">
        <v>33</v>
      </c>
      <c r="M125" s="15"/>
      <c r="N125" s="17">
        <v>5400</v>
      </c>
      <c r="O125" s="17"/>
      <c r="P125" s="17"/>
      <c r="Q125" s="48"/>
      <c r="R125" s="11"/>
      <c r="S125" s="48"/>
      <c r="T125" s="85"/>
      <c r="U125" s="88"/>
      <c r="V125" s="32"/>
      <c r="W125" s="25"/>
      <c r="X125" s="11"/>
      <c r="Y125" s="50"/>
      <c r="Z125" s="50"/>
      <c r="AA125" s="50"/>
      <c r="AB125" s="50"/>
      <c r="AC125" s="50"/>
      <c r="AD125" s="50"/>
      <c r="AE125" s="50"/>
      <c r="AF125" s="34"/>
      <c r="AG125" s="34"/>
      <c r="AH125" s="34"/>
      <c r="AI125" s="34"/>
      <c r="AJ125" s="34"/>
      <c r="AK125" s="34"/>
      <c r="AL125" s="34"/>
      <c r="AM125" s="34"/>
      <c r="AN125" s="34"/>
      <c r="AO125" s="65"/>
      <c r="AP125" s="69"/>
      <c r="AQ125" s="62"/>
      <c r="AR125" s="34"/>
    </row>
    <row r="126" spans="1:44" customFormat="1">
      <c r="A126" s="39">
        <v>43629</v>
      </c>
      <c r="B126" s="11" t="s">
        <v>22</v>
      </c>
      <c r="C126" s="16" t="s">
        <v>524</v>
      </c>
      <c r="D126" s="16"/>
      <c r="E126" s="38">
        <v>26319</v>
      </c>
      <c r="F126" s="38"/>
      <c r="G126" s="10" t="s">
        <v>525</v>
      </c>
      <c r="H126" s="12" t="s">
        <v>526</v>
      </c>
      <c r="I126" s="13" t="s">
        <v>1693</v>
      </c>
      <c r="J126" s="15" t="s">
        <v>527</v>
      </c>
      <c r="K126" s="12"/>
      <c r="L126" s="11" t="s">
        <v>36</v>
      </c>
      <c r="M126" s="15"/>
      <c r="N126" s="17">
        <v>2700</v>
      </c>
      <c r="O126" s="17"/>
      <c r="P126" s="17"/>
      <c r="Q126" s="48"/>
      <c r="R126" s="11"/>
      <c r="S126" s="48"/>
      <c r="T126" s="85"/>
      <c r="U126" s="88"/>
      <c r="V126" s="32"/>
      <c r="W126" s="25" t="s">
        <v>48</v>
      </c>
      <c r="X126" s="11"/>
      <c r="Y126" s="50"/>
      <c r="Z126" s="50"/>
      <c r="AA126" s="50"/>
      <c r="AB126" s="50"/>
      <c r="AC126" s="50"/>
      <c r="AD126" s="50"/>
      <c r="AE126" s="50"/>
      <c r="AF126" s="34"/>
      <c r="AG126" s="34"/>
      <c r="AH126" s="34"/>
      <c r="AI126" s="34"/>
      <c r="AJ126" s="34"/>
      <c r="AK126" s="34"/>
      <c r="AL126" s="34"/>
      <c r="AM126" s="34"/>
      <c r="AN126" s="34"/>
      <c r="AO126" s="65"/>
      <c r="AP126" s="69"/>
      <c r="AQ126" s="62"/>
      <c r="AR126" s="34"/>
    </row>
    <row r="127" spans="1:44" customFormat="1">
      <c r="A127" s="39">
        <v>43630</v>
      </c>
      <c r="B127" s="11" t="s">
        <v>5659</v>
      </c>
      <c r="C127" s="16" t="s">
        <v>512</v>
      </c>
      <c r="D127" s="16"/>
      <c r="E127" s="38">
        <v>30569</v>
      </c>
      <c r="F127" s="38"/>
      <c r="G127" s="10" t="s">
        <v>623</v>
      </c>
      <c r="H127" s="12" t="s">
        <v>513</v>
      </c>
      <c r="I127" s="13" t="s">
        <v>1680</v>
      </c>
      <c r="J127" s="15"/>
      <c r="K127" s="12"/>
      <c r="L127" s="11"/>
      <c r="M127" s="15"/>
      <c r="N127" s="17">
        <v>0</v>
      </c>
      <c r="O127" s="17"/>
      <c r="P127" s="17"/>
      <c r="Q127" s="48"/>
      <c r="R127" s="11"/>
      <c r="S127" s="48"/>
      <c r="T127" s="85"/>
      <c r="U127" s="88"/>
      <c r="V127" s="32"/>
      <c r="W127" s="25"/>
      <c r="X127" s="11"/>
      <c r="Y127" s="50"/>
      <c r="Z127" s="50"/>
      <c r="AA127" s="50"/>
      <c r="AB127" s="50"/>
      <c r="AC127" s="50"/>
      <c r="AD127" s="50"/>
      <c r="AE127" s="50"/>
      <c r="AF127" s="34"/>
      <c r="AG127" s="34"/>
      <c r="AH127" s="34"/>
      <c r="AI127" s="34"/>
      <c r="AJ127" s="34"/>
      <c r="AK127" s="34"/>
      <c r="AL127" s="34"/>
      <c r="AM127" s="34"/>
      <c r="AN127" s="34"/>
      <c r="AO127" s="65"/>
      <c r="AP127" s="69"/>
      <c r="AQ127" s="62"/>
      <c r="AR127" s="34"/>
    </row>
    <row r="128" spans="1:44" customFormat="1">
      <c r="A128" s="39">
        <v>43630</v>
      </c>
      <c r="B128" s="11" t="s">
        <v>5659</v>
      </c>
      <c r="C128" s="16" t="s">
        <v>514</v>
      </c>
      <c r="D128" s="16"/>
      <c r="E128" s="38">
        <v>28572</v>
      </c>
      <c r="F128" s="38"/>
      <c r="G128" s="10" t="s">
        <v>515</v>
      </c>
      <c r="H128" s="12" t="s">
        <v>516</v>
      </c>
      <c r="I128" s="13" t="s">
        <v>1694</v>
      </c>
      <c r="J128" s="15"/>
      <c r="K128" s="12"/>
      <c r="L128" s="11"/>
      <c r="M128" s="15"/>
      <c r="N128" s="17">
        <v>0</v>
      </c>
      <c r="O128" s="17"/>
      <c r="P128" s="17"/>
      <c r="Q128" s="48"/>
      <c r="R128" s="11"/>
      <c r="S128" s="48"/>
      <c r="T128" s="85"/>
      <c r="U128" s="88"/>
      <c r="V128" s="32"/>
      <c r="W128" s="25"/>
      <c r="X128" s="11"/>
      <c r="Y128" s="50"/>
      <c r="Z128" s="50"/>
      <c r="AA128" s="50"/>
      <c r="AB128" s="50"/>
      <c r="AC128" s="50"/>
      <c r="AD128" s="50"/>
      <c r="AE128" s="50"/>
      <c r="AF128" s="34"/>
      <c r="AG128" s="34"/>
      <c r="AH128" s="34"/>
      <c r="AI128" s="34"/>
      <c r="AJ128" s="34"/>
      <c r="AK128" s="34"/>
      <c r="AL128" s="34"/>
      <c r="AM128" s="34"/>
      <c r="AN128" s="34"/>
      <c r="AO128" s="65"/>
      <c r="AP128" s="69"/>
      <c r="AQ128" s="62"/>
      <c r="AR128" s="34"/>
    </row>
    <row r="129" spans="1:44" customFormat="1">
      <c r="A129" s="39">
        <v>43630</v>
      </c>
      <c r="B129" s="11" t="s">
        <v>5659</v>
      </c>
      <c r="C129" s="16" t="s">
        <v>517</v>
      </c>
      <c r="D129" s="16"/>
      <c r="E129" s="38">
        <v>28941</v>
      </c>
      <c r="F129" s="38"/>
      <c r="G129" s="10" t="s">
        <v>515</v>
      </c>
      <c r="H129" s="12" t="s">
        <v>516</v>
      </c>
      <c r="I129" s="13" t="s">
        <v>1694</v>
      </c>
      <c r="J129" s="15"/>
      <c r="K129" s="12"/>
      <c r="L129" s="11"/>
      <c r="M129" s="15"/>
      <c r="N129" s="17">
        <v>0</v>
      </c>
      <c r="O129" s="17"/>
      <c r="P129" s="17"/>
      <c r="Q129" s="48"/>
      <c r="R129" s="11"/>
      <c r="S129" s="48"/>
      <c r="T129" s="85"/>
      <c r="U129" s="88"/>
      <c r="V129" s="32"/>
      <c r="W129" s="25"/>
      <c r="X129" s="11"/>
      <c r="Y129" s="50"/>
      <c r="Z129" s="50"/>
      <c r="AA129" s="50"/>
      <c r="AB129" s="50"/>
      <c r="AC129" s="50"/>
      <c r="AD129" s="50"/>
      <c r="AE129" s="50"/>
      <c r="AF129" s="34"/>
      <c r="AG129" s="34"/>
      <c r="AH129" s="34"/>
      <c r="AI129" s="34"/>
      <c r="AJ129" s="34"/>
      <c r="AK129" s="34"/>
      <c r="AL129" s="34"/>
      <c r="AM129" s="34"/>
      <c r="AN129" s="34"/>
      <c r="AO129" s="65"/>
      <c r="AP129" s="69"/>
      <c r="AQ129" s="62"/>
      <c r="AR129" s="34"/>
    </row>
    <row r="130" spans="1:44" customFormat="1">
      <c r="A130" s="39">
        <v>43631</v>
      </c>
      <c r="B130" s="11" t="s">
        <v>22</v>
      </c>
      <c r="C130" s="16" t="s">
        <v>518</v>
      </c>
      <c r="D130" s="16"/>
      <c r="E130" s="38">
        <v>28223</v>
      </c>
      <c r="F130" s="38"/>
      <c r="G130" s="10" t="s">
        <v>519</v>
      </c>
      <c r="H130" s="12" t="s">
        <v>520</v>
      </c>
      <c r="I130" s="13" t="s">
        <v>1695</v>
      </c>
      <c r="J130" s="15" t="s">
        <v>521</v>
      </c>
      <c r="K130" s="14" t="s">
        <v>522</v>
      </c>
      <c r="L130" s="11" t="s">
        <v>36</v>
      </c>
      <c r="M130" s="15"/>
      <c r="N130" s="17">
        <v>2700</v>
      </c>
      <c r="O130" s="17"/>
      <c r="P130" s="17"/>
      <c r="Q130" s="48"/>
      <c r="R130" s="11"/>
      <c r="S130" s="48"/>
      <c r="T130" s="85"/>
      <c r="U130" s="88"/>
      <c r="V130" s="32"/>
      <c r="W130" s="25" t="s">
        <v>48</v>
      </c>
      <c r="X130" s="11"/>
      <c r="Y130" s="50" t="s">
        <v>12</v>
      </c>
      <c r="Z130" s="50"/>
      <c r="AA130" s="50"/>
      <c r="AB130" s="50"/>
      <c r="AC130" s="50"/>
      <c r="AD130" s="50"/>
      <c r="AE130" s="50"/>
      <c r="AF130" s="34"/>
      <c r="AG130" s="34"/>
      <c r="AH130" s="34"/>
      <c r="AI130" s="34"/>
      <c r="AJ130" s="34"/>
      <c r="AK130" s="34"/>
      <c r="AL130" s="34"/>
      <c r="AM130" s="34"/>
      <c r="AN130" s="34"/>
      <c r="AO130" s="65"/>
      <c r="AP130" s="69"/>
      <c r="AQ130" s="62"/>
      <c r="AR130" s="34"/>
    </row>
    <row r="131" spans="1:44" customFormat="1">
      <c r="A131" s="39">
        <v>43632</v>
      </c>
      <c r="B131" s="11" t="s">
        <v>528</v>
      </c>
      <c r="C131" s="16" t="s">
        <v>296</v>
      </c>
      <c r="D131" s="16"/>
      <c r="E131" s="38">
        <v>24945</v>
      </c>
      <c r="F131" s="38"/>
      <c r="G131" s="10" t="s">
        <v>297</v>
      </c>
      <c r="H131" s="12" t="s">
        <v>298</v>
      </c>
      <c r="I131" s="13" t="s">
        <v>1661</v>
      </c>
      <c r="J131" s="15" t="s">
        <v>299</v>
      </c>
      <c r="K131" s="12"/>
      <c r="L131" s="11" t="s">
        <v>36</v>
      </c>
      <c r="M131" s="15"/>
      <c r="N131" s="17">
        <v>5400</v>
      </c>
      <c r="O131" s="17"/>
      <c r="P131" s="17"/>
      <c r="Q131" s="48"/>
      <c r="R131" s="20"/>
      <c r="S131" s="48"/>
      <c r="T131" s="86"/>
      <c r="U131" s="89"/>
      <c r="V131" s="94">
        <v>43664</v>
      </c>
      <c r="W131" s="25" t="s">
        <v>10</v>
      </c>
      <c r="X131" s="11"/>
      <c r="Y131" s="50" t="s">
        <v>19</v>
      </c>
      <c r="Z131" s="50"/>
      <c r="AA131" s="50"/>
      <c r="AB131" s="50"/>
      <c r="AC131" s="50"/>
      <c r="AD131" s="50"/>
      <c r="AE131" s="50"/>
      <c r="AF131" s="34"/>
      <c r="AG131" s="34"/>
      <c r="AH131" s="34"/>
      <c r="AI131" s="34"/>
      <c r="AJ131" s="34"/>
      <c r="AK131" s="34"/>
      <c r="AL131" s="34"/>
      <c r="AM131" s="34"/>
      <c r="AN131" s="34"/>
      <c r="AO131" s="65"/>
      <c r="AP131" s="70"/>
      <c r="AQ131" s="71"/>
      <c r="AR131" s="78"/>
    </row>
    <row r="132" spans="1:44" customFormat="1">
      <c r="A132" s="39">
        <v>43632</v>
      </c>
      <c r="B132" s="11" t="s">
        <v>528</v>
      </c>
      <c r="C132" s="16" t="s">
        <v>529</v>
      </c>
      <c r="D132" s="16"/>
      <c r="E132" s="38">
        <v>30486</v>
      </c>
      <c r="F132" s="38"/>
      <c r="G132" s="10" t="s">
        <v>624</v>
      </c>
      <c r="H132" s="21" t="s">
        <v>532</v>
      </c>
      <c r="I132" s="13" t="s">
        <v>1696</v>
      </c>
      <c r="J132" s="15" t="s">
        <v>530</v>
      </c>
      <c r="K132" s="12"/>
      <c r="L132" s="11" t="s">
        <v>531</v>
      </c>
      <c r="M132" s="15"/>
      <c r="N132" s="17">
        <v>2700</v>
      </c>
      <c r="O132" s="17"/>
      <c r="P132" s="17"/>
      <c r="Q132" s="48"/>
      <c r="R132" s="11"/>
      <c r="S132" s="48"/>
      <c r="T132" s="85"/>
      <c r="U132" s="88"/>
      <c r="V132" s="32"/>
      <c r="W132" s="25"/>
      <c r="X132" s="11"/>
      <c r="Y132" s="50"/>
      <c r="Z132" s="50"/>
      <c r="AA132" s="50"/>
      <c r="AB132" s="50"/>
      <c r="AC132" s="50"/>
      <c r="AD132" s="50"/>
      <c r="AE132" s="50"/>
      <c r="AF132" s="34"/>
      <c r="AG132" s="34"/>
      <c r="AH132" s="34"/>
      <c r="AI132" s="34"/>
      <c r="AJ132" s="34"/>
      <c r="AK132" s="34"/>
      <c r="AL132" s="34"/>
      <c r="AM132" s="34"/>
      <c r="AN132" s="34"/>
      <c r="AO132" s="65"/>
      <c r="AP132" s="69"/>
      <c r="AQ132" s="62"/>
      <c r="AR132" s="34"/>
    </row>
    <row r="133" spans="1:44" customFormat="1">
      <c r="A133" s="39">
        <v>43632</v>
      </c>
      <c r="B133" s="11" t="s">
        <v>528</v>
      </c>
      <c r="C133" s="16" t="s">
        <v>533</v>
      </c>
      <c r="D133" s="16"/>
      <c r="E133" s="38">
        <v>25330</v>
      </c>
      <c r="F133" s="38"/>
      <c r="G133" s="10" t="s">
        <v>280</v>
      </c>
      <c r="H133" s="12" t="s">
        <v>534</v>
      </c>
      <c r="I133" s="13" t="s">
        <v>1697</v>
      </c>
      <c r="J133" s="15" t="s">
        <v>535</v>
      </c>
      <c r="K133" s="12"/>
      <c r="L133" s="11" t="s">
        <v>35</v>
      </c>
      <c r="M133" s="15"/>
      <c r="N133" s="17">
        <v>0</v>
      </c>
      <c r="O133" s="17"/>
      <c r="P133" s="17"/>
      <c r="Q133" s="48"/>
      <c r="R133" s="11"/>
      <c r="S133" s="48"/>
      <c r="T133" s="85"/>
      <c r="U133" s="88"/>
      <c r="V133" s="32"/>
      <c r="W133" s="25" t="s">
        <v>9</v>
      </c>
      <c r="X133" s="11"/>
      <c r="Y133" s="50" t="s">
        <v>18</v>
      </c>
      <c r="Z133" s="50"/>
      <c r="AA133" s="50"/>
      <c r="AB133" s="50"/>
      <c r="AC133" s="50"/>
      <c r="AD133" s="50"/>
      <c r="AE133" s="50"/>
      <c r="AF133" s="34"/>
      <c r="AG133" s="34"/>
      <c r="AH133" s="34"/>
      <c r="AI133" s="34"/>
      <c r="AJ133" s="34"/>
      <c r="AK133" s="34"/>
      <c r="AL133" s="34"/>
      <c r="AM133" s="34"/>
      <c r="AN133" s="34"/>
      <c r="AO133" s="65"/>
      <c r="AP133" s="69"/>
      <c r="AQ133" s="62"/>
      <c r="AR133" s="34"/>
    </row>
    <row r="134" spans="1:44" customFormat="1">
      <c r="A134" s="39">
        <v>43633</v>
      </c>
      <c r="B134" s="11" t="s">
        <v>22</v>
      </c>
      <c r="C134" s="16" t="s">
        <v>542</v>
      </c>
      <c r="D134" s="16"/>
      <c r="E134" s="38">
        <v>25015</v>
      </c>
      <c r="F134" s="38"/>
      <c r="G134" s="10" t="s">
        <v>625</v>
      </c>
      <c r="H134" s="12" t="s">
        <v>543</v>
      </c>
      <c r="I134" s="13" t="s">
        <v>1698</v>
      </c>
      <c r="J134" s="15" t="s">
        <v>544</v>
      </c>
      <c r="K134" s="12"/>
      <c r="L134" s="11" t="s">
        <v>33</v>
      </c>
      <c r="M134" s="15"/>
      <c r="N134" s="17">
        <v>0</v>
      </c>
      <c r="O134" s="17"/>
      <c r="P134" s="17"/>
      <c r="Q134" s="48"/>
      <c r="R134" s="11"/>
      <c r="S134" s="48"/>
      <c r="T134" s="85"/>
      <c r="U134" s="88"/>
      <c r="V134" s="32" t="s">
        <v>545</v>
      </c>
      <c r="W134" s="25" t="s">
        <v>8</v>
      </c>
      <c r="X134" s="11"/>
      <c r="Y134" s="50"/>
      <c r="Z134" s="50"/>
      <c r="AA134" s="50"/>
      <c r="AB134" s="50"/>
      <c r="AC134" s="50"/>
      <c r="AD134" s="50"/>
      <c r="AE134" s="50"/>
      <c r="AF134" s="34"/>
      <c r="AG134" s="34"/>
      <c r="AH134" s="34"/>
      <c r="AI134" s="34"/>
      <c r="AJ134" s="34"/>
      <c r="AK134" s="34"/>
      <c r="AL134" s="34"/>
      <c r="AM134" s="34"/>
      <c r="AN134" s="34"/>
      <c r="AO134" s="65"/>
      <c r="AP134" s="69"/>
      <c r="AQ134" s="62"/>
      <c r="AR134" s="34"/>
    </row>
    <row r="135" spans="1:44" customFormat="1">
      <c r="A135" s="39">
        <v>43633</v>
      </c>
      <c r="B135" s="11" t="s">
        <v>22</v>
      </c>
      <c r="C135" s="16" t="s">
        <v>537</v>
      </c>
      <c r="D135" s="16"/>
      <c r="E135" s="38">
        <v>29532</v>
      </c>
      <c r="F135" s="38"/>
      <c r="G135" s="10" t="s">
        <v>626</v>
      </c>
      <c r="H135" s="12" t="s">
        <v>536</v>
      </c>
      <c r="I135" s="13" t="s">
        <v>1699</v>
      </c>
      <c r="J135" s="15" t="s">
        <v>538</v>
      </c>
      <c r="K135" s="12"/>
      <c r="L135" s="11" t="s">
        <v>36</v>
      </c>
      <c r="M135" s="15"/>
      <c r="N135" s="17">
        <v>2700</v>
      </c>
      <c r="O135" s="17"/>
      <c r="P135" s="17"/>
      <c r="Q135" s="48"/>
      <c r="R135" s="11"/>
      <c r="S135" s="48"/>
      <c r="T135" s="85"/>
      <c r="U135" s="88"/>
      <c r="V135" s="32" t="s">
        <v>539</v>
      </c>
      <c r="W135" s="25" t="s">
        <v>8</v>
      </c>
      <c r="X135" s="11"/>
      <c r="Y135" s="50" t="s">
        <v>17</v>
      </c>
      <c r="Z135" s="50"/>
      <c r="AA135" s="50"/>
      <c r="AB135" s="50"/>
      <c r="AC135" s="50"/>
      <c r="AD135" s="50"/>
      <c r="AE135" s="50"/>
      <c r="AF135" s="34"/>
      <c r="AG135" s="34"/>
      <c r="AH135" s="34"/>
      <c r="AI135" s="34"/>
      <c r="AJ135" s="34"/>
      <c r="AK135" s="34"/>
      <c r="AL135" s="34"/>
      <c r="AM135" s="34"/>
      <c r="AN135" s="34"/>
      <c r="AO135" s="65"/>
      <c r="AP135" s="69"/>
      <c r="AQ135" s="62"/>
      <c r="AR135" s="34"/>
    </row>
    <row r="136" spans="1:44" customFormat="1">
      <c r="A136" s="39">
        <v>43633</v>
      </c>
      <c r="B136" s="11" t="s">
        <v>22</v>
      </c>
      <c r="C136" s="16" t="s">
        <v>540</v>
      </c>
      <c r="D136" s="16"/>
      <c r="E136" s="38">
        <v>23847</v>
      </c>
      <c r="F136" s="38"/>
      <c r="G136" s="10" t="s">
        <v>426</v>
      </c>
      <c r="H136" s="12" t="s">
        <v>513</v>
      </c>
      <c r="I136" s="13" t="s">
        <v>1680</v>
      </c>
      <c r="J136" s="15" t="s">
        <v>541</v>
      </c>
      <c r="K136" s="12"/>
      <c r="L136" s="11" t="s">
        <v>37</v>
      </c>
      <c r="M136" s="15"/>
      <c r="N136" s="17">
        <v>0</v>
      </c>
      <c r="O136" s="17"/>
      <c r="P136" s="17"/>
      <c r="Q136" s="48"/>
      <c r="R136" s="11"/>
      <c r="S136" s="48"/>
      <c r="T136" s="85"/>
      <c r="U136" s="88"/>
      <c r="V136" s="32"/>
      <c r="W136" s="25" t="s">
        <v>8</v>
      </c>
      <c r="X136" s="11"/>
      <c r="Y136" s="50" t="s">
        <v>18</v>
      </c>
      <c r="Z136" s="50"/>
      <c r="AA136" s="50"/>
      <c r="AB136" s="50"/>
      <c r="AC136" s="50"/>
      <c r="AD136" s="50"/>
      <c r="AE136" s="50"/>
      <c r="AF136" s="34"/>
      <c r="AG136" s="34"/>
      <c r="AH136" s="34"/>
      <c r="AI136" s="34"/>
      <c r="AJ136" s="34"/>
      <c r="AK136" s="34"/>
      <c r="AL136" s="34"/>
      <c r="AM136" s="34"/>
      <c r="AN136" s="34"/>
      <c r="AO136" s="65"/>
      <c r="AP136" s="69"/>
      <c r="AQ136" s="62"/>
      <c r="AR136" s="34"/>
    </row>
    <row r="137" spans="1:44" customFormat="1">
      <c r="A137" s="39">
        <v>43635</v>
      </c>
      <c r="B137" s="11" t="s">
        <v>22</v>
      </c>
      <c r="C137" s="16" t="s">
        <v>546</v>
      </c>
      <c r="D137" s="16"/>
      <c r="E137" s="38">
        <v>24073</v>
      </c>
      <c r="F137" s="38"/>
      <c r="G137" s="10" t="s">
        <v>547</v>
      </c>
      <c r="H137" s="12" t="s">
        <v>1700</v>
      </c>
      <c r="I137" s="13" t="s">
        <v>1701</v>
      </c>
      <c r="J137" s="15" t="s">
        <v>549</v>
      </c>
      <c r="K137" s="12"/>
      <c r="L137" s="11" t="s">
        <v>34</v>
      </c>
      <c r="M137" s="15"/>
      <c r="N137" s="17">
        <v>0</v>
      </c>
      <c r="O137" s="17"/>
      <c r="P137" s="17"/>
      <c r="Q137" s="48"/>
      <c r="R137" s="11"/>
      <c r="S137" s="48"/>
      <c r="T137" s="85"/>
      <c r="U137" s="88"/>
      <c r="V137" s="32" t="s">
        <v>548</v>
      </c>
      <c r="W137" s="25" t="s">
        <v>8</v>
      </c>
      <c r="X137" s="11"/>
      <c r="Y137" s="50"/>
      <c r="Z137" s="50"/>
      <c r="AA137" s="50"/>
      <c r="AB137" s="50"/>
      <c r="AC137" s="50"/>
      <c r="AD137" s="50"/>
      <c r="AE137" s="50"/>
      <c r="AF137" s="34"/>
      <c r="AG137" s="34"/>
      <c r="AH137" s="34"/>
      <c r="AI137" s="34"/>
      <c r="AJ137" s="34"/>
      <c r="AK137" s="34"/>
      <c r="AL137" s="34"/>
      <c r="AM137" s="34"/>
      <c r="AN137" s="34"/>
      <c r="AO137" s="65"/>
      <c r="AP137" s="69"/>
      <c r="AQ137" s="62"/>
      <c r="AR137" s="34"/>
    </row>
    <row r="138" spans="1:44" customFormat="1">
      <c r="A138" s="39">
        <v>43635</v>
      </c>
      <c r="B138" s="11" t="s">
        <v>22</v>
      </c>
      <c r="C138" s="16" t="s">
        <v>550</v>
      </c>
      <c r="D138" s="16"/>
      <c r="E138" s="38">
        <v>31876</v>
      </c>
      <c r="F138" s="38"/>
      <c r="G138" s="10" t="s">
        <v>551</v>
      </c>
      <c r="H138" s="12" t="s">
        <v>552</v>
      </c>
      <c r="I138" s="13" t="s">
        <v>1637</v>
      </c>
      <c r="J138" s="15" t="s">
        <v>553</v>
      </c>
      <c r="K138" s="12"/>
      <c r="L138" s="11" t="s">
        <v>36</v>
      </c>
      <c r="M138" s="15"/>
      <c r="N138" s="17">
        <v>0</v>
      </c>
      <c r="O138" s="17"/>
      <c r="P138" s="17"/>
      <c r="Q138" s="48"/>
      <c r="R138" s="11"/>
      <c r="S138" s="48"/>
      <c r="T138" s="85"/>
      <c r="U138" s="88"/>
      <c r="V138" s="32"/>
      <c r="W138" s="25" t="s">
        <v>9</v>
      </c>
      <c r="X138" s="11"/>
      <c r="Y138" s="50" t="s">
        <v>18</v>
      </c>
      <c r="Z138" s="50"/>
      <c r="AA138" s="50"/>
      <c r="AB138" s="50"/>
      <c r="AC138" s="50"/>
      <c r="AD138" s="50"/>
      <c r="AE138" s="50"/>
      <c r="AF138" s="34"/>
      <c r="AG138" s="34"/>
      <c r="AH138" s="34"/>
      <c r="AI138" s="34"/>
      <c r="AJ138" s="34"/>
      <c r="AK138" s="34"/>
      <c r="AL138" s="34"/>
      <c r="AM138" s="34"/>
      <c r="AN138" s="34"/>
      <c r="AO138" s="65"/>
      <c r="AP138" s="69"/>
      <c r="AQ138" s="62"/>
      <c r="AR138" s="34"/>
    </row>
    <row r="139" spans="1:44" customFormat="1">
      <c r="A139" s="39">
        <v>43636</v>
      </c>
      <c r="B139" s="11" t="s">
        <v>49</v>
      </c>
      <c r="C139" s="16" t="s">
        <v>557</v>
      </c>
      <c r="D139" s="16"/>
      <c r="E139" s="38">
        <v>18693</v>
      </c>
      <c r="F139" s="38"/>
      <c r="G139" s="10" t="s">
        <v>554</v>
      </c>
      <c r="H139" s="12" t="s">
        <v>555</v>
      </c>
      <c r="I139" s="13" t="s">
        <v>1702</v>
      </c>
      <c r="J139" s="15" t="s">
        <v>556</v>
      </c>
      <c r="K139" s="12"/>
      <c r="L139" s="11"/>
      <c r="M139" s="15"/>
      <c r="N139" s="17">
        <v>0</v>
      </c>
      <c r="O139" s="17"/>
      <c r="P139" s="17"/>
      <c r="Q139" s="48"/>
      <c r="R139" s="11"/>
      <c r="S139" s="48"/>
      <c r="T139" s="85"/>
      <c r="U139" s="88"/>
      <c r="V139" s="32" t="s">
        <v>403</v>
      </c>
      <c r="W139" s="25"/>
      <c r="X139" s="11"/>
      <c r="Y139" s="50" t="s">
        <v>13</v>
      </c>
      <c r="Z139" s="50"/>
      <c r="AA139" s="50"/>
      <c r="AB139" s="50"/>
      <c r="AC139" s="50"/>
      <c r="AD139" s="50"/>
      <c r="AE139" s="50"/>
      <c r="AF139" s="34"/>
      <c r="AG139" s="34"/>
      <c r="AH139" s="34"/>
      <c r="AI139" s="34"/>
      <c r="AJ139" s="34"/>
      <c r="AK139" s="34"/>
      <c r="AL139" s="34"/>
      <c r="AM139" s="34"/>
      <c r="AN139" s="34"/>
      <c r="AO139" s="65"/>
      <c r="AP139" s="69"/>
      <c r="AQ139" s="62"/>
      <c r="AR139" s="34"/>
    </row>
    <row r="140" spans="1:44" customFormat="1">
      <c r="A140" s="39">
        <v>43637</v>
      </c>
      <c r="B140" s="11" t="s">
        <v>22</v>
      </c>
      <c r="C140" s="16" t="s">
        <v>558</v>
      </c>
      <c r="D140" s="16"/>
      <c r="E140" s="38">
        <v>26215</v>
      </c>
      <c r="F140" s="38"/>
      <c r="G140" s="10" t="s">
        <v>559</v>
      </c>
      <c r="H140" s="12" t="s">
        <v>560</v>
      </c>
      <c r="I140" s="13" t="s">
        <v>1688</v>
      </c>
      <c r="J140" s="15" t="s">
        <v>561</v>
      </c>
      <c r="K140" s="12"/>
      <c r="L140" s="11" t="s">
        <v>33</v>
      </c>
      <c r="M140" s="15"/>
      <c r="N140" s="17">
        <v>0</v>
      </c>
      <c r="O140" s="17"/>
      <c r="P140" s="17"/>
      <c r="Q140" s="48"/>
      <c r="R140" s="11"/>
      <c r="S140" s="48"/>
      <c r="T140" s="85"/>
      <c r="U140" s="88"/>
      <c r="V140" s="32" t="s">
        <v>562</v>
      </c>
      <c r="W140" s="25"/>
      <c r="X140" s="11"/>
      <c r="Y140" s="50"/>
      <c r="Z140" s="50"/>
      <c r="AA140" s="50"/>
      <c r="AB140" s="50"/>
      <c r="AC140" s="50"/>
      <c r="AD140" s="50"/>
      <c r="AE140" s="50"/>
      <c r="AF140" s="34"/>
      <c r="AG140" s="34"/>
      <c r="AH140" s="34"/>
      <c r="AI140" s="34"/>
      <c r="AJ140" s="34"/>
      <c r="AK140" s="34"/>
      <c r="AL140" s="34"/>
      <c r="AM140" s="34"/>
      <c r="AN140" s="34"/>
      <c r="AO140" s="65"/>
      <c r="AP140" s="69"/>
      <c r="AQ140" s="62"/>
      <c r="AR140" s="34"/>
    </row>
    <row r="141" spans="1:44" customFormat="1">
      <c r="A141" s="39">
        <v>43637</v>
      </c>
      <c r="B141" s="11" t="s">
        <v>22</v>
      </c>
      <c r="C141" s="16" t="s">
        <v>563</v>
      </c>
      <c r="D141" s="16"/>
      <c r="E141" s="38">
        <v>32137</v>
      </c>
      <c r="F141" s="38"/>
      <c r="G141" s="10" t="s">
        <v>564</v>
      </c>
      <c r="H141" s="12" t="s">
        <v>565</v>
      </c>
      <c r="I141" s="13" t="s">
        <v>1703</v>
      </c>
      <c r="J141" s="15" t="s">
        <v>566</v>
      </c>
      <c r="K141" s="12"/>
      <c r="L141" s="11"/>
      <c r="M141" s="15"/>
      <c r="N141" s="17">
        <v>0</v>
      </c>
      <c r="O141" s="17"/>
      <c r="P141" s="17"/>
      <c r="Q141" s="48"/>
      <c r="R141" s="11"/>
      <c r="S141" s="48"/>
      <c r="T141" s="85"/>
      <c r="U141" s="88"/>
      <c r="V141" s="32" t="s">
        <v>567</v>
      </c>
      <c r="W141" s="25"/>
      <c r="X141" s="11"/>
      <c r="Y141" s="50"/>
      <c r="Z141" s="50"/>
      <c r="AA141" s="50"/>
      <c r="AB141" s="50"/>
      <c r="AC141" s="50"/>
      <c r="AD141" s="50"/>
      <c r="AE141" s="50"/>
      <c r="AF141" s="34"/>
      <c r="AG141" s="34"/>
      <c r="AH141" s="34"/>
      <c r="AI141" s="34"/>
      <c r="AJ141" s="34"/>
      <c r="AK141" s="34"/>
      <c r="AL141" s="34"/>
      <c r="AM141" s="34"/>
      <c r="AN141" s="34"/>
      <c r="AO141" s="65"/>
      <c r="AP141" s="69"/>
      <c r="AQ141" s="62"/>
      <c r="AR141" s="34"/>
    </row>
    <row r="142" spans="1:44" customFormat="1">
      <c r="A142" s="39">
        <v>43637</v>
      </c>
      <c r="B142" s="11" t="s">
        <v>22</v>
      </c>
      <c r="C142" s="16" t="s">
        <v>568</v>
      </c>
      <c r="D142" s="16"/>
      <c r="E142" s="38">
        <v>25678</v>
      </c>
      <c r="F142" s="38"/>
      <c r="G142" s="10" t="s">
        <v>569</v>
      </c>
      <c r="H142" s="12" t="s">
        <v>570</v>
      </c>
      <c r="I142" s="13" t="s">
        <v>1704</v>
      </c>
      <c r="J142" s="15" t="s">
        <v>571</v>
      </c>
      <c r="K142" s="12"/>
      <c r="L142" s="11" t="s">
        <v>33</v>
      </c>
      <c r="M142" s="24" t="s">
        <v>3607</v>
      </c>
      <c r="N142" s="17">
        <v>0</v>
      </c>
      <c r="O142" s="17"/>
      <c r="P142" s="17"/>
      <c r="Q142" s="48"/>
      <c r="R142" s="11"/>
      <c r="S142" s="48"/>
      <c r="T142" s="85"/>
      <c r="U142" s="88"/>
      <c r="V142" s="32" t="s">
        <v>567</v>
      </c>
      <c r="W142" s="25"/>
      <c r="X142" s="11"/>
      <c r="Y142" s="50"/>
      <c r="Z142" s="50"/>
      <c r="AA142" s="50"/>
      <c r="AB142" s="50"/>
      <c r="AC142" s="50"/>
      <c r="AD142" s="50"/>
      <c r="AE142" s="50"/>
      <c r="AF142" s="34"/>
      <c r="AG142" s="34"/>
      <c r="AH142" s="34"/>
      <c r="AI142" s="34"/>
      <c r="AJ142" s="34"/>
      <c r="AK142" s="34"/>
      <c r="AL142" s="34"/>
      <c r="AM142" s="34"/>
      <c r="AN142" s="34"/>
      <c r="AO142" s="65"/>
      <c r="AP142" s="69"/>
      <c r="AQ142" s="62"/>
      <c r="AR142" s="34"/>
    </row>
    <row r="143" spans="1:44" customFormat="1">
      <c r="A143" s="39">
        <v>43637</v>
      </c>
      <c r="B143" s="11" t="s">
        <v>22</v>
      </c>
      <c r="C143" s="16" t="s">
        <v>572</v>
      </c>
      <c r="D143" s="16"/>
      <c r="E143" s="38">
        <v>32918</v>
      </c>
      <c r="F143" s="38"/>
      <c r="G143" s="10" t="s">
        <v>627</v>
      </c>
      <c r="H143" s="12" t="s">
        <v>573</v>
      </c>
      <c r="I143" s="13" t="s">
        <v>1705</v>
      </c>
      <c r="J143" s="15" t="s">
        <v>574</v>
      </c>
      <c r="K143" s="12"/>
      <c r="L143" s="11" t="s">
        <v>36</v>
      </c>
      <c r="M143" s="15"/>
      <c r="N143" s="17">
        <v>0</v>
      </c>
      <c r="O143" s="17"/>
      <c r="P143" s="17"/>
      <c r="Q143" s="48"/>
      <c r="R143" s="11"/>
      <c r="S143" s="48"/>
      <c r="T143" s="85"/>
      <c r="U143" s="88"/>
      <c r="V143" s="32" t="s">
        <v>575</v>
      </c>
      <c r="W143" s="25" t="s">
        <v>8</v>
      </c>
      <c r="X143" s="11"/>
      <c r="Y143" s="50"/>
      <c r="Z143" s="50"/>
      <c r="AA143" s="50"/>
      <c r="AB143" s="50"/>
      <c r="AC143" s="50"/>
      <c r="AD143" s="50"/>
      <c r="AE143" s="50"/>
      <c r="AF143" s="34"/>
      <c r="AG143" s="34"/>
      <c r="AH143" s="34"/>
      <c r="AI143" s="34"/>
      <c r="AJ143" s="34"/>
      <c r="AK143" s="34"/>
      <c r="AL143" s="34"/>
      <c r="AM143" s="34"/>
      <c r="AN143" s="34"/>
      <c r="AO143" s="65"/>
      <c r="AP143" s="69"/>
      <c r="AQ143" s="62"/>
      <c r="AR143" s="34"/>
    </row>
    <row r="144" spans="1:44" customFormat="1">
      <c r="A144" s="39">
        <v>43638</v>
      </c>
      <c r="B144" s="11" t="s">
        <v>583</v>
      </c>
      <c r="C144" s="16" t="s">
        <v>576</v>
      </c>
      <c r="D144" s="16"/>
      <c r="E144" s="38">
        <v>26390</v>
      </c>
      <c r="F144" s="38"/>
      <c r="G144" s="10" t="s">
        <v>577</v>
      </c>
      <c r="H144" s="12" t="s">
        <v>578</v>
      </c>
      <c r="I144" s="13" t="s">
        <v>1706</v>
      </c>
      <c r="J144" s="15" t="s">
        <v>582</v>
      </c>
      <c r="K144" s="12"/>
      <c r="L144" s="11" t="s">
        <v>36</v>
      </c>
      <c r="M144" s="15"/>
      <c r="N144" s="17">
        <v>2700</v>
      </c>
      <c r="O144" s="17"/>
      <c r="P144" s="17"/>
      <c r="Q144" s="48"/>
      <c r="R144" s="11"/>
      <c r="S144" s="48"/>
      <c r="T144" s="85"/>
      <c r="U144" s="88"/>
      <c r="V144" s="32"/>
      <c r="W144" s="25" t="s">
        <v>8</v>
      </c>
      <c r="X144" s="11"/>
      <c r="Y144" s="50" t="s">
        <v>17</v>
      </c>
      <c r="Z144" s="50"/>
      <c r="AA144" s="50"/>
      <c r="AB144" s="50"/>
      <c r="AC144" s="50"/>
      <c r="AD144" s="50"/>
      <c r="AE144" s="50"/>
      <c r="AF144" s="34"/>
      <c r="AG144" s="34"/>
      <c r="AH144" s="34"/>
      <c r="AI144" s="34"/>
      <c r="AJ144" s="34"/>
      <c r="AK144" s="34"/>
      <c r="AL144" s="34"/>
      <c r="AM144" s="34"/>
      <c r="AN144" s="34"/>
      <c r="AO144" s="65"/>
      <c r="AP144" s="69"/>
      <c r="AQ144" s="62"/>
      <c r="AR144" s="34"/>
    </row>
    <row r="145" spans="1:44" customFormat="1">
      <c r="A145" s="39">
        <v>43638</v>
      </c>
      <c r="B145" s="11" t="s">
        <v>22</v>
      </c>
      <c r="C145" s="16" t="s">
        <v>579</v>
      </c>
      <c r="D145" s="16"/>
      <c r="E145" s="38">
        <v>26338</v>
      </c>
      <c r="F145" s="38"/>
      <c r="G145" s="10" t="s">
        <v>580</v>
      </c>
      <c r="H145" s="12" t="s">
        <v>581</v>
      </c>
      <c r="I145" s="13" t="s">
        <v>1691</v>
      </c>
      <c r="J145" s="15" t="s">
        <v>584</v>
      </c>
      <c r="K145" s="12"/>
      <c r="L145" s="11" t="s">
        <v>37</v>
      </c>
      <c r="M145" s="15"/>
      <c r="N145" s="17">
        <v>2700</v>
      </c>
      <c r="O145" s="17"/>
      <c r="P145" s="17"/>
      <c r="Q145" s="48"/>
      <c r="R145" s="11"/>
      <c r="S145" s="48"/>
      <c r="T145" s="85"/>
      <c r="U145" s="88"/>
      <c r="V145" s="32"/>
      <c r="W145" s="25"/>
      <c r="X145" s="11"/>
      <c r="Y145" s="50"/>
      <c r="Z145" s="50"/>
      <c r="AA145" s="50"/>
      <c r="AB145" s="50"/>
      <c r="AC145" s="50"/>
      <c r="AD145" s="50"/>
      <c r="AE145" s="50"/>
      <c r="AF145" s="34"/>
      <c r="AG145" s="34"/>
      <c r="AH145" s="34"/>
      <c r="AI145" s="34"/>
      <c r="AJ145" s="34"/>
      <c r="AK145" s="34"/>
      <c r="AL145" s="34"/>
      <c r="AM145" s="34"/>
      <c r="AN145" s="34"/>
      <c r="AO145" s="65"/>
      <c r="AP145" s="69"/>
      <c r="AQ145" s="62"/>
      <c r="AR145" s="34"/>
    </row>
    <row r="146" spans="1:44" customFormat="1">
      <c r="A146" s="39">
        <v>43638</v>
      </c>
      <c r="B146" s="11" t="s">
        <v>583</v>
      </c>
      <c r="C146" s="16" t="s">
        <v>587</v>
      </c>
      <c r="D146" s="16"/>
      <c r="E146" s="38">
        <v>34837</v>
      </c>
      <c r="F146" s="38"/>
      <c r="G146" s="10" t="s">
        <v>358</v>
      </c>
      <c r="H146" s="12" t="s">
        <v>585</v>
      </c>
      <c r="I146" s="13" t="s">
        <v>1684</v>
      </c>
      <c r="J146" s="15" t="s">
        <v>586</v>
      </c>
      <c r="K146" s="12"/>
      <c r="L146" s="11" t="s">
        <v>36</v>
      </c>
      <c r="M146" s="15"/>
      <c r="N146" s="17">
        <v>0</v>
      </c>
      <c r="O146" s="17"/>
      <c r="P146" s="17"/>
      <c r="Q146" s="48"/>
      <c r="R146" s="11"/>
      <c r="S146" s="48"/>
      <c r="T146" s="85"/>
      <c r="U146" s="88"/>
      <c r="V146" s="32"/>
      <c r="W146" s="25" t="s">
        <v>9</v>
      </c>
      <c r="X146" s="11"/>
      <c r="Y146" s="50" t="s">
        <v>11</v>
      </c>
      <c r="Z146" s="50"/>
      <c r="AA146" s="50"/>
      <c r="AB146" s="50"/>
      <c r="AC146" s="50"/>
      <c r="AD146" s="50"/>
      <c r="AE146" s="50"/>
      <c r="AF146" s="34"/>
      <c r="AG146" s="34"/>
      <c r="AH146" s="34"/>
      <c r="AI146" s="34"/>
      <c r="AJ146" s="34"/>
      <c r="AK146" s="34"/>
      <c r="AL146" s="34"/>
      <c r="AM146" s="34"/>
      <c r="AN146" s="34"/>
      <c r="AO146" s="65"/>
      <c r="AP146" s="69"/>
      <c r="AQ146" s="62"/>
      <c r="AR146" s="34"/>
    </row>
    <row r="147" spans="1:44" customFormat="1">
      <c r="A147" s="39">
        <v>43639</v>
      </c>
      <c r="B147" s="11" t="s">
        <v>22</v>
      </c>
      <c r="C147" s="16" t="s">
        <v>588</v>
      </c>
      <c r="D147" s="16"/>
      <c r="E147" s="38">
        <v>18375</v>
      </c>
      <c r="F147" s="38"/>
      <c r="G147" s="10" t="s">
        <v>328</v>
      </c>
      <c r="H147" s="12" t="s">
        <v>589</v>
      </c>
      <c r="I147" s="13" t="s">
        <v>1625</v>
      </c>
      <c r="J147" s="15" t="s">
        <v>590</v>
      </c>
      <c r="K147" s="12"/>
      <c r="L147" s="11" t="s">
        <v>39</v>
      </c>
      <c r="M147" s="15"/>
      <c r="N147" s="17">
        <v>0</v>
      </c>
      <c r="O147" s="17"/>
      <c r="P147" s="17"/>
      <c r="Q147" s="48"/>
      <c r="R147" s="11"/>
      <c r="S147" s="48"/>
      <c r="T147" s="85"/>
      <c r="U147" s="88"/>
      <c r="V147" s="32"/>
      <c r="W147" s="25" t="s">
        <v>9</v>
      </c>
      <c r="X147" s="11"/>
      <c r="Y147" s="50" t="s">
        <v>14</v>
      </c>
      <c r="Z147" s="50"/>
      <c r="AA147" s="50"/>
      <c r="AB147" s="50"/>
      <c r="AC147" s="50"/>
      <c r="AD147" s="50"/>
      <c r="AE147" s="50"/>
      <c r="AF147" s="34"/>
      <c r="AG147" s="34"/>
      <c r="AH147" s="34"/>
      <c r="AI147" s="34"/>
      <c r="AJ147" s="34"/>
      <c r="AK147" s="34"/>
      <c r="AL147" s="34"/>
      <c r="AM147" s="34"/>
      <c r="AN147" s="34"/>
      <c r="AO147" s="65"/>
      <c r="AP147" s="69"/>
      <c r="AQ147" s="62"/>
      <c r="AR147" s="34"/>
    </row>
    <row r="148" spans="1:44" customFormat="1">
      <c r="A148" s="39">
        <v>43639</v>
      </c>
      <c r="B148" s="11" t="s">
        <v>5659</v>
      </c>
      <c r="C148" s="16" t="s">
        <v>591</v>
      </c>
      <c r="D148" s="16"/>
      <c r="E148" s="38"/>
      <c r="F148" s="38"/>
      <c r="G148" s="10" t="s">
        <v>592</v>
      </c>
      <c r="H148" s="12" t="s">
        <v>593</v>
      </c>
      <c r="I148" s="13" t="s">
        <v>1707</v>
      </c>
      <c r="J148" s="15" t="s">
        <v>594</v>
      </c>
      <c r="K148" s="12"/>
      <c r="L148" s="11" t="s">
        <v>33</v>
      </c>
      <c r="M148" s="15"/>
      <c r="N148" s="17">
        <v>2700</v>
      </c>
      <c r="O148" s="17"/>
      <c r="P148" s="17"/>
      <c r="Q148" s="48"/>
      <c r="R148" s="11"/>
      <c r="S148" s="48"/>
      <c r="T148" s="85"/>
      <c r="U148" s="88"/>
      <c r="V148" s="32"/>
      <c r="W148" s="25"/>
      <c r="X148" s="11"/>
      <c r="Y148" s="50"/>
      <c r="Z148" s="50"/>
      <c r="AA148" s="50"/>
      <c r="AB148" s="50"/>
      <c r="AC148" s="50"/>
      <c r="AD148" s="50"/>
      <c r="AE148" s="50"/>
      <c r="AF148" s="34"/>
      <c r="AG148" s="34"/>
      <c r="AH148" s="34"/>
      <c r="AI148" s="34"/>
      <c r="AJ148" s="34"/>
      <c r="AK148" s="34"/>
      <c r="AL148" s="34"/>
      <c r="AM148" s="34"/>
      <c r="AN148" s="34"/>
      <c r="AO148" s="65"/>
      <c r="AP148" s="69"/>
      <c r="AQ148" s="62"/>
      <c r="AR148" s="34"/>
    </row>
    <row r="149" spans="1:44" customFormat="1">
      <c r="A149" s="39">
        <v>43640</v>
      </c>
      <c r="B149" s="11" t="s">
        <v>22</v>
      </c>
      <c r="C149" s="16" t="s">
        <v>595</v>
      </c>
      <c r="D149" s="16"/>
      <c r="E149" s="38">
        <v>28480</v>
      </c>
      <c r="F149" s="38"/>
      <c r="G149" s="10" t="s">
        <v>596</v>
      </c>
      <c r="H149" s="12" t="s">
        <v>597</v>
      </c>
      <c r="I149" s="13" t="s">
        <v>1674</v>
      </c>
      <c r="J149" s="15" t="s">
        <v>598</v>
      </c>
      <c r="K149" s="12"/>
      <c r="L149" s="11" t="s">
        <v>36</v>
      </c>
      <c r="M149" s="15"/>
      <c r="N149" s="17">
        <v>2700</v>
      </c>
      <c r="O149" s="17"/>
      <c r="P149" s="17"/>
      <c r="Q149" s="48"/>
      <c r="R149" s="11"/>
      <c r="S149" s="48"/>
      <c r="T149" s="85"/>
      <c r="U149" s="88"/>
      <c r="V149" s="32"/>
      <c r="W149" s="25" t="s">
        <v>10</v>
      </c>
      <c r="X149" s="11"/>
      <c r="Y149" s="50" t="s">
        <v>11</v>
      </c>
      <c r="Z149" s="50"/>
      <c r="AA149" s="50"/>
      <c r="AB149" s="50"/>
      <c r="AC149" s="50"/>
      <c r="AD149" s="50"/>
      <c r="AE149" s="50"/>
      <c r="AF149" s="34"/>
      <c r="AG149" s="34"/>
      <c r="AH149" s="34"/>
      <c r="AI149" s="34"/>
      <c r="AJ149" s="34"/>
      <c r="AK149" s="34"/>
      <c r="AL149" s="34"/>
      <c r="AM149" s="34"/>
      <c r="AN149" s="34"/>
      <c r="AO149" s="65"/>
      <c r="AP149" s="69"/>
      <c r="AQ149" s="62"/>
      <c r="AR149" s="34"/>
    </row>
    <row r="150" spans="1:44" customFormat="1">
      <c r="A150" s="39">
        <v>43642</v>
      </c>
      <c r="B150" s="11" t="s">
        <v>22</v>
      </c>
      <c r="C150" s="16" t="s">
        <v>599</v>
      </c>
      <c r="D150" s="16"/>
      <c r="E150" s="38">
        <v>25391</v>
      </c>
      <c r="F150" s="38"/>
      <c r="G150" s="10" t="s">
        <v>628</v>
      </c>
      <c r="H150" s="12" t="s">
        <v>602</v>
      </c>
      <c r="I150" s="13" t="s">
        <v>1708</v>
      </c>
      <c r="J150" s="15" t="s">
        <v>605</v>
      </c>
      <c r="K150" s="12"/>
      <c r="L150" s="11" t="s">
        <v>34</v>
      </c>
      <c r="M150" s="15"/>
      <c r="N150" s="17">
        <v>0</v>
      </c>
      <c r="O150" s="17"/>
      <c r="P150" s="17"/>
      <c r="Q150" s="48"/>
      <c r="R150" s="11"/>
      <c r="S150" s="48"/>
      <c r="T150" s="85"/>
      <c r="U150" s="88"/>
      <c r="V150" s="32" t="s">
        <v>336</v>
      </c>
      <c r="W150" s="25" t="s">
        <v>8</v>
      </c>
      <c r="X150" s="11"/>
      <c r="Y150" s="50" t="s">
        <v>11</v>
      </c>
      <c r="Z150" s="50"/>
      <c r="AA150" s="50"/>
      <c r="AB150" s="50"/>
      <c r="AC150" s="50"/>
      <c r="AD150" s="50"/>
      <c r="AE150" s="50"/>
      <c r="AF150" s="34"/>
      <c r="AG150" s="34"/>
      <c r="AH150" s="34"/>
      <c r="AI150" s="34"/>
      <c r="AJ150" s="34"/>
      <c r="AK150" s="34"/>
      <c r="AL150" s="34"/>
      <c r="AM150" s="34"/>
      <c r="AN150" s="34"/>
      <c r="AO150" s="65"/>
      <c r="AP150" s="69"/>
      <c r="AQ150" s="62"/>
      <c r="AR150" s="34"/>
    </row>
    <row r="151" spans="1:44" customFormat="1">
      <c r="A151" s="39">
        <v>43642</v>
      </c>
      <c r="B151" s="11" t="s">
        <v>22</v>
      </c>
      <c r="C151" s="16" t="s">
        <v>600</v>
      </c>
      <c r="D151" s="16"/>
      <c r="E151" s="38">
        <v>31016</v>
      </c>
      <c r="F151" s="38"/>
      <c r="G151" s="10" t="s">
        <v>629</v>
      </c>
      <c r="H151" s="12" t="s">
        <v>603</v>
      </c>
      <c r="I151" s="13" t="s">
        <v>1709</v>
      </c>
      <c r="J151" s="15" t="s">
        <v>606</v>
      </c>
      <c r="K151" s="12"/>
      <c r="L151" s="11" t="s">
        <v>33</v>
      </c>
      <c r="M151" s="15"/>
      <c r="N151" s="17">
        <v>0</v>
      </c>
      <c r="O151" s="17"/>
      <c r="P151" s="17"/>
      <c r="Q151" s="48"/>
      <c r="R151" s="11"/>
      <c r="S151" s="48"/>
      <c r="T151" s="85"/>
      <c r="U151" s="88"/>
      <c r="V151" s="32" t="s">
        <v>336</v>
      </c>
      <c r="W151" s="25"/>
      <c r="X151" s="11"/>
      <c r="Y151" s="50"/>
      <c r="Z151" s="50"/>
      <c r="AA151" s="50"/>
      <c r="AB151" s="50"/>
      <c r="AC151" s="50"/>
      <c r="AD151" s="50"/>
      <c r="AE151" s="50"/>
      <c r="AF151" s="34"/>
      <c r="AG151" s="34"/>
      <c r="AH151" s="34"/>
      <c r="AI151" s="34"/>
      <c r="AJ151" s="34"/>
      <c r="AK151" s="34"/>
      <c r="AL151" s="34"/>
      <c r="AM151" s="34"/>
      <c r="AN151" s="34"/>
      <c r="AO151" s="65"/>
      <c r="AP151" s="69"/>
      <c r="AQ151" s="62"/>
      <c r="AR151" s="34"/>
    </row>
    <row r="152" spans="1:44" customFormat="1">
      <c r="A152" s="39">
        <v>43642</v>
      </c>
      <c r="B152" s="11" t="s">
        <v>22</v>
      </c>
      <c r="C152" s="16" t="s">
        <v>601</v>
      </c>
      <c r="D152" s="16"/>
      <c r="E152" s="38">
        <v>26282</v>
      </c>
      <c r="F152" s="38"/>
      <c r="G152" s="10" t="s">
        <v>604</v>
      </c>
      <c r="H152" s="12" t="s">
        <v>630</v>
      </c>
      <c r="I152" s="13" t="s">
        <v>1710</v>
      </c>
      <c r="J152" s="15" t="s">
        <v>607</v>
      </c>
      <c r="K152" s="12"/>
      <c r="L152" s="11" t="s">
        <v>33</v>
      </c>
      <c r="M152" s="15"/>
      <c r="N152" s="17">
        <v>0</v>
      </c>
      <c r="O152" s="17"/>
      <c r="P152" s="17"/>
      <c r="Q152" s="48"/>
      <c r="R152" s="11"/>
      <c r="S152" s="48"/>
      <c r="T152" s="85"/>
      <c r="U152" s="88"/>
      <c r="V152" s="32" t="s">
        <v>336</v>
      </c>
      <c r="W152" s="25" t="s">
        <v>8</v>
      </c>
      <c r="X152" s="11"/>
      <c r="Y152" s="50"/>
      <c r="Z152" s="50"/>
      <c r="AA152" s="50"/>
      <c r="AB152" s="50"/>
      <c r="AC152" s="50"/>
      <c r="AD152" s="50"/>
      <c r="AE152" s="50"/>
      <c r="AF152" s="34"/>
      <c r="AG152" s="34"/>
      <c r="AH152" s="34"/>
      <c r="AI152" s="34"/>
      <c r="AJ152" s="34"/>
      <c r="AK152" s="34"/>
      <c r="AL152" s="34"/>
      <c r="AM152" s="34"/>
      <c r="AN152" s="34"/>
      <c r="AO152" s="65"/>
      <c r="AP152" s="69"/>
      <c r="AQ152" s="62"/>
      <c r="AR152" s="34"/>
    </row>
    <row r="153" spans="1:44" customFormat="1">
      <c r="A153" s="39">
        <v>43643</v>
      </c>
      <c r="B153" s="11" t="s">
        <v>49</v>
      </c>
      <c r="C153" s="16" t="s">
        <v>591</v>
      </c>
      <c r="D153" s="16"/>
      <c r="E153" s="38"/>
      <c r="F153" s="38"/>
      <c r="G153" s="10" t="s">
        <v>592</v>
      </c>
      <c r="H153" s="12" t="s">
        <v>593</v>
      </c>
      <c r="I153" s="13" t="s">
        <v>1711</v>
      </c>
      <c r="J153" s="15" t="s">
        <v>594</v>
      </c>
      <c r="K153" s="12"/>
      <c r="L153" s="11" t="s">
        <v>33</v>
      </c>
      <c r="M153" s="15"/>
      <c r="N153" s="17">
        <v>16200</v>
      </c>
      <c r="O153" s="17"/>
      <c r="P153" s="17"/>
      <c r="Q153" s="48"/>
      <c r="R153" s="11"/>
      <c r="S153" s="48"/>
      <c r="T153" s="85"/>
      <c r="U153" s="88"/>
      <c r="V153" s="32" t="s">
        <v>631</v>
      </c>
      <c r="W153" s="25"/>
      <c r="X153" s="11"/>
      <c r="Y153" s="50"/>
      <c r="Z153" s="50"/>
      <c r="AA153" s="50"/>
      <c r="AB153" s="50"/>
      <c r="AC153" s="50"/>
      <c r="AD153" s="50"/>
      <c r="AE153" s="50"/>
      <c r="AF153" s="34"/>
      <c r="AG153" s="34"/>
      <c r="AH153" s="34"/>
      <c r="AI153" s="34"/>
      <c r="AJ153" s="34"/>
      <c r="AK153" s="34"/>
      <c r="AL153" s="34"/>
      <c r="AM153" s="34"/>
      <c r="AN153" s="34"/>
      <c r="AO153" s="65"/>
      <c r="AP153" s="69"/>
      <c r="AQ153" s="62"/>
      <c r="AR153" s="34"/>
    </row>
    <row r="154" spans="1:44" customFormat="1">
      <c r="A154" s="39">
        <v>43644</v>
      </c>
      <c r="B154" s="11" t="s">
        <v>22</v>
      </c>
      <c r="C154" s="16" t="s">
        <v>632</v>
      </c>
      <c r="D154" s="16"/>
      <c r="E154" s="38">
        <v>16804</v>
      </c>
      <c r="F154" s="38"/>
      <c r="G154" s="10" t="s">
        <v>358</v>
      </c>
      <c r="H154" s="12" t="s">
        <v>633</v>
      </c>
      <c r="I154" s="13" t="s">
        <v>1654</v>
      </c>
      <c r="J154" s="15" t="s">
        <v>493</v>
      </c>
      <c r="K154" s="12"/>
      <c r="L154" s="11"/>
      <c r="M154" s="15"/>
      <c r="N154" s="17">
        <v>0</v>
      </c>
      <c r="O154" s="17"/>
      <c r="P154" s="17"/>
      <c r="Q154" s="48"/>
      <c r="R154" s="11"/>
      <c r="S154" s="48"/>
      <c r="T154" s="85"/>
      <c r="U154" s="88"/>
      <c r="V154" s="32" t="s">
        <v>634</v>
      </c>
      <c r="W154" s="25"/>
      <c r="X154" s="11"/>
      <c r="Y154" s="50"/>
      <c r="Z154" s="50"/>
      <c r="AA154" s="50"/>
      <c r="AB154" s="50"/>
      <c r="AC154" s="50"/>
      <c r="AD154" s="50"/>
      <c r="AE154" s="50"/>
      <c r="AF154" s="34"/>
      <c r="AG154" s="34"/>
      <c r="AH154" s="34"/>
      <c r="AI154" s="34"/>
      <c r="AJ154" s="34"/>
      <c r="AK154" s="34"/>
      <c r="AL154" s="34"/>
      <c r="AM154" s="34"/>
      <c r="AN154" s="34"/>
      <c r="AO154" s="65"/>
      <c r="AP154" s="69"/>
      <c r="AQ154" s="62"/>
      <c r="AR154" s="34"/>
    </row>
    <row r="155" spans="1:44" customFormat="1">
      <c r="A155" s="39">
        <v>43644</v>
      </c>
      <c r="B155" s="11" t="s">
        <v>22</v>
      </c>
      <c r="C155" s="16" t="s">
        <v>635</v>
      </c>
      <c r="D155" s="16"/>
      <c r="E155" s="38">
        <v>17137</v>
      </c>
      <c r="F155" s="38"/>
      <c r="G155" s="10" t="s">
        <v>636</v>
      </c>
      <c r="H155" s="12" t="s">
        <v>637</v>
      </c>
      <c r="I155" s="13" t="s">
        <v>1649</v>
      </c>
      <c r="J155" s="15" t="s">
        <v>638</v>
      </c>
      <c r="K155" s="12"/>
      <c r="L155" s="11" t="s">
        <v>37</v>
      </c>
      <c r="M155" s="15"/>
      <c r="N155" s="17">
        <v>0</v>
      </c>
      <c r="O155" s="17"/>
      <c r="P155" s="17"/>
      <c r="Q155" s="48"/>
      <c r="R155" s="11"/>
      <c r="S155" s="48"/>
      <c r="T155" s="85"/>
      <c r="U155" s="88"/>
      <c r="V155" s="32"/>
      <c r="W155" s="25"/>
      <c r="X155" s="11"/>
      <c r="Y155" s="50"/>
      <c r="Z155" s="50"/>
      <c r="AA155" s="50"/>
      <c r="AB155" s="50"/>
      <c r="AC155" s="50"/>
      <c r="AD155" s="50"/>
      <c r="AE155" s="50"/>
      <c r="AF155" s="34"/>
      <c r="AG155" s="34"/>
      <c r="AH155" s="34"/>
      <c r="AI155" s="34"/>
      <c r="AJ155" s="34"/>
      <c r="AK155" s="34"/>
      <c r="AL155" s="34"/>
      <c r="AM155" s="34"/>
      <c r="AN155" s="34"/>
      <c r="AO155" s="65"/>
      <c r="AP155" s="69"/>
      <c r="AQ155" s="62"/>
      <c r="AR155" s="34"/>
    </row>
    <row r="156" spans="1:44" customFormat="1">
      <c r="A156" s="39">
        <v>43644</v>
      </c>
      <c r="B156" s="11" t="s">
        <v>22</v>
      </c>
      <c r="C156" s="16" t="s">
        <v>640</v>
      </c>
      <c r="D156" s="16"/>
      <c r="E156" s="38">
        <v>25946</v>
      </c>
      <c r="F156" s="38"/>
      <c r="G156" s="10" t="s">
        <v>448</v>
      </c>
      <c r="H156" s="12" t="s">
        <v>641</v>
      </c>
      <c r="I156" s="13" t="s">
        <v>1712</v>
      </c>
      <c r="J156" s="15" t="s">
        <v>642</v>
      </c>
      <c r="K156" s="12"/>
      <c r="L156" s="11" t="s">
        <v>34</v>
      </c>
      <c r="M156" s="15"/>
      <c r="N156" s="17">
        <v>2700</v>
      </c>
      <c r="O156" s="17"/>
      <c r="P156" s="17"/>
      <c r="Q156" s="48"/>
      <c r="R156" s="11"/>
      <c r="S156" s="48"/>
      <c r="T156" s="85"/>
      <c r="U156" s="88"/>
      <c r="V156" s="32" t="s">
        <v>639</v>
      </c>
      <c r="W156" s="25" t="s">
        <v>8</v>
      </c>
      <c r="X156" s="11"/>
      <c r="Y156" s="50"/>
      <c r="Z156" s="50"/>
      <c r="AA156" s="50"/>
      <c r="AB156" s="50"/>
      <c r="AC156" s="50"/>
      <c r="AD156" s="50"/>
      <c r="AE156" s="50"/>
      <c r="AF156" s="34"/>
      <c r="AG156" s="34"/>
      <c r="AH156" s="34"/>
      <c r="AI156" s="34"/>
      <c r="AJ156" s="34"/>
      <c r="AK156" s="34"/>
      <c r="AL156" s="34"/>
      <c r="AM156" s="34"/>
      <c r="AN156" s="34"/>
      <c r="AO156" s="65"/>
      <c r="AP156" s="69"/>
      <c r="AQ156" s="62"/>
      <c r="AR156" s="34"/>
    </row>
    <row r="157" spans="1:44" customFormat="1">
      <c r="A157" s="39">
        <v>43644</v>
      </c>
      <c r="B157" s="11" t="s">
        <v>22</v>
      </c>
      <c r="C157" s="16" t="s">
        <v>643</v>
      </c>
      <c r="D157" s="16"/>
      <c r="E157" s="38">
        <v>33432</v>
      </c>
      <c r="F157" s="38"/>
      <c r="G157" s="10" t="s">
        <v>650</v>
      </c>
      <c r="H157" s="12" t="s">
        <v>1713</v>
      </c>
      <c r="I157" s="13" t="s">
        <v>1686</v>
      </c>
      <c r="J157" s="15" t="s">
        <v>644</v>
      </c>
      <c r="K157" s="12"/>
      <c r="L157" s="11"/>
      <c r="M157" s="15"/>
      <c r="N157" s="17">
        <v>2700</v>
      </c>
      <c r="O157" s="17"/>
      <c r="P157" s="17"/>
      <c r="Q157" s="48"/>
      <c r="R157" s="11"/>
      <c r="S157" s="48"/>
      <c r="T157" s="85"/>
      <c r="U157" s="88"/>
      <c r="V157" s="32" t="s">
        <v>639</v>
      </c>
      <c r="W157" s="25"/>
      <c r="X157" s="11"/>
      <c r="Y157" s="50" t="s">
        <v>17</v>
      </c>
      <c r="Z157" s="50"/>
      <c r="AA157" s="50"/>
      <c r="AB157" s="50"/>
      <c r="AC157" s="50"/>
      <c r="AD157" s="50"/>
      <c r="AE157" s="50"/>
      <c r="AF157" s="34"/>
      <c r="AG157" s="34"/>
      <c r="AH157" s="34"/>
      <c r="AI157" s="34"/>
      <c r="AJ157" s="34"/>
      <c r="AK157" s="34"/>
      <c r="AL157" s="34"/>
      <c r="AM157" s="34"/>
      <c r="AN157" s="34"/>
      <c r="AO157" s="65"/>
      <c r="AP157" s="69"/>
      <c r="AQ157" s="62"/>
      <c r="AR157" s="34"/>
    </row>
    <row r="158" spans="1:44" customFormat="1">
      <c r="A158" s="39">
        <v>43644</v>
      </c>
      <c r="B158" s="11" t="s">
        <v>49</v>
      </c>
      <c r="C158" s="16" t="s">
        <v>645</v>
      </c>
      <c r="D158" s="16"/>
      <c r="E158" s="38">
        <v>26002</v>
      </c>
      <c r="F158" s="38"/>
      <c r="G158" s="10" t="s">
        <v>646</v>
      </c>
      <c r="H158" s="12" t="s">
        <v>647</v>
      </c>
      <c r="I158" s="13" t="s">
        <v>1714</v>
      </c>
      <c r="J158" s="15" t="s">
        <v>648</v>
      </c>
      <c r="K158" s="12"/>
      <c r="L158" s="11" t="s">
        <v>33</v>
      </c>
      <c r="M158" s="15"/>
      <c r="N158" s="17">
        <v>10800</v>
      </c>
      <c r="O158" s="17"/>
      <c r="P158" s="17"/>
      <c r="Q158" s="48"/>
      <c r="R158" s="11"/>
      <c r="S158" s="48"/>
      <c r="T158" s="85"/>
      <c r="U158" s="88"/>
      <c r="V158" s="32" t="s">
        <v>649</v>
      </c>
      <c r="W158" s="25" t="s">
        <v>8</v>
      </c>
      <c r="X158" s="11"/>
      <c r="Y158" s="50" t="s">
        <v>13</v>
      </c>
      <c r="Z158" s="50"/>
      <c r="AA158" s="50"/>
      <c r="AB158" s="50"/>
      <c r="AC158" s="50"/>
      <c r="AD158" s="50"/>
      <c r="AE158" s="50"/>
      <c r="AF158" s="34"/>
      <c r="AG158" s="34"/>
      <c r="AH158" s="34"/>
      <c r="AI158" s="34"/>
      <c r="AJ158" s="34"/>
      <c r="AK158" s="34"/>
      <c r="AL158" s="34"/>
      <c r="AM158" s="34"/>
      <c r="AN158" s="34"/>
      <c r="AO158" s="65"/>
      <c r="AP158" s="69"/>
      <c r="AQ158" s="62"/>
      <c r="AR158" s="34"/>
    </row>
    <row r="159" spans="1:44" customFormat="1">
      <c r="A159" s="39">
        <v>43645</v>
      </c>
      <c r="B159" s="11" t="s">
        <v>49</v>
      </c>
      <c r="C159" s="16" t="s">
        <v>651</v>
      </c>
      <c r="D159" s="16"/>
      <c r="E159" s="38">
        <v>26801</v>
      </c>
      <c r="F159" s="38"/>
      <c r="G159" s="10" t="s">
        <v>652</v>
      </c>
      <c r="H159" s="12" t="s">
        <v>653</v>
      </c>
      <c r="I159" s="13" t="s">
        <v>1715</v>
      </c>
      <c r="J159" s="15" t="s">
        <v>654</v>
      </c>
      <c r="K159" s="12"/>
      <c r="L159" s="11" t="s">
        <v>39</v>
      </c>
      <c r="M159" s="15"/>
      <c r="N159" s="17">
        <v>16200</v>
      </c>
      <c r="O159" s="17"/>
      <c r="P159" s="17"/>
      <c r="Q159" s="48"/>
      <c r="R159" s="11"/>
      <c r="S159" s="48"/>
      <c r="T159" s="85"/>
      <c r="U159" s="88"/>
      <c r="V159" s="32"/>
      <c r="W159" s="25" t="s">
        <v>8</v>
      </c>
      <c r="X159" s="11"/>
      <c r="Y159" s="50"/>
      <c r="Z159" s="50"/>
      <c r="AA159" s="50"/>
      <c r="AB159" s="50"/>
      <c r="AC159" s="50"/>
      <c r="AD159" s="50"/>
      <c r="AE159" s="50"/>
      <c r="AF159" s="34"/>
      <c r="AG159" s="34"/>
      <c r="AH159" s="34"/>
      <c r="AI159" s="34"/>
      <c r="AJ159" s="34"/>
      <c r="AK159" s="34"/>
      <c r="AL159" s="34"/>
      <c r="AM159" s="34"/>
      <c r="AN159" s="34"/>
      <c r="AO159" s="65"/>
      <c r="AP159" s="69"/>
      <c r="AQ159" s="62"/>
      <c r="AR159" s="34"/>
    </row>
    <row r="160" spans="1:44" customFormat="1">
      <c r="A160" s="39">
        <v>43645</v>
      </c>
      <c r="B160" s="11" t="s">
        <v>49</v>
      </c>
      <c r="C160" s="16" t="s">
        <v>655</v>
      </c>
      <c r="D160" s="16"/>
      <c r="E160" s="38">
        <v>27134</v>
      </c>
      <c r="F160" s="38"/>
      <c r="G160" s="10" t="s">
        <v>658</v>
      </c>
      <c r="H160" s="12" t="s">
        <v>656</v>
      </c>
      <c r="I160" s="13" t="s">
        <v>1716</v>
      </c>
      <c r="J160" s="15" t="s">
        <v>657</v>
      </c>
      <c r="K160" s="12"/>
      <c r="L160" s="11"/>
      <c r="M160" s="15"/>
      <c r="N160" s="17">
        <v>16200</v>
      </c>
      <c r="O160" s="17"/>
      <c r="P160" s="17"/>
      <c r="Q160" s="48"/>
      <c r="R160" s="11"/>
      <c r="S160" s="48"/>
      <c r="T160" s="85"/>
      <c r="U160" s="88"/>
      <c r="V160" s="32"/>
      <c r="W160" s="25" t="s">
        <v>8</v>
      </c>
      <c r="X160" s="11"/>
      <c r="Y160" s="50"/>
      <c r="Z160" s="50"/>
      <c r="AA160" s="50"/>
      <c r="AB160" s="50"/>
      <c r="AC160" s="50"/>
      <c r="AD160" s="50"/>
      <c r="AE160" s="50"/>
      <c r="AF160" s="34"/>
      <c r="AG160" s="34"/>
      <c r="AH160" s="34"/>
      <c r="AI160" s="34"/>
      <c r="AJ160" s="34"/>
      <c r="AK160" s="34"/>
      <c r="AL160" s="34"/>
      <c r="AM160" s="34"/>
      <c r="AN160" s="34"/>
      <c r="AO160" s="65"/>
      <c r="AP160" s="69"/>
      <c r="AQ160" s="62"/>
      <c r="AR160" s="34"/>
    </row>
    <row r="161" spans="1:44" customFormat="1">
      <c r="A161" s="39">
        <v>43646</v>
      </c>
      <c r="B161" s="11" t="s">
        <v>49</v>
      </c>
      <c r="C161" s="16" t="s">
        <v>659</v>
      </c>
      <c r="D161" s="16"/>
      <c r="E161" s="38">
        <v>22549</v>
      </c>
      <c r="F161" s="38"/>
      <c r="G161" s="10" t="s">
        <v>660</v>
      </c>
      <c r="H161" s="12" t="s">
        <v>661</v>
      </c>
      <c r="I161" s="13" t="s">
        <v>1717</v>
      </c>
      <c r="J161" s="15" t="s">
        <v>662</v>
      </c>
      <c r="K161" s="12"/>
      <c r="L161" s="11" t="s">
        <v>33</v>
      </c>
      <c r="M161" s="15"/>
      <c r="N161" s="17">
        <v>16200</v>
      </c>
      <c r="O161" s="17"/>
      <c r="P161" s="17"/>
      <c r="Q161" s="48"/>
      <c r="R161" s="11"/>
      <c r="S161" s="48"/>
      <c r="T161" s="85"/>
      <c r="U161" s="88"/>
      <c r="V161" s="32"/>
      <c r="W161" s="25" t="s">
        <v>48</v>
      </c>
      <c r="X161" s="11"/>
      <c r="Y161" s="50" t="s">
        <v>12</v>
      </c>
      <c r="Z161" s="50"/>
      <c r="AA161" s="50"/>
      <c r="AB161" s="50"/>
      <c r="AC161" s="50"/>
      <c r="AD161" s="50"/>
      <c r="AE161" s="50"/>
      <c r="AF161" s="34"/>
      <c r="AG161" s="34"/>
      <c r="AH161" s="34"/>
      <c r="AI161" s="34"/>
      <c r="AJ161" s="34"/>
      <c r="AK161" s="34"/>
      <c r="AL161" s="34"/>
      <c r="AM161" s="34"/>
      <c r="AN161" s="34"/>
      <c r="AO161" s="65"/>
      <c r="AP161" s="69"/>
      <c r="AQ161" s="62"/>
      <c r="AR161" s="34"/>
    </row>
    <row r="162" spans="1:44" customFormat="1">
      <c r="A162" s="39">
        <v>43646</v>
      </c>
      <c r="B162" s="11" t="s">
        <v>49</v>
      </c>
      <c r="C162" s="16" t="s">
        <v>664</v>
      </c>
      <c r="D162" s="16"/>
      <c r="E162" s="38">
        <v>22550</v>
      </c>
      <c r="F162" s="38"/>
      <c r="G162" s="10" t="s">
        <v>660</v>
      </c>
      <c r="H162" s="12" t="s">
        <v>663</v>
      </c>
      <c r="I162" s="13" t="s">
        <v>1717</v>
      </c>
      <c r="J162" s="15" t="s">
        <v>665</v>
      </c>
      <c r="K162" s="12"/>
      <c r="L162" s="11" t="s">
        <v>33</v>
      </c>
      <c r="M162" s="15"/>
      <c r="N162" s="17">
        <v>16200</v>
      </c>
      <c r="O162" s="17"/>
      <c r="P162" s="17"/>
      <c r="Q162" s="48"/>
      <c r="R162" s="11"/>
      <c r="S162" s="48"/>
      <c r="T162" s="85"/>
      <c r="U162" s="88"/>
      <c r="V162" s="32" t="s">
        <v>105</v>
      </c>
      <c r="W162" s="25" t="s">
        <v>48</v>
      </c>
      <c r="X162" s="11"/>
      <c r="Y162" s="50" t="s">
        <v>14</v>
      </c>
      <c r="Z162" s="50"/>
      <c r="AA162" s="50"/>
      <c r="AB162" s="50"/>
      <c r="AC162" s="50"/>
      <c r="AD162" s="50"/>
      <c r="AE162" s="50"/>
      <c r="AF162" s="34"/>
      <c r="AG162" s="34"/>
      <c r="AH162" s="34"/>
      <c r="AI162" s="34"/>
      <c r="AJ162" s="34"/>
      <c r="AK162" s="34"/>
      <c r="AL162" s="34"/>
      <c r="AM162" s="34"/>
      <c r="AN162" s="34"/>
      <c r="AO162" s="65"/>
      <c r="AP162" s="69"/>
      <c r="AQ162" s="62"/>
      <c r="AR162" s="34"/>
    </row>
    <row r="163" spans="1:44" customFormat="1">
      <c r="A163" s="39">
        <v>43647</v>
      </c>
      <c r="B163" s="11" t="s">
        <v>22</v>
      </c>
      <c r="C163" s="16" t="s">
        <v>666</v>
      </c>
      <c r="D163" s="16"/>
      <c r="E163" s="38">
        <v>19924</v>
      </c>
      <c r="F163" s="38"/>
      <c r="G163" s="10" t="s">
        <v>667</v>
      </c>
      <c r="H163" s="12" t="s">
        <v>668</v>
      </c>
      <c r="I163" s="13" t="s">
        <v>1718</v>
      </c>
      <c r="J163" s="15" t="s">
        <v>669</v>
      </c>
      <c r="K163" s="12"/>
      <c r="L163" s="11" t="s">
        <v>33</v>
      </c>
      <c r="M163" s="15"/>
      <c r="N163" s="17">
        <v>4860</v>
      </c>
      <c r="O163" s="17"/>
      <c r="P163" s="17"/>
      <c r="Q163" s="48"/>
      <c r="R163" s="11"/>
      <c r="S163" s="48"/>
      <c r="T163" s="85"/>
      <c r="U163" s="88"/>
      <c r="V163" s="32" t="s">
        <v>670</v>
      </c>
      <c r="W163" s="25" t="s">
        <v>10</v>
      </c>
      <c r="X163" s="11"/>
      <c r="Y163" s="50"/>
      <c r="Z163" s="50"/>
      <c r="AA163" s="50"/>
      <c r="AB163" s="50"/>
      <c r="AC163" s="50"/>
      <c r="AD163" s="50"/>
      <c r="AE163" s="50"/>
      <c r="AF163" s="34"/>
      <c r="AG163" s="34"/>
      <c r="AH163" s="34"/>
      <c r="AI163" s="34"/>
      <c r="AJ163" s="34"/>
      <c r="AK163" s="34"/>
      <c r="AL163" s="34"/>
      <c r="AM163" s="34"/>
      <c r="AN163" s="34"/>
      <c r="AO163" s="65"/>
      <c r="AP163" s="69"/>
      <c r="AQ163" s="62"/>
      <c r="AR163" s="34"/>
    </row>
    <row r="164" spans="1:44" customFormat="1">
      <c r="A164" s="39">
        <v>43647</v>
      </c>
      <c r="B164" s="11" t="s">
        <v>22</v>
      </c>
      <c r="C164" s="16" t="s">
        <v>671</v>
      </c>
      <c r="D164" s="16"/>
      <c r="E164" s="38">
        <v>22185</v>
      </c>
      <c r="F164" s="38"/>
      <c r="G164" s="10" t="s">
        <v>667</v>
      </c>
      <c r="H164" s="12" t="s">
        <v>668</v>
      </c>
      <c r="I164" s="13" t="s">
        <v>1718</v>
      </c>
      <c r="J164" s="15" t="s">
        <v>672</v>
      </c>
      <c r="K164" s="12"/>
      <c r="L164" s="11" t="s">
        <v>37</v>
      </c>
      <c r="M164" s="15"/>
      <c r="N164" s="17">
        <v>4860</v>
      </c>
      <c r="O164" s="17"/>
      <c r="P164" s="17"/>
      <c r="Q164" s="48"/>
      <c r="R164" s="11"/>
      <c r="S164" s="48"/>
      <c r="T164" s="85"/>
      <c r="U164" s="88"/>
      <c r="V164" s="32" t="s">
        <v>670</v>
      </c>
      <c r="W164" s="25" t="s">
        <v>8</v>
      </c>
      <c r="X164" s="11"/>
      <c r="Y164" s="50"/>
      <c r="Z164" s="50"/>
      <c r="AA164" s="50"/>
      <c r="AB164" s="50"/>
      <c r="AC164" s="50"/>
      <c r="AD164" s="50"/>
      <c r="AE164" s="50"/>
      <c r="AF164" s="34"/>
      <c r="AG164" s="34"/>
      <c r="AH164" s="34"/>
      <c r="AI164" s="34"/>
      <c r="AJ164" s="34"/>
      <c r="AK164" s="34"/>
      <c r="AL164" s="34"/>
      <c r="AM164" s="34"/>
      <c r="AN164" s="34"/>
      <c r="AO164" s="65"/>
      <c r="AP164" s="69"/>
      <c r="AQ164" s="62"/>
      <c r="AR164" s="34"/>
    </row>
    <row r="165" spans="1:44" customFormat="1">
      <c r="A165" s="39">
        <v>43649</v>
      </c>
      <c r="B165" s="11" t="s">
        <v>22</v>
      </c>
      <c r="C165" s="16" t="s">
        <v>673</v>
      </c>
      <c r="D165" s="16"/>
      <c r="E165" s="38">
        <v>26639</v>
      </c>
      <c r="F165" s="38"/>
      <c r="G165" s="10" t="s">
        <v>674</v>
      </c>
      <c r="H165" s="12" t="s">
        <v>675</v>
      </c>
      <c r="I165" s="13" t="s">
        <v>1719</v>
      </c>
      <c r="J165" s="15" t="s">
        <v>676</v>
      </c>
      <c r="K165" s="12"/>
      <c r="L165" s="11" t="s">
        <v>36</v>
      </c>
      <c r="M165" s="15"/>
      <c r="N165" s="17">
        <v>2700</v>
      </c>
      <c r="O165" s="17"/>
      <c r="P165" s="17"/>
      <c r="Q165" s="48"/>
      <c r="R165" s="11"/>
      <c r="S165" s="48"/>
      <c r="T165" s="85"/>
      <c r="U165" s="88"/>
      <c r="V165" s="32"/>
      <c r="W165" s="25" t="s">
        <v>48</v>
      </c>
      <c r="X165" s="11"/>
      <c r="Y165" s="50" t="s">
        <v>19</v>
      </c>
      <c r="Z165" s="50"/>
      <c r="AA165" s="50"/>
      <c r="AB165" s="50"/>
      <c r="AC165" s="50"/>
      <c r="AD165" s="50"/>
      <c r="AE165" s="50"/>
      <c r="AF165" s="34"/>
      <c r="AG165" s="34"/>
      <c r="AH165" s="34"/>
      <c r="AI165" s="34"/>
      <c r="AJ165" s="34"/>
      <c r="AK165" s="34"/>
      <c r="AL165" s="34"/>
      <c r="AM165" s="34"/>
      <c r="AN165" s="34"/>
      <c r="AO165" s="65"/>
      <c r="AP165" s="69"/>
      <c r="AQ165" s="62"/>
      <c r="AR165" s="34"/>
    </row>
    <row r="166" spans="1:44" customFormat="1">
      <c r="A166" s="39">
        <v>43649</v>
      </c>
      <c r="B166" s="11" t="s">
        <v>22</v>
      </c>
      <c r="C166" s="16" t="s">
        <v>685</v>
      </c>
      <c r="D166" s="16"/>
      <c r="E166" s="38">
        <v>29146</v>
      </c>
      <c r="F166" s="38"/>
      <c r="G166" s="10" t="s">
        <v>686</v>
      </c>
      <c r="H166" s="12" t="s">
        <v>687</v>
      </c>
      <c r="I166" s="13" t="s">
        <v>1720</v>
      </c>
      <c r="J166" s="15" t="s">
        <v>688</v>
      </c>
      <c r="K166" s="12"/>
      <c r="L166" s="11" t="s">
        <v>36</v>
      </c>
      <c r="M166" s="15"/>
      <c r="N166" s="17">
        <v>2700</v>
      </c>
      <c r="O166" s="17"/>
      <c r="P166" s="17"/>
      <c r="Q166" s="48"/>
      <c r="R166" s="11"/>
      <c r="S166" s="48"/>
      <c r="T166" s="85"/>
      <c r="U166" s="88"/>
      <c r="V166" s="32"/>
      <c r="W166" s="25"/>
      <c r="X166" s="11"/>
      <c r="Y166" s="50"/>
      <c r="Z166" s="50"/>
      <c r="AA166" s="50"/>
      <c r="AB166" s="50"/>
      <c r="AC166" s="50"/>
      <c r="AD166" s="50"/>
      <c r="AE166" s="50"/>
      <c r="AF166" s="34"/>
      <c r="AG166" s="34"/>
      <c r="AH166" s="34"/>
      <c r="AI166" s="34"/>
      <c r="AJ166" s="34"/>
      <c r="AK166" s="34"/>
      <c r="AL166" s="34"/>
      <c r="AM166" s="34"/>
      <c r="AN166" s="34"/>
      <c r="AO166" s="65"/>
      <c r="AP166" s="69"/>
      <c r="AQ166" s="62"/>
      <c r="AR166" s="34"/>
    </row>
    <row r="167" spans="1:44" customFormat="1">
      <c r="A167" s="39">
        <v>43649</v>
      </c>
      <c r="B167" s="11" t="s">
        <v>22</v>
      </c>
      <c r="C167" s="16" t="s">
        <v>689</v>
      </c>
      <c r="D167" s="16"/>
      <c r="E167" s="38">
        <v>29085</v>
      </c>
      <c r="F167" s="38"/>
      <c r="G167" s="10" t="s">
        <v>690</v>
      </c>
      <c r="H167" s="12" t="s">
        <v>691</v>
      </c>
      <c r="I167" s="13" t="s">
        <v>1687</v>
      </c>
      <c r="J167" s="15" t="s">
        <v>692</v>
      </c>
      <c r="K167" s="12"/>
      <c r="L167" s="11" t="s">
        <v>36</v>
      </c>
      <c r="M167" s="15"/>
      <c r="N167" s="17">
        <v>2700</v>
      </c>
      <c r="O167" s="17"/>
      <c r="P167" s="17"/>
      <c r="Q167" s="48"/>
      <c r="R167" s="11"/>
      <c r="S167" s="48"/>
      <c r="T167" s="85"/>
      <c r="U167" s="88"/>
      <c r="V167" s="32"/>
      <c r="W167" s="25" t="s">
        <v>8</v>
      </c>
      <c r="X167" s="11"/>
      <c r="Y167" s="50"/>
      <c r="Z167" s="50"/>
      <c r="AA167" s="50"/>
      <c r="AB167" s="50"/>
      <c r="AC167" s="50"/>
      <c r="AD167" s="50"/>
      <c r="AE167" s="50"/>
      <c r="AF167" s="34"/>
      <c r="AG167" s="34"/>
      <c r="AH167" s="34"/>
      <c r="AI167" s="34"/>
      <c r="AJ167" s="34"/>
      <c r="AK167" s="34"/>
      <c r="AL167" s="34"/>
      <c r="AM167" s="34"/>
      <c r="AN167" s="34"/>
      <c r="AO167" s="65"/>
      <c r="AP167" s="69"/>
      <c r="AQ167" s="62"/>
      <c r="AR167" s="34"/>
    </row>
    <row r="168" spans="1:44" customFormat="1">
      <c r="A168" s="39">
        <v>43651</v>
      </c>
      <c r="B168" s="11" t="s">
        <v>22</v>
      </c>
      <c r="C168" s="16" t="s">
        <v>677</v>
      </c>
      <c r="D168" s="16"/>
      <c r="E168" s="38"/>
      <c r="F168" s="38"/>
      <c r="G168" s="10" t="s">
        <v>252</v>
      </c>
      <c r="H168" s="12" t="s">
        <v>678</v>
      </c>
      <c r="I168" s="13" t="s">
        <v>1653</v>
      </c>
      <c r="J168" s="15" t="s">
        <v>679</v>
      </c>
      <c r="K168" s="14" t="s">
        <v>680</v>
      </c>
      <c r="L168" s="11" t="s">
        <v>34</v>
      </c>
      <c r="M168" s="15"/>
      <c r="N168" s="17">
        <v>0</v>
      </c>
      <c r="O168" s="17"/>
      <c r="P168" s="17"/>
      <c r="Q168" s="48"/>
      <c r="R168" s="11"/>
      <c r="S168" s="48"/>
      <c r="T168" s="85"/>
      <c r="U168" s="88"/>
      <c r="V168" s="32"/>
      <c r="W168" s="25" t="s">
        <v>10</v>
      </c>
      <c r="X168" s="11"/>
      <c r="Y168" s="50" t="s">
        <v>12</v>
      </c>
      <c r="Z168" s="50"/>
      <c r="AA168" s="50"/>
      <c r="AB168" s="50"/>
      <c r="AC168" s="50"/>
      <c r="AD168" s="50"/>
      <c r="AE168" s="50"/>
      <c r="AF168" s="34"/>
      <c r="AG168" s="34"/>
      <c r="AH168" s="34"/>
      <c r="AI168" s="34"/>
      <c r="AJ168" s="34"/>
      <c r="AK168" s="34"/>
      <c r="AL168" s="34"/>
      <c r="AM168" s="34"/>
      <c r="AN168" s="34"/>
      <c r="AO168" s="65"/>
      <c r="AP168" s="69"/>
      <c r="AQ168" s="62"/>
      <c r="AR168" s="34"/>
    </row>
    <row r="169" spans="1:44" customFormat="1">
      <c r="A169" s="39">
        <v>43651</v>
      </c>
      <c r="B169" s="11" t="s">
        <v>22</v>
      </c>
      <c r="C169" s="16" t="s">
        <v>681</v>
      </c>
      <c r="D169" s="16"/>
      <c r="E169" s="38">
        <v>23347</v>
      </c>
      <c r="F169" s="38"/>
      <c r="G169" s="10" t="s">
        <v>682</v>
      </c>
      <c r="H169" s="12" t="s">
        <v>683</v>
      </c>
      <c r="I169" s="13" t="s">
        <v>1721</v>
      </c>
      <c r="J169" s="15" t="s">
        <v>684</v>
      </c>
      <c r="K169" s="12"/>
      <c r="L169" s="11" t="s">
        <v>34</v>
      </c>
      <c r="M169" s="15"/>
      <c r="N169" s="17">
        <v>0</v>
      </c>
      <c r="O169" s="17"/>
      <c r="P169" s="17"/>
      <c r="Q169" s="48"/>
      <c r="R169" s="11"/>
      <c r="S169" s="48"/>
      <c r="T169" s="85"/>
      <c r="U169" s="88"/>
      <c r="V169" s="32"/>
      <c r="W169" s="25" t="s">
        <v>8</v>
      </c>
      <c r="X169" s="11"/>
      <c r="Y169" s="50" t="s">
        <v>19</v>
      </c>
      <c r="Z169" s="50"/>
      <c r="AA169" s="50"/>
      <c r="AB169" s="50"/>
      <c r="AC169" s="50"/>
      <c r="AD169" s="50"/>
      <c r="AE169" s="50"/>
      <c r="AF169" s="34"/>
      <c r="AG169" s="34"/>
      <c r="AH169" s="34"/>
      <c r="AI169" s="34"/>
      <c r="AJ169" s="34"/>
      <c r="AK169" s="34"/>
      <c r="AL169" s="34"/>
      <c r="AM169" s="34"/>
      <c r="AN169" s="34"/>
      <c r="AO169" s="65"/>
      <c r="AP169" s="69"/>
      <c r="AQ169" s="62"/>
      <c r="AR169" s="34"/>
    </row>
    <row r="170" spans="1:44" customFormat="1">
      <c r="A170" s="39">
        <v>43652</v>
      </c>
      <c r="B170" s="11" t="s">
        <v>22</v>
      </c>
      <c r="C170" s="16" t="s">
        <v>693</v>
      </c>
      <c r="D170" s="16"/>
      <c r="E170" s="38">
        <v>27262</v>
      </c>
      <c r="F170" s="38"/>
      <c r="G170" s="10" t="s">
        <v>613</v>
      </c>
      <c r="H170" s="12" t="s">
        <v>694</v>
      </c>
      <c r="I170" s="13" t="s">
        <v>1722</v>
      </c>
      <c r="J170" s="15" t="s">
        <v>695</v>
      </c>
      <c r="K170" s="12"/>
      <c r="L170" s="11" t="s">
        <v>34</v>
      </c>
      <c r="M170" s="15"/>
      <c r="N170" s="17">
        <v>2700</v>
      </c>
      <c r="O170" s="17"/>
      <c r="P170" s="17"/>
      <c r="Q170" s="48"/>
      <c r="R170" s="11"/>
      <c r="S170" s="48"/>
      <c r="T170" s="85"/>
      <c r="U170" s="88"/>
      <c r="V170" s="32"/>
      <c r="W170" s="25" t="s">
        <v>8</v>
      </c>
      <c r="X170" s="11"/>
      <c r="Y170" s="50" t="s">
        <v>12</v>
      </c>
      <c r="Z170" s="50"/>
      <c r="AA170" s="50"/>
      <c r="AB170" s="50"/>
      <c r="AC170" s="50"/>
      <c r="AD170" s="50"/>
      <c r="AE170" s="50"/>
      <c r="AF170" s="34"/>
      <c r="AG170" s="34"/>
      <c r="AH170" s="34"/>
      <c r="AI170" s="34"/>
      <c r="AJ170" s="34"/>
      <c r="AK170" s="34"/>
      <c r="AL170" s="34"/>
      <c r="AM170" s="34"/>
      <c r="AN170" s="34"/>
      <c r="AO170" s="65"/>
      <c r="AP170" s="69"/>
      <c r="AQ170" s="62"/>
      <c r="AR170" s="34"/>
    </row>
    <row r="171" spans="1:44" customFormat="1">
      <c r="A171" s="39">
        <v>43652</v>
      </c>
      <c r="B171" s="11" t="s">
        <v>22</v>
      </c>
      <c r="C171" s="16" t="s">
        <v>696</v>
      </c>
      <c r="D171" s="16"/>
      <c r="E171" s="38">
        <v>22986</v>
      </c>
      <c r="F171" s="38"/>
      <c r="G171" s="10" t="s">
        <v>485</v>
      </c>
      <c r="H171" s="12" t="s">
        <v>697</v>
      </c>
      <c r="I171" s="13" t="s">
        <v>1640</v>
      </c>
      <c r="J171" s="15" t="s">
        <v>698</v>
      </c>
      <c r="K171" s="12"/>
      <c r="L171" s="11" t="s">
        <v>34</v>
      </c>
      <c r="M171" s="15"/>
      <c r="N171" s="17">
        <v>2700</v>
      </c>
      <c r="O171" s="17"/>
      <c r="P171" s="17"/>
      <c r="Q171" s="48"/>
      <c r="R171" s="11"/>
      <c r="S171" s="48"/>
      <c r="T171" s="85"/>
      <c r="U171" s="88"/>
      <c r="V171" s="32"/>
      <c r="W171" s="25" t="s">
        <v>10</v>
      </c>
      <c r="X171" s="11"/>
      <c r="Y171" s="50"/>
      <c r="Z171" s="50"/>
      <c r="AA171" s="50"/>
      <c r="AB171" s="50"/>
      <c r="AC171" s="50"/>
      <c r="AD171" s="50"/>
      <c r="AE171" s="50"/>
      <c r="AF171" s="34"/>
      <c r="AG171" s="34"/>
      <c r="AH171" s="34"/>
      <c r="AI171" s="34"/>
      <c r="AJ171" s="34"/>
      <c r="AK171" s="34"/>
      <c r="AL171" s="34"/>
      <c r="AM171" s="34"/>
      <c r="AN171" s="34"/>
      <c r="AO171" s="65"/>
      <c r="AP171" s="69"/>
      <c r="AQ171" s="62"/>
      <c r="AR171" s="34"/>
    </row>
    <row r="172" spans="1:44" customFormat="1">
      <c r="A172" s="39">
        <v>43653</v>
      </c>
      <c r="B172" s="11" t="s">
        <v>22</v>
      </c>
      <c r="C172" s="16" t="s">
        <v>699</v>
      </c>
      <c r="D172" s="16"/>
      <c r="E172" s="38">
        <v>23916</v>
      </c>
      <c r="F172" s="38"/>
      <c r="G172" s="10" t="s">
        <v>700</v>
      </c>
      <c r="H172" s="12" t="s">
        <v>701</v>
      </c>
      <c r="I172" s="13" t="s">
        <v>1723</v>
      </c>
      <c r="J172" s="15" t="s">
        <v>702</v>
      </c>
      <c r="K172" s="12"/>
      <c r="L172" s="11" t="s">
        <v>36</v>
      </c>
      <c r="M172" s="15"/>
      <c r="N172" s="17">
        <v>2700</v>
      </c>
      <c r="O172" s="17"/>
      <c r="P172" s="17"/>
      <c r="Q172" s="48"/>
      <c r="R172" s="11"/>
      <c r="S172" s="48"/>
      <c r="T172" s="85"/>
      <c r="U172" s="88"/>
      <c r="V172" s="32"/>
      <c r="W172" s="25" t="s">
        <v>8</v>
      </c>
      <c r="X172" s="11"/>
      <c r="Y172" s="50" t="s">
        <v>15</v>
      </c>
      <c r="Z172" s="50"/>
      <c r="AA172" s="50"/>
      <c r="AB172" s="50"/>
      <c r="AC172" s="50"/>
      <c r="AD172" s="50"/>
      <c r="AE172" s="50"/>
      <c r="AF172" s="34"/>
      <c r="AG172" s="34"/>
      <c r="AH172" s="34"/>
      <c r="AI172" s="34"/>
      <c r="AJ172" s="34"/>
      <c r="AK172" s="34"/>
      <c r="AL172" s="34"/>
      <c r="AM172" s="34"/>
      <c r="AN172" s="34"/>
      <c r="AO172" s="65"/>
      <c r="AP172" s="69"/>
      <c r="AQ172" s="62"/>
      <c r="AR172" s="34"/>
    </row>
    <row r="173" spans="1:44" customFormat="1">
      <c r="A173" s="39">
        <v>43653</v>
      </c>
      <c r="B173" s="11" t="s">
        <v>22</v>
      </c>
      <c r="C173" s="16" t="s">
        <v>703</v>
      </c>
      <c r="D173" s="16"/>
      <c r="E173" s="38">
        <v>26168</v>
      </c>
      <c r="F173" s="38"/>
      <c r="G173" s="10" t="s">
        <v>704</v>
      </c>
      <c r="H173" s="12" t="s">
        <v>705</v>
      </c>
      <c r="I173" s="13">
        <v>1.8</v>
      </c>
      <c r="J173" s="15" t="s">
        <v>706</v>
      </c>
      <c r="K173" s="12"/>
      <c r="L173" s="11" t="s">
        <v>33</v>
      </c>
      <c r="M173" s="15"/>
      <c r="N173" s="17">
        <v>0</v>
      </c>
      <c r="O173" s="17"/>
      <c r="P173" s="17"/>
      <c r="Q173" s="48"/>
      <c r="R173" s="11"/>
      <c r="S173" s="48"/>
      <c r="T173" s="85"/>
      <c r="U173" s="88"/>
      <c r="V173" s="32"/>
      <c r="W173" s="25" t="s">
        <v>10</v>
      </c>
      <c r="X173" s="11"/>
      <c r="Y173" s="50" t="s">
        <v>18</v>
      </c>
      <c r="Z173" s="50"/>
      <c r="AA173" s="50"/>
      <c r="AB173" s="50"/>
      <c r="AC173" s="50"/>
      <c r="AD173" s="50"/>
      <c r="AE173" s="50"/>
      <c r="AF173" s="34"/>
      <c r="AG173" s="34"/>
      <c r="AH173" s="34"/>
      <c r="AI173" s="34"/>
      <c r="AJ173" s="34"/>
      <c r="AK173" s="34"/>
      <c r="AL173" s="34"/>
      <c r="AM173" s="34"/>
      <c r="AN173" s="34"/>
      <c r="AO173" s="65"/>
      <c r="AP173" s="69"/>
      <c r="AQ173" s="62"/>
      <c r="AR173" s="34"/>
    </row>
    <row r="174" spans="1:44" customFormat="1">
      <c r="A174" s="39">
        <v>43653</v>
      </c>
      <c r="B174" s="11" t="s">
        <v>22</v>
      </c>
      <c r="C174" s="16" t="s">
        <v>707</v>
      </c>
      <c r="D174" s="16"/>
      <c r="E174" s="38">
        <v>27665</v>
      </c>
      <c r="F174" s="38"/>
      <c r="G174" s="10" t="s">
        <v>148</v>
      </c>
      <c r="H174" s="12" t="s">
        <v>708</v>
      </c>
      <c r="I174" s="13">
        <v>2</v>
      </c>
      <c r="J174" s="15" t="s">
        <v>709</v>
      </c>
      <c r="K174" s="12"/>
      <c r="L174" s="11" t="s">
        <v>34</v>
      </c>
      <c r="M174" s="15"/>
      <c r="N174" s="17">
        <v>2700</v>
      </c>
      <c r="O174" s="17"/>
      <c r="P174" s="17"/>
      <c r="Q174" s="48"/>
      <c r="R174" s="11"/>
      <c r="S174" s="48"/>
      <c r="T174" s="85"/>
      <c r="U174" s="88"/>
      <c r="V174" s="32"/>
      <c r="W174" s="25" t="s">
        <v>8</v>
      </c>
      <c r="X174" s="11"/>
      <c r="Y174" s="50" t="s">
        <v>15</v>
      </c>
      <c r="Z174" s="50"/>
      <c r="AA174" s="50"/>
      <c r="AB174" s="50"/>
      <c r="AC174" s="50"/>
      <c r="AD174" s="50"/>
      <c r="AE174" s="50"/>
      <c r="AF174" s="34"/>
      <c r="AG174" s="34"/>
      <c r="AH174" s="34"/>
      <c r="AI174" s="34"/>
      <c r="AJ174" s="34"/>
      <c r="AK174" s="34"/>
      <c r="AL174" s="34"/>
      <c r="AM174" s="34"/>
      <c r="AN174" s="34"/>
      <c r="AO174" s="65"/>
      <c r="AP174" s="69"/>
      <c r="AQ174" s="62"/>
      <c r="AR174" s="34"/>
    </row>
    <row r="175" spans="1:44" customFormat="1">
      <c r="A175" s="39">
        <v>43656</v>
      </c>
      <c r="B175" s="11" t="s">
        <v>49</v>
      </c>
      <c r="C175" s="16" t="s">
        <v>718</v>
      </c>
      <c r="D175" s="16"/>
      <c r="E175" s="38">
        <v>22768</v>
      </c>
      <c r="F175" s="38"/>
      <c r="G175" s="10" t="s">
        <v>710</v>
      </c>
      <c r="H175" s="12" t="s">
        <v>711</v>
      </c>
      <c r="I175" s="13">
        <v>88.3</v>
      </c>
      <c r="J175" s="15" t="s">
        <v>712</v>
      </c>
      <c r="K175" s="12"/>
      <c r="L175" s="11" t="s">
        <v>34</v>
      </c>
      <c r="M175" s="15"/>
      <c r="N175" s="17">
        <v>10800</v>
      </c>
      <c r="O175" s="17"/>
      <c r="P175" s="17"/>
      <c r="Q175" s="48"/>
      <c r="R175" s="11"/>
      <c r="S175" s="48"/>
      <c r="T175" s="85"/>
      <c r="U175" s="88"/>
      <c r="V175" s="32" t="s">
        <v>403</v>
      </c>
      <c r="W175" s="25" t="s">
        <v>8</v>
      </c>
      <c r="X175" s="11"/>
      <c r="Y175" s="50" t="s">
        <v>14</v>
      </c>
      <c r="Z175" s="50"/>
      <c r="AA175" s="50"/>
      <c r="AB175" s="50"/>
      <c r="AC175" s="50"/>
      <c r="AD175" s="50"/>
      <c r="AE175" s="50"/>
      <c r="AF175" s="34"/>
      <c r="AG175" s="34"/>
      <c r="AH175" s="34"/>
      <c r="AI175" s="34"/>
      <c r="AJ175" s="34"/>
      <c r="AK175" s="34"/>
      <c r="AL175" s="34"/>
      <c r="AM175" s="34"/>
      <c r="AN175" s="34"/>
      <c r="AO175" s="65"/>
      <c r="AP175" s="69"/>
      <c r="AQ175" s="62"/>
      <c r="AR175" s="34"/>
    </row>
    <row r="176" spans="1:44" customFormat="1">
      <c r="A176" s="39">
        <v>43656</v>
      </c>
      <c r="B176" s="11" t="s">
        <v>49</v>
      </c>
      <c r="C176" s="16" t="s">
        <v>719</v>
      </c>
      <c r="D176" s="16"/>
      <c r="E176" s="38">
        <v>22352</v>
      </c>
      <c r="F176" s="38"/>
      <c r="G176" s="10" t="s">
        <v>710</v>
      </c>
      <c r="H176" s="12" t="s">
        <v>711</v>
      </c>
      <c r="I176" s="13">
        <v>88.3</v>
      </c>
      <c r="J176" s="15" t="s">
        <v>713</v>
      </c>
      <c r="K176" s="14" t="s">
        <v>714</v>
      </c>
      <c r="L176" s="11" t="s">
        <v>34</v>
      </c>
      <c r="M176" s="15"/>
      <c r="N176" s="17">
        <v>10800</v>
      </c>
      <c r="O176" s="17"/>
      <c r="P176" s="17"/>
      <c r="Q176" s="48"/>
      <c r="R176" s="11"/>
      <c r="S176" s="48"/>
      <c r="T176" s="85"/>
      <c r="U176" s="88"/>
      <c r="V176" s="32" t="s">
        <v>403</v>
      </c>
      <c r="W176" s="25" t="s">
        <v>8</v>
      </c>
      <c r="X176" s="11"/>
      <c r="Y176" s="50" t="s">
        <v>14</v>
      </c>
      <c r="Z176" s="50"/>
      <c r="AA176" s="50"/>
      <c r="AB176" s="50"/>
      <c r="AC176" s="50"/>
      <c r="AD176" s="50"/>
      <c r="AE176" s="50"/>
      <c r="AF176" s="34"/>
      <c r="AG176" s="34"/>
      <c r="AH176" s="34"/>
      <c r="AI176" s="34"/>
      <c r="AJ176" s="34"/>
      <c r="AK176" s="34"/>
      <c r="AL176" s="34"/>
      <c r="AM176" s="34"/>
      <c r="AN176" s="34"/>
      <c r="AO176" s="65"/>
      <c r="AP176" s="69"/>
      <c r="AQ176" s="62"/>
      <c r="AR176" s="34"/>
    </row>
    <row r="177" spans="1:44" customFormat="1">
      <c r="A177" s="39">
        <v>43656</v>
      </c>
      <c r="B177" s="11" t="s">
        <v>22</v>
      </c>
      <c r="C177" s="16" t="s">
        <v>715</v>
      </c>
      <c r="D177" s="16"/>
      <c r="E177" s="38">
        <v>33444</v>
      </c>
      <c r="F177" s="38"/>
      <c r="G177" s="10" t="s">
        <v>716</v>
      </c>
      <c r="H177" s="12" t="s">
        <v>717</v>
      </c>
      <c r="I177" s="13">
        <v>75.5</v>
      </c>
      <c r="J177" s="15" t="s">
        <v>644</v>
      </c>
      <c r="K177" s="12"/>
      <c r="L177" s="11"/>
      <c r="M177" s="15"/>
      <c r="N177" s="17">
        <v>2700</v>
      </c>
      <c r="O177" s="17"/>
      <c r="P177" s="17"/>
      <c r="Q177" s="48"/>
      <c r="R177" s="11"/>
      <c r="S177" s="48"/>
      <c r="T177" s="85"/>
      <c r="U177" s="88"/>
      <c r="V177" s="32"/>
      <c r="W177" s="25"/>
      <c r="X177" s="11"/>
      <c r="Y177" s="50"/>
      <c r="Z177" s="50"/>
      <c r="AA177" s="50"/>
      <c r="AB177" s="50"/>
      <c r="AC177" s="50"/>
      <c r="AD177" s="50"/>
      <c r="AE177" s="50"/>
      <c r="AF177" s="34"/>
      <c r="AG177" s="34"/>
      <c r="AH177" s="34"/>
      <c r="AI177" s="34"/>
      <c r="AJ177" s="34"/>
      <c r="AK177" s="34"/>
      <c r="AL177" s="34"/>
      <c r="AM177" s="34"/>
      <c r="AN177" s="34"/>
      <c r="AO177" s="65"/>
      <c r="AP177" s="69"/>
      <c r="AQ177" s="62"/>
      <c r="AR177" s="34"/>
    </row>
    <row r="178" spans="1:44" customFormat="1">
      <c r="A178" s="39">
        <v>43657</v>
      </c>
      <c r="B178" s="11" t="s">
        <v>22</v>
      </c>
      <c r="C178" s="16" t="s">
        <v>720</v>
      </c>
      <c r="D178" s="16"/>
      <c r="E178" s="38">
        <v>24968</v>
      </c>
      <c r="F178" s="38"/>
      <c r="G178" s="10" t="s">
        <v>721</v>
      </c>
      <c r="H178" s="12" t="s">
        <v>722</v>
      </c>
      <c r="I178" s="13">
        <v>21.5</v>
      </c>
      <c r="J178" s="15" t="s">
        <v>723</v>
      </c>
      <c r="K178" s="12"/>
      <c r="L178" s="11"/>
      <c r="M178" s="15"/>
      <c r="N178" s="17">
        <v>2700</v>
      </c>
      <c r="O178" s="17"/>
      <c r="P178" s="17"/>
      <c r="Q178" s="48"/>
      <c r="R178" s="11"/>
      <c r="S178" s="48"/>
      <c r="T178" s="85"/>
      <c r="U178" s="88"/>
      <c r="V178" s="32" t="s">
        <v>567</v>
      </c>
      <c r="W178" s="25" t="s">
        <v>8</v>
      </c>
      <c r="X178" s="11"/>
      <c r="Y178" s="50"/>
      <c r="Z178" s="50"/>
      <c r="AA178" s="50"/>
      <c r="AB178" s="50"/>
      <c r="AC178" s="50"/>
      <c r="AD178" s="50"/>
      <c r="AE178" s="50"/>
      <c r="AF178" s="34"/>
      <c r="AG178" s="34"/>
      <c r="AH178" s="34"/>
      <c r="AI178" s="34"/>
      <c r="AJ178" s="34"/>
      <c r="AK178" s="34"/>
      <c r="AL178" s="34"/>
      <c r="AM178" s="34"/>
      <c r="AN178" s="34"/>
      <c r="AO178" s="65"/>
      <c r="AP178" s="69"/>
      <c r="AQ178" s="62"/>
      <c r="AR178" s="34"/>
    </row>
    <row r="179" spans="1:44" customFormat="1">
      <c r="A179" s="39">
        <v>43657</v>
      </c>
      <c r="B179" s="11" t="s">
        <v>22</v>
      </c>
      <c r="C179" s="16" t="s">
        <v>724</v>
      </c>
      <c r="D179" s="16"/>
      <c r="E179" s="38">
        <v>27890</v>
      </c>
      <c r="F179" s="38"/>
      <c r="G179" s="10" t="s">
        <v>73</v>
      </c>
      <c r="H179" s="12" t="s">
        <v>725</v>
      </c>
      <c r="I179" s="13">
        <v>21.1</v>
      </c>
      <c r="J179" s="15" t="s">
        <v>726</v>
      </c>
      <c r="K179" s="12"/>
      <c r="L179" s="11"/>
      <c r="M179" s="15"/>
      <c r="N179" s="17">
        <v>2700</v>
      </c>
      <c r="O179" s="17"/>
      <c r="P179" s="17"/>
      <c r="Q179" s="48"/>
      <c r="R179" s="11"/>
      <c r="S179" s="48"/>
      <c r="T179" s="85"/>
      <c r="U179" s="88"/>
      <c r="V179" s="32" t="s">
        <v>567</v>
      </c>
      <c r="W179" s="25" t="s">
        <v>8</v>
      </c>
      <c r="X179" s="11"/>
      <c r="Y179" s="50" t="s">
        <v>11</v>
      </c>
      <c r="Z179" s="50"/>
      <c r="AA179" s="50"/>
      <c r="AB179" s="50"/>
      <c r="AC179" s="50"/>
      <c r="AD179" s="50"/>
      <c r="AE179" s="50"/>
      <c r="AF179" s="34"/>
      <c r="AG179" s="34"/>
      <c r="AH179" s="34"/>
      <c r="AI179" s="34"/>
      <c r="AJ179" s="34"/>
      <c r="AK179" s="34"/>
      <c r="AL179" s="34"/>
      <c r="AM179" s="34"/>
      <c r="AN179" s="34"/>
      <c r="AO179" s="65"/>
      <c r="AP179" s="69"/>
      <c r="AQ179" s="62"/>
      <c r="AR179" s="34"/>
    </row>
    <row r="180" spans="1:44" customFormat="1">
      <c r="A180" s="39">
        <v>43657</v>
      </c>
      <c r="B180" s="11" t="s">
        <v>49</v>
      </c>
      <c r="C180" s="16" t="s">
        <v>727</v>
      </c>
      <c r="D180" s="16"/>
      <c r="E180" s="38">
        <v>21211</v>
      </c>
      <c r="F180" s="38"/>
      <c r="G180" s="10" t="s">
        <v>728</v>
      </c>
      <c r="H180" s="12" t="s">
        <v>729</v>
      </c>
      <c r="I180" s="13">
        <v>72.900000000000006</v>
      </c>
      <c r="J180" s="15" t="s">
        <v>730</v>
      </c>
      <c r="K180" s="12"/>
      <c r="L180" s="11" t="s">
        <v>36</v>
      </c>
      <c r="M180" s="15"/>
      <c r="N180" s="17">
        <v>16200</v>
      </c>
      <c r="O180" s="17"/>
      <c r="P180" s="17"/>
      <c r="Q180" s="48"/>
      <c r="R180" s="11"/>
      <c r="S180" s="48"/>
      <c r="T180" s="85"/>
      <c r="U180" s="88"/>
      <c r="V180" s="32"/>
      <c r="W180" s="25" t="s">
        <v>48</v>
      </c>
      <c r="X180" s="11"/>
      <c r="Y180" s="50" t="s">
        <v>13</v>
      </c>
      <c r="Z180" s="50"/>
      <c r="AA180" s="50"/>
      <c r="AB180" s="50"/>
      <c r="AC180" s="50"/>
      <c r="AD180" s="50"/>
      <c r="AE180" s="50"/>
      <c r="AF180" s="34"/>
      <c r="AG180" s="34"/>
      <c r="AH180" s="34"/>
      <c r="AI180" s="34"/>
      <c r="AJ180" s="34"/>
      <c r="AK180" s="34"/>
      <c r="AL180" s="34"/>
      <c r="AM180" s="34"/>
      <c r="AN180" s="34"/>
      <c r="AO180" s="65"/>
      <c r="AP180" s="69"/>
      <c r="AQ180" s="62"/>
      <c r="AR180" s="34"/>
    </row>
    <row r="181" spans="1:44" customFormat="1">
      <c r="A181" s="39">
        <v>43659</v>
      </c>
      <c r="B181" s="11" t="s">
        <v>49</v>
      </c>
      <c r="C181" s="16" t="s">
        <v>765</v>
      </c>
      <c r="D181" s="16"/>
      <c r="E181" s="38">
        <v>24094</v>
      </c>
      <c r="F181" s="38"/>
      <c r="G181" s="10" t="s">
        <v>710</v>
      </c>
      <c r="H181" s="12" t="s">
        <v>731</v>
      </c>
      <c r="I181" s="13">
        <v>87.8</v>
      </c>
      <c r="J181" s="15" t="s">
        <v>732</v>
      </c>
      <c r="K181" s="12"/>
      <c r="L181" s="11"/>
      <c r="M181" s="15"/>
      <c r="N181" s="17">
        <v>0</v>
      </c>
      <c r="O181" s="17"/>
      <c r="P181" s="17"/>
      <c r="Q181" s="48"/>
      <c r="R181" s="11"/>
      <c r="S181" s="48"/>
      <c r="T181" s="85"/>
      <c r="U181" s="88"/>
      <c r="V181" s="32" t="s">
        <v>567</v>
      </c>
      <c r="W181" s="25"/>
      <c r="X181" s="11"/>
      <c r="Y181" s="50"/>
      <c r="Z181" s="50"/>
      <c r="AA181" s="50"/>
      <c r="AB181" s="50"/>
      <c r="AC181" s="50"/>
      <c r="AD181" s="50"/>
      <c r="AE181" s="50"/>
      <c r="AF181" s="34"/>
      <c r="AG181" s="34"/>
      <c r="AH181" s="34"/>
      <c r="AI181" s="34"/>
      <c r="AJ181" s="34"/>
      <c r="AK181" s="34"/>
      <c r="AL181" s="34"/>
      <c r="AM181" s="34"/>
      <c r="AN181" s="34"/>
      <c r="AO181" s="65"/>
      <c r="AP181" s="69"/>
      <c r="AQ181" s="62"/>
      <c r="AR181" s="34"/>
    </row>
    <row r="182" spans="1:44" customFormat="1">
      <c r="A182" s="39">
        <v>43659</v>
      </c>
      <c r="B182" s="11" t="s">
        <v>24</v>
      </c>
      <c r="C182" s="16" t="s">
        <v>733</v>
      </c>
      <c r="D182" s="16"/>
      <c r="E182" s="38">
        <v>26715</v>
      </c>
      <c r="F182" s="38"/>
      <c r="G182" s="10" t="s">
        <v>734</v>
      </c>
      <c r="H182" s="12" t="s">
        <v>735</v>
      </c>
      <c r="I182" s="13">
        <v>52.9</v>
      </c>
      <c r="J182" s="15" t="s">
        <v>736</v>
      </c>
      <c r="K182" s="14" t="s">
        <v>737</v>
      </c>
      <c r="L182" s="11" t="s">
        <v>36</v>
      </c>
      <c r="M182" s="15"/>
      <c r="N182" s="17">
        <v>8100</v>
      </c>
      <c r="O182" s="17"/>
      <c r="P182" s="17"/>
      <c r="Q182" s="48"/>
      <c r="R182" s="11"/>
      <c r="S182" s="48"/>
      <c r="T182" s="85"/>
      <c r="U182" s="88"/>
      <c r="V182" s="32" t="s">
        <v>738</v>
      </c>
      <c r="W182" s="25" t="s">
        <v>48</v>
      </c>
      <c r="X182" s="11"/>
      <c r="Y182" s="50" t="s">
        <v>13</v>
      </c>
      <c r="Z182" s="50"/>
      <c r="AA182" s="50"/>
      <c r="AB182" s="50"/>
      <c r="AC182" s="50"/>
      <c r="AD182" s="50"/>
      <c r="AE182" s="50"/>
      <c r="AF182" s="34"/>
      <c r="AG182" s="34"/>
      <c r="AH182" s="34"/>
      <c r="AI182" s="34"/>
      <c r="AJ182" s="34"/>
      <c r="AK182" s="34"/>
      <c r="AL182" s="34"/>
      <c r="AM182" s="34"/>
      <c r="AN182" s="34"/>
      <c r="AO182" s="65"/>
      <c r="AP182" s="69"/>
      <c r="AQ182" s="62"/>
      <c r="AR182" s="34"/>
    </row>
    <row r="183" spans="1:44" customFormat="1">
      <c r="A183" s="39">
        <v>43659</v>
      </c>
      <c r="B183" s="11" t="s">
        <v>22</v>
      </c>
      <c r="C183" s="16" t="s">
        <v>739</v>
      </c>
      <c r="D183" s="16"/>
      <c r="E183" s="38">
        <v>26320</v>
      </c>
      <c r="F183" s="38"/>
      <c r="G183" s="10" t="s">
        <v>734</v>
      </c>
      <c r="H183" s="12" t="s">
        <v>735</v>
      </c>
      <c r="I183" s="13">
        <v>52.9</v>
      </c>
      <c r="J183" s="15" t="s">
        <v>743</v>
      </c>
      <c r="K183" s="12"/>
      <c r="L183" s="11" t="s">
        <v>36</v>
      </c>
      <c r="M183" s="15"/>
      <c r="N183" s="17">
        <v>2700</v>
      </c>
      <c r="O183" s="17"/>
      <c r="P183" s="17"/>
      <c r="Q183" s="48"/>
      <c r="R183" s="11"/>
      <c r="S183" s="48"/>
      <c r="T183" s="85"/>
      <c r="U183" s="88"/>
      <c r="V183" s="32"/>
      <c r="W183" s="25" t="s">
        <v>48</v>
      </c>
      <c r="X183" s="11"/>
      <c r="Y183" s="50" t="s">
        <v>12</v>
      </c>
      <c r="Z183" s="50"/>
      <c r="AA183" s="50"/>
      <c r="AB183" s="50"/>
      <c r="AC183" s="50"/>
      <c r="AD183" s="50"/>
      <c r="AE183" s="50"/>
      <c r="AF183" s="34"/>
      <c r="AG183" s="34"/>
      <c r="AH183" s="34"/>
      <c r="AI183" s="34"/>
      <c r="AJ183" s="34"/>
      <c r="AK183" s="34"/>
      <c r="AL183" s="34"/>
      <c r="AM183" s="34"/>
      <c r="AN183" s="34"/>
      <c r="AO183" s="65"/>
      <c r="AP183" s="69"/>
      <c r="AQ183" s="62"/>
      <c r="AR183" s="34"/>
    </row>
    <row r="184" spans="1:44" customFormat="1">
      <c r="A184" s="39">
        <v>43659</v>
      </c>
      <c r="B184" s="11" t="s">
        <v>24</v>
      </c>
      <c r="C184" s="16" t="s">
        <v>740</v>
      </c>
      <c r="D184" s="16"/>
      <c r="E184" s="38">
        <v>25871</v>
      </c>
      <c r="F184" s="38"/>
      <c r="G184" s="10" t="s">
        <v>515</v>
      </c>
      <c r="H184" s="12" t="s">
        <v>741</v>
      </c>
      <c r="I184" s="13">
        <v>10.4</v>
      </c>
      <c r="J184" s="15" t="s">
        <v>742</v>
      </c>
      <c r="K184" s="12"/>
      <c r="L184" s="11" t="s">
        <v>36</v>
      </c>
      <c r="M184" s="15"/>
      <c r="N184" s="17">
        <v>8100</v>
      </c>
      <c r="O184" s="17"/>
      <c r="P184" s="17"/>
      <c r="Q184" s="48"/>
      <c r="R184" s="11"/>
      <c r="S184" s="48"/>
      <c r="T184" s="85"/>
      <c r="U184" s="88"/>
      <c r="V184" s="32" t="s">
        <v>738</v>
      </c>
      <c r="W184" s="25" t="s">
        <v>48</v>
      </c>
      <c r="X184" s="11"/>
      <c r="Y184" s="50" t="s">
        <v>13</v>
      </c>
      <c r="Z184" s="50"/>
      <c r="AA184" s="50"/>
      <c r="AB184" s="50"/>
      <c r="AC184" s="50"/>
      <c r="AD184" s="50"/>
      <c r="AE184" s="50"/>
      <c r="AF184" s="34"/>
      <c r="AG184" s="34"/>
      <c r="AH184" s="34"/>
      <c r="AI184" s="34"/>
      <c r="AJ184" s="34"/>
      <c r="AK184" s="34"/>
      <c r="AL184" s="34"/>
      <c r="AM184" s="34"/>
      <c r="AN184" s="34"/>
      <c r="AO184" s="65"/>
      <c r="AP184" s="69"/>
      <c r="AQ184" s="62"/>
      <c r="AR184" s="34"/>
    </row>
    <row r="185" spans="1:44" customFormat="1">
      <c r="A185" s="39">
        <v>43660</v>
      </c>
      <c r="B185" s="11" t="s">
        <v>49</v>
      </c>
      <c r="C185" s="16" t="s">
        <v>744</v>
      </c>
      <c r="D185" s="16"/>
      <c r="E185" s="38">
        <v>26949</v>
      </c>
      <c r="F185" s="38"/>
      <c r="G185" s="10" t="s">
        <v>758</v>
      </c>
      <c r="H185" s="12" t="s">
        <v>745</v>
      </c>
      <c r="I185" s="13">
        <v>92.5</v>
      </c>
      <c r="J185" s="15" t="s">
        <v>746</v>
      </c>
      <c r="K185" s="12"/>
      <c r="L185" s="11" t="s">
        <v>33</v>
      </c>
      <c r="M185" s="15"/>
      <c r="N185" s="17">
        <v>10800</v>
      </c>
      <c r="O185" s="17"/>
      <c r="P185" s="17"/>
      <c r="Q185" s="48"/>
      <c r="R185" s="11"/>
      <c r="S185" s="48"/>
      <c r="T185" s="85"/>
      <c r="U185" s="88"/>
      <c r="V185" s="32"/>
      <c r="W185" s="25" t="s">
        <v>8</v>
      </c>
      <c r="X185" s="11"/>
      <c r="Y185" s="50" t="s">
        <v>13</v>
      </c>
      <c r="Z185" s="50"/>
      <c r="AA185" s="50"/>
      <c r="AB185" s="50"/>
      <c r="AC185" s="50"/>
      <c r="AD185" s="50"/>
      <c r="AE185" s="50"/>
      <c r="AF185" s="34"/>
      <c r="AG185" s="34"/>
      <c r="AH185" s="34"/>
      <c r="AI185" s="34"/>
      <c r="AJ185" s="34"/>
      <c r="AK185" s="34"/>
      <c r="AL185" s="34"/>
      <c r="AM185" s="34"/>
      <c r="AN185" s="34"/>
      <c r="AO185" s="65"/>
      <c r="AP185" s="69"/>
      <c r="AQ185" s="62"/>
      <c r="AR185" s="34"/>
    </row>
    <row r="186" spans="1:44" customFormat="1">
      <c r="A186" s="39">
        <v>43660</v>
      </c>
      <c r="B186" s="11" t="s">
        <v>22</v>
      </c>
      <c r="C186" s="16" t="s">
        <v>747</v>
      </c>
      <c r="D186" s="16"/>
      <c r="E186" s="38">
        <v>23061</v>
      </c>
      <c r="F186" s="38"/>
      <c r="G186" s="10" t="s">
        <v>344</v>
      </c>
      <c r="H186" s="12" t="s">
        <v>748</v>
      </c>
      <c r="I186" s="13">
        <v>0.6</v>
      </c>
      <c r="J186" s="15" t="s">
        <v>749</v>
      </c>
      <c r="K186" s="12"/>
      <c r="L186" s="11" t="s">
        <v>36</v>
      </c>
      <c r="M186" s="15"/>
      <c r="N186" s="17">
        <v>0</v>
      </c>
      <c r="O186" s="17"/>
      <c r="P186" s="17"/>
      <c r="Q186" s="48"/>
      <c r="R186" s="11"/>
      <c r="S186" s="48"/>
      <c r="T186" s="85"/>
      <c r="U186" s="88"/>
      <c r="V186" s="32"/>
      <c r="W186" s="25" t="s">
        <v>10</v>
      </c>
      <c r="X186" s="11"/>
      <c r="Y186" s="50" t="s">
        <v>15</v>
      </c>
      <c r="Z186" s="50"/>
      <c r="AA186" s="50"/>
      <c r="AB186" s="50"/>
      <c r="AC186" s="50"/>
      <c r="AD186" s="50"/>
      <c r="AE186" s="50"/>
      <c r="AF186" s="34"/>
      <c r="AG186" s="34"/>
      <c r="AH186" s="34"/>
      <c r="AI186" s="34"/>
      <c r="AJ186" s="34"/>
      <c r="AK186" s="34"/>
      <c r="AL186" s="34"/>
      <c r="AM186" s="34"/>
      <c r="AN186" s="34"/>
      <c r="AO186" s="65"/>
      <c r="AP186" s="69"/>
      <c r="AQ186" s="62"/>
      <c r="AR186" s="34"/>
    </row>
    <row r="187" spans="1:44" customFormat="1">
      <c r="A187" s="39">
        <v>43660</v>
      </c>
      <c r="B187" s="11" t="s">
        <v>49</v>
      </c>
      <c r="C187" s="16" t="s">
        <v>750</v>
      </c>
      <c r="D187" s="16"/>
      <c r="E187" s="38">
        <v>27948</v>
      </c>
      <c r="F187" s="38"/>
      <c r="G187" s="10" t="s">
        <v>751</v>
      </c>
      <c r="H187" s="12" t="s">
        <v>752</v>
      </c>
      <c r="I187" s="13">
        <v>3.2</v>
      </c>
      <c r="J187" s="15" t="s">
        <v>753</v>
      </c>
      <c r="K187" s="12"/>
      <c r="L187" s="11"/>
      <c r="M187" s="15"/>
      <c r="N187" s="17">
        <v>10800</v>
      </c>
      <c r="O187" s="17"/>
      <c r="P187" s="17"/>
      <c r="Q187" s="48"/>
      <c r="R187" s="11"/>
      <c r="S187" s="48"/>
      <c r="T187" s="85"/>
      <c r="U187" s="88"/>
      <c r="V187" s="32"/>
      <c r="W187" s="25"/>
      <c r="X187" s="11"/>
      <c r="Y187" s="50"/>
      <c r="Z187" s="50"/>
      <c r="AA187" s="50"/>
      <c r="AB187" s="50"/>
      <c r="AC187" s="50"/>
      <c r="AD187" s="50"/>
      <c r="AE187" s="50"/>
      <c r="AF187" s="34"/>
      <c r="AG187" s="34"/>
      <c r="AH187" s="34"/>
      <c r="AI187" s="34"/>
      <c r="AJ187" s="34"/>
      <c r="AK187" s="34"/>
      <c r="AL187" s="34"/>
      <c r="AM187" s="34"/>
      <c r="AN187" s="34"/>
      <c r="AO187" s="65"/>
      <c r="AP187" s="69"/>
      <c r="AQ187" s="62"/>
      <c r="AR187" s="34"/>
    </row>
    <row r="188" spans="1:44" customFormat="1">
      <c r="A188" s="39">
        <v>43660</v>
      </c>
      <c r="B188" s="11" t="s">
        <v>49</v>
      </c>
      <c r="C188" s="16" t="s">
        <v>754</v>
      </c>
      <c r="D188" s="16"/>
      <c r="E188" s="38">
        <v>28180</v>
      </c>
      <c r="F188" s="38"/>
      <c r="G188" s="10" t="s">
        <v>757</v>
      </c>
      <c r="H188" s="12" t="s">
        <v>756</v>
      </c>
      <c r="I188" s="13">
        <v>16</v>
      </c>
      <c r="J188" s="15" t="s">
        <v>755</v>
      </c>
      <c r="K188" s="12"/>
      <c r="L188" s="11" t="s">
        <v>36</v>
      </c>
      <c r="M188" s="15"/>
      <c r="N188" s="17">
        <v>10800</v>
      </c>
      <c r="O188" s="17"/>
      <c r="P188" s="17"/>
      <c r="Q188" s="48"/>
      <c r="R188" s="11"/>
      <c r="S188" s="48"/>
      <c r="T188" s="85"/>
      <c r="U188" s="88"/>
      <c r="V188" s="32"/>
      <c r="W188" s="25"/>
      <c r="X188" s="11"/>
      <c r="Y188" s="50"/>
      <c r="Z188" s="50"/>
      <c r="AA188" s="50"/>
      <c r="AB188" s="50"/>
      <c r="AC188" s="50"/>
      <c r="AD188" s="50"/>
      <c r="AE188" s="50"/>
      <c r="AF188" s="34"/>
      <c r="AG188" s="34"/>
      <c r="AH188" s="34"/>
      <c r="AI188" s="34"/>
      <c r="AJ188" s="34"/>
      <c r="AK188" s="34"/>
      <c r="AL188" s="34"/>
      <c r="AM188" s="34"/>
      <c r="AN188" s="34"/>
      <c r="AO188" s="65"/>
      <c r="AP188" s="69"/>
      <c r="AQ188" s="62"/>
      <c r="AR188" s="34"/>
    </row>
    <row r="189" spans="1:44" customFormat="1">
      <c r="A189" s="39">
        <v>43661</v>
      </c>
      <c r="B189" s="11" t="s">
        <v>24</v>
      </c>
      <c r="C189" s="16" t="s">
        <v>759</v>
      </c>
      <c r="D189" s="16"/>
      <c r="E189" s="38">
        <v>30978</v>
      </c>
      <c r="F189" s="38"/>
      <c r="G189" s="10" t="s">
        <v>760</v>
      </c>
      <c r="H189" s="12" t="s">
        <v>761</v>
      </c>
      <c r="I189" s="13">
        <v>12.6</v>
      </c>
      <c r="J189" s="15" t="s">
        <v>763</v>
      </c>
      <c r="K189" s="14" t="s">
        <v>762</v>
      </c>
      <c r="L189" s="11" t="s">
        <v>36</v>
      </c>
      <c r="M189" s="15"/>
      <c r="N189" s="17">
        <v>5400</v>
      </c>
      <c r="O189" s="17"/>
      <c r="P189" s="17"/>
      <c r="Q189" s="48"/>
      <c r="R189" s="11"/>
      <c r="S189" s="48"/>
      <c r="T189" s="85"/>
      <c r="U189" s="88"/>
      <c r="V189" s="32" t="s">
        <v>764</v>
      </c>
      <c r="W189" s="25" t="s">
        <v>48</v>
      </c>
      <c r="X189" s="11"/>
      <c r="Y189" s="50" t="s">
        <v>12</v>
      </c>
      <c r="Z189" s="50"/>
      <c r="AA189" s="50"/>
      <c r="AB189" s="50"/>
      <c r="AC189" s="50"/>
      <c r="AD189" s="50"/>
      <c r="AE189" s="50"/>
      <c r="AF189" s="34"/>
      <c r="AG189" s="34"/>
      <c r="AH189" s="34"/>
      <c r="AI189" s="34"/>
      <c r="AJ189" s="34"/>
      <c r="AK189" s="34"/>
      <c r="AL189" s="34"/>
      <c r="AM189" s="34"/>
      <c r="AN189" s="34"/>
      <c r="AO189" s="65"/>
      <c r="AP189" s="69"/>
      <c r="AQ189" s="62"/>
      <c r="AR189" s="34"/>
    </row>
    <row r="190" spans="1:44" customFormat="1">
      <c r="A190" s="39">
        <v>43663</v>
      </c>
      <c r="B190" s="11" t="s">
        <v>49</v>
      </c>
      <c r="C190" s="16" t="s">
        <v>766</v>
      </c>
      <c r="D190" s="16"/>
      <c r="E190" s="38">
        <v>18931</v>
      </c>
      <c r="F190" s="38"/>
      <c r="G190" s="10" t="s">
        <v>769</v>
      </c>
      <c r="H190" s="12" t="s">
        <v>767</v>
      </c>
      <c r="I190" s="13">
        <v>14.5</v>
      </c>
      <c r="J190" s="15" t="s">
        <v>768</v>
      </c>
      <c r="K190" s="12"/>
      <c r="L190" s="11" t="s">
        <v>36</v>
      </c>
      <c r="M190" s="15"/>
      <c r="N190" s="17">
        <v>21600</v>
      </c>
      <c r="O190" s="17"/>
      <c r="P190" s="17"/>
      <c r="Q190" s="48"/>
      <c r="R190" s="11"/>
      <c r="S190" s="48"/>
      <c r="T190" s="85"/>
      <c r="U190" s="88"/>
      <c r="V190" s="32"/>
      <c r="W190" s="25" t="s">
        <v>48</v>
      </c>
      <c r="X190" s="11"/>
      <c r="Y190" s="50" t="s">
        <v>13</v>
      </c>
      <c r="Z190" s="50"/>
      <c r="AA190" s="50"/>
      <c r="AB190" s="50"/>
      <c r="AC190" s="50"/>
      <c r="AD190" s="50"/>
      <c r="AE190" s="50"/>
      <c r="AF190" s="34"/>
      <c r="AG190" s="34"/>
      <c r="AH190" s="34"/>
      <c r="AI190" s="34"/>
      <c r="AJ190" s="34"/>
      <c r="AK190" s="34"/>
      <c r="AL190" s="34"/>
      <c r="AM190" s="34"/>
      <c r="AN190" s="34"/>
      <c r="AO190" s="65"/>
      <c r="AP190" s="69"/>
      <c r="AQ190" s="62"/>
      <c r="AR190" s="34"/>
    </row>
    <row r="191" spans="1:44" customFormat="1">
      <c r="A191" s="39">
        <v>43664</v>
      </c>
      <c r="B191" s="11" t="s">
        <v>528</v>
      </c>
      <c r="C191" s="16" t="s">
        <v>296</v>
      </c>
      <c r="D191" s="16"/>
      <c r="E191" s="38">
        <v>24945</v>
      </c>
      <c r="F191" s="38"/>
      <c r="G191" s="10" t="s">
        <v>297</v>
      </c>
      <c r="H191" s="12" t="s">
        <v>298</v>
      </c>
      <c r="I191" s="13">
        <v>10.5</v>
      </c>
      <c r="J191" s="15" t="s">
        <v>299</v>
      </c>
      <c r="K191" s="12"/>
      <c r="L191" s="11" t="s">
        <v>36</v>
      </c>
      <c r="M191" s="15"/>
      <c r="N191" s="17">
        <v>5400</v>
      </c>
      <c r="O191" s="17"/>
      <c r="P191" s="17"/>
      <c r="Q191" s="48"/>
      <c r="R191" s="11"/>
      <c r="S191" s="48"/>
      <c r="T191" s="85"/>
      <c r="U191" s="88"/>
      <c r="V191" s="32"/>
      <c r="W191" s="25"/>
      <c r="X191" s="11"/>
      <c r="Y191" s="50"/>
      <c r="Z191" s="50"/>
      <c r="AA191" s="50"/>
      <c r="AB191" s="50"/>
      <c r="AC191" s="50"/>
      <c r="AD191" s="50"/>
      <c r="AE191" s="50"/>
      <c r="AF191" s="34"/>
      <c r="AG191" s="34"/>
      <c r="AH191" s="34"/>
      <c r="AI191" s="34"/>
      <c r="AJ191" s="34"/>
      <c r="AK191" s="34"/>
      <c r="AL191" s="34"/>
      <c r="AM191" s="34"/>
      <c r="AN191" s="34"/>
      <c r="AO191" s="65"/>
      <c r="AP191" s="69"/>
      <c r="AQ191" s="62"/>
      <c r="AR191" s="34"/>
    </row>
    <row r="192" spans="1:44" customFormat="1">
      <c r="A192" s="39">
        <v>43666</v>
      </c>
      <c r="B192" s="11" t="s">
        <v>22</v>
      </c>
      <c r="C192" s="16" t="s">
        <v>770</v>
      </c>
      <c r="D192" s="16"/>
      <c r="E192" s="38">
        <v>26963</v>
      </c>
      <c r="F192" s="38"/>
      <c r="G192" s="10" t="s">
        <v>621</v>
      </c>
      <c r="H192" s="12" t="s">
        <v>771</v>
      </c>
      <c r="I192" s="13">
        <v>0.6</v>
      </c>
      <c r="J192" s="15" t="s">
        <v>772</v>
      </c>
      <c r="K192" s="12"/>
      <c r="L192" s="11" t="s">
        <v>36</v>
      </c>
      <c r="M192" s="15"/>
      <c r="N192" s="17">
        <v>0</v>
      </c>
      <c r="O192" s="17"/>
      <c r="P192" s="17"/>
      <c r="Q192" s="48"/>
      <c r="R192" s="11"/>
      <c r="S192" s="48"/>
      <c r="T192" s="85"/>
      <c r="U192" s="88"/>
      <c r="V192" s="32"/>
      <c r="W192" s="25" t="s">
        <v>9</v>
      </c>
      <c r="X192" s="11"/>
      <c r="Y192" s="50" t="s">
        <v>12</v>
      </c>
      <c r="Z192" s="50"/>
      <c r="AA192" s="50"/>
      <c r="AB192" s="50"/>
      <c r="AC192" s="50"/>
      <c r="AD192" s="50"/>
      <c r="AE192" s="50"/>
      <c r="AF192" s="34"/>
      <c r="AG192" s="34"/>
      <c r="AH192" s="34"/>
      <c r="AI192" s="34"/>
      <c r="AJ192" s="34"/>
      <c r="AK192" s="34"/>
      <c r="AL192" s="34"/>
      <c r="AM192" s="34"/>
      <c r="AN192" s="34"/>
      <c r="AO192" s="65"/>
      <c r="AP192" s="69"/>
      <c r="AQ192" s="62"/>
      <c r="AR192" s="34"/>
    </row>
    <row r="193" spans="1:44" customFormat="1">
      <c r="A193" s="39">
        <v>43667</v>
      </c>
      <c r="B193" s="11" t="s">
        <v>22</v>
      </c>
      <c r="C193" s="16" t="s">
        <v>773</v>
      </c>
      <c r="D193" s="16"/>
      <c r="E193" s="38">
        <v>25349</v>
      </c>
      <c r="F193" s="38"/>
      <c r="G193" s="10" t="s">
        <v>774</v>
      </c>
      <c r="H193" s="12" t="s">
        <v>775</v>
      </c>
      <c r="I193" s="13">
        <v>66.8</v>
      </c>
      <c r="J193" s="15" t="s">
        <v>776</v>
      </c>
      <c r="K193" s="14" t="s">
        <v>789</v>
      </c>
      <c r="L193" s="11" t="s">
        <v>37</v>
      </c>
      <c r="M193" s="15"/>
      <c r="N193" s="17">
        <v>0</v>
      </c>
      <c r="O193" s="17"/>
      <c r="P193" s="17"/>
      <c r="Q193" s="48"/>
      <c r="R193" s="11"/>
      <c r="S193" s="48"/>
      <c r="T193" s="85"/>
      <c r="U193" s="88"/>
      <c r="V193" s="32" t="s">
        <v>777</v>
      </c>
      <c r="W193" s="25"/>
      <c r="X193" s="11"/>
      <c r="Y193" s="50"/>
      <c r="Z193" s="50"/>
      <c r="AA193" s="50"/>
      <c r="AB193" s="50"/>
      <c r="AC193" s="50"/>
      <c r="AD193" s="50"/>
      <c r="AE193" s="50"/>
      <c r="AF193" s="34"/>
      <c r="AG193" s="34"/>
      <c r="AH193" s="34"/>
      <c r="AI193" s="34"/>
      <c r="AJ193" s="34"/>
      <c r="AK193" s="34"/>
      <c r="AL193" s="34"/>
      <c r="AM193" s="34"/>
      <c r="AN193" s="34"/>
      <c r="AO193" s="65"/>
      <c r="AP193" s="69"/>
      <c r="AQ193" s="62"/>
      <c r="AR193" s="34"/>
    </row>
    <row r="194" spans="1:44" customFormat="1">
      <c r="A194" s="39">
        <v>43667</v>
      </c>
      <c r="B194" s="11" t="s">
        <v>22</v>
      </c>
      <c r="C194" s="16" t="s">
        <v>778</v>
      </c>
      <c r="D194" s="16"/>
      <c r="E194" s="38">
        <v>29594</v>
      </c>
      <c r="F194" s="38"/>
      <c r="G194" s="10" t="s">
        <v>779</v>
      </c>
      <c r="H194" s="12" t="s">
        <v>780</v>
      </c>
      <c r="I194" s="13">
        <v>95.8</v>
      </c>
      <c r="J194" s="15" t="s">
        <v>781</v>
      </c>
      <c r="K194" s="14" t="s">
        <v>788</v>
      </c>
      <c r="L194" s="11" t="s">
        <v>36</v>
      </c>
      <c r="M194" s="15"/>
      <c r="N194" s="17">
        <v>0</v>
      </c>
      <c r="O194" s="17"/>
      <c r="P194" s="17"/>
      <c r="Q194" s="48"/>
      <c r="R194" s="11"/>
      <c r="S194" s="48"/>
      <c r="T194" s="85"/>
      <c r="U194" s="88"/>
      <c r="V194" s="32" t="s">
        <v>782</v>
      </c>
      <c r="W194" s="25" t="s">
        <v>8</v>
      </c>
      <c r="X194" s="11"/>
      <c r="Y194" s="50" t="s">
        <v>13</v>
      </c>
      <c r="Z194" s="50"/>
      <c r="AA194" s="50"/>
      <c r="AB194" s="50"/>
      <c r="AC194" s="50"/>
      <c r="AD194" s="50"/>
      <c r="AE194" s="50"/>
      <c r="AF194" s="34"/>
      <c r="AG194" s="34"/>
      <c r="AH194" s="34"/>
      <c r="AI194" s="34"/>
      <c r="AJ194" s="34"/>
      <c r="AK194" s="34"/>
      <c r="AL194" s="34"/>
      <c r="AM194" s="34"/>
      <c r="AN194" s="34"/>
      <c r="AO194" s="65"/>
      <c r="AP194" s="69"/>
      <c r="AQ194" s="62"/>
      <c r="AR194" s="34"/>
    </row>
    <row r="195" spans="1:44" customFormat="1">
      <c r="A195" s="39">
        <v>43667</v>
      </c>
      <c r="B195" s="11" t="s">
        <v>49</v>
      </c>
      <c r="C195" s="16" t="s">
        <v>783</v>
      </c>
      <c r="D195" s="16"/>
      <c r="E195" s="38">
        <v>20425</v>
      </c>
      <c r="F195" s="38"/>
      <c r="G195" s="10" t="s">
        <v>784</v>
      </c>
      <c r="H195" s="12" t="s">
        <v>785</v>
      </c>
      <c r="I195" s="13">
        <v>25.6</v>
      </c>
      <c r="J195" s="15" t="s">
        <v>786</v>
      </c>
      <c r="K195" s="14" t="s">
        <v>787</v>
      </c>
      <c r="L195" s="11" t="s">
        <v>36</v>
      </c>
      <c r="M195" s="15"/>
      <c r="N195" s="17">
        <v>16200</v>
      </c>
      <c r="O195" s="17"/>
      <c r="P195" s="17"/>
      <c r="Q195" s="48"/>
      <c r="R195" s="11"/>
      <c r="S195" s="48"/>
      <c r="T195" s="85"/>
      <c r="U195" s="88"/>
      <c r="V195" s="32"/>
      <c r="W195" s="25" t="s">
        <v>48</v>
      </c>
      <c r="X195" s="11"/>
      <c r="Y195" s="50" t="s">
        <v>13</v>
      </c>
      <c r="Z195" s="50"/>
      <c r="AA195" s="50"/>
      <c r="AB195" s="50"/>
      <c r="AC195" s="50"/>
      <c r="AD195" s="50"/>
      <c r="AE195" s="50"/>
      <c r="AF195" s="34"/>
      <c r="AG195" s="34"/>
      <c r="AH195" s="34"/>
      <c r="AI195" s="34"/>
      <c r="AJ195" s="34"/>
      <c r="AK195" s="34"/>
      <c r="AL195" s="34"/>
      <c r="AM195" s="34"/>
      <c r="AN195" s="34"/>
      <c r="AO195" s="65"/>
      <c r="AP195" s="69"/>
      <c r="AQ195" s="62"/>
      <c r="AR195" s="34"/>
    </row>
    <row r="196" spans="1:44" customFormat="1">
      <c r="A196" s="39">
        <v>43667</v>
      </c>
      <c r="B196" s="11" t="s">
        <v>22</v>
      </c>
      <c r="C196" s="16" t="s">
        <v>790</v>
      </c>
      <c r="D196" s="16"/>
      <c r="E196" s="38"/>
      <c r="F196" s="38"/>
      <c r="G196" s="10" t="s">
        <v>791</v>
      </c>
      <c r="H196" s="12" t="s">
        <v>792</v>
      </c>
      <c r="I196" s="13">
        <v>20.3</v>
      </c>
      <c r="J196" s="15" t="s">
        <v>793</v>
      </c>
      <c r="K196" s="12"/>
      <c r="L196" s="11" t="s">
        <v>36</v>
      </c>
      <c r="M196" s="15"/>
      <c r="N196" s="17">
        <v>0</v>
      </c>
      <c r="O196" s="17"/>
      <c r="P196" s="17"/>
      <c r="Q196" s="48"/>
      <c r="R196" s="11"/>
      <c r="S196" s="48"/>
      <c r="T196" s="85"/>
      <c r="U196" s="88"/>
      <c r="V196" s="32" t="s">
        <v>782</v>
      </c>
      <c r="W196" s="25" t="s">
        <v>8</v>
      </c>
      <c r="X196" s="11"/>
      <c r="Y196" s="50" t="s">
        <v>13</v>
      </c>
      <c r="Z196" s="50"/>
      <c r="AA196" s="50"/>
      <c r="AB196" s="50"/>
      <c r="AC196" s="50"/>
      <c r="AD196" s="50"/>
      <c r="AE196" s="50"/>
      <c r="AF196" s="34"/>
      <c r="AG196" s="34"/>
      <c r="AH196" s="34"/>
      <c r="AI196" s="34"/>
      <c r="AJ196" s="34"/>
      <c r="AK196" s="34"/>
      <c r="AL196" s="34"/>
      <c r="AM196" s="34"/>
      <c r="AN196" s="34"/>
      <c r="AO196" s="65"/>
      <c r="AP196" s="69"/>
      <c r="AQ196" s="62"/>
      <c r="AR196" s="34"/>
    </row>
    <row r="197" spans="1:44" customFormat="1">
      <c r="A197" s="39">
        <v>43667</v>
      </c>
      <c r="B197" s="11" t="s">
        <v>22</v>
      </c>
      <c r="C197" s="16" t="s">
        <v>799</v>
      </c>
      <c r="D197" s="16"/>
      <c r="E197" s="38">
        <v>35706</v>
      </c>
      <c r="F197" s="38"/>
      <c r="G197" s="10" t="s">
        <v>801</v>
      </c>
      <c r="H197" s="12" t="s">
        <v>802</v>
      </c>
      <c r="I197" s="13">
        <v>221</v>
      </c>
      <c r="J197" s="15" t="s">
        <v>804</v>
      </c>
      <c r="K197" s="12"/>
      <c r="L197" s="11" t="s">
        <v>39</v>
      </c>
      <c r="M197" s="15"/>
      <c r="N197" s="17">
        <v>0</v>
      </c>
      <c r="O197" s="17"/>
      <c r="P197" s="17"/>
      <c r="Q197" s="48"/>
      <c r="R197" s="11"/>
      <c r="S197" s="48"/>
      <c r="T197" s="85"/>
      <c r="U197" s="88"/>
      <c r="V197" s="32" t="s">
        <v>805</v>
      </c>
      <c r="W197" s="25" t="s">
        <v>8</v>
      </c>
      <c r="X197" s="11"/>
      <c r="Y197" s="50" t="s">
        <v>17</v>
      </c>
      <c r="Z197" s="50"/>
      <c r="AA197" s="50"/>
      <c r="AB197" s="50"/>
      <c r="AC197" s="50"/>
      <c r="AD197" s="50"/>
      <c r="AE197" s="50"/>
      <c r="AF197" s="34"/>
      <c r="AG197" s="34"/>
      <c r="AH197" s="34"/>
      <c r="AI197" s="34"/>
      <c r="AJ197" s="34"/>
      <c r="AK197" s="34"/>
      <c r="AL197" s="34"/>
      <c r="AM197" s="34"/>
      <c r="AN197" s="34"/>
      <c r="AO197" s="65"/>
      <c r="AP197" s="69"/>
      <c r="AQ197" s="62"/>
      <c r="AR197" s="34"/>
    </row>
    <row r="198" spans="1:44" customFormat="1">
      <c r="A198" s="39">
        <v>43667</v>
      </c>
      <c r="B198" s="11" t="s">
        <v>49</v>
      </c>
      <c r="C198" s="16" t="s">
        <v>800</v>
      </c>
      <c r="D198" s="16"/>
      <c r="E198" s="38">
        <v>26651</v>
      </c>
      <c r="F198" s="38"/>
      <c r="G198" s="10" t="s">
        <v>807</v>
      </c>
      <c r="H198" s="12" t="s">
        <v>803</v>
      </c>
      <c r="I198" s="13">
        <v>21.3</v>
      </c>
      <c r="J198" s="15" t="s">
        <v>806</v>
      </c>
      <c r="K198" s="12"/>
      <c r="L198" s="11" t="s">
        <v>33</v>
      </c>
      <c r="M198" s="15"/>
      <c r="N198" s="17">
        <v>21600</v>
      </c>
      <c r="O198" s="17"/>
      <c r="P198" s="17"/>
      <c r="Q198" s="48"/>
      <c r="R198" s="11"/>
      <c r="S198" s="48"/>
      <c r="T198" s="85"/>
      <c r="U198" s="88"/>
      <c r="V198" s="32"/>
      <c r="W198" s="25" t="s">
        <v>8</v>
      </c>
      <c r="X198" s="11"/>
      <c r="Y198" s="50" t="s">
        <v>12</v>
      </c>
      <c r="Z198" s="50"/>
      <c r="AA198" s="50"/>
      <c r="AB198" s="50"/>
      <c r="AC198" s="50"/>
      <c r="AD198" s="50"/>
      <c r="AE198" s="50"/>
      <c r="AF198" s="34"/>
      <c r="AG198" s="34"/>
      <c r="AH198" s="34"/>
      <c r="AI198" s="34"/>
      <c r="AJ198" s="34"/>
      <c r="AK198" s="34"/>
      <c r="AL198" s="34"/>
      <c r="AM198" s="34"/>
      <c r="AN198" s="34"/>
      <c r="AO198" s="65"/>
      <c r="AP198" s="69"/>
      <c r="AQ198" s="62"/>
      <c r="AR198" s="34"/>
    </row>
    <row r="199" spans="1:44" customFormat="1">
      <c r="A199" s="39">
        <v>43667</v>
      </c>
      <c r="B199" s="11" t="s">
        <v>22</v>
      </c>
      <c r="C199" s="16" t="s">
        <v>794</v>
      </c>
      <c r="D199" s="16"/>
      <c r="E199" s="38">
        <v>20795</v>
      </c>
      <c r="F199" s="38"/>
      <c r="G199" s="10" t="s">
        <v>795</v>
      </c>
      <c r="H199" s="12" t="s">
        <v>796</v>
      </c>
      <c r="I199" s="13">
        <v>5.4</v>
      </c>
      <c r="J199" s="15" t="s">
        <v>797</v>
      </c>
      <c r="K199" s="12"/>
      <c r="L199" s="11" t="s">
        <v>33</v>
      </c>
      <c r="M199" s="15"/>
      <c r="N199" s="17">
        <v>2700</v>
      </c>
      <c r="O199" s="17"/>
      <c r="P199" s="17"/>
      <c r="Q199" s="48"/>
      <c r="R199" s="11"/>
      <c r="S199" s="48"/>
      <c r="T199" s="85" t="s">
        <v>81</v>
      </c>
      <c r="U199" s="88"/>
      <c r="V199" s="32" t="s">
        <v>798</v>
      </c>
      <c r="W199" s="25" t="s">
        <v>8</v>
      </c>
      <c r="X199" s="11"/>
      <c r="Y199" s="50" t="s">
        <v>11</v>
      </c>
      <c r="Z199" s="50"/>
      <c r="AA199" s="50"/>
      <c r="AB199" s="50"/>
      <c r="AC199" s="50"/>
      <c r="AD199" s="50"/>
      <c r="AE199" s="50"/>
      <c r="AF199" s="34"/>
      <c r="AG199" s="34"/>
      <c r="AH199" s="34"/>
      <c r="AI199" s="34"/>
      <c r="AJ199" s="34"/>
      <c r="AK199" s="34"/>
      <c r="AL199" s="34"/>
      <c r="AM199" s="34"/>
      <c r="AN199" s="34"/>
      <c r="AO199" s="65"/>
      <c r="AP199" s="69"/>
      <c r="AQ199" s="62"/>
      <c r="AR199" s="34"/>
    </row>
    <row r="200" spans="1:44" customFormat="1">
      <c r="A200" s="39">
        <v>43672</v>
      </c>
      <c r="B200" s="11" t="s">
        <v>49</v>
      </c>
      <c r="C200" s="16" t="s">
        <v>808</v>
      </c>
      <c r="D200" s="16"/>
      <c r="E200" s="38">
        <v>23754</v>
      </c>
      <c r="F200" s="38"/>
      <c r="G200" s="10" t="s">
        <v>809</v>
      </c>
      <c r="H200" s="12" t="s">
        <v>810</v>
      </c>
      <c r="I200" s="13">
        <v>1348</v>
      </c>
      <c r="J200" s="15" t="s">
        <v>811</v>
      </c>
      <c r="K200" s="12"/>
      <c r="L200" s="11" t="s">
        <v>36</v>
      </c>
      <c r="M200" s="15"/>
      <c r="N200" s="17">
        <v>21600</v>
      </c>
      <c r="O200" s="17"/>
      <c r="P200" s="17"/>
      <c r="Q200" s="48"/>
      <c r="R200" s="11"/>
      <c r="S200" s="48"/>
      <c r="T200" s="85"/>
      <c r="U200" s="88"/>
      <c r="V200" s="32"/>
      <c r="W200" s="25" t="s">
        <v>48</v>
      </c>
      <c r="X200" s="11"/>
      <c r="Y200" s="50" t="s">
        <v>13</v>
      </c>
      <c r="Z200" s="50"/>
      <c r="AA200" s="50"/>
      <c r="AB200" s="50"/>
      <c r="AC200" s="50"/>
      <c r="AD200" s="50"/>
      <c r="AE200" s="50"/>
      <c r="AF200" s="34"/>
      <c r="AG200" s="34"/>
      <c r="AH200" s="34"/>
      <c r="AI200" s="34"/>
      <c r="AJ200" s="34"/>
      <c r="AK200" s="34"/>
      <c r="AL200" s="34"/>
      <c r="AM200" s="34"/>
      <c r="AN200" s="34"/>
      <c r="AO200" s="65"/>
      <c r="AP200" s="69"/>
      <c r="AQ200" s="62"/>
      <c r="AR200" s="34"/>
    </row>
    <row r="201" spans="1:44" customFormat="1">
      <c r="A201" s="39">
        <v>43672</v>
      </c>
      <c r="B201" s="11" t="s">
        <v>22</v>
      </c>
      <c r="C201" s="16" t="s">
        <v>812</v>
      </c>
      <c r="D201" s="16"/>
      <c r="E201" s="38">
        <v>23160</v>
      </c>
      <c r="F201" s="38"/>
      <c r="G201" s="10" t="s">
        <v>813</v>
      </c>
      <c r="H201" s="12" t="s">
        <v>814</v>
      </c>
      <c r="I201" s="13">
        <v>22.8</v>
      </c>
      <c r="J201" s="15" t="s">
        <v>818</v>
      </c>
      <c r="K201" s="12"/>
      <c r="L201" s="11" t="s">
        <v>34</v>
      </c>
      <c r="M201" s="15"/>
      <c r="N201" s="17">
        <v>2700</v>
      </c>
      <c r="O201" s="17"/>
      <c r="P201" s="17"/>
      <c r="Q201" s="48"/>
      <c r="R201" s="11"/>
      <c r="S201" s="48"/>
      <c r="T201" s="85"/>
      <c r="U201" s="88"/>
      <c r="V201" s="32" t="s">
        <v>567</v>
      </c>
      <c r="W201" s="25"/>
      <c r="X201" s="11"/>
      <c r="Y201" s="50"/>
      <c r="Z201" s="50"/>
      <c r="AA201" s="50"/>
      <c r="AB201" s="50"/>
      <c r="AC201" s="50"/>
      <c r="AD201" s="50"/>
      <c r="AE201" s="50"/>
      <c r="AF201" s="34"/>
      <c r="AG201" s="34"/>
      <c r="AH201" s="34"/>
      <c r="AI201" s="34"/>
      <c r="AJ201" s="34"/>
      <c r="AK201" s="34"/>
      <c r="AL201" s="34"/>
      <c r="AM201" s="34"/>
      <c r="AN201" s="34"/>
      <c r="AO201" s="65"/>
      <c r="AP201" s="69"/>
      <c r="AQ201" s="62"/>
      <c r="AR201" s="34"/>
    </row>
    <row r="202" spans="1:44" customFormat="1">
      <c r="A202" s="39">
        <v>43672</v>
      </c>
      <c r="B202" s="11" t="s">
        <v>22</v>
      </c>
      <c r="C202" s="16" t="s">
        <v>815</v>
      </c>
      <c r="D202" s="16"/>
      <c r="E202" s="38">
        <v>24003</v>
      </c>
      <c r="F202" s="38"/>
      <c r="G202" s="10" t="s">
        <v>102</v>
      </c>
      <c r="H202" s="12" t="s">
        <v>816</v>
      </c>
      <c r="I202" s="13">
        <v>27.6</v>
      </c>
      <c r="J202" s="15" t="s">
        <v>817</v>
      </c>
      <c r="K202" s="12"/>
      <c r="L202" s="11"/>
      <c r="M202" s="15"/>
      <c r="N202" s="17">
        <v>2700</v>
      </c>
      <c r="O202" s="17"/>
      <c r="P202" s="17"/>
      <c r="Q202" s="48"/>
      <c r="R202" s="11"/>
      <c r="S202" s="48"/>
      <c r="T202" s="85"/>
      <c r="U202" s="88"/>
      <c r="V202" s="32" t="s">
        <v>567</v>
      </c>
      <c r="W202" s="25"/>
      <c r="X202" s="11"/>
      <c r="Y202" s="50"/>
      <c r="Z202" s="50"/>
      <c r="AA202" s="50"/>
      <c r="AB202" s="50"/>
      <c r="AC202" s="50"/>
      <c r="AD202" s="50"/>
      <c r="AE202" s="50"/>
      <c r="AF202" s="34"/>
      <c r="AG202" s="34"/>
      <c r="AH202" s="34"/>
      <c r="AI202" s="34"/>
      <c r="AJ202" s="34"/>
      <c r="AK202" s="34"/>
      <c r="AL202" s="34"/>
      <c r="AM202" s="34"/>
      <c r="AN202" s="34"/>
      <c r="AO202" s="65"/>
      <c r="AP202" s="69"/>
      <c r="AQ202" s="62"/>
      <c r="AR202" s="34"/>
    </row>
    <row r="203" spans="1:44" customFormat="1">
      <c r="A203" s="39">
        <v>43673</v>
      </c>
      <c r="B203" s="11" t="s">
        <v>23</v>
      </c>
      <c r="C203" s="16" t="s">
        <v>819</v>
      </c>
      <c r="D203" s="16"/>
      <c r="E203" s="38">
        <v>24848</v>
      </c>
      <c r="F203" s="38"/>
      <c r="G203" s="10" t="s">
        <v>822</v>
      </c>
      <c r="H203" s="12" t="s">
        <v>820</v>
      </c>
      <c r="I203" s="13">
        <v>4.5999999999999996</v>
      </c>
      <c r="J203" s="15" t="s">
        <v>821</v>
      </c>
      <c r="K203" s="12"/>
      <c r="L203" s="11" t="s">
        <v>35</v>
      </c>
      <c r="M203" s="15"/>
      <c r="N203" s="17">
        <v>16200</v>
      </c>
      <c r="O203" s="17"/>
      <c r="P203" s="17"/>
      <c r="Q203" s="48"/>
      <c r="R203" s="11"/>
      <c r="S203" s="48"/>
      <c r="T203" s="85"/>
      <c r="U203" s="88"/>
      <c r="V203" s="32"/>
      <c r="W203" s="25" t="s">
        <v>48</v>
      </c>
      <c r="X203" s="11"/>
      <c r="Y203" s="50"/>
      <c r="Z203" s="50"/>
      <c r="AA203" s="50"/>
      <c r="AB203" s="50"/>
      <c r="AC203" s="50"/>
      <c r="AD203" s="50"/>
      <c r="AE203" s="50"/>
      <c r="AF203" s="34"/>
      <c r="AG203" s="34"/>
      <c r="AH203" s="34"/>
      <c r="AI203" s="34"/>
      <c r="AJ203" s="34"/>
      <c r="AK203" s="34"/>
      <c r="AL203" s="34"/>
      <c r="AM203" s="34"/>
      <c r="AN203" s="34"/>
      <c r="AO203" s="65"/>
      <c r="AP203" s="69"/>
      <c r="AQ203" s="62"/>
      <c r="AR203" s="34"/>
    </row>
    <row r="204" spans="1:44" customFormat="1">
      <c r="A204" s="39">
        <v>43674</v>
      </c>
      <c r="B204" s="11" t="s">
        <v>22</v>
      </c>
      <c r="C204" s="16" t="s">
        <v>823</v>
      </c>
      <c r="D204" s="16"/>
      <c r="E204" s="38">
        <v>21731</v>
      </c>
      <c r="F204" s="38"/>
      <c r="G204" s="10" t="s">
        <v>824</v>
      </c>
      <c r="H204" s="12" t="s">
        <v>825</v>
      </c>
      <c r="I204" s="13">
        <v>31.7</v>
      </c>
      <c r="J204" s="15" t="s">
        <v>827</v>
      </c>
      <c r="K204" s="12"/>
      <c r="L204" s="11" t="s">
        <v>33</v>
      </c>
      <c r="M204" s="15"/>
      <c r="N204" s="17">
        <v>17982</v>
      </c>
      <c r="O204" s="17"/>
      <c r="P204" s="17"/>
      <c r="Q204" s="48"/>
      <c r="R204" s="11"/>
      <c r="S204" s="48"/>
      <c r="T204" s="85"/>
      <c r="U204" s="88"/>
      <c r="V204" s="32" t="s">
        <v>830</v>
      </c>
      <c r="W204" s="25" t="s">
        <v>8</v>
      </c>
      <c r="X204" s="11"/>
      <c r="Y204" s="50"/>
      <c r="Z204" s="50"/>
      <c r="AA204" s="50"/>
      <c r="AB204" s="50"/>
      <c r="AC204" s="50"/>
      <c r="AD204" s="50"/>
      <c r="AE204" s="50"/>
      <c r="AF204" s="34"/>
      <c r="AG204" s="34"/>
      <c r="AH204" s="34"/>
      <c r="AI204" s="34"/>
      <c r="AJ204" s="34"/>
      <c r="AK204" s="34"/>
      <c r="AL204" s="34"/>
      <c r="AM204" s="34"/>
      <c r="AN204" s="34"/>
      <c r="AO204" s="65"/>
      <c r="AP204" s="69"/>
      <c r="AQ204" s="62"/>
      <c r="AR204" s="34"/>
    </row>
    <row r="205" spans="1:44" customFormat="1">
      <c r="A205" s="39">
        <v>43674</v>
      </c>
      <c r="B205" s="11" t="s">
        <v>49</v>
      </c>
      <c r="C205" s="16" t="s">
        <v>826</v>
      </c>
      <c r="D205" s="16"/>
      <c r="E205" s="38">
        <v>21565</v>
      </c>
      <c r="F205" s="38"/>
      <c r="G205" s="10" t="s">
        <v>824</v>
      </c>
      <c r="H205" s="12" t="s">
        <v>825</v>
      </c>
      <c r="I205" s="13">
        <v>31.7</v>
      </c>
      <c r="J205" s="15" t="s">
        <v>828</v>
      </c>
      <c r="K205" s="12"/>
      <c r="L205" s="11" t="s">
        <v>33</v>
      </c>
      <c r="M205" s="15"/>
      <c r="N205" s="17">
        <v>16200</v>
      </c>
      <c r="O205" s="17"/>
      <c r="P205" s="17"/>
      <c r="Q205" s="48"/>
      <c r="R205" s="11"/>
      <c r="S205" s="48"/>
      <c r="T205" s="85"/>
      <c r="U205" s="88"/>
      <c r="V205" s="32" t="s">
        <v>829</v>
      </c>
      <c r="W205" s="25" t="s">
        <v>48</v>
      </c>
      <c r="X205" s="11"/>
      <c r="Y205" s="50" t="s">
        <v>15</v>
      </c>
      <c r="Z205" s="50"/>
      <c r="AA205" s="50"/>
      <c r="AB205" s="50"/>
      <c r="AC205" s="50"/>
      <c r="AD205" s="50"/>
      <c r="AE205" s="50"/>
      <c r="AF205" s="34"/>
      <c r="AG205" s="34"/>
      <c r="AH205" s="34"/>
      <c r="AI205" s="34"/>
      <c r="AJ205" s="34"/>
      <c r="AK205" s="34"/>
      <c r="AL205" s="34"/>
      <c r="AM205" s="34"/>
      <c r="AN205" s="34"/>
      <c r="AO205" s="65"/>
      <c r="AP205" s="69"/>
      <c r="AQ205" s="62"/>
      <c r="AR205" s="34"/>
    </row>
    <row r="206" spans="1:44" customFormat="1">
      <c r="A206" s="39">
        <v>43675</v>
      </c>
      <c r="B206" s="11" t="s">
        <v>49</v>
      </c>
      <c r="C206" s="16" t="s">
        <v>831</v>
      </c>
      <c r="D206" s="16"/>
      <c r="E206" s="38">
        <v>31597</v>
      </c>
      <c r="F206" s="38"/>
      <c r="G206" s="10" t="s">
        <v>832</v>
      </c>
      <c r="H206" s="12" t="s">
        <v>833</v>
      </c>
      <c r="I206" s="13">
        <v>12.4</v>
      </c>
      <c r="J206" s="15" t="s">
        <v>834</v>
      </c>
      <c r="K206" s="12"/>
      <c r="L206" s="11" t="s">
        <v>34</v>
      </c>
      <c r="M206" s="15"/>
      <c r="N206" s="17">
        <v>21600</v>
      </c>
      <c r="O206" s="17"/>
      <c r="P206" s="17"/>
      <c r="Q206" s="48"/>
      <c r="R206" s="11"/>
      <c r="S206" s="48"/>
      <c r="T206" s="85"/>
      <c r="U206" s="88"/>
      <c r="V206" s="32"/>
      <c r="W206" s="25"/>
      <c r="X206" s="11"/>
      <c r="Y206" s="50"/>
      <c r="Z206" s="50"/>
      <c r="AA206" s="50"/>
      <c r="AB206" s="50"/>
      <c r="AC206" s="50"/>
      <c r="AD206" s="50"/>
      <c r="AE206" s="50"/>
      <c r="AF206" s="34"/>
      <c r="AG206" s="34"/>
      <c r="AH206" s="34"/>
      <c r="AI206" s="34"/>
      <c r="AJ206" s="34"/>
      <c r="AK206" s="34"/>
      <c r="AL206" s="34"/>
      <c r="AM206" s="34"/>
      <c r="AN206" s="34"/>
      <c r="AO206" s="65"/>
      <c r="AP206" s="69"/>
      <c r="AQ206" s="62"/>
      <c r="AR206" s="34"/>
    </row>
    <row r="207" spans="1:44" customFormat="1">
      <c r="A207" s="39">
        <v>43677</v>
      </c>
      <c r="B207" s="11" t="s">
        <v>22</v>
      </c>
      <c r="C207" s="16" t="s">
        <v>835</v>
      </c>
      <c r="D207" s="16"/>
      <c r="E207" s="38">
        <v>17270</v>
      </c>
      <c r="F207" s="38"/>
      <c r="G207" s="10" t="s">
        <v>836</v>
      </c>
      <c r="H207" s="12" t="s">
        <v>837</v>
      </c>
      <c r="I207" s="13">
        <v>13.2</v>
      </c>
      <c r="J207" s="15" t="s">
        <v>838</v>
      </c>
      <c r="K207" s="14" t="s">
        <v>839</v>
      </c>
      <c r="L207" s="11" t="s">
        <v>39</v>
      </c>
      <c r="M207" s="15"/>
      <c r="N207" s="17">
        <v>2700</v>
      </c>
      <c r="O207" s="17"/>
      <c r="P207" s="17"/>
      <c r="Q207" s="48"/>
      <c r="R207" s="11"/>
      <c r="S207" s="48"/>
      <c r="T207" s="85"/>
      <c r="U207" s="88"/>
      <c r="V207" s="32"/>
      <c r="W207" s="25" t="s">
        <v>48</v>
      </c>
      <c r="X207" s="11"/>
      <c r="Y207" s="50" t="s">
        <v>14</v>
      </c>
      <c r="Z207" s="50"/>
      <c r="AA207" s="50"/>
      <c r="AB207" s="50"/>
      <c r="AC207" s="50"/>
      <c r="AD207" s="50"/>
      <c r="AE207" s="50"/>
      <c r="AF207" s="34"/>
      <c r="AG207" s="34"/>
      <c r="AH207" s="34"/>
      <c r="AI207" s="34"/>
      <c r="AJ207" s="34"/>
      <c r="AK207" s="34"/>
      <c r="AL207" s="34"/>
      <c r="AM207" s="34"/>
      <c r="AN207" s="34"/>
      <c r="AO207" s="65"/>
      <c r="AP207" s="69"/>
      <c r="AQ207" s="62"/>
      <c r="AR207" s="34"/>
    </row>
    <row r="208" spans="1:44" customFormat="1">
      <c r="A208" s="39">
        <v>43678</v>
      </c>
      <c r="B208" s="11" t="s">
        <v>528</v>
      </c>
      <c r="C208" s="16" t="s">
        <v>685</v>
      </c>
      <c r="D208" s="16"/>
      <c r="E208" s="38">
        <v>29146</v>
      </c>
      <c r="F208" s="38"/>
      <c r="G208" s="10" t="s">
        <v>686</v>
      </c>
      <c r="H208" s="12" t="s">
        <v>687</v>
      </c>
      <c r="I208" s="13">
        <v>43.2</v>
      </c>
      <c r="J208" s="15" t="s">
        <v>688</v>
      </c>
      <c r="K208" s="12"/>
      <c r="L208" s="11" t="s">
        <v>36</v>
      </c>
      <c r="M208" s="15"/>
      <c r="N208" s="17">
        <v>5400</v>
      </c>
      <c r="O208" s="17"/>
      <c r="P208" s="17"/>
      <c r="Q208" s="48"/>
      <c r="R208" s="11"/>
      <c r="S208" s="48"/>
      <c r="T208" s="85"/>
      <c r="U208" s="88"/>
      <c r="V208" s="32" t="s">
        <v>840</v>
      </c>
      <c r="W208" s="25"/>
      <c r="X208" s="11"/>
      <c r="Y208" s="50"/>
      <c r="Z208" s="50"/>
      <c r="AA208" s="50"/>
      <c r="AB208" s="50"/>
      <c r="AC208" s="50"/>
      <c r="AD208" s="50"/>
      <c r="AE208" s="50"/>
      <c r="AF208" s="34"/>
      <c r="AG208" s="34"/>
      <c r="AH208" s="34"/>
      <c r="AI208" s="34"/>
      <c r="AJ208" s="34"/>
      <c r="AK208" s="34"/>
      <c r="AL208" s="34"/>
      <c r="AM208" s="34"/>
      <c r="AN208" s="34"/>
      <c r="AO208" s="65"/>
      <c r="AP208" s="69"/>
      <c r="AQ208" s="62"/>
      <c r="AR208" s="34"/>
    </row>
    <row r="209" spans="1:44" customFormat="1">
      <c r="A209" s="39">
        <v>43680</v>
      </c>
      <c r="B209" s="11" t="s">
        <v>528</v>
      </c>
      <c r="C209" s="16" t="s">
        <v>296</v>
      </c>
      <c r="D209" s="16"/>
      <c r="E209" s="38">
        <v>24945</v>
      </c>
      <c r="F209" s="38"/>
      <c r="G209" s="10" t="s">
        <v>297</v>
      </c>
      <c r="H209" s="12" t="s">
        <v>298</v>
      </c>
      <c r="I209" s="13">
        <v>10.5</v>
      </c>
      <c r="J209" s="15" t="s">
        <v>299</v>
      </c>
      <c r="K209" s="12"/>
      <c r="L209" s="11" t="s">
        <v>36</v>
      </c>
      <c r="M209" s="15"/>
      <c r="N209" s="17">
        <v>5400</v>
      </c>
      <c r="O209" s="17"/>
      <c r="P209" s="17"/>
      <c r="Q209" s="48"/>
      <c r="R209" s="11"/>
      <c r="S209" s="48"/>
      <c r="T209" s="85"/>
      <c r="U209" s="88"/>
      <c r="V209" s="32" t="s">
        <v>841</v>
      </c>
      <c r="W209" s="25" t="s">
        <v>10</v>
      </c>
      <c r="X209" s="11"/>
      <c r="Y209" s="50" t="s">
        <v>19</v>
      </c>
      <c r="Z209" s="50"/>
      <c r="AA209" s="50"/>
      <c r="AB209" s="50"/>
      <c r="AC209" s="50"/>
      <c r="AD209" s="50"/>
      <c r="AE209" s="50"/>
      <c r="AF209" s="34"/>
      <c r="AG209" s="34"/>
      <c r="AH209" s="34"/>
      <c r="AI209" s="34"/>
      <c r="AJ209" s="34"/>
      <c r="AK209" s="34"/>
      <c r="AL209" s="34"/>
      <c r="AM209" s="34"/>
      <c r="AN209" s="34"/>
      <c r="AO209" s="65"/>
      <c r="AP209" s="69"/>
      <c r="AQ209" s="62"/>
      <c r="AR209" s="34"/>
    </row>
    <row r="210" spans="1:44" customFormat="1">
      <c r="A210" s="39">
        <v>43681</v>
      </c>
      <c r="B210" s="11" t="s">
        <v>49</v>
      </c>
      <c r="C210" s="16" t="s">
        <v>842</v>
      </c>
      <c r="D210" s="16"/>
      <c r="E210" s="38">
        <v>26921</v>
      </c>
      <c r="F210" s="38"/>
      <c r="G210" s="10" t="s">
        <v>843</v>
      </c>
      <c r="H210" s="12" t="s">
        <v>844</v>
      </c>
      <c r="I210" s="13">
        <v>135</v>
      </c>
      <c r="J210" s="15" t="s">
        <v>846</v>
      </c>
      <c r="K210" s="14" t="s">
        <v>845</v>
      </c>
      <c r="L210" s="11" t="s">
        <v>33</v>
      </c>
      <c r="M210" s="15"/>
      <c r="N210" s="17">
        <v>21600</v>
      </c>
      <c r="O210" s="17"/>
      <c r="P210" s="17"/>
      <c r="Q210" s="48"/>
      <c r="R210" s="11"/>
      <c r="S210" s="48"/>
      <c r="T210" s="85"/>
      <c r="U210" s="88"/>
      <c r="V210" s="32"/>
      <c r="W210" s="25" t="s">
        <v>48</v>
      </c>
      <c r="X210" s="11"/>
      <c r="Y210" s="50" t="s">
        <v>12</v>
      </c>
      <c r="Z210" s="50"/>
      <c r="AA210" s="50"/>
      <c r="AB210" s="50"/>
      <c r="AC210" s="50"/>
      <c r="AD210" s="50"/>
      <c r="AE210" s="50"/>
      <c r="AF210" s="34"/>
      <c r="AG210" s="34"/>
      <c r="AH210" s="34"/>
      <c r="AI210" s="34"/>
      <c r="AJ210" s="34"/>
      <c r="AK210" s="34"/>
      <c r="AL210" s="34"/>
      <c r="AM210" s="34"/>
      <c r="AN210" s="34"/>
      <c r="AO210" s="65"/>
      <c r="AP210" s="69"/>
      <c r="AQ210" s="62"/>
      <c r="AR210" s="34"/>
    </row>
    <row r="211" spans="1:44" customFormat="1">
      <c r="A211" s="39">
        <v>43682</v>
      </c>
      <c r="B211" s="11" t="s">
        <v>23</v>
      </c>
      <c r="C211" s="16" t="s">
        <v>847</v>
      </c>
      <c r="D211" s="16"/>
      <c r="E211" s="38">
        <v>25367</v>
      </c>
      <c r="F211" s="38"/>
      <c r="G211" s="10" t="s">
        <v>848</v>
      </c>
      <c r="H211" s="12" t="s">
        <v>849</v>
      </c>
      <c r="I211" s="13">
        <v>31.2</v>
      </c>
      <c r="J211" s="15" t="s">
        <v>851</v>
      </c>
      <c r="K211" s="14" t="s">
        <v>850</v>
      </c>
      <c r="L211" s="11"/>
      <c r="M211" s="15"/>
      <c r="N211" s="17">
        <v>16200</v>
      </c>
      <c r="O211" s="17"/>
      <c r="P211" s="17"/>
      <c r="Q211" s="48"/>
      <c r="R211" s="11"/>
      <c r="S211" s="48"/>
      <c r="T211" s="85"/>
      <c r="U211" s="88"/>
      <c r="V211" s="32"/>
      <c r="W211" s="25" t="s">
        <v>8</v>
      </c>
      <c r="X211" s="11"/>
      <c r="Y211" s="50"/>
      <c r="Z211" s="50"/>
      <c r="AA211" s="50"/>
      <c r="AB211" s="50"/>
      <c r="AC211" s="50"/>
      <c r="AD211" s="50"/>
      <c r="AE211" s="50"/>
      <c r="AF211" s="34"/>
      <c r="AG211" s="34"/>
      <c r="AH211" s="34"/>
      <c r="AI211" s="34"/>
      <c r="AJ211" s="34"/>
      <c r="AK211" s="34"/>
      <c r="AL211" s="34"/>
      <c r="AM211" s="34"/>
      <c r="AN211" s="34"/>
      <c r="AO211" s="65"/>
      <c r="AP211" s="69"/>
      <c r="AQ211" s="62"/>
      <c r="AR211" s="34"/>
    </row>
    <row r="212" spans="1:44" customFormat="1">
      <c r="A212" s="39">
        <v>43684</v>
      </c>
      <c r="B212" s="11" t="s">
        <v>22</v>
      </c>
      <c r="C212" s="16" t="s">
        <v>854</v>
      </c>
      <c r="D212" s="16"/>
      <c r="E212" s="39">
        <v>30823</v>
      </c>
      <c r="F212" s="83"/>
      <c r="G212" s="25" t="s">
        <v>852</v>
      </c>
      <c r="H212" s="26" t="s">
        <v>853</v>
      </c>
      <c r="I212" s="27">
        <v>21.7</v>
      </c>
      <c r="J212" s="15" t="s">
        <v>855</v>
      </c>
      <c r="K212" s="12"/>
      <c r="L212" s="11" t="s">
        <v>36</v>
      </c>
      <c r="M212" s="15"/>
      <c r="N212" s="17">
        <v>2700</v>
      </c>
      <c r="O212" s="17"/>
      <c r="P212" s="17"/>
      <c r="Q212" s="48"/>
      <c r="R212" s="11"/>
      <c r="S212" s="48"/>
      <c r="T212" s="85"/>
      <c r="U212" s="88"/>
      <c r="V212" s="32" t="s">
        <v>856</v>
      </c>
      <c r="W212" s="25" t="s">
        <v>8</v>
      </c>
      <c r="X212" s="11"/>
      <c r="Y212" s="50" t="s">
        <v>12</v>
      </c>
      <c r="Z212" s="50"/>
      <c r="AA212" s="50"/>
      <c r="AB212" s="50"/>
      <c r="AC212" s="50"/>
      <c r="AD212" s="50"/>
      <c r="AE212" s="50"/>
      <c r="AF212" s="34"/>
      <c r="AG212" s="34"/>
      <c r="AH212" s="34"/>
      <c r="AI212" s="34"/>
      <c r="AJ212" s="34"/>
      <c r="AK212" s="34"/>
      <c r="AL212" s="34"/>
      <c r="AM212" s="34"/>
      <c r="AN212" s="34"/>
      <c r="AO212" s="65"/>
      <c r="AP212" s="69"/>
      <c r="AQ212" s="62"/>
      <c r="AR212" s="34"/>
    </row>
    <row r="213" spans="1:44" customFormat="1">
      <c r="A213" s="39">
        <v>43685</v>
      </c>
      <c r="B213" s="11" t="s">
        <v>22</v>
      </c>
      <c r="C213" s="16" t="s">
        <v>857</v>
      </c>
      <c r="D213" s="16"/>
      <c r="E213" s="38">
        <v>28908</v>
      </c>
      <c r="F213" s="38"/>
      <c r="G213" s="10" t="s">
        <v>858</v>
      </c>
      <c r="H213" s="12" t="s">
        <v>859</v>
      </c>
      <c r="I213" s="13">
        <v>10.3</v>
      </c>
      <c r="J213" s="15" t="s">
        <v>860</v>
      </c>
      <c r="K213" s="12"/>
      <c r="L213" s="11" t="s">
        <v>36</v>
      </c>
      <c r="M213" s="15"/>
      <c r="N213" s="17">
        <v>2700</v>
      </c>
      <c r="O213" s="17"/>
      <c r="P213" s="17"/>
      <c r="Q213" s="48"/>
      <c r="R213" s="11"/>
      <c r="S213" s="48"/>
      <c r="T213" s="85"/>
      <c r="U213" s="88"/>
      <c r="V213" s="32"/>
      <c r="W213" s="25" t="s">
        <v>10</v>
      </c>
      <c r="X213" s="11"/>
      <c r="Y213" s="50" t="s">
        <v>11</v>
      </c>
      <c r="Z213" s="50"/>
      <c r="AA213" s="50"/>
      <c r="AB213" s="50"/>
      <c r="AC213" s="50"/>
      <c r="AD213" s="50"/>
      <c r="AE213" s="50"/>
      <c r="AF213" s="34"/>
      <c r="AG213" s="34"/>
      <c r="AH213" s="34"/>
      <c r="AI213" s="34"/>
      <c r="AJ213" s="34"/>
      <c r="AK213" s="34"/>
      <c r="AL213" s="34"/>
      <c r="AM213" s="34"/>
      <c r="AN213" s="34"/>
      <c r="AO213" s="65"/>
      <c r="AP213" s="69"/>
      <c r="AQ213" s="62"/>
      <c r="AR213" s="34"/>
    </row>
    <row r="214" spans="1:44" customFormat="1">
      <c r="A214" s="39">
        <v>43685</v>
      </c>
      <c r="B214" s="11" t="s">
        <v>49</v>
      </c>
      <c r="C214" s="16" t="s">
        <v>861</v>
      </c>
      <c r="D214" s="16"/>
      <c r="E214" s="38">
        <v>29542</v>
      </c>
      <c r="F214" s="38"/>
      <c r="G214" s="10" t="s">
        <v>864</v>
      </c>
      <c r="H214" s="12" t="s">
        <v>862</v>
      </c>
      <c r="I214" s="13">
        <v>40.299999999999997</v>
      </c>
      <c r="J214" s="15" t="s">
        <v>863</v>
      </c>
      <c r="K214" s="12"/>
      <c r="L214" s="11" t="s">
        <v>33</v>
      </c>
      <c r="M214" s="15"/>
      <c r="N214" s="17">
        <v>16200</v>
      </c>
      <c r="O214" s="17"/>
      <c r="P214" s="17"/>
      <c r="Q214" s="48"/>
      <c r="R214" s="11"/>
      <c r="S214" s="48"/>
      <c r="T214" s="85"/>
      <c r="U214" s="88"/>
      <c r="V214" s="32"/>
      <c r="W214" s="25" t="s">
        <v>8</v>
      </c>
      <c r="X214" s="11"/>
      <c r="Y214" s="50" t="s">
        <v>13</v>
      </c>
      <c r="Z214" s="50"/>
      <c r="AA214" s="50"/>
      <c r="AB214" s="50"/>
      <c r="AC214" s="50"/>
      <c r="AD214" s="50"/>
      <c r="AE214" s="50"/>
      <c r="AF214" s="34"/>
      <c r="AG214" s="34"/>
      <c r="AH214" s="34"/>
      <c r="AI214" s="34"/>
      <c r="AJ214" s="34"/>
      <c r="AK214" s="34"/>
      <c r="AL214" s="34"/>
      <c r="AM214" s="34"/>
      <c r="AN214" s="34"/>
      <c r="AO214" s="65"/>
      <c r="AP214" s="69"/>
      <c r="AQ214" s="62"/>
      <c r="AR214" s="34"/>
    </row>
    <row r="215" spans="1:44" customFormat="1">
      <c r="A215" s="39">
        <v>43685</v>
      </c>
      <c r="B215" s="11" t="s">
        <v>23</v>
      </c>
      <c r="C215" s="16" t="s">
        <v>865</v>
      </c>
      <c r="D215" s="16"/>
      <c r="E215" s="38">
        <v>30062</v>
      </c>
      <c r="F215" s="38"/>
      <c r="G215" s="10" t="s">
        <v>866</v>
      </c>
      <c r="H215" s="12" t="s">
        <v>873</v>
      </c>
      <c r="I215" s="13">
        <v>76.7</v>
      </c>
      <c r="J215" s="15" t="s">
        <v>867</v>
      </c>
      <c r="K215" s="12"/>
      <c r="L215" s="11" t="s">
        <v>33</v>
      </c>
      <c r="M215" s="15"/>
      <c r="N215" s="17">
        <v>16200</v>
      </c>
      <c r="O215" s="17"/>
      <c r="P215" s="17"/>
      <c r="Q215" s="48"/>
      <c r="R215" s="11"/>
      <c r="S215" s="48"/>
      <c r="T215" s="85"/>
      <c r="U215" s="88"/>
      <c r="V215" s="32"/>
      <c r="W215" s="25"/>
      <c r="X215" s="11"/>
      <c r="Y215" s="50"/>
      <c r="Z215" s="50"/>
      <c r="AA215" s="50"/>
      <c r="AB215" s="50"/>
      <c r="AC215" s="50"/>
      <c r="AD215" s="50"/>
      <c r="AE215" s="50"/>
      <c r="AF215" s="34"/>
      <c r="AG215" s="34"/>
      <c r="AH215" s="34"/>
      <c r="AI215" s="34"/>
      <c r="AJ215" s="34"/>
      <c r="AK215" s="34"/>
      <c r="AL215" s="34"/>
      <c r="AM215" s="34"/>
      <c r="AN215" s="34"/>
      <c r="AO215" s="65"/>
      <c r="AP215" s="69"/>
      <c r="AQ215" s="62"/>
      <c r="AR215" s="34"/>
    </row>
    <row r="216" spans="1:44" customFormat="1">
      <c r="A216" s="39">
        <v>43685</v>
      </c>
      <c r="B216" s="11" t="s">
        <v>49</v>
      </c>
      <c r="C216" s="16" t="s">
        <v>868</v>
      </c>
      <c r="D216" s="16"/>
      <c r="E216" s="38">
        <v>30728</v>
      </c>
      <c r="F216" s="38"/>
      <c r="G216" s="10" t="s">
        <v>869</v>
      </c>
      <c r="H216" s="12" t="s">
        <v>870</v>
      </c>
      <c r="I216" s="13">
        <v>32.799999999999997</v>
      </c>
      <c r="J216" s="15" t="s">
        <v>871</v>
      </c>
      <c r="K216" s="14" t="s">
        <v>872</v>
      </c>
      <c r="L216" s="11" t="s">
        <v>34</v>
      </c>
      <c r="M216" s="15"/>
      <c r="N216" s="17">
        <v>16200</v>
      </c>
      <c r="O216" s="17"/>
      <c r="P216" s="17"/>
      <c r="Q216" s="48"/>
      <c r="R216" s="11"/>
      <c r="S216" s="48"/>
      <c r="T216" s="85"/>
      <c r="U216" s="88"/>
      <c r="V216" s="32"/>
      <c r="W216" s="25" t="s">
        <v>8</v>
      </c>
      <c r="X216" s="11"/>
      <c r="Y216" s="50"/>
      <c r="Z216" s="50"/>
      <c r="AA216" s="50"/>
      <c r="AB216" s="50"/>
      <c r="AC216" s="50"/>
      <c r="AD216" s="50"/>
      <c r="AE216" s="50"/>
      <c r="AF216" s="34"/>
      <c r="AG216" s="34"/>
      <c r="AH216" s="34"/>
      <c r="AI216" s="34"/>
      <c r="AJ216" s="34"/>
      <c r="AK216" s="34"/>
      <c r="AL216" s="34"/>
      <c r="AM216" s="34"/>
      <c r="AN216" s="34"/>
      <c r="AO216" s="65"/>
      <c r="AP216" s="69"/>
      <c r="AQ216" s="62"/>
      <c r="AR216" s="34"/>
    </row>
    <row r="217" spans="1:44" customFormat="1">
      <c r="A217" s="39">
        <v>43685</v>
      </c>
      <c r="B217" s="11" t="s">
        <v>49</v>
      </c>
      <c r="C217" s="16" t="s">
        <v>874</v>
      </c>
      <c r="D217" s="16"/>
      <c r="E217" s="38">
        <v>22139</v>
      </c>
      <c r="F217" s="38"/>
      <c r="G217" s="10" t="s">
        <v>875</v>
      </c>
      <c r="H217" s="12" t="s">
        <v>876</v>
      </c>
      <c r="I217" s="13">
        <v>292</v>
      </c>
      <c r="J217" s="15" t="s">
        <v>878</v>
      </c>
      <c r="K217" s="14" t="s">
        <v>877</v>
      </c>
      <c r="L217" s="11" t="s">
        <v>34</v>
      </c>
      <c r="M217" s="15"/>
      <c r="N217" s="17">
        <v>8100</v>
      </c>
      <c r="O217" s="17"/>
      <c r="P217" s="17"/>
      <c r="Q217" s="48"/>
      <c r="R217" s="11"/>
      <c r="S217" s="48"/>
      <c r="T217" s="85"/>
      <c r="U217" s="88"/>
      <c r="V217" s="32" t="s">
        <v>879</v>
      </c>
      <c r="W217" s="25" t="s">
        <v>8</v>
      </c>
      <c r="X217" s="11"/>
      <c r="Y217" s="50" t="s">
        <v>20</v>
      </c>
      <c r="Z217" s="50"/>
      <c r="AA217" s="50"/>
      <c r="AB217" s="50"/>
      <c r="AC217" s="50"/>
      <c r="AD217" s="50"/>
      <c r="AE217" s="50"/>
      <c r="AF217" s="34"/>
      <c r="AG217" s="34"/>
      <c r="AH217" s="34"/>
      <c r="AI217" s="34"/>
      <c r="AJ217" s="34"/>
      <c r="AK217" s="34"/>
      <c r="AL217" s="34"/>
      <c r="AM217" s="34"/>
      <c r="AN217" s="34"/>
      <c r="AO217" s="65"/>
      <c r="AP217" s="69"/>
      <c r="AQ217" s="62"/>
      <c r="AR217" s="34"/>
    </row>
    <row r="218" spans="1:44" customFormat="1">
      <c r="A218" s="39">
        <v>43685</v>
      </c>
      <c r="B218" s="11" t="s">
        <v>22</v>
      </c>
      <c r="C218" s="16" t="s">
        <v>880</v>
      </c>
      <c r="D218" s="16"/>
      <c r="E218" s="38">
        <v>27536</v>
      </c>
      <c r="F218" s="38"/>
      <c r="G218" s="10" t="s">
        <v>448</v>
      </c>
      <c r="H218" s="12" t="s">
        <v>881</v>
      </c>
      <c r="I218" s="13">
        <v>3.4</v>
      </c>
      <c r="J218" s="15" t="s">
        <v>882</v>
      </c>
      <c r="K218" s="12"/>
      <c r="L218" s="11" t="s">
        <v>36</v>
      </c>
      <c r="M218" s="15"/>
      <c r="N218" s="17">
        <v>2700</v>
      </c>
      <c r="O218" s="17"/>
      <c r="P218" s="17"/>
      <c r="Q218" s="48"/>
      <c r="R218" s="11"/>
      <c r="S218" s="48"/>
      <c r="T218" s="85"/>
      <c r="U218" s="88"/>
      <c r="V218" s="32"/>
      <c r="W218" s="25" t="s">
        <v>48</v>
      </c>
      <c r="X218" s="11"/>
      <c r="Y218" s="50" t="s">
        <v>14</v>
      </c>
      <c r="Z218" s="50"/>
      <c r="AA218" s="50"/>
      <c r="AB218" s="50"/>
      <c r="AC218" s="50"/>
      <c r="AD218" s="50"/>
      <c r="AE218" s="50"/>
      <c r="AF218" s="34"/>
      <c r="AG218" s="34"/>
      <c r="AH218" s="34"/>
      <c r="AI218" s="34"/>
      <c r="AJ218" s="34"/>
      <c r="AK218" s="34"/>
      <c r="AL218" s="34"/>
      <c r="AM218" s="34"/>
      <c r="AN218" s="34"/>
      <c r="AO218" s="65"/>
      <c r="AP218" s="69"/>
      <c r="AQ218" s="62"/>
      <c r="AR218" s="34"/>
    </row>
    <row r="219" spans="1:44" customFormat="1">
      <c r="A219" s="39">
        <v>43687</v>
      </c>
      <c r="B219" s="11" t="s">
        <v>22</v>
      </c>
      <c r="C219" s="16" t="s">
        <v>645</v>
      </c>
      <c r="D219" s="16"/>
      <c r="E219" s="38">
        <v>26002</v>
      </c>
      <c r="F219" s="38"/>
      <c r="G219" s="10" t="s">
        <v>646</v>
      </c>
      <c r="H219" s="12" t="s">
        <v>883</v>
      </c>
      <c r="I219" s="13">
        <v>21.9</v>
      </c>
      <c r="J219" s="15" t="s">
        <v>648</v>
      </c>
      <c r="K219" s="12"/>
      <c r="L219" s="11" t="s">
        <v>33</v>
      </c>
      <c r="M219" s="15"/>
      <c r="N219" s="17">
        <v>2700</v>
      </c>
      <c r="O219" s="17"/>
      <c r="P219" s="17"/>
      <c r="Q219" s="48"/>
      <c r="R219" s="11"/>
      <c r="S219" s="48"/>
      <c r="T219" s="85"/>
      <c r="U219" s="88"/>
      <c r="V219" s="32"/>
      <c r="W219" s="25" t="s">
        <v>8</v>
      </c>
      <c r="X219" s="11"/>
      <c r="Y219" s="50"/>
      <c r="Z219" s="50"/>
      <c r="AA219" s="50"/>
      <c r="AB219" s="50"/>
      <c r="AC219" s="50"/>
      <c r="AD219" s="50"/>
      <c r="AE219" s="50"/>
      <c r="AF219" s="34"/>
      <c r="AG219" s="34"/>
      <c r="AH219" s="34"/>
      <c r="AI219" s="34"/>
      <c r="AJ219" s="34"/>
      <c r="AK219" s="34"/>
      <c r="AL219" s="34"/>
      <c r="AM219" s="34"/>
      <c r="AN219" s="34"/>
      <c r="AO219" s="65"/>
      <c r="AP219" s="69"/>
      <c r="AQ219" s="62"/>
      <c r="AR219" s="34"/>
    </row>
    <row r="220" spans="1:44" customFormat="1">
      <c r="A220" s="39">
        <v>43687</v>
      </c>
      <c r="B220" s="11" t="s">
        <v>22</v>
      </c>
      <c r="C220" s="16" t="s">
        <v>884</v>
      </c>
      <c r="D220" s="16"/>
      <c r="E220" s="38">
        <v>36226</v>
      </c>
      <c r="F220" s="38"/>
      <c r="G220" s="10" t="s">
        <v>29</v>
      </c>
      <c r="H220" s="12" t="s">
        <v>885</v>
      </c>
      <c r="I220" s="13">
        <v>15.6</v>
      </c>
      <c r="J220" s="15" t="s">
        <v>887</v>
      </c>
      <c r="K220" s="14" t="s">
        <v>886</v>
      </c>
      <c r="L220" s="11" t="s">
        <v>38</v>
      </c>
      <c r="M220" s="15"/>
      <c r="N220" s="17">
        <v>2700</v>
      </c>
      <c r="O220" s="17"/>
      <c r="P220" s="17"/>
      <c r="Q220" s="48"/>
      <c r="R220" s="11"/>
      <c r="S220" s="48"/>
      <c r="T220" s="85"/>
      <c r="U220" s="88"/>
      <c r="V220" s="32"/>
      <c r="W220" s="25" t="s">
        <v>48</v>
      </c>
      <c r="X220" s="11"/>
      <c r="Y220" s="50" t="s">
        <v>12</v>
      </c>
      <c r="Z220" s="50"/>
      <c r="AA220" s="50"/>
      <c r="AB220" s="50"/>
      <c r="AC220" s="50"/>
      <c r="AD220" s="50"/>
      <c r="AE220" s="50"/>
      <c r="AF220" s="34"/>
      <c r="AG220" s="34"/>
      <c r="AH220" s="34"/>
      <c r="AI220" s="34"/>
      <c r="AJ220" s="34"/>
      <c r="AK220" s="34"/>
      <c r="AL220" s="34"/>
      <c r="AM220" s="34"/>
      <c r="AN220" s="34"/>
      <c r="AO220" s="65"/>
      <c r="AP220" s="69"/>
      <c r="AQ220" s="62"/>
      <c r="AR220" s="34"/>
    </row>
    <row r="221" spans="1:44" customFormat="1">
      <c r="A221" s="39">
        <v>43688</v>
      </c>
      <c r="B221" s="11" t="s">
        <v>49</v>
      </c>
      <c r="C221" s="16" t="s">
        <v>888</v>
      </c>
      <c r="D221" s="16"/>
      <c r="E221" s="38">
        <v>32388</v>
      </c>
      <c r="F221" s="38"/>
      <c r="G221" s="10" t="s">
        <v>889</v>
      </c>
      <c r="H221" s="12" t="s">
        <v>890</v>
      </c>
      <c r="I221" s="13">
        <v>58.2</v>
      </c>
      <c r="J221" s="15" t="s">
        <v>891</v>
      </c>
      <c r="K221" s="12"/>
      <c r="L221" s="11" t="s">
        <v>36</v>
      </c>
      <c r="M221" s="15"/>
      <c r="N221" s="17">
        <v>16200</v>
      </c>
      <c r="O221" s="17"/>
      <c r="P221" s="17"/>
      <c r="Q221" s="48"/>
      <c r="R221" s="11"/>
      <c r="S221" s="48"/>
      <c r="T221" s="85"/>
      <c r="U221" s="88"/>
      <c r="V221" s="32"/>
      <c r="W221" s="25" t="s">
        <v>8</v>
      </c>
      <c r="X221" s="11"/>
      <c r="Y221" s="50" t="s">
        <v>13</v>
      </c>
      <c r="Z221" s="50"/>
      <c r="AA221" s="50"/>
      <c r="AB221" s="50"/>
      <c r="AC221" s="50"/>
      <c r="AD221" s="50"/>
      <c r="AE221" s="50"/>
      <c r="AF221" s="34"/>
      <c r="AG221" s="34"/>
      <c r="AH221" s="34"/>
      <c r="AI221" s="34"/>
      <c r="AJ221" s="34"/>
      <c r="AK221" s="34"/>
      <c r="AL221" s="34"/>
      <c r="AM221" s="34"/>
      <c r="AN221" s="34"/>
      <c r="AO221" s="65"/>
      <c r="AP221" s="69"/>
      <c r="AQ221" s="62"/>
      <c r="AR221" s="34"/>
    </row>
    <row r="222" spans="1:44" customFormat="1">
      <c r="A222" s="39">
        <v>43689</v>
      </c>
      <c r="B222" s="11" t="s">
        <v>22</v>
      </c>
      <c r="C222" s="16" t="s">
        <v>892</v>
      </c>
      <c r="D222" s="16"/>
      <c r="E222" s="38">
        <v>32192</v>
      </c>
      <c r="F222" s="38"/>
      <c r="G222" s="10" t="s">
        <v>893</v>
      </c>
      <c r="H222" s="12" t="s">
        <v>894</v>
      </c>
      <c r="I222" s="13">
        <v>4.5</v>
      </c>
      <c r="J222" s="15" t="s">
        <v>895</v>
      </c>
      <c r="K222" s="12"/>
      <c r="L222" s="11" t="s">
        <v>36</v>
      </c>
      <c r="M222" s="15"/>
      <c r="N222" s="17">
        <v>2700</v>
      </c>
      <c r="O222" s="17"/>
      <c r="P222" s="17"/>
      <c r="Q222" s="48"/>
      <c r="R222" s="11"/>
      <c r="S222" s="48"/>
      <c r="T222" s="85"/>
      <c r="U222" s="88"/>
      <c r="V222" s="32"/>
      <c r="W222" s="25" t="s">
        <v>10</v>
      </c>
      <c r="X222" s="11"/>
      <c r="Y222" s="50" t="s">
        <v>14</v>
      </c>
      <c r="Z222" s="50"/>
      <c r="AA222" s="50"/>
      <c r="AB222" s="50"/>
      <c r="AC222" s="50"/>
      <c r="AD222" s="50"/>
      <c r="AE222" s="50"/>
      <c r="AF222" s="34"/>
      <c r="AG222" s="34"/>
      <c r="AH222" s="34"/>
      <c r="AI222" s="34"/>
      <c r="AJ222" s="34"/>
      <c r="AK222" s="34"/>
      <c r="AL222" s="34"/>
      <c r="AM222" s="34"/>
      <c r="AN222" s="34"/>
      <c r="AO222" s="65"/>
      <c r="AP222" s="69"/>
      <c r="AQ222" s="62"/>
      <c r="AR222" s="34"/>
    </row>
    <row r="223" spans="1:44" customFormat="1">
      <c r="A223" s="39">
        <v>43691</v>
      </c>
      <c r="B223" s="11" t="s">
        <v>22</v>
      </c>
      <c r="C223" s="16" t="s">
        <v>896</v>
      </c>
      <c r="D223" s="16"/>
      <c r="E223" s="38">
        <v>22688</v>
      </c>
      <c r="F223" s="38"/>
      <c r="G223" s="10" t="s">
        <v>596</v>
      </c>
      <c r="H223" s="12" t="s">
        <v>897</v>
      </c>
      <c r="I223" s="13">
        <v>6.6</v>
      </c>
      <c r="J223" s="15" t="s">
        <v>899</v>
      </c>
      <c r="K223" s="14" t="s">
        <v>898</v>
      </c>
      <c r="L223" s="11" t="s">
        <v>36</v>
      </c>
      <c r="M223" s="15"/>
      <c r="N223" s="17">
        <v>2700</v>
      </c>
      <c r="O223" s="17"/>
      <c r="P223" s="17"/>
      <c r="Q223" s="48"/>
      <c r="R223" s="11"/>
      <c r="S223" s="48"/>
      <c r="T223" s="85"/>
      <c r="U223" s="88"/>
      <c r="V223" s="32"/>
      <c r="W223" s="25" t="s">
        <v>48</v>
      </c>
      <c r="X223" s="11"/>
      <c r="Y223" s="50" t="s">
        <v>12</v>
      </c>
      <c r="Z223" s="50"/>
      <c r="AA223" s="50"/>
      <c r="AB223" s="50"/>
      <c r="AC223" s="50"/>
      <c r="AD223" s="50"/>
      <c r="AE223" s="50"/>
      <c r="AF223" s="34"/>
      <c r="AG223" s="34"/>
      <c r="AH223" s="34"/>
      <c r="AI223" s="34"/>
      <c r="AJ223" s="34"/>
      <c r="AK223" s="34"/>
      <c r="AL223" s="34"/>
      <c r="AM223" s="34"/>
      <c r="AN223" s="34"/>
      <c r="AO223" s="65"/>
      <c r="AP223" s="69"/>
      <c r="AQ223" s="62"/>
      <c r="AR223" s="34"/>
    </row>
    <row r="224" spans="1:44" customFormat="1">
      <c r="A224" s="39">
        <v>43691</v>
      </c>
      <c r="B224" s="11" t="s">
        <v>22</v>
      </c>
      <c r="C224" s="16" t="s">
        <v>900</v>
      </c>
      <c r="D224" s="16"/>
      <c r="E224" s="38">
        <v>19013</v>
      </c>
      <c r="F224" s="38"/>
      <c r="G224" s="10" t="s">
        <v>901</v>
      </c>
      <c r="H224" s="12" t="s">
        <v>902</v>
      </c>
      <c r="I224" s="13">
        <v>3.8</v>
      </c>
      <c r="J224" s="15" t="s">
        <v>903</v>
      </c>
      <c r="K224" s="12"/>
      <c r="L224" s="11" t="s">
        <v>33</v>
      </c>
      <c r="M224" s="15"/>
      <c r="N224" s="17">
        <v>2700</v>
      </c>
      <c r="O224" s="17"/>
      <c r="P224" s="17"/>
      <c r="Q224" s="48"/>
      <c r="R224" s="11"/>
      <c r="S224" s="48"/>
      <c r="T224" s="85"/>
      <c r="U224" s="88"/>
      <c r="V224" s="32"/>
      <c r="W224" s="25" t="s">
        <v>48</v>
      </c>
      <c r="X224" s="11"/>
      <c r="Y224" s="50" t="s">
        <v>12</v>
      </c>
      <c r="Z224" s="50"/>
      <c r="AA224" s="50"/>
      <c r="AB224" s="50"/>
      <c r="AC224" s="50"/>
      <c r="AD224" s="50"/>
      <c r="AE224" s="50"/>
      <c r="AF224" s="34"/>
      <c r="AG224" s="34"/>
      <c r="AH224" s="34"/>
      <c r="AI224" s="34"/>
      <c r="AJ224" s="34"/>
      <c r="AK224" s="34"/>
      <c r="AL224" s="34"/>
      <c r="AM224" s="34"/>
      <c r="AN224" s="34"/>
      <c r="AO224" s="65"/>
      <c r="AP224" s="69"/>
      <c r="AQ224" s="62"/>
      <c r="AR224" s="34"/>
    </row>
    <row r="225" spans="1:44" customFormat="1">
      <c r="A225" s="39">
        <v>43691</v>
      </c>
      <c r="B225" s="11" t="s">
        <v>22</v>
      </c>
      <c r="C225" s="16" t="s">
        <v>904</v>
      </c>
      <c r="D225" s="16"/>
      <c r="E225" s="38">
        <v>30516</v>
      </c>
      <c r="F225" s="38"/>
      <c r="G225" s="10" t="s">
        <v>460</v>
      </c>
      <c r="H225" s="12" t="s">
        <v>905</v>
      </c>
      <c r="I225" s="13">
        <v>1.5</v>
      </c>
      <c r="J225" s="15" t="s">
        <v>907</v>
      </c>
      <c r="K225" s="14" t="s">
        <v>906</v>
      </c>
      <c r="L225" s="11" t="s">
        <v>36</v>
      </c>
      <c r="M225" s="15"/>
      <c r="N225" s="17">
        <v>0</v>
      </c>
      <c r="O225" s="17"/>
      <c r="P225" s="17"/>
      <c r="Q225" s="48"/>
      <c r="R225" s="11"/>
      <c r="S225" s="48"/>
      <c r="T225" s="85"/>
      <c r="U225" s="88"/>
      <c r="V225" s="32"/>
      <c r="W225" s="25" t="s">
        <v>9</v>
      </c>
      <c r="X225" s="11"/>
      <c r="Y225" s="50" t="s">
        <v>12</v>
      </c>
      <c r="Z225" s="50"/>
      <c r="AA225" s="50"/>
      <c r="AB225" s="50"/>
      <c r="AC225" s="50"/>
      <c r="AD225" s="50"/>
      <c r="AE225" s="50"/>
      <c r="AF225" s="34"/>
      <c r="AG225" s="34"/>
      <c r="AH225" s="34"/>
      <c r="AI225" s="34"/>
      <c r="AJ225" s="34"/>
      <c r="AK225" s="34"/>
      <c r="AL225" s="34"/>
      <c r="AM225" s="34"/>
      <c r="AN225" s="34"/>
      <c r="AO225" s="65"/>
      <c r="AP225" s="69"/>
      <c r="AQ225" s="62"/>
      <c r="AR225" s="34"/>
    </row>
    <row r="226" spans="1:44" customFormat="1">
      <c r="A226" s="39">
        <v>43692</v>
      </c>
      <c r="B226" s="11" t="s">
        <v>22</v>
      </c>
      <c r="C226" s="16" t="s">
        <v>908</v>
      </c>
      <c r="D226" s="16"/>
      <c r="E226" s="38">
        <v>20687</v>
      </c>
      <c r="F226" s="38"/>
      <c r="G226" s="10" t="s">
        <v>616</v>
      </c>
      <c r="H226" s="12" t="s">
        <v>909</v>
      </c>
      <c r="I226" s="13">
        <v>12.5</v>
      </c>
      <c r="J226" s="15" t="s">
        <v>910</v>
      </c>
      <c r="K226" s="12"/>
      <c r="L226" s="11" t="s">
        <v>33</v>
      </c>
      <c r="M226" s="15"/>
      <c r="N226" s="17">
        <v>2700</v>
      </c>
      <c r="O226" s="17"/>
      <c r="P226" s="17"/>
      <c r="Q226" s="48"/>
      <c r="R226" s="11"/>
      <c r="S226" s="48"/>
      <c r="T226" s="85"/>
      <c r="U226" s="88"/>
      <c r="V226" s="32"/>
      <c r="W226" s="25"/>
      <c r="X226" s="11"/>
      <c r="Y226" s="50" t="s">
        <v>12</v>
      </c>
      <c r="Z226" s="50"/>
      <c r="AA226" s="50"/>
      <c r="AB226" s="50"/>
      <c r="AC226" s="50"/>
      <c r="AD226" s="50"/>
      <c r="AE226" s="50"/>
      <c r="AF226" s="34"/>
      <c r="AG226" s="34"/>
      <c r="AH226" s="34"/>
      <c r="AI226" s="34"/>
      <c r="AJ226" s="34"/>
      <c r="AK226" s="34"/>
      <c r="AL226" s="34"/>
      <c r="AM226" s="34"/>
      <c r="AN226" s="34"/>
      <c r="AO226" s="65"/>
      <c r="AP226" s="69"/>
      <c r="AQ226" s="62"/>
      <c r="AR226" s="34"/>
    </row>
    <row r="227" spans="1:44" customFormat="1">
      <c r="A227" s="40">
        <v>43693</v>
      </c>
      <c r="B227" s="11" t="s">
        <v>49</v>
      </c>
      <c r="C227" s="16" t="s">
        <v>911</v>
      </c>
      <c r="D227" s="16"/>
      <c r="E227" s="38">
        <v>31394</v>
      </c>
      <c r="F227" s="38"/>
      <c r="G227" s="10" t="s">
        <v>912</v>
      </c>
      <c r="H227" s="12" t="s">
        <v>913</v>
      </c>
      <c r="I227" s="13">
        <v>65.3</v>
      </c>
      <c r="J227" s="15" t="s">
        <v>914</v>
      </c>
      <c r="K227" s="12"/>
      <c r="L227" s="11" t="s">
        <v>39</v>
      </c>
      <c r="M227" s="15"/>
      <c r="N227" s="17">
        <v>21600</v>
      </c>
      <c r="O227" s="17"/>
      <c r="P227" s="17"/>
      <c r="Q227" s="48"/>
      <c r="R227" s="11"/>
      <c r="S227" s="48"/>
      <c r="T227" s="85"/>
      <c r="U227" s="88"/>
      <c r="V227" s="32" t="s">
        <v>105</v>
      </c>
      <c r="W227" s="25" t="s">
        <v>48</v>
      </c>
      <c r="X227" s="11"/>
      <c r="Y227" s="50" t="s">
        <v>13</v>
      </c>
      <c r="Z227" s="50"/>
      <c r="AA227" s="50"/>
      <c r="AB227" s="50"/>
      <c r="AC227" s="50"/>
      <c r="AD227" s="50"/>
      <c r="AE227" s="50"/>
      <c r="AF227" s="34"/>
      <c r="AG227" s="34"/>
      <c r="AH227" s="34"/>
      <c r="AI227" s="34"/>
      <c r="AJ227" s="34"/>
      <c r="AK227" s="34"/>
      <c r="AL227" s="34"/>
      <c r="AM227" s="34"/>
      <c r="AN227" s="34"/>
      <c r="AO227" s="65"/>
      <c r="AP227" s="69"/>
      <c r="AQ227" s="62"/>
      <c r="AR227" s="34"/>
    </row>
    <row r="228" spans="1:44" customFormat="1">
      <c r="A228" s="39">
        <v>43693</v>
      </c>
      <c r="B228" s="11" t="s">
        <v>5659</v>
      </c>
      <c r="C228" s="16" t="s">
        <v>296</v>
      </c>
      <c r="D228" s="16"/>
      <c r="E228" s="38">
        <v>24945</v>
      </c>
      <c r="F228" s="38"/>
      <c r="G228" s="10" t="s">
        <v>297</v>
      </c>
      <c r="H228" s="12" t="s">
        <v>298</v>
      </c>
      <c r="I228" s="13">
        <v>10.5</v>
      </c>
      <c r="J228" s="15" t="s">
        <v>299</v>
      </c>
      <c r="K228" s="12"/>
      <c r="L228" s="11"/>
      <c r="M228" s="15"/>
      <c r="N228" s="17"/>
      <c r="O228" s="17"/>
      <c r="P228" s="17"/>
      <c r="Q228" s="48"/>
      <c r="R228" s="11"/>
      <c r="S228" s="48"/>
      <c r="T228" s="85"/>
      <c r="U228" s="88"/>
      <c r="V228" s="32" t="s">
        <v>915</v>
      </c>
      <c r="W228" s="25"/>
      <c r="X228" s="11"/>
      <c r="Y228" s="50"/>
      <c r="Z228" s="50"/>
      <c r="AA228" s="50"/>
      <c r="AB228" s="50"/>
      <c r="AC228" s="50"/>
      <c r="AD228" s="50"/>
      <c r="AE228" s="50"/>
      <c r="AF228" s="34"/>
      <c r="AG228" s="34"/>
      <c r="AH228" s="34"/>
      <c r="AI228" s="34"/>
      <c r="AJ228" s="34"/>
      <c r="AK228" s="34"/>
      <c r="AL228" s="34"/>
      <c r="AM228" s="34"/>
      <c r="AN228" s="34"/>
      <c r="AO228" s="65"/>
      <c r="AP228" s="69"/>
      <c r="AQ228" s="62"/>
      <c r="AR228" s="34"/>
    </row>
    <row r="229" spans="1:44" customFormat="1">
      <c r="A229" s="39">
        <v>43694</v>
      </c>
      <c r="B229" s="11" t="s">
        <v>5659</v>
      </c>
      <c r="C229" s="16" t="s">
        <v>908</v>
      </c>
      <c r="D229" s="16"/>
      <c r="E229" s="38">
        <v>20687</v>
      </c>
      <c r="F229" s="38"/>
      <c r="G229" s="10" t="s">
        <v>616</v>
      </c>
      <c r="H229" s="12" t="s">
        <v>909</v>
      </c>
      <c r="I229" s="13">
        <v>12.5</v>
      </c>
      <c r="J229" s="15" t="s">
        <v>910</v>
      </c>
      <c r="K229" s="12"/>
      <c r="L229" s="11"/>
      <c r="M229" s="15"/>
      <c r="N229" s="17"/>
      <c r="O229" s="17"/>
      <c r="P229" s="17"/>
      <c r="Q229" s="48"/>
      <c r="R229" s="11"/>
      <c r="S229" s="48"/>
      <c r="T229" s="85"/>
      <c r="U229" s="88"/>
      <c r="V229" s="32" t="s">
        <v>929</v>
      </c>
      <c r="W229" s="25"/>
      <c r="X229" s="11"/>
      <c r="Y229" s="50"/>
      <c r="Z229" s="50"/>
      <c r="AA229" s="50"/>
      <c r="AB229" s="50"/>
      <c r="AC229" s="50"/>
      <c r="AD229" s="50"/>
      <c r="AE229" s="50"/>
      <c r="AF229" s="34"/>
      <c r="AG229" s="34"/>
      <c r="AH229" s="34"/>
      <c r="AI229" s="34"/>
      <c r="AJ229" s="34"/>
      <c r="AK229" s="34"/>
      <c r="AL229" s="34"/>
      <c r="AM229" s="34"/>
      <c r="AN229" s="34"/>
      <c r="AO229" s="65"/>
      <c r="AP229" s="69"/>
      <c r="AQ229" s="62"/>
      <c r="AR229" s="34"/>
    </row>
    <row r="230" spans="1:44" customFormat="1">
      <c r="A230" s="39">
        <v>43694</v>
      </c>
      <c r="B230" s="11" t="s">
        <v>49</v>
      </c>
      <c r="C230" s="16" t="s">
        <v>916</v>
      </c>
      <c r="D230" s="16"/>
      <c r="E230" s="38">
        <v>27245</v>
      </c>
      <c r="F230" s="38"/>
      <c r="G230" s="10" t="s">
        <v>919</v>
      </c>
      <c r="H230" s="12" t="s">
        <v>917</v>
      </c>
      <c r="I230" s="13">
        <v>32.799999999999997</v>
      </c>
      <c r="J230" s="15" t="s">
        <v>918</v>
      </c>
      <c r="K230" s="12"/>
      <c r="L230" s="11" t="s">
        <v>36</v>
      </c>
      <c r="M230" s="15"/>
      <c r="N230" s="17">
        <v>16200</v>
      </c>
      <c r="O230" s="17"/>
      <c r="P230" s="17"/>
      <c r="Q230" s="48"/>
      <c r="R230" s="11"/>
      <c r="S230" s="48"/>
      <c r="T230" s="85"/>
      <c r="U230" s="88"/>
      <c r="V230" s="32"/>
      <c r="W230" s="25" t="s">
        <v>48</v>
      </c>
      <c r="X230" s="11"/>
      <c r="Y230" s="50" t="s">
        <v>13</v>
      </c>
      <c r="Z230" s="50"/>
      <c r="AA230" s="50"/>
      <c r="AB230" s="50"/>
      <c r="AC230" s="50"/>
      <c r="AD230" s="50"/>
      <c r="AE230" s="50"/>
      <c r="AF230" s="34"/>
      <c r="AG230" s="34"/>
      <c r="AH230" s="34"/>
      <c r="AI230" s="34"/>
      <c r="AJ230" s="34"/>
      <c r="AK230" s="34"/>
      <c r="AL230" s="34"/>
      <c r="AM230" s="34"/>
      <c r="AN230" s="34"/>
      <c r="AO230" s="65"/>
      <c r="AP230" s="69"/>
      <c r="AQ230" s="62"/>
      <c r="AR230" s="34"/>
    </row>
    <row r="231" spans="1:44" customFormat="1">
      <c r="A231" s="39">
        <v>43694</v>
      </c>
      <c r="B231" s="11" t="s">
        <v>49</v>
      </c>
      <c r="C231" s="16" t="s">
        <v>920</v>
      </c>
      <c r="D231" s="16"/>
      <c r="E231" s="38">
        <v>31463</v>
      </c>
      <c r="F231" s="38"/>
      <c r="G231" s="10" t="s">
        <v>889</v>
      </c>
      <c r="H231" s="12" t="s">
        <v>921</v>
      </c>
      <c r="I231" s="13">
        <v>58.2</v>
      </c>
      <c r="J231" s="15" t="s">
        <v>922</v>
      </c>
      <c r="K231" s="12"/>
      <c r="L231" s="11" t="s">
        <v>36</v>
      </c>
      <c r="M231" s="15"/>
      <c r="N231" s="17">
        <v>16200</v>
      </c>
      <c r="O231" s="17"/>
      <c r="P231" s="17"/>
      <c r="Q231" s="48"/>
      <c r="R231" s="11"/>
      <c r="S231" s="48"/>
      <c r="T231" s="85"/>
      <c r="U231" s="88"/>
      <c r="V231" s="32"/>
      <c r="W231" s="25" t="s">
        <v>8</v>
      </c>
      <c r="X231" s="11"/>
      <c r="Y231" s="50" t="s">
        <v>14</v>
      </c>
      <c r="Z231" s="50"/>
      <c r="AA231" s="50"/>
      <c r="AB231" s="50"/>
      <c r="AC231" s="50"/>
      <c r="AD231" s="50"/>
      <c r="AE231" s="50"/>
      <c r="AF231" s="34"/>
      <c r="AG231" s="34"/>
      <c r="AH231" s="34"/>
      <c r="AI231" s="34"/>
      <c r="AJ231" s="34"/>
      <c r="AK231" s="34"/>
      <c r="AL231" s="34"/>
      <c r="AM231" s="34"/>
      <c r="AN231" s="34"/>
      <c r="AO231" s="65"/>
      <c r="AP231" s="69"/>
      <c r="AQ231" s="62"/>
      <c r="AR231" s="34"/>
    </row>
    <row r="232" spans="1:44" customFormat="1">
      <c r="A232" s="39">
        <v>43694</v>
      </c>
      <c r="B232" s="11" t="s">
        <v>22</v>
      </c>
      <c r="C232" s="16" t="s">
        <v>923</v>
      </c>
      <c r="D232" s="16"/>
      <c r="E232" s="38">
        <v>25833</v>
      </c>
      <c r="F232" s="38"/>
      <c r="G232" s="10" t="s">
        <v>629</v>
      </c>
      <c r="H232" s="12" t="s">
        <v>924</v>
      </c>
      <c r="I232" s="13">
        <v>35.1</v>
      </c>
      <c r="J232" s="15" t="s">
        <v>925</v>
      </c>
      <c r="K232" s="12"/>
      <c r="L232" s="11" t="s">
        <v>34</v>
      </c>
      <c r="M232" s="15"/>
      <c r="N232" s="17">
        <v>2700</v>
      </c>
      <c r="O232" s="17"/>
      <c r="P232" s="17"/>
      <c r="Q232" s="48"/>
      <c r="R232" s="11"/>
      <c r="S232" s="48"/>
      <c r="T232" s="85"/>
      <c r="U232" s="88"/>
      <c r="V232" s="32"/>
      <c r="W232" s="25" t="s">
        <v>48</v>
      </c>
      <c r="X232" s="11"/>
      <c r="Y232" s="50" t="s">
        <v>12</v>
      </c>
      <c r="Z232" s="50"/>
      <c r="AA232" s="50"/>
      <c r="AB232" s="50"/>
      <c r="AC232" s="50"/>
      <c r="AD232" s="50"/>
      <c r="AE232" s="50"/>
      <c r="AF232" s="34"/>
      <c r="AG232" s="34"/>
      <c r="AH232" s="34"/>
      <c r="AI232" s="34"/>
      <c r="AJ232" s="34"/>
      <c r="AK232" s="34"/>
      <c r="AL232" s="34"/>
      <c r="AM232" s="34"/>
      <c r="AN232" s="34"/>
      <c r="AO232" s="65"/>
      <c r="AP232" s="69"/>
      <c r="AQ232" s="62"/>
      <c r="AR232" s="34"/>
    </row>
    <row r="233" spans="1:44" customFormat="1">
      <c r="A233" s="39">
        <v>43695</v>
      </c>
      <c r="B233" s="11" t="s">
        <v>22</v>
      </c>
      <c r="C233" s="16" t="s">
        <v>926</v>
      </c>
      <c r="D233" s="16"/>
      <c r="E233" s="38">
        <v>26421</v>
      </c>
      <c r="F233" s="38"/>
      <c r="G233" s="10" t="s">
        <v>704</v>
      </c>
      <c r="H233" s="12" t="s">
        <v>927</v>
      </c>
      <c r="I233" s="13">
        <v>1.7</v>
      </c>
      <c r="J233" s="15" t="s">
        <v>928</v>
      </c>
      <c r="K233" s="12"/>
      <c r="L233" s="11" t="s">
        <v>33</v>
      </c>
      <c r="M233" s="15"/>
      <c r="N233" s="17">
        <v>2700</v>
      </c>
      <c r="O233" s="17"/>
      <c r="P233" s="17"/>
      <c r="Q233" s="48"/>
      <c r="R233" s="11"/>
      <c r="S233" s="48"/>
      <c r="T233" s="85"/>
      <c r="U233" s="88"/>
      <c r="V233" s="32"/>
      <c r="W233" s="25" t="s">
        <v>10</v>
      </c>
      <c r="X233" s="11"/>
      <c r="Y233" s="50" t="s">
        <v>18</v>
      </c>
      <c r="Z233" s="50"/>
      <c r="AA233" s="50"/>
      <c r="AB233" s="50"/>
      <c r="AC233" s="50"/>
      <c r="AD233" s="50"/>
      <c r="AE233" s="50"/>
      <c r="AF233" s="34"/>
      <c r="AG233" s="34"/>
      <c r="AH233" s="34"/>
      <c r="AI233" s="34"/>
      <c r="AJ233" s="34"/>
      <c r="AK233" s="34"/>
      <c r="AL233" s="34"/>
      <c r="AM233" s="34"/>
      <c r="AN233" s="34"/>
      <c r="AO233" s="65"/>
      <c r="AP233" s="69"/>
      <c r="AQ233" s="62"/>
      <c r="AR233" s="34"/>
    </row>
    <row r="234" spans="1:44" customFormat="1">
      <c r="A234" s="39">
        <v>43695</v>
      </c>
      <c r="B234" s="11" t="s">
        <v>5659</v>
      </c>
      <c r="C234" s="16" t="s">
        <v>296</v>
      </c>
      <c r="D234" s="16"/>
      <c r="E234" s="38"/>
      <c r="F234" s="38"/>
      <c r="G234" s="10"/>
      <c r="H234" s="12"/>
      <c r="I234" s="13"/>
      <c r="J234" s="15"/>
      <c r="K234" s="12"/>
      <c r="L234" s="11"/>
      <c r="M234" s="15"/>
      <c r="N234" s="17">
        <v>5400</v>
      </c>
      <c r="O234" s="17"/>
      <c r="P234" s="17"/>
      <c r="Q234" s="48"/>
      <c r="R234" s="11"/>
      <c r="S234" s="48"/>
      <c r="T234" s="85"/>
      <c r="U234" s="88"/>
      <c r="V234" s="32" t="s">
        <v>930</v>
      </c>
      <c r="W234" s="25"/>
      <c r="X234" s="11"/>
      <c r="Y234" s="50"/>
      <c r="Z234" s="50"/>
      <c r="AA234" s="50"/>
      <c r="AB234" s="50"/>
      <c r="AC234" s="50"/>
      <c r="AD234" s="50"/>
      <c r="AE234" s="50"/>
      <c r="AF234" s="34"/>
      <c r="AG234" s="34"/>
      <c r="AH234" s="34"/>
      <c r="AI234" s="34"/>
      <c r="AJ234" s="34"/>
      <c r="AK234" s="34"/>
      <c r="AL234" s="34"/>
      <c r="AM234" s="34"/>
      <c r="AN234" s="34"/>
      <c r="AO234" s="65"/>
      <c r="AP234" s="69"/>
      <c r="AQ234" s="62"/>
      <c r="AR234" s="34"/>
    </row>
    <row r="235" spans="1:44" customFormat="1">
      <c r="A235" s="39">
        <v>43696</v>
      </c>
      <c r="B235" s="11" t="s">
        <v>49</v>
      </c>
      <c r="C235" s="16" t="s">
        <v>931</v>
      </c>
      <c r="D235" s="16"/>
      <c r="E235" s="38">
        <v>31142</v>
      </c>
      <c r="F235" s="38"/>
      <c r="G235" s="10" t="s">
        <v>406</v>
      </c>
      <c r="H235" s="12" t="s">
        <v>932</v>
      </c>
      <c r="I235" s="13">
        <v>2.8</v>
      </c>
      <c r="J235" s="15" t="s">
        <v>934</v>
      </c>
      <c r="K235" s="14" t="s">
        <v>933</v>
      </c>
      <c r="L235" s="11" t="s">
        <v>36</v>
      </c>
      <c r="M235" s="15"/>
      <c r="N235" s="17">
        <v>16200</v>
      </c>
      <c r="O235" s="17"/>
      <c r="P235" s="17"/>
      <c r="Q235" s="48"/>
      <c r="R235" s="11"/>
      <c r="S235" s="48"/>
      <c r="T235" s="85"/>
      <c r="U235" s="88"/>
      <c r="V235" s="32" t="s">
        <v>935</v>
      </c>
      <c r="W235" s="25" t="s">
        <v>48</v>
      </c>
      <c r="X235" s="11"/>
      <c r="Y235" s="50" t="s">
        <v>11</v>
      </c>
      <c r="Z235" s="50"/>
      <c r="AA235" s="50"/>
      <c r="AB235" s="50"/>
      <c r="AC235" s="50"/>
      <c r="AD235" s="50"/>
      <c r="AE235" s="50"/>
      <c r="AF235" s="34"/>
      <c r="AG235" s="34"/>
      <c r="AH235" s="34"/>
      <c r="AI235" s="34"/>
      <c r="AJ235" s="34"/>
      <c r="AK235" s="34"/>
      <c r="AL235" s="34"/>
      <c r="AM235" s="34"/>
      <c r="AN235" s="34"/>
      <c r="AO235" s="65"/>
      <c r="AP235" s="69"/>
      <c r="AQ235" s="62"/>
      <c r="AR235" s="34"/>
    </row>
    <row r="236" spans="1:44" customFormat="1">
      <c r="A236" s="39">
        <v>43696</v>
      </c>
      <c r="B236" s="11" t="s">
        <v>49</v>
      </c>
      <c r="C236" s="16" t="s">
        <v>936</v>
      </c>
      <c r="D236" s="16"/>
      <c r="E236" s="38">
        <v>32056</v>
      </c>
      <c r="F236" s="38"/>
      <c r="G236" s="10" t="s">
        <v>937</v>
      </c>
      <c r="H236" s="12" t="s">
        <v>938</v>
      </c>
      <c r="I236" s="13">
        <v>10.7</v>
      </c>
      <c r="J236" s="15" t="s">
        <v>939</v>
      </c>
      <c r="K236" s="12"/>
      <c r="L236" s="11"/>
      <c r="M236" s="15"/>
      <c r="N236" s="17">
        <v>16200</v>
      </c>
      <c r="O236" s="17"/>
      <c r="P236" s="17"/>
      <c r="Q236" s="48"/>
      <c r="R236" s="11"/>
      <c r="S236" s="48"/>
      <c r="T236" s="85"/>
      <c r="U236" s="88"/>
      <c r="V236" s="32" t="s">
        <v>940</v>
      </c>
      <c r="W236" s="25"/>
      <c r="X236" s="11"/>
      <c r="Y236" s="50"/>
      <c r="Z236" s="50"/>
      <c r="AA236" s="50"/>
      <c r="AB236" s="50"/>
      <c r="AC236" s="50"/>
      <c r="AD236" s="50"/>
      <c r="AE236" s="50"/>
      <c r="AF236" s="34"/>
      <c r="AG236" s="34"/>
      <c r="AH236" s="34"/>
      <c r="AI236" s="34"/>
      <c r="AJ236" s="34"/>
      <c r="AK236" s="34"/>
      <c r="AL236" s="34"/>
      <c r="AM236" s="34"/>
      <c r="AN236" s="34"/>
      <c r="AO236" s="65"/>
      <c r="AP236" s="69"/>
      <c r="AQ236" s="62"/>
      <c r="AR236" s="34"/>
    </row>
    <row r="237" spans="1:44" customFormat="1">
      <c r="A237" s="39">
        <v>43698</v>
      </c>
      <c r="B237" s="11" t="s">
        <v>49</v>
      </c>
      <c r="C237" s="16" t="s">
        <v>941</v>
      </c>
      <c r="D237" s="16"/>
      <c r="E237" s="38">
        <v>23297</v>
      </c>
      <c r="F237" s="38"/>
      <c r="G237" s="10" t="s">
        <v>942</v>
      </c>
      <c r="H237" s="12" t="s">
        <v>943</v>
      </c>
      <c r="I237" s="13">
        <v>64.2</v>
      </c>
      <c r="J237" s="15" t="s">
        <v>944</v>
      </c>
      <c r="K237" s="12"/>
      <c r="L237" s="11" t="s">
        <v>34</v>
      </c>
      <c r="M237" s="15"/>
      <c r="N237" s="17">
        <v>16200</v>
      </c>
      <c r="O237" s="17"/>
      <c r="P237" s="17"/>
      <c r="Q237" s="48"/>
      <c r="R237" s="11"/>
      <c r="S237" s="48"/>
      <c r="T237" s="85"/>
      <c r="U237" s="88"/>
      <c r="V237" s="32"/>
      <c r="W237" s="25"/>
      <c r="X237" s="11"/>
      <c r="Y237" s="50"/>
      <c r="Z237" s="50"/>
      <c r="AA237" s="50"/>
      <c r="AB237" s="50"/>
      <c r="AC237" s="50"/>
      <c r="AD237" s="50"/>
      <c r="AE237" s="50"/>
      <c r="AF237" s="34"/>
      <c r="AG237" s="34"/>
      <c r="AH237" s="34"/>
      <c r="AI237" s="34"/>
      <c r="AJ237" s="34"/>
      <c r="AK237" s="34"/>
      <c r="AL237" s="34"/>
      <c r="AM237" s="34"/>
      <c r="AN237" s="34"/>
      <c r="AO237" s="65"/>
      <c r="AP237" s="69"/>
      <c r="AQ237" s="62"/>
      <c r="AR237" s="34"/>
    </row>
    <row r="238" spans="1:44" customFormat="1">
      <c r="A238" s="39">
        <v>43699</v>
      </c>
      <c r="B238" s="11" t="s">
        <v>49</v>
      </c>
      <c r="C238" s="16" t="s">
        <v>945</v>
      </c>
      <c r="D238" s="16"/>
      <c r="E238" s="38">
        <v>20899</v>
      </c>
      <c r="F238" s="38"/>
      <c r="G238" s="10" t="s">
        <v>946</v>
      </c>
      <c r="H238" s="12" t="s">
        <v>947</v>
      </c>
      <c r="I238" s="13">
        <v>10.6</v>
      </c>
      <c r="J238" s="15" t="s">
        <v>949</v>
      </c>
      <c r="K238" s="14" t="s">
        <v>948</v>
      </c>
      <c r="L238" s="11" t="s">
        <v>33</v>
      </c>
      <c r="M238" s="15"/>
      <c r="N238" s="17">
        <v>10800</v>
      </c>
      <c r="O238" s="17"/>
      <c r="P238" s="17"/>
      <c r="Q238" s="48"/>
      <c r="R238" s="11"/>
      <c r="S238" s="48"/>
      <c r="T238" s="85"/>
      <c r="U238" s="88"/>
      <c r="V238" s="32" t="s">
        <v>950</v>
      </c>
      <c r="W238" s="25" t="s">
        <v>8</v>
      </c>
      <c r="X238" s="11"/>
      <c r="Y238" s="50" t="s">
        <v>13</v>
      </c>
      <c r="Z238" s="50"/>
      <c r="AA238" s="50"/>
      <c r="AB238" s="50"/>
      <c r="AC238" s="50"/>
      <c r="AD238" s="50"/>
      <c r="AE238" s="50"/>
      <c r="AF238" s="34"/>
      <c r="AG238" s="34"/>
      <c r="AH238" s="34"/>
      <c r="AI238" s="34"/>
      <c r="AJ238" s="34"/>
      <c r="AK238" s="34"/>
      <c r="AL238" s="34"/>
      <c r="AM238" s="34"/>
      <c r="AN238" s="34"/>
      <c r="AO238" s="65"/>
      <c r="AP238" s="69"/>
      <c r="AQ238" s="62"/>
      <c r="AR238" s="34"/>
    </row>
    <row r="239" spans="1:44" customFormat="1">
      <c r="A239" s="39">
        <v>43701</v>
      </c>
      <c r="B239" s="11" t="s">
        <v>22</v>
      </c>
      <c r="C239" s="16" t="s">
        <v>951</v>
      </c>
      <c r="D239" s="16"/>
      <c r="E239" s="38">
        <v>24054</v>
      </c>
      <c r="F239" s="38"/>
      <c r="G239" s="10" t="s">
        <v>610</v>
      </c>
      <c r="H239" s="12" t="s">
        <v>952</v>
      </c>
      <c r="I239" s="13">
        <v>5.5</v>
      </c>
      <c r="J239" s="15" t="s">
        <v>954</v>
      </c>
      <c r="K239" s="14" t="s">
        <v>953</v>
      </c>
      <c r="L239" s="11" t="s">
        <v>36</v>
      </c>
      <c r="M239" s="15"/>
      <c r="N239" s="17">
        <v>2700</v>
      </c>
      <c r="O239" s="17"/>
      <c r="P239" s="17"/>
      <c r="Q239" s="48"/>
      <c r="R239" s="11"/>
      <c r="S239" s="48"/>
      <c r="T239" s="85"/>
      <c r="U239" s="88"/>
      <c r="V239" s="32" t="s">
        <v>955</v>
      </c>
      <c r="W239" s="25" t="s">
        <v>10</v>
      </c>
      <c r="X239" s="11"/>
      <c r="Y239" s="50" t="s">
        <v>12</v>
      </c>
      <c r="Z239" s="50"/>
      <c r="AA239" s="50"/>
      <c r="AB239" s="50"/>
      <c r="AC239" s="50"/>
      <c r="AD239" s="50"/>
      <c r="AE239" s="50"/>
      <c r="AF239" s="34"/>
      <c r="AG239" s="34"/>
      <c r="AH239" s="34"/>
      <c r="AI239" s="34"/>
      <c r="AJ239" s="34"/>
      <c r="AK239" s="34"/>
      <c r="AL239" s="34"/>
      <c r="AM239" s="34"/>
      <c r="AN239" s="34"/>
      <c r="AO239" s="65"/>
      <c r="AP239" s="69"/>
      <c r="AQ239" s="62"/>
      <c r="AR239" s="34"/>
    </row>
    <row r="240" spans="1:44" customFormat="1">
      <c r="A240" s="39">
        <v>43701</v>
      </c>
      <c r="B240" s="11" t="s">
        <v>49</v>
      </c>
      <c r="C240" s="16" t="s">
        <v>956</v>
      </c>
      <c r="D240" s="16"/>
      <c r="E240" s="38">
        <v>23805</v>
      </c>
      <c r="F240" s="38"/>
      <c r="G240" s="10" t="s">
        <v>957</v>
      </c>
      <c r="H240" s="12" t="s">
        <v>958</v>
      </c>
      <c r="I240" s="13">
        <v>29.2</v>
      </c>
      <c r="J240" s="15" t="s">
        <v>959</v>
      </c>
      <c r="K240" s="12"/>
      <c r="L240" s="11" t="s">
        <v>36</v>
      </c>
      <c r="M240" s="15"/>
      <c r="N240" s="17">
        <v>0</v>
      </c>
      <c r="O240" s="17"/>
      <c r="P240" s="17"/>
      <c r="Q240" s="48"/>
      <c r="R240" s="11"/>
      <c r="S240" s="48"/>
      <c r="T240" s="85"/>
      <c r="U240" s="88"/>
      <c r="V240" s="32" t="s">
        <v>960</v>
      </c>
      <c r="W240" s="25" t="s">
        <v>8</v>
      </c>
      <c r="X240" s="11"/>
      <c r="Y240" s="50"/>
      <c r="Z240" s="50"/>
      <c r="AA240" s="50"/>
      <c r="AB240" s="50"/>
      <c r="AC240" s="50"/>
      <c r="AD240" s="50"/>
      <c r="AE240" s="50"/>
      <c r="AF240" s="34"/>
      <c r="AG240" s="34"/>
      <c r="AH240" s="34"/>
      <c r="AI240" s="34"/>
      <c r="AJ240" s="34"/>
      <c r="AK240" s="34"/>
      <c r="AL240" s="34"/>
      <c r="AM240" s="34"/>
      <c r="AN240" s="34"/>
      <c r="AO240" s="65"/>
      <c r="AP240" s="69"/>
      <c r="AQ240" s="62"/>
      <c r="AR240" s="34"/>
    </row>
    <row r="241" spans="1:44" customFormat="1">
      <c r="A241" s="39">
        <v>43702</v>
      </c>
      <c r="B241" s="11" t="s">
        <v>22</v>
      </c>
      <c r="C241" s="16" t="s">
        <v>965</v>
      </c>
      <c r="D241" s="16"/>
      <c r="E241" s="38">
        <v>26627</v>
      </c>
      <c r="F241" s="38"/>
      <c r="G241" s="10" t="s">
        <v>426</v>
      </c>
      <c r="H241" s="12" t="s">
        <v>966</v>
      </c>
      <c r="I241" s="13">
        <v>2.7</v>
      </c>
      <c r="J241" s="15" t="s">
        <v>967</v>
      </c>
      <c r="K241" s="14" t="s">
        <v>968</v>
      </c>
      <c r="L241" s="11" t="s">
        <v>36</v>
      </c>
      <c r="M241" s="15"/>
      <c r="N241" s="17">
        <v>0</v>
      </c>
      <c r="O241" s="17"/>
      <c r="P241" s="17"/>
      <c r="Q241" s="48"/>
      <c r="R241" s="11"/>
      <c r="S241" s="48"/>
      <c r="T241" s="85" t="s">
        <v>81</v>
      </c>
      <c r="U241" s="88"/>
      <c r="V241" s="32" t="s">
        <v>279</v>
      </c>
      <c r="W241" s="25" t="s">
        <v>8</v>
      </c>
      <c r="X241" s="11"/>
      <c r="Y241" s="50" t="s">
        <v>18</v>
      </c>
      <c r="Z241" s="50"/>
      <c r="AA241" s="50"/>
      <c r="AB241" s="50"/>
      <c r="AC241" s="50"/>
      <c r="AD241" s="50"/>
      <c r="AE241" s="50"/>
      <c r="AF241" s="34"/>
      <c r="AG241" s="34"/>
      <c r="AH241" s="34"/>
      <c r="AI241" s="34"/>
      <c r="AJ241" s="34"/>
      <c r="AK241" s="34"/>
      <c r="AL241" s="34"/>
      <c r="AM241" s="34"/>
      <c r="AN241" s="34"/>
      <c r="AO241" s="65"/>
      <c r="AP241" s="69"/>
      <c r="AQ241" s="62"/>
      <c r="AR241" s="34"/>
    </row>
    <row r="242" spans="1:44" customFormat="1">
      <c r="A242" s="39">
        <v>43702</v>
      </c>
      <c r="B242" s="11" t="s">
        <v>22</v>
      </c>
      <c r="C242" s="16" t="s">
        <v>961</v>
      </c>
      <c r="D242" s="16"/>
      <c r="E242" s="38">
        <v>24506</v>
      </c>
      <c r="F242" s="38"/>
      <c r="G242" s="10" t="s">
        <v>621</v>
      </c>
      <c r="H242" s="12" t="s">
        <v>962</v>
      </c>
      <c r="I242" s="13">
        <v>0.2</v>
      </c>
      <c r="J242" s="15" t="s">
        <v>964</v>
      </c>
      <c r="K242" s="14" t="s">
        <v>963</v>
      </c>
      <c r="L242" s="11" t="s">
        <v>36</v>
      </c>
      <c r="M242" s="15"/>
      <c r="N242" s="17">
        <v>2700</v>
      </c>
      <c r="O242" s="17"/>
      <c r="P242" s="17"/>
      <c r="Q242" s="48"/>
      <c r="R242" s="11"/>
      <c r="S242" s="48"/>
      <c r="T242" s="85"/>
      <c r="U242" s="88"/>
      <c r="V242" s="32" t="s">
        <v>955</v>
      </c>
      <c r="W242" s="25" t="s">
        <v>48</v>
      </c>
      <c r="X242" s="11"/>
      <c r="Y242" s="50" t="s">
        <v>11</v>
      </c>
      <c r="Z242" s="50"/>
      <c r="AA242" s="50"/>
      <c r="AB242" s="50"/>
      <c r="AC242" s="50"/>
      <c r="AD242" s="50"/>
      <c r="AE242" s="50"/>
      <c r="AF242" s="34"/>
      <c r="AG242" s="34"/>
      <c r="AH242" s="34"/>
      <c r="AI242" s="34"/>
      <c r="AJ242" s="34"/>
      <c r="AK242" s="34"/>
      <c r="AL242" s="34"/>
      <c r="AM242" s="34"/>
      <c r="AN242" s="34"/>
      <c r="AO242" s="65"/>
      <c r="AP242" s="69"/>
      <c r="AQ242" s="62"/>
      <c r="AR242" s="34"/>
    </row>
    <row r="243" spans="1:44" customFormat="1">
      <c r="A243" s="39">
        <v>43705</v>
      </c>
      <c r="B243" s="11" t="s">
        <v>22</v>
      </c>
      <c r="C243" s="16" t="s">
        <v>973</v>
      </c>
      <c r="D243" s="16"/>
      <c r="E243" s="38">
        <v>27362</v>
      </c>
      <c r="F243" s="38"/>
      <c r="G243" s="10" t="s">
        <v>974</v>
      </c>
      <c r="H243" s="12" t="s">
        <v>975</v>
      </c>
      <c r="I243" s="13">
        <v>28.6</v>
      </c>
      <c r="J243" s="15" t="s">
        <v>977</v>
      </c>
      <c r="K243" s="14" t="s">
        <v>976</v>
      </c>
      <c r="L243" s="11" t="s">
        <v>36</v>
      </c>
      <c r="M243" s="15"/>
      <c r="N243" s="17">
        <v>0</v>
      </c>
      <c r="O243" s="17"/>
      <c r="P243" s="17"/>
      <c r="Q243" s="48"/>
      <c r="R243" s="11"/>
      <c r="S243" s="48"/>
      <c r="T243" s="85" t="s">
        <v>81</v>
      </c>
      <c r="U243" s="88"/>
      <c r="V243" s="32" t="s">
        <v>279</v>
      </c>
      <c r="W243" s="25" t="s">
        <v>48</v>
      </c>
      <c r="X243" s="11"/>
      <c r="Y243" s="50" t="s">
        <v>19</v>
      </c>
      <c r="Z243" s="50"/>
      <c r="AA243" s="50"/>
      <c r="AB243" s="50"/>
      <c r="AC243" s="50"/>
      <c r="AD243" s="50"/>
      <c r="AE243" s="50"/>
      <c r="AF243" s="34"/>
      <c r="AG243" s="34"/>
      <c r="AH243" s="34"/>
      <c r="AI243" s="34"/>
      <c r="AJ243" s="34"/>
      <c r="AK243" s="34"/>
      <c r="AL243" s="34"/>
      <c r="AM243" s="34"/>
      <c r="AN243" s="34"/>
      <c r="AO243" s="65"/>
      <c r="AP243" s="69"/>
      <c r="AQ243" s="62"/>
      <c r="AR243" s="34"/>
    </row>
    <row r="244" spans="1:44" customFormat="1">
      <c r="A244" s="39">
        <v>43705</v>
      </c>
      <c r="B244" s="11" t="s">
        <v>22</v>
      </c>
      <c r="C244" s="16" t="s">
        <v>969</v>
      </c>
      <c r="D244" s="16"/>
      <c r="E244" s="38">
        <v>22522</v>
      </c>
      <c r="F244" s="38"/>
      <c r="G244" s="10" t="s">
        <v>970</v>
      </c>
      <c r="H244" s="12" t="s">
        <v>971</v>
      </c>
      <c r="I244" s="13">
        <v>14.2</v>
      </c>
      <c r="J244" s="15" t="s">
        <v>972</v>
      </c>
      <c r="K244" s="12"/>
      <c r="L244" s="11" t="s">
        <v>33</v>
      </c>
      <c r="M244" s="15"/>
      <c r="N244" s="17">
        <v>2700</v>
      </c>
      <c r="O244" s="17"/>
      <c r="P244" s="17"/>
      <c r="Q244" s="48"/>
      <c r="R244" s="11"/>
      <c r="S244" s="48"/>
      <c r="T244" s="85"/>
      <c r="U244" s="88"/>
      <c r="V244" s="32" t="s">
        <v>955</v>
      </c>
      <c r="W244" s="25" t="s">
        <v>10</v>
      </c>
      <c r="X244" s="11"/>
      <c r="Y244" s="50" t="s">
        <v>12</v>
      </c>
      <c r="Z244" s="50"/>
      <c r="AA244" s="50"/>
      <c r="AB244" s="50"/>
      <c r="AC244" s="50"/>
      <c r="AD244" s="50"/>
      <c r="AE244" s="50"/>
      <c r="AF244" s="34"/>
      <c r="AG244" s="34"/>
      <c r="AH244" s="34"/>
      <c r="AI244" s="34"/>
      <c r="AJ244" s="34"/>
      <c r="AK244" s="34"/>
      <c r="AL244" s="34"/>
      <c r="AM244" s="34"/>
      <c r="AN244" s="34"/>
      <c r="AO244" s="65"/>
      <c r="AP244" s="69"/>
      <c r="AQ244" s="62"/>
      <c r="AR244" s="34"/>
    </row>
    <row r="245" spans="1:44" customFormat="1">
      <c r="A245" s="39">
        <v>43706</v>
      </c>
      <c r="B245" s="11" t="s">
        <v>22</v>
      </c>
      <c r="C245" s="16" t="s">
        <v>978</v>
      </c>
      <c r="D245" s="16"/>
      <c r="E245" s="38">
        <v>23313</v>
      </c>
      <c r="F245" s="38"/>
      <c r="G245" s="10" t="s">
        <v>358</v>
      </c>
      <c r="H245" s="12" t="s">
        <v>979</v>
      </c>
      <c r="I245" s="13">
        <v>3</v>
      </c>
      <c r="J245" s="15" t="s">
        <v>981</v>
      </c>
      <c r="K245" s="14" t="s">
        <v>980</v>
      </c>
      <c r="L245" s="11" t="s">
        <v>34</v>
      </c>
      <c r="M245" s="15"/>
      <c r="N245" s="17">
        <v>2700</v>
      </c>
      <c r="O245" s="17"/>
      <c r="P245" s="17"/>
      <c r="Q245" s="48"/>
      <c r="R245" s="11"/>
      <c r="S245" s="48"/>
      <c r="T245" s="85"/>
      <c r="U245" s="88"/>
      <c r="V245" s="32" t="s">
        <v>955</v>
      </c>
      <c r="W245" s="25" t="s">
        <v>48</v>
      </c>
      <c r="X245" s="11"/>
      <c r="Y245" s="50" t="s">
        <v>18</v>
      </c>
      <c r="Z245" s="50"/>
      <c r="AA245" s="50"/>
      <c r="AB245" s="50"/>
      <c r="AC245" s="50"/>
      <c r="AD245" s="50"/>
      <c r="AE245" s="50"/>
      <c r="AF245" s="34"/>
      <c r="AG245" s="34"/>
      <c r="AH245" s="34"/>
      <c r="AI245" s="34"/>
      <c r="AJ245" s="34"/>
      <c r="AK245" s="34"/>
      <c r="AL245" s="34"/>
      <c r="AM245" s="34"/>
      <c r="AN245" s="34"/>
      <c r="AO245" s="65"/>
      <c r="AP245" s="69"/>
      <c r="AQ245" s="62"/>
      <c r="AR245" s="34"/>
    </row>
    <row r="246" spans="1:44" customFormat="1">
      <c r="A246" s="39">
        <v>43707</v>
      </c>
      <c r="B246" s="11" t="s">
        <v>22</v>
      </c>
      <c r="C246" s="16" t="s">
        <v>982</v>
      </c>
      <c r="D246" s="16"/>
      <c r="E246" s="38">
        <v>29382</v>
      </c>
      <c r="F246" s="38"/>
      <c r="G246" s="10" t="s">
        <v>983</v>
      </c>
      <c r="H246" s="12" t="s">
        <v>984</v>
      </c>
      <c r="I246" s="13">
        <v>18.600000000000001</v>
      </c>
      <c r="J246" s="15" t="s">
        <v>985</v>
      </c>
      <c r="K246" s="12"/>
      <c r="L246" s="11" t="s">
        <v>36</v>
      </c>
      <c r="M246" s="15"/>
      <c r="N246" s="17">
        <v>0</v>
      </c>
      <c r="O246" s="17"/>
      <c r="P246" s="17"/>
      <c r="Q246" s="48"/>
      <c r="R246" s="11"/>
      <c r="S246" s="48"/>
      <c r="T246" s="85" t="s">
        <v>81</v>
      </c>
      <c r="U246" s="88"/>
      <c r="V246" s="32" t="s">
        <v>279</v>
      </c>
      <c r="W246" s="25" t="s">
        <v>8</v>
      </c>
      <c r="X246" s="11"/>
      <c r="Y246" s="50" t="s">
        <v>12</v>
      </c>
      <c r="Z246" s="50"/>
      <c r="AA246" s="50"/>
      <c r="AB246" s="50"/>
      <c r="AC246" s="50"/>
      <c r="AD246" s="50"/>
      <c r="AE246" s="50"/>
      <c r="AF246" s="34"/>
      <c r="AG246" s="34"/>
      <c r="AH246" s="34"/>
      <c r="AI246" s="34"/>
      <c r="AJ246" s="34"/>
      <c r="AK246" s="34"/>
      <c r="AL246" s="34"/>
      <c r="AM246" s="34"/>
      <c r="AN246" s="34"/>
      <c r="AO246" s="65"/>
      <c r="AP246" s="69"/>
      <c r="AQ246" s="62"/>
      <c r="AR246" s="34"/>
    </row>
    <row r="247" spans="1:44" customFormat="1">
      <c r="A247" s="39">
        <v>43708</v>
      </c>
      <c r="B247" s="11" t="s">
        <v>49</v>
      </c>
      <c r="C247" s="16" t="s">
        <v>986</v>
      </c>
      <c r="D247" s="16"/>
      <c r="E247" s="38">
        <v>26203</v>
      </c>
      <c r="F247" s="38"/>
      <c r="G247" s="10" t="s">
        <v>987</v>
      </c>
      <c r="H247" s="12" t="s">
        <v>988</v>
      </c>
      <c r="I247" s="13">
        <v>16.899999999999999</v>
      </c>
      <c r="J247" s="15" t="s">
        <v>989</v>
      </c>
      <c r="K247" s="12"/>
      <c r="L247" s="11" t="s">
        <v>36</v>
      </c>
      <c r="M247" s="15"/>
      <c r="N247" s="17">
        <v>10800</v>
      </c>
      <c r="O247" s="17"/>
      <c r="P247" s="17"/>
      <c r="Q247" s="48"/>
      <c r="R247" s="11"/>
      <c r="S247" s="48"/>
      <c r="T247" s="85"/>
      <c r="U247" s="88"/>
      <c r="V247" s="32" t="s">
        <v>950</v>
      </c>
      <c r="W247" s="25" t="s">
        <v>8</v>
      </c>
      <c r="X247" s="11"/>
      <c r="Y247" s="50" t="s">
        <v>13</v>
      </c>
      <c r="Z247" s="50"/>
      <c r="AA247" s="50"/>
      <c r="AB247" s="50"/>
      <c r="AC247" s="50"/>
      <c r="AD247" s="50"/>
      <c r="AE247" s="50"/>
      <c r="AF247" s="34"/>
      <c r="AG247" s="34"/>
      <c r="AH247" s="34"/>
      <c r="AI247" s="34"/>
      <c r="AJ247" s="34"/>
      <c r="AK247" s="34"/>
      <c r="AL247" s="34"/>
      <c r="AM247" s="34"/>
      <c r="AN247" s="34"/>
      <c r="AO247" s="65"/>
      <c r="AP247" s="69"/>
      <c r="AQ247" s="62"/>
      <c r="AR247" s="34"/>
    </row>
    <row r="248" spans="1:44" customFormat="1">
      <c r="A248" s="39">
        <v>43708</v>
      </c>
      <c r="B248" s="11" t="s">
        <v>22</v>
      </c>
      <c r="C248" s="16" t="s">
        <v>990</v>
      </c>
      <c r="D248" s="16"/>
      <c r="E248" s="38">
        <v>26163</v>
      </c>
      <c r="F248" s="38"/>
      <c r="G248" s="10" t="s">
        <v>991</v>
      </c>
      <c r="H248" s="12" t="s">
        <v>992</v>
      </c>
      <c r="I248" s="13">
        <v>25</v>
      </c>
      <c r="J248" s="15" t="s">
        <v>993</v>
      </c>
      <c r="K248" s="12"/>
      <c r="L248" s="11" t="s">
        <v>36</v>
      </c>
      <c r="M248" s="15"/>
      <c r="N248" s="17">
        <v>0</v>
      </c>
      <c r="O248" s="17"/>
      <c r="P248" s="17"/>
      <c r="Q248" s="48"/>
      <c r="R248" s="11"/>
      <c r="S248" s="48"/>
      <c r="T248" s="85"/>
      <c r="U248" s="88"/>
      <c r="V248" s="32" t="s">
        <v>950</v>
      </c>
      <c r="W248" s="25" t="s">
        <v>8</v>
      </c>
      <c r="X248" s="11"/>
      <c r="Y248" s="50"/>
      <c r="Z248" s="50"/>
      <c r="AA248" s="50"/>
      <c r="AB248" s="50"/>
      <c r="AC248" s="50"/>
      <c r="AD248" s="50"/>
      <c r="AE248" s="50"/>
      <c r="AF248" s="34"/>
      <c r="AG248" s="34"/>
      <c r="AH248" s="34"/>
      <c r="AI248" s="34"/>
      <c r="AJ248" s="34"/>
      <c r="AK248" s="34"/>
      <c r="AL248" s="34"/>
      <c r="AM248" s="34"/>
      <c r="AN248" s="34"/>
      <c r="AO248" s="65"/>
      <c r="AP248" s="69"/>
      <c r="AQ248" s="62"/>
      <c r="AR248" s="34"/>
    </row>
    <row r="249" spans="1:44" customFormat="1">
      <c r="A249" s="39">
        <v>43708</v>
      </c>
      <c r="B249" s="11" t="s">
        <v>5659</v>
      </c>
      <c r="C249" s="16" t="s">
        <v>908</v>
      </c>
      <c r="D249" s="16"/>
      <c r="E249" s="38"/>
      <c r="F249" s="38"/>
      <c r="G249" s="10"/>
      <c r="H249" s="12"/>
      <c r="I249" s="13"/>
      <c r="J249" s="15"/>
      <c r="K249" s="12"/>
      <c r="L249" s="11"/>
      <c r="M249" s="15"/>
      <c r="N249" s="17">
        <v>5400</v>
      </c>
      <c r="O249" s="17"/>
      <c r="P249" s="17"/>
      <c r="Q249" s="48"/>
      <c r="R249" s="11"/>
      <c r="S249" s="48"/>
      <c r="T249" s="85"/>
      <c r="U249" s="88"/>
      <c r="V249" s="32" t="s">
        <v>930</v>
      </c>
      <c r="W249" s="25"/>
      <c r="X249" s="11"/>
      <c r="Y249" s="50"/>
      <c r="Z249" s="50"/>
      <c r="AA249" s="50"/>
      <c r="AB249" s="50"/>
      <c r="AC249" s="50"/>
      <c r="AD249" s="50"/>
      <c r="AE249" s="50"/>
      <c r="AF249" s="34"/>
      <c r="AG249" s="34"/>
      <c r="AH249" s="34"/>
      <c r="AI249" s="34"/>
      <c r="AJ249" s="34"/>
      <c r="AK249" s="34"/>
      <c r="AL249" s="34"/>
      <c r="AM249" s="34"/>
      <c r="AN249" s="34"/>
      <c r="AO249" s="65"/>
      <c r="AP249" s="69"/>
      <c r="AQ249" s="62"/>
      <c r="AR249" s="34"/>
    </row>
    <row r="250" spans="1:44" customFormat="1">
      <c r="A250" s="39">
        <v>43712</v>
      </c>
      <c r="B250" s="11" t="s">
        <v>22</v>
      </c>
      <c r="C250" s="16" t="s">
        <v>994</v>
      </c>
      <c r="D250" s="16"/>
      <c r="E250" s="38">
        <v>24979</v>
      </c>
      <c r="F250" s="38"/>
      <c r="G250" s="10" t="s">
        <v>995</v>
      </c>
      <c r="H250" s="12" t="s">
        <v>996</v>
      </c>
      <c r="I250" s="13">
        <v>27.1</v>
      </c>
      <c r="J250" s="15" t="s">
        <v>997</v>
      </c>
      <c r="K250" s="12"/>
      <c r="L250" s="11" t="s">
        <v>36</v>
      </c>
      <c r="M250" s="15"/>
      <c r="N250" s="17">
        <v>2700</v>
      </c>
      <c r="O250" s="17"/>
      <c r="P250" s="17"/>
      <c r="Q250" s="48"/>
      <c r="R250" s="11"/>
      <c r="S250" s="48"/>
      <c r="T250" s="85"/>
      <c r="U250" s="88"/>
      <c r="V250" s="32" t="s">
        <v>955</v>
      </c>
      <c r="W250" s="25" t="s">
        <v>8</v>
      </c>
      <c r="X250" s="11"/>
      <c r="Y250" s="50" t="s">
        <v>14</v>
      </c>
      <c r="Z250" s="50"/>
      <c r="AA250" s="50"/>
      <c r="AB250" s="50"/>
      <c r="AC250" s="50"/>
      <c r="AD250" s="50"/>
      <c r="AE250" s="50"/>
      <c r="AF250" s="34"/>
      <c r="AG250" s="34"/>
      <c r="AH250" s="34"/>
      <c r="AI250" s="34"/>
      <c r="AJ250" s="34"/>
      <c r="AK250" s="34"/>
      <c r="AL250" s="34"/>
      <c r="AM250" s="34"/>
      <c r="AN250" s="34"/>
      <c r="AO250" s="65"/>
      <c r="AP250" s="69"/>
      <c r="AQ250" s="62"/>
      <c r="AR250" s="34"/>
    </row>
    <row r="251" spans="1:44" customFormat="1">
      <c r="A251" s="39">
        <v>43712</v>
      </c>
      <c r="B251" s="11" t="s">
        <v>22</v>
      </c>
      <c r="C251" s="16" t="s">
        <v>998</v>
      </c>
      <c r="D251" s="16"/>
      <c r="E251" s="38">
        <v>25077</v>
      </c>
      <c r="F251" s="38"/>
      <c r="G251" s="10" t="s">
        <v>999</v>
      </c>
      <c r="H251" s="12" t="s">
        <v>1000</v>
      </c>
      <c r="I251" s="13">
        <v>10.199999999999999</v>
      </c>
      <c r="J251" s="15" t="s">
        <v>1001</v>
      </c>
      <c r="K251" s="12"/>
      <c r="L251" s="11" t="s">
        <v>33</v>
      </c>
      <c r="M251" s="15"/>
      <c r="N251" s="17">
        <v>0</v>
      </c>
      <c r="O251" s="17"/>
      <c r="P251" s="17"/>
      <c r="Q251" s="48"/>
      <c r="R251" s="11"/>
      <c r="S251" s="48"/>
      <c r="T251" s="85"/>
      <c r="U251" s="88"/>
      <c r="V251" s="32" t="s">
        <v>1002</v>
      </c>
      <c r="W251" s="25" t="s">
        <v>10</v>
      </c>
      <c r="X251" s="11"/>
      <c r="Y251" s="50" t="s">
        <v>18</v>
      </c>
      <c r="Z251" s="50"/>
      <c r="AA251" s="50"/>
      <c r="AB251" s="50"/>
      <c r="AC251" s="50"/>
      <c r="AD251" s="50"/>
      <c r="AE251" s="50"/>
      <c r="AF251" s="34"/>
      <c r="AG251" s="34"/>
      <c r="AH251" s="34"/>
      <c r="AI251" s="34"/>
      <c r="AJ251" s="34"/>
      <c r="AK251" s="34"/>
      <c r="AL251" s="34"/>
      <c r="AM251" s="34"/>
      <c r="AN251" s="34"/>
      <c r="AO251" s="65"/>
      <c r="AP251" s="69"/>
      <c r="AQ251" s="62"/>
      <c r="AR251" s="34"/>
    </row>
    <row r="252" spans="1:44" customFormat="1">
      <c r="A252" s="39">
        <v>43712</v>
      </c>
      <c r="B252" s="11" t="s">
        <v>22</v>
      </c>
      <c r="C252" s="16" t="s">
        <v>1003</v>
      </c>
      <c r="D252" s="16"/>
      <c r="E252" s="38">
        <v>22552</v>
      </c>
      <c r="F252" s="38"/>
      <c r="G252" s="10" t="s">
        <v>999</v>
      </c>
      <c r="H252" s="12" t="s">
        <v>1000</v>
      </c>
      <c r="I252" s="13">
        <v>10.199999999999999</v>
      </c>
      <c r="J252" s="15" t="s">
        <v>1004</v>
      </c>
      <c r="K252" s="12"/>
      <c r="L252" s="11" t="s">
        <v>33</v>
      </c>
      <c r="M252" s="15"/>
      <c r="N252" s="17">
        <v>0</v>
      </c>
      <c r="O252" s="17"/>
      <c r="P252" s="17"/>
      <c r="Q252" s="48"/>
      <c r="R252" s="11"/>
      <c r="S252" s="48"/>
      <c r="T252" s="85"/>
      <c r="U252" s="88"/>
      <c r="V252" s="32" t="s">
        <v>1002</v>
      </c>
      <c r="W252" s="25" t="s">
        <v>10</v>
      </c>
      <c r="X252" s="11"/>
      <c r="Y252" s="50" t="s">
        <v>12</v>
      </c>
      <c r="Z252" s="50"/>
      <c r="AA252" s="50"/>
      <c r="AB252" s="50"/>
      <c r="AC252" s="50"/>
      <c r="AD252" s="50"/>
      <c r="AE252" s="50"/>
      <c r="AF252" s="34"/>
      <c r="AG252" s="34"/>
      <c r="AH252" s="34"/>
      <c r="AI252" s="34"/>
      <c r="AJ252" s="34"/>
      <c r="AK252" s="34"/>
      <c r="AL252" s="34"/>
      <c r="AM252" s="34"/>
      <c r="AN252" s="34"/>
      <c r="AO252" s="65"/>
      <c r="AP252" s="69"/>
      <c r="AQ252" s="62"/>
      <c r="AR252" s="34"/>
    </row>
    <row r="253" spans="1:44" customFormat="1">
      <c r="A253" s="39">
        <v>43713</v>
      </c>
      <c r="B253" s="11" t="s">
        <v>49</v>
      </c>
      <c r="C253" s="16" t="s">
        <v>1005</v>
      </c>
      <c r="D253" s="16"/>
      <c r="E253" s="38">
        <v>25311</v>
      </c>
      <c r="F253" s="38"/>
      <c r="G253" s="10" t="s">
        <v>1006</v>
      </c>
      <c r="H253" s="12" t="s">
        <v>1007</v>
      </c>
      <c r="I253" s="13">
        <v>29.9</v>
      </c>
      <c r="J253" s="15" t="s">
        <v>1008</v>
      </c>
      <c r="K253" s="12"/>
      <c r="L253" s="11" t="s">
        <v>34</v>
      </c>
      <c r="M253" s="15"/>
      <c r="N253" s="17">
        <v>10800</v>
      </c>
      <c r="O253" s="17"/>
      <c r="P253" s="17"/>
      <c r="Q253" s="48"/>
      <c r="R253" s="11"/>
      <c r="S253" s="48"/>
      <c r="T253" s="85"/>
      <c r="U253" s="88"/>
      <c r="V253" s="32" t="s">
        <v>1009</v>
      </c>
      <c r="W253" s="25" t="s">
        <v>8</v>
      </c>
      <c r="X253" s="11"/>
      <c r="Y253" s="50" t="s">
        <v>13</v>
      </c>
      <c r="Z253" s="50"/>
      <c r="AA253" s="50"/>
      <c r="AB253" s="50"/>
      <c r="AC253" s="50"/>
      <c r="AD253" s="50"/>
      <c r="AE253" s="50"/>
      <c r="AF253" s="34"/>
      <c r="AG253" s="34"/>
      <c r="AH253" s="34"/>
      <c r="AI253" s="34"/>
      <c r="AJ253" s="34"/>
      <c r="AK253" s="34"/>
      <c r="AL253" s="34"/>
      <c r="AM253" s="34"/>
      <c r="AN253" s="34"/>
      <c r="AO253" s="65"/>
      <c r="AP253" s="69"/>
      <c r="AQ253" s="62"/>
      <c r="AR253" s="34"/>
    </row>
    <row r="254" spans="1:44" customFormat="1">
      <c r="A254" s="39">
        <v>43713</v>
      </c>
      <c r="B254" s="11" t="s">
        <v>49</v>
      </c>
      <c r="C254" s="16" t="s">
        <v>1010</v>
      </c>
      <c r="D254" s="16"/>
      <c r="E254" s="38"/>
      <c r="F254" s="38"/>
      <c r="G254" s="10"/>
      <c r="H254" s="12"/>
      <c r="I254" s="13"/>
      <c r="J254" s="15"/>
      <c r="K254" s="12"/>
      <c r="L254" s="11"/>
      <c r="M254" s="15"/>
      <c r="N254" s="17">
        <v>10800</v>
      </c>
      <c r="O254" s="17"/>
      <c r="P254" s="17"/>
      <c r="Q254" s="48"/>
      <c r="R254" s="11"/>
      <c r="S254" s="48"/>
      <c r="T254" s="85"/>
      <c r="U254" s="88"/>
      <c r="V254" s="32" t="s">
        <v>1011</v>
      </c>
      <c r="W254" s="25"/>
      <c r="X254" s="11"/>
      <c r="Y254" s="50"/>
      <c r="Z254" s="50"/>
      <c r="AA254" s="50"/>
      <c r="AB254" s="50"/>
      <c r="AC254" s="50"/>
      <c r="AD254" s="50"/>
      <c r="AE254" s="50"/>
      <c r="AF254" s="34"/>
      <c r="AG254" s="34"/>
      <c r="AH254" s="34"/>
      <c r="AI254" s="34"/>
      <c r="AJ254" s="34"/>
      <c r="AK254" s="34"/>
      <c r="AL254" s="34"/>
      <c r="AM254" s="34"/>
      <c r="AN254" s="34"/>
      <c r="AO254" s="65"/>
      <c r="AP254" s="69"/>
      <c r="AQ254" s="62"/>
      <c r="AR254" s="34"/>
    </row>
    <row r="255" spans="1:44" customFormat="1">
      <c r="A255" s="39">
        <v>43720</v>
      </c>
      <c r="B255" s="11" t="s">
        <v>22</v>
      </c>
      <c r="C255" s="16" t="s">
        <v>1015</v>
      </c>
      <c r="D255" s="16"/>
      <c r="E255" s="38">
        <v>27653</v>
      </c>
      <c r="F255" s="38"/>
      <c r="G255" s="10" t="s">
        <v>344</v>
      </c>
      <c r="H255" s="12" t="s">
        <v>1012</v>
      </c>
      <c r="I255" s="13">
        <v>0.2</v>
      </c>
      <c r="J255" s="15" t="s">
        <v>1013</v>
      </c>
      <c r="K255" s="12"/>
      <c r="L255" s="11" t="s">
        <v>37</v>
      </c>
      <c r="M255" s="15"/>
      <c r="N255" s="17">
        <v>0</v>
      </c>
      <c r="O255" s="17"/>
      <c r="P255" s="17"/>
      <c r="Q255" s="48"/>
      <c r="R255" s="11"/>
      <c r="S255" s="48"/>
      <c r="T255" s="85" t="s">
        <v>81</v>
      </c>
      <c r="U255" s="88"/>
      <c r="V255" s="32" t="s">
        <v>1014</v>
      </c>
      <c r="W255" s="25" t="s">
        <v>10</v>
      </c>
      <c r="X255" s="11"/>
      <c r="Y255" s="50" t="s">
        <v>11</v>
      </c>
      <c r="Z255" s="50"/>
      <c r="AA255" s="50"/>
      <c r="AB255" s="50"/>
      <c r="AC255" s="50"/>
      <c r="AD255" s="50"/>
      <c r="AE255" s="50"/>
      <c r="AF255" s="34"/>
      <c r="AG255" s="34"/>
      <c r="AH255" s="34"/>
      <c r="AI255" s="34"/>
      <c r="AJ255" s="34"/>
      <c r="AK255" s="34"/>
      <c r="AL255" s="34"/>
      <c r="AM255" s="34"/>
      <c r="AN255" s="34"/>
      <c r="AO255" s="65"/>
      <c r="AP255" s="69"/>
      <c r="AQ255" s="62"/>
      <c r="AR255" s="34"/>
    </row>
    <row r="256" spans="1:44" customFormat="1">
      <c r="A256" s="39">
        <v>43721</v>
      </c>
      <c r="B256" s="11" t="s">
        <v>22</v>
      </c>
      <c r="C256" s="16" t="s">
        <v>1016</v>
      </c>
      <c r="D256" s="16"/>
      <c r="E256" s="38">
        <v>21930</v>
      </c>
      <c r="F256" s="38"/>
      <c r="G256" s="10" t="s">
        <v>406</v>
      </c>
      <c r="H256" s="12" t="s">
        <v>1017</v>
      </c>
      <c r="I256" s="13">
        <v>2.2999999999999998</v>
      </c>
      <c r="J256" s="15" t="s">
        <v>1018</v>
      </c>
      <c r="K256" s="12"/>
      <c r="L256" s="11" t="s">
        <v>37</v>
      </c>
      <c r="M256" s="15"/>
      <c r="N256" s="17">
        <v>2700</v>
      </c>
      <c r="O256" s="17"/>
      <c r="P256" s="17"/>
      <c r="Q256" s="48"/>
      <c r="R256" s="11"/>
      <c r="S256" s="48"/>
      <c r="T256" s="85"/>
      <c r="U256" s="88"/>
      <c r="V256" s="32"/>
      <c r="W256" s="25" t="s">
        <v>9</v>
      </c>
      <c r="X256" s="11"/>
      <c r="Y256" s="50" t="s">
        <v>14</v>
      </c>
      <c r="Z256" s="50"/>
      <c r="AA256" s="50"/>
      <c r="AB256" s="50"/>
      <c r="AC256" s="50"/>
      <c r="AD256" s="50"/>
      <c r="AE256" s="50"/>
      <c r="AF256" s="34"/>
      <c r="AG256" s="34"/>
      <c r="AH256" s="34"/>
      <c r="AI256" s="34"/>
      <c r="AJ256" s="34"/>
      <c r="AK256" s="34"/>
      <c r="AL256" s="34"/>
      <c r="AM256" s="34"/>
      <c r="AN256" s="34"/>
      <c r="AO256" s="65"/>
      <c r="AP256" s="69"/>
      <c r="AQ256" s="62"/>
      <c r="AR256" s="34"/>
    </row>
    <row r="257" spans="1:44" customFormat="1">
      <c r="A257" s="39">
        <v>43721</v>
      </c>
      <c r="B257" s="11" t="s">
        <v>22</v>
      </c>
      <c r="C257" s="16" t="s">
        <v>1019</v>
      </c>
      <c r="D257" s="16"/>
      <c r="E257" s="38">
        <v>21503</v>
      </c>
      <c r="F257" s="38"/>
      <c r="G257" s="10" t="s">
        <v>1020</v>
      </c>
      <c r="H257" s="12" t="s">
        <v>1021</v>
      </c>
      <c r="I257" s="13">
        <v>12.9</v>
      </c>
      <c r="J257" s="15" t="s">
        <v>1022</v>
      </c>
      <c r="K257" s="12"/>
      <c r="L257" s="11" t="s">
        <v>34</v>
      </c>
      <c r="M257" s="15"/>
      <c r="N257" s="17">
        <v>2700</v>
      </c>
      <c r="O257" s="17"/>
      <c r="P257" s="17"/>
      <c r="Q257" s="48"/>
      <c r="R257" s="11"/>
      <c r="S257" s="48"/>
      <c r="T257" s="85"/>
      <c r="U257" s="88"/>
      <c r="V257" s="32"/>
      <c r="W257" s="25" t="s">
        <v>8</v>
      </c>
      <c r="X257" s="11"/>
      <c r="Y257" s="50" t="s">
        <v>14</v>
      </c>
      <c r="Z257" s="50"/>
      <c r="AA257" s="50"/>
      <c r="AB257" s="50"/>
      <c r="AC257" s="50"/>
      <c r="AD257" s="50"/>
      <c r="AE257" s="50"/>
      <c r="AF257" s="34"/>
      <c r="AG257" s="34"/>
      <c r="AH257" s="34"/>
      <c r="AI257" s="34"/>
      <c r="AJ257" s="34"/>
      <c r="AK257" s="34"/>
      <c r="AL257" s="34"/>
      <c r="AM257" s="34"/>
      <c r="AN257" s="34"/>
      <c r="AO257" s="65"/>
      <c r="AP257" s="69"/>
      <c r="AQ257" s="62"/>
      <c r="AR257" s="34"/>
    </row>
    <row r="258" spans="1:44" customFormat="1">
      <c r="A258" s="39">
        <v>43722</v>
      </c>
      <c r="B258" s="11" t="s">
        <v>49</v>
      </c>
      <c r="C258" s="16" t="s">
        <v>1023</v>
      </c>
      <c r="D258" s="16"/>
      <c r="E258" s="38">
        <v>17296</v>
      </c>
      <c r="F258" s="38"/>
      <c r="G258" s="10" t="s">
        <v>1024</v>
      </c>
      <c r="H258" s="12" t="s">
        <v>1025</v>
      </c>
      <c r="I258" s="13">
        <v>14.1</v>
      </c>
      <c r="J258" s="15" t="s">
        <v>1026</v>
      </c>
      <c r="K258" s="12"/>
      <c r="L258" s="11"/>
      <c r="M258" s="15"/>
      <c r="N258" s="17">
        <v>0</v>
      </c>
      <c r="O258" s="17"/>
      <c r="P258" s="17"/>
      <c r="Q258" s="48"/>
      <c r="R258" s="11"/>
      <c r="S258" s="48"/>
      <c r="T258" s="85"/>
      <c r="U258" s="88"/>
      <c r="V258" s="32" t="s">
        <v>567</v>
      </c>
      <c r="W258" s="25"/>
      <c r="X258" s="11"/>
      <c r="Y258" s="50"/>
      <c r="Z258" s="50"/>
      <c r="AA258" s="50"/>
      <c r="AB258" s="50"/>
      <c r="AC258" s="50"/>
      <c r="AD258" s="50"/>
      <c r="AE258" s="50"/>
      <c r="AF258" s="34"/>
      <c r="AG258" s="34"/>
      <c r="AH258" s="34"/>
      <c r="AI258" s="34"/>
      <c r="AJ258" s="34"/>
      <c r="AK258" s="34"/>
      <c r="AL258" s="34"/>
      <c r="AM258" s="34"/>
      <c r="AN258" s="34"/>
      <c r="AO258" s="65"/>
      <c r="AP258" s="69"/>
      <c r="AQ258" s="62"/>
      <c r="AR258" s="34"/>
    </row>
    <row r="259" spans="1:44" customFormat="1">
      <c r="A259" s="39">
        <v>43723</v>
      </c>
      <c r="B259" s="11" t="s">
        <v>49</v>
      </c>
      <c r="C259" s="16" t="s">
        <v>1031</v>
      </c>
      <c r="D259" s="16"/>
      <c r="E259" s="38">
        <v>27416</v>
      </c>
      <c r="F259" s="38"/>
      <c r="G259" s="10" t="s">
        <v>1032</v>
      </c>
      <c r="H259" s="12" t="s">
        <v>1034</v>
      </c>
      <c r="I259" s="13">
        <v>30.6</v>
      </c>
      <c r="J259" s="15" t="s">
        <v>1033</v>
      </c>
      <c r="K259" s="12"/>
      <c r="L259" s="11"/>
      <c r="M259" s="15"/>
      <c r="N259" s="17">
        <v>16200</v>
      </c>
      <c r="O259" s="17"/>
      <c r="P259" s="17"/>
      <c r="Q259" s="48"/>
      <c r="R259" s="11"/>
      <c r="S259" s="48"/>
      <c r="T259" s="85"/>
      <c r="U259" s="88"/>
      <c r="V259" s="32"/>
      <c r="W259" s="25" t="s">
        <v>48</v>
      </c>
      <c r="X259" s="11"/>
      <c r="Y259" s="50"/>
      <c r="Z259" s="50"/>
      <c r="AA259" s="50"/>
      <c r="AB259" s="50"/>
      <c r="AC259" s="50"/>
      <c r="AD259" s="50"/>
      <c r="AE259" s="50"/>
      <c r="AF259" s="34"/>
      <c r="AG259" s="34"/>
      <c r="AH259" s="34"/>
      <c r="AI259" s="34"/>
      <c r="AJ259" s="34"/>
      <c r="AK259" s="34"/>
      <c r="AL259" s="34"/>
      <c r="AM259" s="34"/>
      <c r="AN259" s="34"/>
      <c r="AO259" s="65"/>
      <c r="AP259" s="69"/>
      <c r="AQ259" s="62"/>
      <c r="AR259" s="34"/>
    </row>
    <row r="260" spans="1:44" customFormat="1">
      <c r="A260" s="39">
        <v>43723</v>
      </c>
      <c r="B260" s="11" t="s">
        <v>49</v>
      </c>
      <c r="C260" s="16" t="s">
        <v>1035</v>
      </c>
      <c r="D260" s="16"/>
      <c r="E260" s="38"/>
      <c r="F260" s="38"/>
      <c r="G260" s="10" t="s">
        <v>1024</v>
      </c>
      <c r="H260" s="12" t="s">
        <v>1025</v>
      </c>
      <c r="I260" s="13">
        <v>14.1</v>
      </c>
      <c r="J260" s="15"/>
      <c r="K260" s="12"/>
      <c r="L260" s="11" t="s">
        <v>33</v>
      </c>
      <c r="M260" s="15"/>
      <c r="N260" s="17">
        <v>0</v>
      </c>
      <c r="O260" s="17"/>
      <c r="P260" s="17"/>
      <c r="Q260" s="48"/>
      <c r="R260" s="11"/>
      <c r="S260" s="48"/>
      <c r="T260" s="85"/>
      <c r="U260" s="88"/>
      <c r="V260" s="32" t="s">
        <v>567</v>
      </c>
      <c r="W260" s="25"/>
      <c r="X260" s="11"/>
      <c r="Y260" s="50"/>
      <c r="Z260" s="50"/>
      <c r="AA260" s="50"/>
      <c r="AB260" s="50"/>
      <c r="AC260" s="50"/>
      <c r="AD260" s="50"/>
      <c r="AE260" s="50"/>
      <c r="AF260" s="34"/>
      <c r="AG260" s="34"/>
      <c r="AH260" s="34"/>
      <c r="AI260" s="34"/>
      <c r="AJ260" s="34"/>
      <c r="AK260" s="34"/>
      <c r="AL260" s="34"/>
      <c r="AM260" s="34"/>
      <c r="AN260" s="34"/>
      <c r="AO260" s="65"/>
      <c r="AP260" s="69"/>
      <c r="AQ260" s="62"/>
      <c r="AR260" s="34"/>
    </row>
    <row r="261" spans="1:44" customFormat="1">
      <c r="A261" s="41">
        <v>43723</v>
      </c>
      <c r="B261" s="11" t="s">
        <v>22</v>
      </c>
      <c r="C261" s="16" t="s">
        <v>1027</v>
      </c>
      <c r="D261" s="36"/>
      <c r="E261" s="44">
        <v>26366</v>
      </c>
      <c r="F261" s="44"/>
      <c r="G261" s="10" t="s">
        <v>1028</v>
      </c>
      <c r="H261" s="28" t="s">
        <v>1029</v>
      </c>
      <c r="I261" s="27">
        <v>3.5</v>
      </c>
      <c r="J261" s="15" t="s">
        <v>1030</v>
      </c>
      <c r="K261" s="12"/>
      <c r="L261" s="11" t="s">
        <v>36</v>
      </c>
      <c r="M261" s="15"/>
      <c r="N261" s="17">
        <v>0</v>
      </c>
      <c r="O261" s="17"/>
      <c r="P261" s="17"/>
      <c r="Q261" s="48"/>
      <c r="R261" s="11"/>
      <c r="S261" s="48"/>
      <c r="T261" s="85" t="s">
        <v>81</v>
      </c>
      <c r="U261" s="88"/>
      <c r="V261" s="32" t="s">
        <v>279</v>
      </c>
      <c r="W261" s="25" t="s">
        <v>48</v>
      </c>
      <c r="X261" s="11"/>
      <c r="Y261" s="50" t="s">
        <v>11</v>
      </c>
      <c r="Z261" s="50"/>
      <c r="AA261" s="50"/>
      <c r="AB261" s="50"/>
      <c r="AC261" s="50"/>
      <c r="AD261" s="50"/>
      <c r="AE261" s="50"/>
      <c r="AF261" s="34"/>
      <c r="AG261" s="34"/>
      <c r="AH261" s="34"/>
      <c r="AI261" s="34"/>
      <c r="AJ261" s="34"/>
      <c r="AK261" s="34"/>
      <c r="AL261" s="34"/>
      <c r="AM261" s="34"/>
      <c r="AN261" s="34"/>
      <c r="AO261" s="65"/>
      <c r="AP261" s="69"/>
      <c r="AQ261" s="62"/>
      <c r="AR261" s="34"/>
    </row>
    <row r="262" spans="1:44" customFormat="1">
      <c r="A262" s="39">
        <v>43726</v>
      </c>
      <c r="B262" s="11" t="s">
        <v>24</v>
      </c>
      <c r="C262" s="16" t="s">
        <v>1036</v>
      </c>
      <c r="D262" s="16"/>
      <c r="E262" s="38">
        <v>26925</v>
      </c>
      <c r="F262" s="38"/>
      <c r="G262" s="10" t="s">
        <v>1037</v>
      </c>
      <c r="H262" s="12" t="s">
        <v>1038</v>
      </c>
      <c r="I262" s="13">
        <v>3.04</v>
      </c>
      <c r="J262" s="15" t="s">
        <v>1039</v>
      </c>
      <c r="K262" s="12"/>
      <c r="L262" s="11" t="s">
        <v>36</v>
      </c>
      <c r="M262" s="15"/>
      <c r="N262" s="17">
        <v>4860</v>
      </c>
      <c r="O262" s="17"/>
      <c r="P262" s="17"/>
      <c r="Q262" s="48"/>
      <c r="R262" s="11"/>
      <c r="S262" s="48"/>
      <c r="T262" s="85"/>
      <c r="U262" s="88"/>
      <c r="V262" s="32" t="s">
        <v>955</v>
      </c>
      <c r="W262" s="25" t="s">
        <v>8</v>
      </c>
      <c r="X262" s="11"/>
      <c r="Y262" s="50" t="s">
        <v>13</v>
      </c>
      <c r="Z262" s="50"/>
      <c r="AA262" s="50"/>
      <c r="AB262" s="50"/>
      <c r="AC262" s="50"/>
      <c r="AD262" s="50"/>
      <c r="AE262" s="50"/>
      <c r="AF262" s="34"/>
      <c r="AG262" s="34"/>
      <c r="AH262" s="34"/>
      <c r="AI262" s="34"/>
      <c r="AJ262" s="34"/>
      <c r="AK262" s="34"/>
      <c r="AL262" s="34"/>
      <c r="AM262" s="34"/>
      <c r="AN262" s="34"/>
      <c r="AO262" s="65"/>
      <c r="AP262" s="69"/>
      <c r="AQ262" s="62"/>
      <c r="AR262" s="34"/>
    </row>
    <row r="263" spans="1:44" customFormat="1">
      <c r="A263" s="39">
        <v>43726</v>
      </c>
      <c r="B263" s="11" t="s">
        <v>24</v>
      </c>
      <c r="C263" s="16" t="s">
        <v>1040</v>
      </c>
      <c r="D263" s="16"/>
      <c r="E263" s="38">
        <v>17908</v>
      </c>
      <c r="F263" s="38"/>
      <c r="G263" s="10" t="s">
        <v>1041</v>
      </c>
      <c r="H263" s="12" t="s">
        <v>1042</v>
      </c>
      <c r="I263" s="13">
        <v>355</v>
      </c>
      <c r="J263" s="15" t="s">
        <v>1043</v>
      </c>
      <c r="K263" s="12"/>
      <c r="L263" s="11" t="s">
        <v>33</v>
      </c>
      <c r="M263" s="15"/>
      <c r="N263" s="17">
        <v>4860</v>
      </c>
      <c r="O263" s="17"/>
      <c r="P263" s="17"/>
      <c r="Q263" s="48"/>
      <c r="R263" s="11"/>
      <c r="S263" s="48"/>
      <c r="T263" s="85"/>
      <c r="U263" s="88"/>
      <c r="V263" s="32" t="s">
        <v>955</v>
      </c>
      <c r="W263" s="25"/>
      <c r="X263" s="11"/>
      <c r="Y263" s="50" t="s">
        <v>13</v>
      </c>
      <c r="Z263" s="50"/>
      <c r="AA263" s="50"/>
      <c r="AB263" s="50"/>
      <c r="AC263" s="50"/>
      <c r="AD263" s="50"/>
      <c r="AE263" s="50"/>
      <c r="AF263" s="34"/>
      <c r="AG263" s="34"/>
      <c r="AH263" s="34"/>
      <c r="AI263" s="34"/>
      <c r="AJ263" s="34"/>
      <c r="AK263" s="34"/>
      <c r="AL263" s="34"/>
      <c r="AM263" s="34"/>
      <c r="AN263" s="34"/>
      <c r="AO263" s="65"/>
      <c r="AP263" s="69"/>
      <c r="AQ263" s="62"/>
      <c r="AR263" s="34"/>
    </row>
    <row r="264" spans="1:44" customFormat="1">
      <c r="A264" s="39">
        <v>43727</v>
      </c>
      <c r="B264" s="11" t="s">
        <v>22</v>
      </c>
      <c r="C264" s="16" t="s">
        <v>1051</v>
      </c>
      <c r="D264" s="16"/>
      <c r="E264" s="38">
        <v>27492</v>
      </c>
      <c r="F264" s="38"/>
      <c r="G264" s="10" t="s">
        <v>1052</v>
      </c>
      <c r="H264" s="12" t="s">
        <v>1053</v>
      </c>
      <c r="I264" s="13">
        <v>18.100000000000001</v>
      </c>
      <c r="J264" s="15" t="s">
        <v>1054</v>
      </c>
      <c r="K264" s="12"/>
      <c r="L264" s="11" t="s">
        <v>33</v>
      </c>
      <c r="M264" s="15"/>
      <c r="N264" s="17">
        <v>2700</v>
      </c>
      <c r="O264" s="17"/>
      <c r="P264" s="17"/>
      <c r="Q264" s="48"/>
      <c r="R264" s="11"/>
      <c r="S264" s="48"/>
      <c r="T264" s="85" t="s">
        <v>81</v>
      </c>
      <c r="U264" s="88"/>
      <c r="V264" s="32" t="s">
        <v>1059</v>
      </c>
      <c r="W264" s="25" t="s">
        <v>10</v>
      </c>
      <c r="X264" s="11"/>
      <c r="Y264" s="50" t="s">
        <v>19</v>
      </c>
      <c r="Z264" s="50"/>
      <c r="AA264" s="50"/>
      <c r="AB264" s="50"/>
      <c r="AC264" s="50"/>
      <c r="AD264" s="50"/>
      <c r="AE264" s="50"/>
      <c r="AF264" s="34"/>
      <c r="AG264" s="34"/>
      <c r="AH264" s="34"/>
      <c r="AI264" s="34"/>
      <c r="AJ264" s="34"/>
      <c r="AK264" s="34"/>
      <c r="AL264" s="34"/>
      <c r="AM264" s="34"/>
      <c r="AN264" s="34"/>
      <c r="AO264" s="65"/>
      <c r="AP264" s="69"/>
      <c r="AQ264" s="62"/>
      <c r="AR264" s="34"/>
    </row>
    <row r="265" spans="1:44" customFormat="1">
      <c r="A265" s="39">
        <v>43727</v>
      </c>
      <c r="B265" s="11" t="s">
        <v>49</v>
      </c>
      <c r="C265" s="16" t="s">
        <v>1044</v>
      </c>
      <c r="D265" s="16"/>
      <c r="E265" s="38">
        <v>17596</v>
      </c>
      <c r="F265" s="38"/>
      <c r="G265" s="10" t="s">
        <v>168</v>
      </c>
      <c r="H265" s="12" t="s">
        <v>1045</v>
      </c>
      <c r="I265" s="13">
        <v>35.5</v>
      </c>
      <c r="J265" s="15" t="s">
        <v>1046</v>
      </c>
      <c r="K265" s="12"/>
      <c r="L265" s="11" t="s">
        <v>33</v>
      </c>
      <c r="M265" s="15"/>
      <c r="N265" s="17">
        <v>10800</v>
      </c>
      <c r="O265" s="17"/>
      <c r="P265" s="17"/>
      <c r="Q265" s="48"/>
      <c r="R265" s="11"/>
      <c r="S265" s="48"/>
      <c r="T265" s="85"/>
      <c r="U265" s="88"/>
      <c r="V265" s="32" t="s">
        <v>471</v>
      </c>
      <c r="W265" s="25"/>
      <c r="X265" s="11"/>
      <c r="Y265" s="50" t="s">
        <v>14</v>
      </c>
      <c r="Z265" s="50"/>
      <c r="AA265" s="50"/>
      <c r="AB265" s="50"/>
      <c r="AC265" s="50"/>
      <c r="AD265" s="50"/>
      <c r="AE265" s="50"/>
      <c r="AF265" s="34"/>
      <c r="AG265" s="34"/>
      <c r="AH265" s="34"/>
      <c r="AI265" s="34"/>
      <c r="AJ265" s="34"/>
      <c r="AK265" s="34"/>
      <c r="AL265" s="34"/>
      <c r="AM265" s="34"/>
      <c r="AN265" s="34"/>
      <c r="AO265" s="65"/>
      <c r="AP265" s="69"/>
      <c r="AQ265" s="62"/>
      <c r="AR265" s="34"/>
    </row>
    <row r="266" spans="1:44" customFormat="1">
      <c r="A266" s="39">
        <v>43727</v>
      </c>
      <c r="B266" s="11" t="s">
        <v>49</v>
      </c>
      <c r="C266" s="16" t="s">
        <v>1047</v>
      </c>
      <c r="D266" s="16"/>
      <c r="E266" s="38">
        <v>35616</v>
      </c>
      <c r="F266" s="38"/>
      <c r="G266" s="10" t="s">
        <v>1048</v>
      </c>
      <c r="H266" s="12" t="s">
        <v>1049</v>
      </c>
      <c r="I266" s="13">
        <v>48.1</v>
      </c>
      <c r="J266" s="15" t="s">
        <v>1050</v>
      </c>
      <c r="K266" s="12"/>
      <c r="L266" s="11" t="s">
        <v>39</v>
      </c>
      <c r="M266" s="15"/>
      <c r="N266" s="17">
        <v>8100</v>
      </c>
      <c r="O266" s="17"/>
      <c r="P266" s="17"/>
      <c r="Q266" s="48"/>
      <c r="R266" s="11"/>
      <c r="S266" s="48"/>
      <c r="T266" s="85"/>
      <c r="U266" s="88"/>
      <c r="V266" s="32" t="s">
        <v>1058</v>
      </c>
      <c r="W266" s="25" t="s">
        <v>8</v>
      </c>
      <c r="X266" s="11"/>
      <c r="Y266" s="50" t="s">
        <v>14</v>
      </c>
      <c r="Z266" s="50"/>
      <c r="AA266" s="50"/>
      <c r="AB266" s="50"/>
      <c r="AC266" s="50"/>
      <c r="AD266" s="50"/>
      <c r="AE266" s="50"/>
      <c r="AF266" s="34"/>
      <c r="AG266" s="34"/>
      <c r="AH266" s="34"/>
      <c r="AI266" s="34"/>
      <c r="AJ266" s="34"/>
      <c r="AK266" s="34"/>
      <c r="AL266" s="34"/>
      <c r="AM266" s="34"/>
      <c r="AN266" s="34"/>
      <c r="AO266" s="65"/>
      <c r="AP266" s="69"/>
      <c r="AQ266" s="62"/>
      <c r="AR266" s="34"/>
    </row>
    <row r="267" spans="1:44" customFormat="1">
      <c r="A267" s="39">
        <v>43728</v>
      </c>
      <c r="B267" s="11" t="s">
        <v>49</v>
      </c>
      <c r="C267" s="16" t="s">
        <v>1055</v>
      </c>
      <c r="D267" s="16"/>
      <c r="E267" s="38">
        <v>22204</v>
      </c>
      <c r="F267" s="38"/>
      <c r="G267" s="10" t="s">
        <v>1120</v>
      </c>
      <c r="H267" s="12" t="s">
        <v>1056</v>
      </c>
      <c r="I267" s="13">
        <v>8.9</v>
      </c>
      <c r="J267" s="15" t="s">
        <v>1057</v>
      </c>
      <c r="K267" s="12"/>
      <c r="L267" s="11" t="s">
        <v>33</v>
      </c>
      <c r="M267" s="15"/>
      <c r="N267" s="17">
        <v>10800</v>
      </c>
      <c r="O267" s="17"/>
      <c r="P267" s="17"/>
      <c r="Q267" s="48"/>
      <c r="R267" s="11"/>
      <c r="S267" s="48"/>
      <c r="T267" s="85"/>
      <c r="U267" s="88"/>
      <c r="V267" s="32" t="s">
        <v>567</v>
      </c>
      <c r="W267" s="25" t="s">
        <v>8</v>
      </c>
      <c r="X267" s="11"/>
      <c r="Y267" s="50"/>
      <c r="Z267" s="50"/>
      <c r="AA267" s="50"/>
      <c r="AB267" s="50"/>
      <c r="AC267" s="50"/>
      <c r="AD267" s="50"/>
      <c r="AE267" s="50"/>
      <c r="AF267" s="34"/>
      <c r="AG267" s="34"/>
      <c r="AH267" s="34"/>
      <c r="AI267" s="34"/>
      <c r="AJ267" s="34"/>
      <c r="AK267" s="34"/>
      <c r="AL267" s="34"/>
      <c r="AM267" s="34"/>
      <c r="AN267" s="34"/>
      <c r="AO267" s="65"/>
      <c r="AP267" s="69"/>
      <c r="AQ267" s="62"/>
      <c r="AR267" s="34"/>
    </row>
    <row r="268" spans="1:44" customFormat="1">
      <c r="A268" s="39">
        <v>43730</v>
      </c>
      <c r="B268" s="11" t="s">
        <v>49</v>
      </c>
      <c r="C268" s="16" t="s">
        <v>1060</v>
      </c>
      <c r="D268" s="16"/>
      <c r="E268" s="38">
        <v>27223</v>
      </c>
      <c r="F268" s="38"/>
      <c r="G268" s="10" t="s">
        <v>1061</v>
      </c>
      <c r="H268" s="12" t="s">
        <v>1062</v>
      </c>
      <c r="I268" s="13">
        <v>11.1</v>
      </c>
      <c r="J268" s="15" t="s">
        <v>1063</v>
      </c>
      <c r="K268" s="12"/>
      <c r="L268" s="11" t="s">
        <v>33</v>
      </c>
      <c r="M268" s="15"/>
      <c r="N268" s="17">
        <v>16200</v>
      </c>
      <c r="O268" s="17"/>
      <c r="P268" s="17"/>
      <c r="Q268" s="48"/>
      <c r="R268" s="11"/>
      <c r="S268" s="48"/>
      <c r="T268" s="85"/>
      <c r="U268" s="88"/>
      <c r="V268" s="32"/>
      <c r="W268" s="25" t="s">
        <v>48</v>
      </c>
      <c r="X268" s="11"/>
      <c r="Y268" s="50" t="s">
        <v>13</v>
      </c>
      <c r="Z268" s="50"/>
      <c r="AA268" s="50"/>
      <c r="AB268" s="50"/>
      <c r="AC268" s="50"/>
      <c r="AD268" s="50"/>
      <c r="AE268" s="50"/>
      <c r="AF268" s="34"/>
      <c r="AG268" s="34"/>
      <c r="AH268" s="34"/>
      <c r="AI268" s="34"/>
      <c r="AJ268" s="34"/>
      <c r="AK268" s="34"/>
      <c r="AL268" s="34"/>
      <c r="AM268" s="34"/>
      <c r="AN268" s="34"/>
      <c r="AO268" s="65"/>
      <c r="AP268" s="69"/>
      <c r="AQ268" s="62"/>
      <c r="AR268" s="34"/>
    </row>
    <row r="269" spans="1:44" customFormat="1">
      <c r="A269" s="39">
        <v>43730</v>
      </c>
      <c r="B269" s="11" t="s">
        <v>49</v>
      </c>
      <c r="C269" s="16" t="s">
        <v>1064</v>
      </c>
      <c r="D269" s="16"/>
      <c r="E269" s="38">
        <v>26671</v>
      </c>
      <c r="F269" s="38"/>
      <c r="G269" s="10" t="s">
        <v>1065</v>
      </c>
      <c r="H269" s="12" t="s">
        <v>1066</v>
      </c>
      <c r="I269" s="13">
        <v>39.799999999999997</v>
      </c>
      <c r="J269" s="15" t="s">
        <v>1067</v>
      </c>
      <c r="K269" s="12"/>
      <c r="L269" s="11" t="s">
        <v>36</v>
      </c>
      <c r="M269" s="15"/>
      <c r="N269" s="17">
        <v>16200</v>
      </c>
      <c r="O269" s="17"/>
      <c r="P269" s="17"/>
      <c r="Q269" s="48"/>
      <c r="R269" s="11"/>
      <c r="S269" s="48"/>
      <c r="T269" s="85"/>
      <c r="U269" s="88"/>
      <c r="V269" s="32" t="s">
        <v>1068</v>
      </c>
      <c r="W269" s="25" t="s">
        <v>48</v>
      </c>
      <c r="X269" s="11"/>
      <c r="Y269" s="50" t="s">
        <v>13</v>
      </c>
      <c r="Z269" s="50"/>
      <c r="AA269" s="50"/>
      <c r="AB269" s="50"/>
      <c r="AC269" s="50"/>
      <c r="AD269" s="50"/>
      <c r="AE269" s="50"/>
      <c r="AF269" s="34"/>
      <c r="AG269" s="34"/>
      <c r="AH269" s="34"/>
      <c r="AI269" s="34"/>
      <c r="AJ269" s="34"/>
      <c r="AK269" s="34"/>
      <c r="AL269" s="34"/>
      <c r="AM269" s="34"/>
      <c r="AN269" s="34"/>
      <c r="AO269" s="65"/>
      <c r="AP269" s="69"/>
      <c r="AQ269" s="62"/>
      <c r="AR269" s="34"/>
    </row>
    <row r="270" spans="1:44" customFormat="1">
      <c r="A270" s="41">
        <v>43730</v>
      </c>
      <c r="B270" s="11" t="s">
        <v>24</v>
      </c>
      <c r="C270" s="16" t="s">
        <v>740</v>
      </c>
      <c r="D270" s="36"/>
      <c r="E270" s="44">
        <v>25871</v>
      </c>
      <c r="F270" s="44"/>
      <c r="G270" s="10" t="s">
        <v>515</v>
      </c>
      <c r="H270" s="28" t="s">
        <v>741</v>
      </c>
      <c r="I270" s="27">
        <v>10.4</v>
      </c>
      <c r="J270" s="15" t="s">
        <v>742</v>
      </c>
      <c r="K270" s="12"/>
      <c r="L270" s="11"/>
      <c r="M270" s="15"/>
      <c r="N270" s="17">
        <v>8640</v>
      </c>
      <c r="O270" s="17"/>
      <c r="P270" s="17"/>
      <c r="Q270" s="48"/>
      <c r="R270" s="11"/>
      <c r="S270" s="48"/>
      <c r="T270" s="85"/>
      <c r="U270" s="88"/>
      <c r="V270" s="32" t="s">
        <v>915</v>
      </c>
      <c r="W270" s="25"/>
      <c r="X270" s="11"/>
      <c r="Y270" s="50"/>
      <c r="Z270" s="50"/>
      <c r="AA270" s="50"/>
      <c r="AB270" s="50"/>
      <c r="AC270" s="50"/>
      <c r="AD270" s="50"/>
      <c r="AE270" s="50"/>
      <c r="AF270" s="34"/>
      <c r="AG270" s="34"/>
      <c r="AH270" s="34"/>
      <c r="AI270" s="34"/>
      <c r="AJ270" s="34"/>
      <c r="AK270" s="34"/>
      <c r="AL270" s="34"/>
      <c r="AM270" s="34"/>
      <c r="AN270" s="34"/>
      <c r="AO270" s="65"/>
      <c r="AP270" s="69"/>
      <c r="AQ270" s="62"/>
      <c r="AR270" s="34"/>
    </row>
    <row r="271" spans="1:44" customFormat="1">
      <c r="A271" s="39">
        <v>43731</v>
      </c>
      <c r="B271" s="11" t="s">
        <v>49</v>
      </c>
      <c r="C271" s="16" t="s">
        <v>1069</v>
      </c>
      <c r="D271" s="16"/>
      <c r="E271" s="38">
        <v>23895</v>
      </c>
      <c r="F271" s="38"/>
      <c r="G271" s="10" t="s">
        <v>1070</v>
      </c>
      <c r="H271" s="12" t="s">
        <v>1071</v>
      </c>
      <c r="I271" s="13">
        <v>34.1</v>
      </c>
      <c r="J271" s="15" t="s">
        <v>1073</v>
      </c>
      <c r="K271" s="14" t="s">
        <v>1072</v>
      </c>
      <c r="L271" s="11" t="s">
        <v>33</v>
      </c>
      <c r="M271" s="15"/>
      <c r="N271" s="17">
        <v>16200</v>
      </c>
      <c r="O271" s="17"/>
      <c r="P271" s="17"/>
      <c r="Q271" s="48"/>
      <c r="R271" s="11"/>
      <c r="S271" s="48"/>
      <c r="T271" s="85"/>
      <c r="U271" s="88"/>
      <c r="V271" s="32" t="s">
        <v>1068</v>
      </c>
      <c r="W271" s="25" t="s">
        <v>48</v>
      </c>
      <c r="X271" s="11"/>
      <c r="Y271" s="50" t="s">
        <v>13</v>
      </c>
      <c r="Z271" s="50"/>
      <c r="AA271" s="50"/>
      <c r="AB271" s="50"/>
      <c r="AC271" s="50"/>
      <c r="AD271" s="50"/>
      <c r="AE271" s="50"/>
      <c r="AF271" s="34"/>
      <c r="AG271" s="34"/>
      <c r="AH271" s="34"/>
      <c r="AI271" s="34"/>
      <c r="AJ271" s="34"/>
      <c r="AK271" s="34"/>
      <c r="AL271" s="34"/>
      <c r="AM271" s="34"/>
      <c r="AN271" s="34"/>
      <c r="AO271" s="65"/>
      <c r="AP271" s="69"/>
      <c r="AQ271" s="62"/>
      <c r="AR271" s="34"/>
    </row>
    <row r="272" spans="1:44" customFormat="1">
      <c r="A272" s="39">
        <v>43734</v>
      </c>
      <c r="B272" s="11" t="s">
        <v>49</v>
      </c>
      <c r="C272" s="16" t="s">
        <v>1074</v>
      </c>
      <c r="D272" s="16"/>
      <c r="E272" s="38">
        <v>23838</v>
      </c>
      <c r="F272" s="38"/>
      <c r="G272" s="10" t="s">
        <v>1075</v>
      </c>
      <c r="H272" s="12" t="s">
        <v>1076</v>
      </c>
      <c r="I272" s="13">
        <v>12.8</v>
      </c>
      <c r="J272" s="15" t="s">
        <v>1077</v>
      </c>
      <c r="K272" s="12"/>
      <c r="L272" s="11" t="s">
        <v>34</v>
      </c>
      <c r="M272" s="15"/>
      <c r="N272" s="17">
        <v>16200</v>
      </c>
      <c r="O272" s="17"/>
      <c r="P272" s="17"/>
      <c r="Q272" s="48"/>
      <c r="R272" s="11"/>
      <c r="S272" s="48"/>
      <c r="T272" s="85"/>
      <c r="U272" s="88"/>
      <c r="V272" s="32"/>
      <c r="W272" s="25" t="s">
        <v>8</v>
      </c>
      <c r="X272" s="11"/>
      <c r="Y272" s="50" t="s">
        <v>13</v>
      </c>
      <c r="Z272" s="50"/>
      <c r="AA272" s="50"/>
      <c r="AB272" s="50"/>
      <c r="AC272" s="50"/>
      <c r="AD272" s="50"/>
      <c r="AE272" s="50"/>
      <c r="AF272" s="34"/>
      <c r="AG272" s="34"/>
      <c r="AH272" s="34"/>
      <c r="AI272" s="34"/>
      <c r="AJ272" s="34"/>
      <c r="AK272" s="34"/>
      <c r="AL272" s="34"/>
      <c r="AM272" s="34"/>
      <c r="AN272" s="34"/>
      <c r="AO272" s="65"/>
      <c r="AP272" s="69"/>
      <c r="AQ272" s="62"/>
      <c r="AR272" s="34"/>
    </row>
    <row r="273" spans="1:44" customFormat="1">
      <c r="A273" s="39">
        <v>43734</v>
      </c>
      <c r="B273" s="11" t="s">
        <v>49</v>
      </c>
      <c r="C273" s="16" t="s">
        <v>1078</v>
      </c>
      <c r="D273" s="16"/>
      <c r="E273" s="38">
        <v>23727</v>
      </c>
      <c r="F273" s="38"/>
      <c r="G273" s="10" t="s">
        <v>73</v>
      </c>
      <c r="H273" s="12" t="s">
        <v>1079</v>
      </c>
      <c r="I273" s="13">
        <v>20.9</v>
      </c>
      <c r="J273" s="15" t="s">
        <v>1080</v>
      </c>
      <c r="K273" s="14" t="s">
        <v>1081</v>
      </c>
      <c r="L273" s="11" t="s">
        <v>33</v>
      </c>
      <c r="M273" s="15"/>
      <c r="N273" s="17">
        <v>16200</v>
      </c>
      <c r="O273" s="17"/>
      <c r="P273" s="17"/>
      <c r="Q273" s="48"/>
      <c r="R273" s="11"/>
      <c r="S273" s="48"/>
      <c r="T273" s="85"/>
      <c r="U273" s="88"/>
      <c r="V273" s="32"/>
      <c r="W273" s="25"/>
      <c r="X273" s="11"/>
      <c r="Y273" s="50"/>
      <c r="Z273" s="50"/>
      <c r="AA273" s="50"/>
      <c r="AB273" s="50"/>
      <c r="AC273" s="50"/>
      <c r="AD273" s="50"/>
      <c r="AE273" s="50"/>
      <c r="AF273" s="34"/>
      <c r="AG273" s="34"/>
      <c r="AH273" s="34"/>
      <c r="AI273" s="34"/>
      <c r="AJ273" s="34"/>
      <c r="AK273" s="34"/>
      <c r="AL273" s="34"/>
      <c r="AM273" s="34"/>
      <c r="AN273" s="34"/>
      <c r="AO273" s="65"/>
      <c r="AP273" s="69"/>
      <c r="AQ273" s="62"/>
      <c r="AR273" s="34"/>
    </row>
    <row r="274" spans="1:44" customFormat="1">
      <c r="A274" s="39">
        <v>43734</v>
      </c>
      <c r="B274" s="11" t="s">
        <v>22</v>
      </c>
      <c r="C274" s="16" t="s">
        <v>1082</v>
      </c>
      <c r="D274" s="16"/>
      <c r="E274" s="38">
        <v>27197</v>
      </c>
      <c r="F274" s="38"/>
      <c r="G274" s="10" t="s">
        <v>344</v>
      </c>
      <c r="H274" s="12" t="s">
        <v>1012</v>
      </c>
      <c r="I274" s="13">
        <v>0.2</v>
      </c>
      <c r="J274" s="15" t="s">
        <v>1083</v>
      </c>
      <c r="K274" s="12"/>
      <c r="L274" s="11" t="s">
        <v>33</v>
      </c>
      <c r="M274" s="15"/>
      <c r="N274" s="17">
        <v>2700</v>
      </c>
      <c r="O274" s="17"/>
      <c r="P274" s="17"/>
      <c r="Q274" s="48"/>
      <c r="R274" s="11"/>
      <c r="S274" s="48"/>
      <c r="T274" s="85"/>
      <c r="U274" s="88"/>
      <c r="V274" s="32" t="s">
        <v>1089</v>
      </c>
      <c r="W274" s="25" t="s">
        <v>9</v>
      </c>
      <c r="X274" s="11"/>
      <c r="Y274" s="50" t="s">
        <v>18</v>
      </c>
      <c r="Z274" s="50"/>
      <c r="AA274" s="50"/>
      <c r="AB274" s="50"/>
      <c r="AC274" s="50"/>
      <c r="AD274" s="50"/>
      <c r="AE274" s="50"/>
      <c r="AF274" s="34"/>
      <c r="AG274" s="34"/>
      <c r="AH274" s="34"/>
      <c r="AI274" s="34"/>
      <c r="AJ274" s="34"/>
      <c r="AK274" s="34"/>
      <c r="AL274" s="34"/>
      <c r="AM274" s="34"/>
      <c r="AN274" s="34"/>
      <c r="AO274" s="65"/>
      <c r="AP274" s="69"/>
      <c r="AQ274" s="62"/>
      <c r="AR274" s="34"/>
    </row>
    <row r="275" spans="1:44" customFormat="1">
      <c r="A275" s="39">
        <v>43734</v>
      </c>
      <c r="B275" s="11" t="s">
        <v>22</v>
      </c>
      <c r="C275" s="16" t="s">
        <v>1084</v>
      </c>
      <c r="D275" s="16"/>
      <c r="E275" s="38">
        <v>25536</v>
      </c>
      <c r="F275" s="38"/>
      <c r="G275" s="10" t="s">
        <v>1085</v>
      </c>
      <c r="H275" s="12" t="s">
        <v>1086</v>
      </c>
      <c r="I275" s="13">
        <v>12.7</v>
      </c>
      <c r="J275" s="15" t="s">
        <v>1088</v>
      </c>
      <c r="K275" s="14" t="s">
        <v>1087</v>
      </c>
      <c r="L275" s="11" t="s">
        <v>36</v>
      </c>
      <c r="M275" s="15"/>
      <c r="N275" s="17">
        <v>2700</v>
      </c>
      <c r="O275" s="17"/>
      <c r="P275" s="17"/>
      <c r="Q275" s="48"/>
      <c r="R275" s="11"/>
      <c r="S275" s="48"/>
      <c r="T275" s="85"/>
      <c r="U275" s="88"/>
      <c r="V275" s="32" t="s">
        <v>1090</v>
      </c>
      <c r="W275" s="25" t="s">
        <v>8</v>
      </c>
      <c r="X275" s="11"/>
      <c r="Y275" s="50" t="s">
        <v>17</v>
      </c>
      <c r="Z275" s="50"/>
      <c r="AA275" s="50"/>
      <c r="AB275" s="50"/>
      <c r="AC275" s="50"/>
      <c r="AD275" s="50"/>
      <c r="AE275" s="50"/>
      <c r="AF275" s="34"/>
      <c r="AG275" s="34"/>
      <c r="AH275" s="34"/>
      <c r="AI275" s="34"/>
      <c r="AJ275" s="34"/>
      <c r="AK275" s="34"/>
      <c r="AL275" s="34"/>
      <c r="AM275" s="34"/>
      <c r="AN275" s="34"/>
      <c r="AO275" s="65"/>
      <c r="AP275" s="69"/>
      <c r="AQ275" s="62"/>
      <c r="AR275" s="34"/>
    </row>
    <row r="276" spans="1:44" customFormat="1">
      <c r="A276" s="39">
        <v>43735</v>
      </c>
      <c r="B276" s="11" t="s">
        <v>49</v>
      </c>
      <c r="C276" s="16" t="s">
        <v>1095</v>
      </c>
      <c r="D276" s="16"/>
      <c r="E276" s="38">
        <v>24618</v>
      </c>
      <c r="F276" s="38"/>
      <c r="G276" s="10" t="s">
        <v>1118</v>
      </c>
      <c r="H276" s="12" t="s">
        <v>1096</v>
      </c>
      <c r="I276" s="13">
        <v>9.8000000000000007</v>
      </c>
      <c r="J276" s="15" t="s">
        <v>1097</v>
      </c>
      <c r="K276" s="14"/>
      <c r="L276" s="11" t="s">
        <v>35</v>
      </c>
      <c r="M276" s="15"/>
      <c r="N276" s="17">
        <v>10800</v>
      </c>
      <c r="O276" s="17"/>
      <c r="P276" s="17"/>
      <c r="Q276" s="48"/>
      <c r="R276" s="11"/>
      <c r="S276" s="48"/>
      <c r="T276" s="85"/>
      <c r="U276" s="88"/>
      <c r="V276" s="32" t="s">
        <v>1098</v>
      </c>
      <c r="W276" s="25" t="s">
        <v>8</v>
      </c>
      <c r="X276" s="11"/>
      <c r="Y276" s="50" t="s">
        <v>12</v>
      </c>
      <c r="Z276" s="50"/>
      <c r="AA276" s="50"/>
      <c r="AB276" s="50"/>
      <c r="AC276" s="50"/>
      <c r="AD276" s="50"/>
      <c r="AE276" s="50"/>
      <c r="AF276" s="34"/>
      <c r="AG276" s="34"/>
      <c r="AH276" s="34"/>
      <c r="AI276" s="34"/>
      <c r="AJ276" s="34"/>
      <c r="AK276" s="34"/>
      <c r="AL276" s="34"/>
      <c r="AM276" s="34"/>
      <c r="AN276" s="34"/>
      <c r="AO276" s="65"/>
      <c r="AP276" s="69"/>
      <c r="AQ276" s="62"/>
      <c r="AR276" s="34"/>
    </row>
    <row r="277" spans="1:44" customFormat="1">
      <c r="A277" s="39">
        <v>43736</v>
      </c>
      <c r="B277" s="11" t="s">
        <v>49</v>
      </c>
      <c r="C277" s="16" t="s">
        <v>1099</v>
      </c>
      <c r="D277" s="16"/>
      <c r="E277" s="38">
        <v>25625</v>
      </c>
      <c r="F277" s="38"/>
      <c r="G277" s="10" t="s">
        <v>1117</v>
      </c>
      <c r="H277" s="12" t="s">
        <v>1116</v>
      </c>
      <c r="I277" s="13">
        <v>706</v>
      </c>
      <c r="J277" s="15" t="s">
        <v>1100</v>
      </c>
      <c r="K277" s="14"/>
      <c r="L277" s="11"/>
      <c r="M277" s="15"/>
      <c r="N277" s="17">
        <v>21000</v>
      </c>
      <c r="O277" s="17"/>
      <c r="P277" s="17"/>
      <c r="Q277" s="48"/>
      <c r="R277" s="11"/>
      <c r="S277" s="48"/>
      <c r="T277" s="85"/>
      <c r="U277" s="88"/>
      <c r="V277" s="32"/>
      <c r="W277" s="25" t="s">
        <v>48</v>
      </c>
      <c r="X277" s="11"/>
      <c r="Y277" s="50"/>
      <c r="Z277" s="50"/>
      <c r="AA277" s="50"/>
      <c r="AB277" s="50"/>
      <c r="AC277" s="50"/>
      <c r="AD277" s="50"/>
      <c r="AE277" s="50"/>
      <c r="AF277" s="34"/>
      <c r="AG277" s="34"/>
      <c r="AH277" s="34"/>
      <c r="AI277" s="34"/>
      <c r="AJ277" s="34"/>
      <c r="AK277" s="34"/>
      <c r="AL277" s="34"/>
      <c r="AM277" s="34"/>
      <c r="AN277" s="34"/>
      <c r="AO277" s="65"/>
      <c r="AP277" s="69"/>
      <c r="AQ277" s="62"/>
      <c r="AR277" s="34"/>
    </row>
    <row r="278" spans="1:44" customFormat="1">
      <c r="A278" s="39">
        <v>43736</v>
      </c>
      <c r="B278" s="11" t="s">
        <v>22</v>
      </c>
      <c r="C278" s="16" t="s">
        <v>1104</v>
      </c>
      <c r="D278" s="16"/>
      <c r="E278" s="38">
        <v>20994</v>
      </c>
      <c r="F278" s="38"/>
      <c r="G278" s="10" t="s">
        <v>1101</v>
      </c>
      <c r="H278" s="12" t="s">
        <v>1102</v>
      </c>
      <c r="I278" s="13">
        <v>32.5</v>
      </c>
      <c r="J278" s="15" t="s">
        <v>1103</v>
      </c>
      <c r="K278" s="14"/>
      <c r="L278" s="11" t="s">
        <v>36</v>
      </c>
      <c r="M278" s="15"/>
      <c r="N278" s="17">
        <v>2700</v>
      </c>
      <c r="O278" s="17"/>
      <c r="P278" s="17"/>
      <c r="Q278" s="48"/>
      <c r="R278" s="11"/>
      <c r="S278" s="48"/>
      <c r="T278" s="85"/>
      <c r="U278" s="88"/>
      <c r="V278" s="32"/>
      <c r="W278" s="25" t="s">
        <v>8</v>
      </c>
      <c r="X278" s="11"/>
      <c r="Y278" s="50" t="s">
        <v>14</v>
      </c>
      <c r="Z278" s="50"/>
      <c r="AA278" s="50"/>
      <c r="AB278" s="50"/>
      <c r="AC278" s="50"/>
      <c r="AD278" s="50"/>
      <c r="AE278" s="50"/>
      <c r="AF278" s="34"/>
      <c r="AG278" s="34"/>
      <c r="AH278" s="34"/>
      <c r="AI278" s="34"/>
      <c r="AJ278" s="34"/>
      <c r="AK278" s="34"/>
      <c r="AL278" s="34"/>
      <c r="AM278" s="34"/>
      <c r="AN278" s="34"/>
      <c r="AO278" s="65"/>
      <c r="AP278" s="69"/>
      <c r="AQ278" s="62"/>
      <c r="AR278" s="34"/>
    </row>
    <row r="279" spans="1:44" customFormat="1">
      <c r="A279" s="39">
        <v>43736</v>
      </c>
      <c r="B279" s="11" t="s">
        <v>22</v>
      </c>
      <c r="C279" s="16" t="s">
        <v>1105</v>
      </c>
      <c r="D279" s="16"/>
      <c r="E279" s="38">
        <v>21213</v>
      </c>
      <c r="F279" s="38"/>
      <c r="G279" s="10" t="s">
        <v>1108</v>
      </c>
      <c r="H279" s="12" t="s">
        <v>1106</v>
      </c>
      <c r="I279" s="13">
        <v>39</v>
      </c>
      <c r="J279" s="15" t="s">
        <v>1107</v>
      </c>
      <c r="K279" s="14"/>
      <c r="L279" s="11" t="s">
        <v>33</v>
      </c>
      <c r="M279" s="15"/>
      <c r="N279" s="17">
        <v>2700</v>
      </c>
      <c r="O279" s="17"/>
      <c r="P279" s="17"/>
      <c r="Q279" s="48"/>
      <c r="R279" s="11"/>
      <c r="S279" s="48"/>
      <c r="T279" s="85"/>
      <c r="U279" s="88"/>
      <c r="V279" s="32"/>
      <c r="W279" s="25"/>
      <c r="X279" s="11"/>
      <c r="Y279" s="50"/>
      <c r="Z279" s="50"/>
      <c r="AA279" s="50"/>
      <c r="AB279" s="50"/>
      <c r="AC279" s="50"/>
      <c r="AD279" s="50"/>
      <c r="AE279" s="50"/>
      <c r="AF279" s="34"/>
      <c r="AG279" s="34"/>
      <c r="AH279" s="34"/>
      <c r="AI279" s="34"/>
      <c r="AJ279" s="34"/>
      <c r="AK279" s="34"/>
      <c r="AL279" s="34"/>
      <c r="AM279" s="34"/>
      <c r="AN279" s="34"/>
      <c r="AO279" s="65"/>
      <c r="AP279" s="69"/>
      <c r="AQ279" s="62"/>
      <c r="AR279" s="34"/>
    </row>
    <row r="280" spans="1:44" customFormat="1">
      <c r="A280" s="39">
        <v>43736</v>
      </c>
      <c r="B280" s="11" t="s">
        <v>49</v>
      </c>
      <c r="C280" s="16" t="s">
        <v>1109</v>
      </c>
      <c r="D280" s="16"/>
      <c r="E280" s="38">
        <v>29868</v>
      </c>
      <c r="F280" s="38"/>
      <c r="G280" s="10" t="s">
        <v>1119</v>
      </c>
      <c r="H280" s="12" t="s">
        <v>1110</v>
      </c>
      <c r="I280" s="13">
        <v>12.6</v>
      </c>
      <c r="J280" s="15" t="s">
        <v>1111</v>
      </c>
      <c r="K280" s="14"/>
      <c r="L280" s="11" t="s">
        <v>36</v>
      </c>
      <c r="M280" s="15"/>
      <c r="N280" s="17">
        <v>16200</v>
      </c>
      <c r="O280" s="17"/>
      <c r="P280" s="17"/>
      <c r="Q280" s="48"/>
      <c r="R280" s="11"/>
      <c r="S280" s="48"/>
      <c r="T280" s="85"/>
      <c r="U280" s="88"/>
      <c r="V280" s="32"/>
      <c r="W280" s="25" t="s">
        <v>48</v>
      </c>
      <c r="X280" s="11"/>
      <c r="Y280" s="50" t="s">
        <v>13</v>
      </c>
      <c r="Z280" s="50"/>
      <c r="AA280" s="50"/>
      <c r="AB280" s="50"/>
      <c r="AC280" s="50"/>
      <c r="AD280" s="50"/>
      <c r="AE280" s="50"/>
      <c r="AF280" s="34"/>
      <c r="AG280" s="34"/>
      <c r="AH280" s="34"/>
      <c r="AI280" s="34"/>
      <c r="AJ280" s="34"/>
      <c r="AK280" s="34"/>
      <c r="AL280" s="34"/>
      <c r="AM280" s="34"/>
      <c r="AN280" s="34"/>
      <c r="AO280" s="65"/>
      <c r="AP280" s="69"/>
      <c r="AQ280" s="62"/>
      <c r="AR280" s="34"/>
    </row>
    <row r="281" spans="1:44" customFormat="1">
      <c r="A281" s="39">
        <v>43736</v>
      </c>
      <c r="B281" s="11" t="s">
        <v>49</v>
      </c>
      <c r="C281" s="16" t="s">
        <v>1112</v>
      </c>
      <c r="D281" s="16"/>
      <c r="E281" s="38">
        <v>30128</v>
      </c>
      <c r="F281" s="38"/>
      <c r="G281" s="10" t="s">
        <v>1113</v>
      </c>
      <c r="H281" s="12" t="s">
        <v>1114</v>
      </c>
      <c r="I281" s="13">
        <v>15.3</v>
      </c>
      <c r="J281" s="15" t="s">
        <v>1115</v>
      </c>
      <c r="K281" s="14"/>
      <c r="L281" s="11" t="s">
        <v>36</v>
      </c>
      <c r="M281" s="15"/>
      <c r="N281" s="17">
        <v>16200</v>
      </c>
      <c r="O281" s="17"/>
      <c r="P281" s="17"/>
      <c r="Q281" s="48"/>
      <c r="R281" s="11"/>
      <c r="S281" s="48"/>
      <c r="T281" s="85"/>
      <c r="U281" s="88"/>
      <c r="V281" s="32"/>
      <c r="W281" s="25" t="s">
        <v>48</v>
      </c>
      <c r="X281" s="11"/>
      <c r="Y281" s="50" t="s">
        <v>13</v>
      </c>
      <c r="Z281" s="50"/>
      <c r="AA281" s="50"/>
      <c r="AB281" s="50"/>
      <c r="AC281" s="50"/>
      <c r="AD281" s="50"/>
      <c r="AE281" s="50"/>
      <c r="AF281" s="34"/>
      <c r="AG281" s="34"/>
      <c r="AH281" s="34"/>
      <c r="AI281" s="34"/>
      <c r="AJ281" s="34"/>
      <c r="AK281" s="34"/>
      <c r="AL281" s="34"/>
      <c r="AM281" s="34"/>
      <c r="AN281" s="34"/>
      <c r="AO281" s="65"/>
      <c r="AP281" s="69"/>
      <c r="AQ281" s="62"/>
      <c r="AR281" s="34"/>
    </row>
    <row r="282" spans="1:44" customFormat="1">
      <c r="A282" s="39">
        <v>43737</v>
      </c>
      <c r="B282" s="11" t="s">
        <v>22</v>
      </c>
      <c r="C282" s="16" t="s">
        <v>1091</v>
      </c>
      <c r="D282" s="16"/>
      <c r="E282" s="38">
        <v>20989</v>
      </c>
      <c r="F282" s="38"/>
      <c r="G282" s="10" t="s">
        <v>1092</v>
      </c>
      <c r="H282" s="12" t="s">
        <v>1093</v>
      </c>
      <c r="I282" s="13">
        <v>43.6</v>
      </c>
      <c r="J282" s="15" t="s">
        <v>1094</v>
      </c>
      <c r="K282" s="12"/>
      <c r="L282" s="11" t="s">
        <v>34</v>
      </c>
      <c r="M282" s="15"/>
      <c r="N282" s="17">
        <v>2700</v>
      </c>
      <c r="O282" s="17"/>
      <c r="P282" s="17"/>
      <c r="Q282" s="48"/>
      <c r="R282" s="11"/>
      <c r="S282" s="48"/>
      <c r="T282" s="85"/>
      <c r="U282" s="88"/>
      <c r="V282" s="32" t="s">
        <v>562</v>
      </c>
      <c r="W282" s="25" t="s">
        <v>10</v>
      </c>
      <c r="X282" s="11"/>
      <c r="Y282" s="50"/>
      <c r="Z282" s="50"/>
      <c r="AA282" s="50"/>
      <c r="AB282" s="50"/>
      <c r="AC282" s="50"/>
      <c r="AD282" s="50"/>
      <c r="AE282" s="50"/>
      <c r="AF282" s="34"/>
      <c r="AG282" s="34"/>
      <c r="AH282" s="34"/>
      <c r="AI282" s="34"/>
      <c r="AJ282" s="34"/>
      <c r="AK282" s="34"/>
      <c r="AL282" s="34"/>
      <c r="AM282" s="34"/>
      <c r="AN282" s="34"/>
      <c r="AO282" s="65"/>
      <c r="AP282" s="69"/>
      <c r="AQ282" s="62"/>
      <c r="AR282" s="34"/>
    </row>
    <row r="283" spans="1:44" customFormat="1">
      <c r="A283" s="39">
        <v>43738</v>
      </c>
      <c r="B283" s="11" t="s">
        <v>24</v>
      </c>
      <c r="C283" s="16" t="s">
        <v>1121</v>
      </c>
      <c r="D283" s="16"/>
      <c r="E283" s="38">
        <v>20486</v>
      </c>
      <c r="F283" s="38"/>
      <c r="G283" s="10" t="s">
        <v>148</v>
      </c>
      <c r="H283" s="12" t="s">
        <v>1122</v>
      </c>
      <c r="I283" s="13">
        <v>1.5</v>
      </c>
      <c r="J283" s="15" t="s">
        <v>1123</v>
      </c>
      <c r="K283" s="12"/>
      <c r="L283" s="11" t="s">
        <v>33</v>
      </c>
      <c r="M283" s="15"/>
      <c r="N283" s="17">
        <v>4860</v>
      </c>
      <c r="O283" s="17"/>
      <c r="P283" s="17"/>
      <c r="Q283" s="48"/>
      <c r="R283" s="11"/>
      <c r="S283" s="48"/>
      <c r="T283" s="85"/>
      <c r="U283" s="88"/>
      <c r="V283" s="32" t="s">
        <v>670</v>
      </c>
      <c r="W283" s="25" t="s">
        <v>10</v>
      </c>
      <c r="X283" s="11"/>
      <c r="Y283" s="50"/>
      <c r="Z283" s="50"/>
      <c r="AA283" s="50"/>
      <c r="AB283" s="50"/>
      <c r="AC283" s="50"/>
      <c r="AD283" s="50"/>
      <c r="AE283" s="50"/>
      <c r="AF283" s="34"/>
      <c r="AG283" s="34"/>
      <c r="AH283" s="34"/>
      <c r="AI283" s="34"/>
      <c r="AJ283" s="34"/>
      <c r="AK283" s="34"/>
      <c r="AL283" s="34"/>
      <c r="AM283" s="34"/>
      <c r="AN283" s="34"/>
      <c r="AO283" s="65"/>
      <c r="AP283" s="69"/>
      <c r="AQ283" s="62"/>
      <c r="AR283" s="34"/>
    </row>
    <row r="284" spans="1:44" customFormat="1">
      <c r="A284" s="39">
        <v>43738</v>
      </c>
      <c r="B284" s="11" t="s">
        <v>22</v>
      </c>
      <c r="C284" s="16" t="s">
        <v>1124</v>
      </c>
      <c r="D284" s="16"/>
      <c r="E284" s="38">
        <v>23960</v>
      </c>
      <c r="F284" s="38"/>
      <c r="G284" s="10" t="s">
        <v>610</v>
      </c>
      <c r="H284" s="12" t="s">
        <v>1125</v>
      </c>
      <c r="I284" s="13">
        <v>6.9</v>
      </c>
      <c r="J284" s="15" t="s">
        <v>1126</v>
      </c>
      <c r="K284" s="12"/>
      <c r="L284" s="11" t="s">
        <v>33</v>
      </c>
      <c r="M284" s="15"/>
      <c r="N284" s="17">
        <v>2700</v>
      </c>
      <c r="O284" s="17"/>
      <c r="P284" s="17"/>
      <c r="Q284" s="48"/>
      <c r="R284" s="11"/>
      <c r="S284" s="48"/>
      <c r="T284" s="85"/>
      <c r="U284" s="88"/>
      <c r="V284" s="32"/>
      <c r="W284" s="25" t="s">
        <v>8</v>
      </c>
      <c r="X284" s="11"/>
      <c r="Y284" s="50" t="s">
        <v>18</v>
      </c>
      <c r="Z284" s="50"/>
      <c r="AA284" s="50"/>
      <c r="AB284" s="50"/>
      <c r="AC284" s="50"/>
      <c r="AD284" s="50"/>
      <c r="AE284" s="50"/>
      <c r="AF284" s="34"/>
      <c r="AG284" s="34"/>
      <c r="AH284" s="34"/>
      <c r="AI284" s="34"/>
      <c r="AJ284" s="34"/>
      <c r="AK284" s="34"/>
      <c r="AL284" s="34"/>
      <c r="AM284" s="34"/>
      <c r="AN284" s="34"/>
      <c r="AO284" s="65"/>
      <c r="AP284" s="69"/>
      <c r="AQ284" s="62"/>
      <c r="AR284" s="34"/>
    </row>
    <row r="285" spans="1:44" customFormat="1">
      <c r="A285" s="39">
        <v>43738</v>
      </c>
      <c r="B285" s="11" t="s">
        <v>22</v>
      </c>
      <c r="C285" s="16" t="s">
        <v>1003</v>
      </c>
      <c r="D285" s="16"/>
      <c r="E285" s="38">
        <v>22552</v>
      </c>
      <c r="F285" s="38"/>
      <c r="G285" s="10" t="s">
        <v>999</v>
      </c>
      <c r="H285" s="12" t="s">
        <v>1000</v>
      </c>
      <c r="I285" s="13">
        <v>10.199999999999999</v>
      </c>
      <c r="J285" s="15" t="s">
        <v>1004</v>
      </c>
      <c r="K285" s="12"/>
      <c r="L285" s="11" t="s">
        <v>33</v>
      </c>
      <c r="M285" s="15"/>
      <c r="N285" s="17">
        <v>5400</v>
      </c>
      <c r="O285" s="17"/>
      <c r="P285" s="17"/>
      <c r="Q285" s="48"/>
      <c r="R285" s="11"/>
      <c r="S285" s="48"/>
      <c r="T285" s="85"/>
      <c r="U285" s="88"/>
      <c r="V285" s="32" t="s">
        <v>1127</v>
      </c>
      <c r="W285" s="25" t="s">
        <v>10</v>
      </c>
      <c r="X285" s="11"/>
      <c r="Y285" s="50" t="s">
        <v>12</v>
      </c>
      <c r="Z285" s="50"/>
      <c r="AA285" s="50"/>
      <c r="AB285" s="50"/>
      <c r="AC285" s="50"/>
      <c r="AD285" s="50"/>
      <c r="AE285" s="50"/>
      <c r="AF285" s="34"/>
      <c r="AG285" s="34"/>
      <c r="AH285" s="34"/>
      <c r="AI285" s="34"/>
      <c r="AJ285" s="34"/>
      <c r="AK285" s="34"/>
      <c r="AL285" s="34"/>
      <c r="AM285" s="34"/>
      <c r="AN285" s="34"/>
      <c r="AO285" s="65"/>
      <c r="AP285" s="69"/>
      <c r="AQ285" s="62"/>
      <c r="AR285" s="34"/>
    </row>
    <row r="286" spans="1:44" customFormat="1">
      <c r="A286" s="39">
        <v>43749</v>
      </c>
      <c r="B286" s="11" t="s">
        <v>24</v>
      </c>
      <c r="C286" s="16" t="s">
        <v>227</v>
      </c>
      <c r="D286" s="16"/>
      <c r="E286" s="38">
        <v>37069</v>
      </c>
      <c r="F286" s="38"/>
      <c r="G286" s="10" t="s">
        <v>228</v>
      </c>
      <c r="H286" s="12" t="s">
        <v>229</v>
      </c>
      <c r="I286" s="13">
        <v>22.9</v>
      </c>
      <c r="J286" s="15" t="s">
        <v>230</v>
      </c>
      <c r="K286" s="12"/>
      <c r="L286" s="11" t="s">
        <v>38</v>
      </c>
      <c r="M286" s="15"/>
      <c r="N286" s="17">
        <v>4950</v>
      </c>
      <c r="O286" s="17"/>
      <c r="P286" s="17"/>
      <c r="Q286" s="48"/>
      <c r="R286" s="11"/>
      <c r="S286" s="48"/>
      <c r="T286" s="85"/>
      <c r="U286" s="88"/>
      <c r="V286" s="32"/>
      <c r="W286" s="25"/>
      <c r="X286" s="11"/>
      <c r="Y286" s="50"/>
      <c r="Z286" s="50"/>
      <c r="AA286" s="50"/>
      <c r="AB286" s="50"/>
      <c r="AC286" s="50"/>
      <c r="AD286" s="50"/>
      <c r="AE286" s="50"/>
      <c r="AF286" s="34"/>
      <c r="AG286" s="34"/>
      <c r="AH286" s="34"/>
      <c r="AI286" s="34"/>
      <c r="AJ286" s="34"/>
      <c r="AK286" s="34"/>
      <c r="AL286" s="34"/>
      <c r="AM286" s="34"/>
      <c r="AN286" s="34"/>
      <c r="AO286" s="65"/>
      <c r="AP286" s="69"/>
      <c r="AQ286" s="62"/>
      <c r="AR286" s="34"/>
    </row>
    <row r="287" spans="1:44" customFormat="1">
      <c r="A287" s="39">
        <v>43750</v>
      </c>
      <c r="B287" s="11" t="s">
        <v>49</v>
      </c>
      <c r="C287" s="16" t="s">
        <v>1128</v>
      </c>
      <c r="D287" s="16"/>
      <c r="E287" s="38">
        <v>26706</v>
      </c>
      <c r="F287" s="38"/>
      <c r="G287" s="10" t="s">
        <v>1129</v>
      </c>
      <c r="H287" s="12" t="s">
        <v>1130</v>
      </c>
      <c r="I287" s="13">
        <v>9.6999999999999993</v>
      </c>
      <c r="J287" s="15" t="s">
        <v>1131</v>
      </c>
      <c r="K287" s="12"/>
      <c r="L287" s="11" t="s">
        <v>36</v>
      </c>
      <c r="M287" s="15"/>
      <c r="N287" s="17">
        <v>16500</v>
      </c>
      <c r="O287" s="17"/>
      <c r="P287" s="17"/>
      <c r="Q287" s="48"/>
      <c r="R287" s="11"/>
      <c r="S287" s="48"/>
      <c r="T287" s="85"/>
      <c r="U287" s="88" t="s">
        <v>1408</v>
      </c>
      <c r="V287" s="32"/>
      <c r="W287" s="25" t="s">
        <v>48</v>
      </c>
      <c r="X287" s="11"/>
      <c r="Y287" s="50" t="s">
        <v>12</v>
      </c>
      <c r="Z287" s="50"/>
      <c r="AA287" s="50"/>
      <c r="AB287" s="50"/>
      <c r="AC287" s="50"/>
      <c r="AD287" s="50"/>
      <c r="AE287" s="50"/>
      <c r="AF287" s="34"/>
      <c r="AG287" s="34"/>
      <c r="AH287" s="34"/>
      <c r="AI287" s="34"/>
      <c r="AJ287" s="34"/>
      <c r="AK287" s="34"/>
      <c r="AL287" s="34"/>
      <c r="AM287" s="34"/>
      <c r="AN287" s="34"/>
      <c r="AO287" s="65"/>
      <c r="AP287" s="69"/>
      <c r="AQ287" s="62"/>
      <c r="AR287" s="34" t="s">
        <v>1408</v>
      </c>
    </row>
    <row r="288" spans="1:44" customFormat="1">
      <c r="A288" s="39">
        <v>43750</v>
      </c>
      <c r="B288" s="11" t="s">
        <v>528</v>
      </c>
      <c r="C288" s="16" t="s">
        <v>494</v>
      </c>
      <c r="D288" s="16"/>
      <c r="E288" s="38">
        <v>27939</v>
      </c>
      <c r="F288" s="38"/>
      <c r="G288" s="10" t="s">
        <v>322</v>
      </c>
      <c r="H288" s="12" t="s">
        <v>495</v>
      </c>
      <c r="I288" s="13">
        <v>4.8</v>
      </c>
      <c r="J288" s="15" t="s">
        <v>496</v>
      </c>
      <c r="K288" s="12"/>
      <c r="L288" s="11" t="s">
        <v>33</v>
      </c>
      <c r="M288" s="15"/>
      <c r="N288" s="17">
        <v>5500</v>
      </c>
      <c r="O288" s="17"/>
      <c r="P288" s="17"/>
      <c r="Q288" s="48"/>
      <c r="R288" s="11"/>
      <c r="S288" s="48"/>
      <c r="T288" s="85"/>
      <c r="U288" s="88"/>
      <c r="V288" s="32" t="s">
        <v>915</v>
      </c>
      <c r="W288" s="25"/>
      <c r="X288" s="11"/>
      <c r="Y288" s="50"/>
      <c r="Z288" s="50"/>
      <c r="AA288" s="50"/>
      <c r="AB288" s="50"/>
      <c r="AC288" s="50"/>
      <c r="AD288" s="50"/>
      <c r="AE288" s="50"/>
      <c r="AF288" s="34"/>
      <c r="AG288" s="34"/>
      <c r="AH288" s="34"/>
      <c r="AI288" s="34"/>
      <c r="AJ288" s="34"/>
      <c r="AK288" s="34"/>
      <c r="AL288" s="34"/>
      <c r="AM288" s="34"/>
      <c r="AN288" s="34"/>
      <c r="AO288" s="65"/>
      <c r="AP288" s="69"/>
      <c r="AQ288" s="62"/>
      <c r="AR288" s="34"/>
    </row>
    <row r="289" spans="1:44" customFormat="1">
      <c r="A289" s="39">
        <v>43750</v>
      </c>
      <c r="B289" s="11" t="s">
        <v>49</v>
      </c>
      <c r="C289" s="16" t="s">
        <v>1132</v>
      </c>
      <c r="D289" s="16"/>
      <c r="E289" s="38">
        <v>28968</v>
      </c>
      <c r="F289" s="38"/>
      <c r="G289" s="10" t="s">
        <v>1133</v>
      </c>
      <c r="H289" s="12" t="s">
        <v>1134</v>
      </c>
      <c r="I289" s="13">
        <v>6.4</v>
      </c>
      <c r="J289" s="15" t="s">
        <v>1135</v>
      </c>
      <c r="K289" s="12"/>
      <c r="L289" s="11" t="s">
        <v>36</v>
      </c>
      <c r="M289" s="15"/>
      <c r="N289" s="17">
        <v>24200</v>
      </c>
      <c r="O289" s="17"/>
      <c r="P289" s="17"/>
      <c r="Q289" s="48"/>
      <c r="R289" s="11"/>
      <c r="S289" s="48"/>
      <c r="T289" s="85"/>
      <c r="U289" s="88"/>
      <c r="V289" s="32" t="s">
        <v>1136</v>
      </c>
      <c r="W289" s="25" t="s">
        <v>48</v>
      </c>
      <c r="X289" s="11"/>
      <c r="Y289" s="50" t="s">
        <v>13</v>
      </c>
      <c r="Z289" s="50"/>
      <c r="AA289" s="50"/>
      <c r="AB289" s="50"/>
      <c r="AC289" s="50"/>
      <c r="AD289" s="50"/>
      <c r="AE289" s="50"/>
      <c r="AF289" s="34"/>
      <c r="AG289" s="34"/>
      <c r="AH289" s="34"/>
      <c r="AI289" s="34"/>
      <c r="AJ289" s="34"/>
      <c r="AK289" s="34"/>
      <c r="AL289" s="34"/>
      <c r="AM289" s="34"/>
      <c r="AN289" s="34"/>
      <c r="AO289" s="65"/>
      <c r="AP289" s="69"/>
      <c r="AQ289" s="62"/>
      <c r="AR289" s="34"/>
    </row>
    <row r="290" spans="1:44" customFormat="1">
      <c r="A290" s="39">
        <v>43751</v>
      </c>
      <c r="B290" s="11" t="s">
        <v>22</v>
      </c>
      <c r="C290" s="16" t="s">
        <v>1137</v>
      </c>
      <c r="D290" s="16"/>
      <c r="E290" s="38">
        <v>29067</v>
      </c>
      <c r="F290" s="38"/>
      <c r="G290" s="10" t="s">
        <v>130</v>
      </c>
      <c r="H290" s="12" t="s">
        <v>1138</v>
      </c>
      <c r="I290" s="13">
        <v>0.7</v>
      </c>
      <c r="J290" s="15" t="s">
        <v>1139</v>
      </c>
      <c r="K290" s="12"/>
      <c r="L290" s="11" t="s">
        <v>36</v>
      </c>
      <c r="M290" s="15"/>
      <c r="N290" s="17">
        <v>0</v>
      </c>
      <c r="O290" s="17"/>
      <c r="P290" s="17"/>
      <c r="Q290" s="48"/>
      <c r="R290" s="11"/>
      <c r="S290" s="48"/>
      <c r="T290" s="85"/>
      <c r="U290" s="88"/>
      <c r="V290" s="32"/>
      <c r="W290" s="25"/>
      <c r="X290" s="11"/>
      <c r="Y290" s="50" t="s">
        <v>18</v>
      </c>
      <c r="Z290" s="50"/>
      <c r="AA290" s="50"/>
      <c r="AB290" s="50"/>
      <c r="AC290" s="50"/>
      <c r="AD290" s="50"/>
      <c r="AE290" s="50"/>
      <c r="AF290" s="34"/>
      <c r="AG290" s="34"/>
      <c r="AH290" s="34"/>
      <c r="AI290" s="34"/>
      <c r="AJ290" s="34"/>
      <c r="AK290" s="34"/>
      <c r="AL290" s="34"/>
      <c r="AM290" s="34"/>
      <c r="AN290" s="34"/>
      <c r="AO290" s="65"/>
      <c r="AP290" s="69"/>
      <c r="AQ290" s="62"/>
      <c r="AR290" s="34"/>
    </row>
    <row r="291" spans="1:44" customFormat="1">
      <c r="A291" s="39">
        <v>43752</v>
      </c>
      <c r="B291" s="11" t="s">
        <v>49</v>
      </c>
      <c r="C291" s="16" t="s">
        <v>1140</v>
      </c>
      <c r="D291" s="16"/>
      <c r="E291" s="38">
        <v>27002</v>
      </c>
      <c r="F291" s="38"/>
      <c r="G291" s="10" t="s">
        <v>1141</v>
      </c>
      <c r="H291" s="12" t="s">
        <v>1142</v>
      </c>
      <c r="I291" s="13">
        <v>29.5</v>
      </c>
      <c r="J291" s="15" t="s">
        <v>1143</v>
      </c>
      <c r="K291" s="12"/>
      <c r="L291" s="11" t="s">
        <v>33</v>
      </c>
      <c r="M291" s="15"/>
      <c r="N291" s="17">
        <v>16500</v>
      </c>
      <c r="O291" s="17"/>
      <c r="P291" s="17"/>
      <c r="Q291" s="48"/>
      <c r="R291" s="11"/>
      <c r="S291" s="48"/>
      <c r="T291" s="85"/>
      <c r="U291" s="88"/>
      <c r="V291" s="32"/>
      <c r="W291" s="25" t="s">
        <v>48</v>
      </c>
      <c r="X291" s="11"/>
      <c r="Y291" s="50" t="s">
        <v>13</v>
      </c>
      <c r="Z291" s="50"/>
      <c r="AA291" s="50"/>
      <c r="AB291" s="50"/>
      <c r="AC291" s="50"/>
      <c r="AD291" s="50"/>
      <c r="AE291" s="50"/>
      <c r="AF291" s="34"/>
      <c r="AG291" s="34"/>
      <c r="AH291" s="34"/>
      <c r="AI291" s="34"/>
      <c r="AJ291" s="34"/>
      <c r="AK291" s="34"/>
      <c r="AL291" s="34"/>
      <c r="AM291" s="34"/>
      <c r="AN291" s="34"/>
      <c r="AO291" s="65"/>
      <c r="AP291" s="69"/>
      <c r="AQ291" s="62"/>
      <c r="AR291" s="34"/>
    </row>
    <row r="292" spans="1:44" customFormat="1">
      <c r="A292" s="39">
        <v>43754</v>
      </c>
      <c r="B292" s="11" t="s">
        <v>22</v>
      </c>
      <c r="C292" s="16" t="s">
        <v>1144</v>
      </c>
      <c r="D292" s="16"/>
      <c r="E292" s="38">
        <v>32944</v>
      </c>
      <c r="F292" s="38"/>
      <c r="G292" s="10" t="s">
        <v>1145</v>
      </c>
      <c r="H292" s="12" t="s">
        <v>1146</v>
      </c>
      <c r="I292" s="13">
        <v>1.2</v>
      </c>
      <c r="J292" s="15" t="s">
        <v>1147</v>
      </c>
      <c r="K292" s="12"/>
      <c r="L292" s="11" t="s">
        <v>36</v>
      </c>
      <c r="M292" s="15"/>
      <c r="N292" s="17">
        <v>2750</v>
      </c>
      <c r="O292" s="17"/>
      <c r="P292" s="17"/>
      <c r="Q292" s="48"/>
      <c r="R292" s="11"/>
      <c r="S292" s="48"/>
      <c r="T292" s="85"/>
      <c r="U292" s="88"/>
      <c r="V292" s="32" t="s">
        <v>955</v>
      </c>
      <c r="W292" s="25" t="s">
        <v>10</v>
      </c>
      <c r="X292" s="11"/>
      <c r="Y292" s="50"/>
      <c r="Z292" s="50"/>
      <c r="AA292" s="50"/>
      <c r="AB292" s="50"/>
      <c r="AC292" s="50"/>
      <c r="AD292" s="50"/>
      <c r="AE292" s="50"/>
      <c r="AF292" s="34"/>
      <c r="AG292" s="34"/>
      <c r="AH292" s="34"/>
      <c r="AI292" s="34"/>
      <c r="AJ292" s="34"/>
      <c r="AK292" s="34"/>
      <c r="AL292" s="34"/>
      <c r="AM292" s="34"/>
      <c r="AN292" s="34"/>
      <c r="AO292" s="65"/>
      <c r="AP292" s="69"/>
      <c r="AQ292" s="62"/>
      <c r="AR292" s="34"/>
    </row>
    <row r="293" spans="1:44" customFormat="1">
      <c r="A293" s="39">
        <v>43756</v>
      </c>
      <c r="B293" s="11" t="s">
        <v>49</v>
      </c>
      <c r="C293" s="16" t="s">
        <v>1148</v>
      </c>
      <c r="D293" s="16"/>
      <c r="E293" s="38">
        <v>29422</v>
      </c>
      <c r="F293" s="38"/>
      <c r="G293" s="10" t="s">
        <v>1149</v>
      </c>
      <c r="H293" s="12" t="s">
        <v>1150</v>
      </c>
      <c r="I293" s="13">
        <v>35.799999999999997</v>
      </c>
      <c r="J293" s="15" t="s">
        <v>1151</v>
      </c>
      <c r="K293" s="12"/>
      <c r="L293" s="11" t="s">
        <v>33</v>
      </c>
      <c r="M293" s="15"/>
      <c r="N293" s="17">
        <v>16500</v>
      </c>
      <c r="O293" s="17"/>
      <c r="P293" s="17"/>
      <c r="Q293" s="48"/>
      <c r="R293" s="11"/>
      <c r="S293" s="48"/>
      <c r="T293" s="85"/>
      <c r="U293" s="88"/>
      <c r="V293" s="32" t="s">
        <v>105</v>
      </c>
      <c r="W293" s="25" t="s">
        <v>48</v>
      </c>
      <c r="X293" s="11"/>
      <c r="Y293" s="50" t="s">
        <v>13</v>
      </c>
      <c r="Z293" s="50"/>
      <c r="AA293" s="50"/>
      <c r="AB293" s="50"/>
      <c r="AC293" s="50"/>
      <c r="AD293" s="50"/>
      <c r="AE293" s="50"/>
      <c r="AF293" s="34"/>
      <c r="AG293" s="34"/>
      <c r="AH293" s="34"/>
      <c r="AI293" s="34"/>
      <c r="AJ293" s="34"/>
      <c r="AK293" s="34"/>
      <c r="AL293" s="34"/>
      <c r="AM293" s="34"/>
      <c r="AN293" s="34"/>
      <c r="AO293" s="65"/>
      <c r="AP293" s="69"/>
      <c r="AQ293" s="62"/>
      <c r="AR293" s="34"/>
    </row>
    <row r="294" spans="1:44" customFormat="1">
      <c r="A294" s="41">
        <v>43758</v>
      </c>
      <c r="B294" s="11" t="s">
        <v>49</v>
      </c>
      <c r="C294" s="16" t="s">
        <v>1153</v>
      </c>
      <c r="D294" s="36"/>
      <c r="E294" s="45">
        <v>17356</v>
      </c>
      <c r="F294" s="45"/>
      <c r="G294" s="11" t="s">
        <v>1154</v>
      </c>
      <c r="H294" s="26" t="s">
        <v>1155</v>
      </c>
      <c r="I294" s="27">
        <v>12.5</v>
      </c>
      <c r="J294" s="15" t="s">
        <v>1157</v>
      </c>
      <c r="K294" s="12"/>
      <c r="L294" s="11" t="s">
        <v>33</v>
      </c>
      <c r="M294" s="15"/>
      <c r="N294" s="17">
        <v>16500</v>
      </c>
      <c r="O294" s="17"/>
      <c r="P294" s="17"/>
      <c r="Q294" s="48"/>
      <c r="R294" s="11"/>
      <c r="S294" s="48"/>
      <c r="T294" s="85"/>
      <c r="U294" s="88"/>
      <c r="V294" s="32"/>
      <c r="W294" s="25" t="s">
        <v>8</v>
      </c>
      <c r="X294" s="11"/>
      <c r="Y294" s="50" t="s">
        <v>13</v>
      </c>
      <c r="Z294" s="50"/>
      <c r="AA294" s="50"/>
      <c r="AB294" s="50"/>
      <c r="AC294" s="50"/>
      <c r="AD294" s="50"/>
      <c r="AE294" s="50"/>
      <c r="AF294" s="34"/>
      <c r="AG294" s="34"/>
      <c r="AH294" s="34"/>
      <c r="AI294" s="34"/>
      <c r="AJ294" s="34"/>
      <c r="AK294" s="34"/>
      <c r="AL294" s="34"/>
      <c r="AM294" s="34"/>
      <c r="AN294" s="34"/>
      <c r="AO294" s="65"/>
      <c r="AP294" s="69"/>
      <c r="AQ294" s="62" t="s">
        <v>8079</v>
      </c>
      <c r="AR294" s="34"/>
    </row>
    <row r="295" spans="1:44" customFormat="1">
      <c r="A295" s="41">
        <v>43758</v>
      </c>
      <c r="B295" s="11" t="s">
        <v>22</v>
      </c>
      <c r="C295" s="16" t="s">
        <v>3606</v>
      </c>
      <c r="D295" s="36"/>
      <c r="E295" s="45">
        <v>31092</v>
      </c>
      <c r="F295" s="45"/>
      <c r="G295" s="11" t="s">
        <v>280</v>
      </c>
      <c r="H295" s="26" t="s">
        <v>1152</v>
      </c>
      <c r="I295" s="27">
        <v>1.4</v>
      </c>
      <c r="J295" s="15" t="s">
        <v>1156</v>
      </c>
      <c r="K295" s="12"/>
      <c r="L295" s="11" t="s">
        <v>36</v>
      </c>
      <c r="M295" s="15"/>
      <c r="N295" s="17">
        <v>2800</v>
      </c>
      <c r="O295" s="17"/>
      <c r="P295" s="17"/>
      <c r="Q295" s="48"/>
      <c r="R295" s="11"/>
      <c r="S295" s="48"/>
      <c r="T295" s="85" t="s">
        <v>8079</v>
      </c>
      <c r="U295" s="88"/>
      <c r="V295" s="32"/>
      <c r="W295" s="25" t="s">
        <v>48</v>
      </c>
      <c r="X295" s="11"/>
      <c r="Y295" s="50" t="s">
        <v>12</v>
      </c>
      <c r="Z295" s="50"/>
      <c r="AA295" s="50"/>
      <c r="AB295" s="50"/>
      <c r="AC295" s="50"/>
      <c r="AD295" s="50"/>
      <c r="AE295" s="50"/>
      <c r="AF295" s="34"/>
      <c r="AG295" s="34"/>
      <c r="AH295" s="34"/>
      <c r="AI295" s="34"/>
      <c r="AJ295" s="34"/>
      <c r="AK295" s="34"/>
      <c r="AL295" s="34"/>
      <c r="AM295" s="34"/>
      <c r="AN295" s="34"/>
      <c r="AO295" s="65"/>
      <c r="AP295" s="69"/>
      <c r="AQ295" s="62"/>
      <c r="AR295" s="34"/>
    </row>
    <row r="296" spans="1:44" customFormat="1">
      <c r="A296" s="41">
        <v>43760</v>
      </c>
      <c r="B296" s="11" t="s">
        <v>49</v>
      </c>
      <c r="C296" s="16" t="s">
        <v>1158</v>
      </c>
      <c r="D296" s="16"/>
      <c r="E296" s="38">
        <v>31170</v>
      </c>
      <c r="F296" s="38"/>
      <c r="G296" s="10" t="s">
        <v>1159</v>
      </c>
      <c r="H296" s="12" t="s">
        <v>1160</v>
      </c>
      <c r="I296" s="13">
        <v>6.2</v>
      </c>
      <c r="J296" s="15" t="s">
        <v>1161</v>
      </c>
      <c r="K296" s="12"/>
      <c r="L296" s="11" t="s">
        <v>34</v>
      </c>
      <c r="M296" s="15"/>
      <c r="N296" s="17">
        <v>16500</v>
      </c>
      <c r="O296" s="17"/>
      <c r="P296" s="17"/>
      <c r="Q296" s="48"/>
      <c r="R296" s="11"/>
      <c r="S296" s="48"/>
      <c r="T296" s="85"/>
      <c r="U296" s="88"/>
      <c r="V296" s="32" t="s">
        <v>105</v>
      </c>
      <c r="W296" s="25" t="s">
        <v>8</v>
      </c>
      <c r="X296" s="11"/>
      <c r="Y296" s="50" t="s">
        <v>12</v>
      </c>
      <c r="Z296" s="50"/>
      <c r="AA296" s="50"/>
      <c r="AB296" s="50"/>
      <c r="AC296" s="50"/>
      <c r="AD296" s="50"/>
      <c r="AE296" s="50"/>
      <c r="AF296" s="34"/>
      <c r="AG296" s="34"/>
      <c r="AH296" s="34"/>
      <c r="AI296" s="34"/>
      <c r="AJ296" s="34"/>
      <c r="AK296" s="34"/>
      <c r="AL296" s="34"/>
      <c r="AM296" s="34"/>
      <c r="AN296" s="34"/>
      <c r="AO296" s="65"/>
      <c r="AP296" s="69"/>
      <c r="AQ296" s="62"/>
      <c r="AR296" s="34"/>
    </row>
    <row r="297" spans="1:44" customFormat="1">
      <c r="A297" s="41">
        <v>43760</v>
      </c>
      <c r="B297" s="11" t="s">
        <v>49</v>
      </c>
      <c r="C297" s="16" t="s">
        <v>1162</v>
      </c>
      <c r="D297" s="16"/>
      <c r="E297" s="38">
        <v>24318</v>
      </c>
      <c r="F297" s="38"/>
      <c r="G297" s="10" t="s">
        <v>148</v>
      </c>
      <c r="H297" s="12" t="s">
        <v>1163</v>
      </c>
      <c r="I297" s="13">
        <v>1.7</v>
      </c>
      <c r="J297" s="15" t="s">
        <v>1164</v>
      </c>
      <c r="K297" s="12"/>
      <c r="L297" s="11" t="s">
        <v>34</v>
      </c>
      <c r="M297" s="15"/>
      <c r="N297" s="17">
        <v>11000</v>
      </c>
      <c r="O297" s="17"/>
      <c r="P297" s="17"/>
      <c r="Q297" s="48"/>
      <c r="R297" s="11"/>
      <c r="S297" s="48"/>
      <c r="T297" s="85"/>
      <c r="U297" s="88"/>
      <c r="V297" s="32" t="s">
        <v>1169</v>
      </c>
      <c r="W297" s="25"/>
      <c r="X297" s="11"/>
      <c r="Y297" s="50"/>
      <c r="Z297" s="50"/>
      <c r="AA297" s="50"/>
      <c r="AB297" s="50"/>
      <c r="AC297" s="50"/>
      <c r="AD297" s="50"/>
      <c r="AE297" s="50"/>
      <c r="AF297" s="34"/>
      <c r="AG297" s="34"/>
      <c r="AH297" s="34"/>
      <c r="AI297" s="34"/>
      <c r="AJ297" s="34"/>
      <c r="AK297" s="34"/>
      <c r="AL297" s="34"/>
      <c r="AM297" s="34"/>
      <c r="AN297" s="34"/>
      <c r="AO297" s="65"/>
      <c r="AP297" s="69"/>
      <c r="AQ297" s="62"/>
      <c r="AR297" s="34"/>
    </row>
    <row r="298" spans="1:44" customFormat="1">
      <c r="A298" s="41">
        <v>43760</v>
      </c>
      <c r="B298" s="11" t="s">
        <v>22</v>
      </c>
      <c r="C298" s="16" t="s">
        <v>1165</v>
      </c>
      <c r="D298" s="16"/>
      <c r="E298" s="38">
        <v>23128</v>
      </c>
      <c r="F298" s="38"/>
      <c r="G298" s="10" t="s">
        <v>1166</v>
      </c>
      <c r="H298" s="12" t="s">
        <v>1167</v>
      </c>
      <c r="I298" s="13">
        <v>4</v>
      </c>
      <c r="J298" s="15" t="s">
        <v>1168</v>
      </c>
      <c r="K298" s="12"/>
      <c r="L298" s="11" t="s">
        <v>36</v>
      </c>
      <c r="M298" s="15"/>
      <c r="N298" s="17">
        <v>2750</v>
      </c>
      <c r="O298" s="17"/>
      <c r="P298" s="17"/>
      <c r="Q298" s="48"/>
      <c r="R298" s="11"/>
      <c r="S298" s="48"/>
      <c r="T298" s="85"/>
      <c r="U298" s="88"/>
      <c r="V298" s="32"/>
      <c r="W298" s="25" t="s">
        <v>10</v>
      </c>
      <c r="X298" s="11"/>
      <c r="Y298" s="50" t="s">
        <v>15</v>
      </c>
      <c r="Z298" s="50"/>
      <c r="AA298" s="50"/>
      <c r="AB298" s="50"/>
      <c r="AC298" s="50"/>
      <c r="AD298" s="50"/>
      <c r="AE298" s="50"/>
      <c r="AF298" s="34"/>
      <c r="AG298" s="34"/>
      <c r="AH298" s="34"/>
      <c r="AI298" s="34"/>
      <c r="AJ298" s="34"/>
      <c r="AK298" s="34"/>
      <c r="AL298" s="34"/>
      <c r="AM298" s="34"/>
      <c r="AN298" s="34"/>
      <c r="AO298" s="65"/>
      <c r="AP298" s="69"/>
      <c r="AQ298" s="62"/>
      <c r="AR298" s="34"/>
    </row>
    <row r="299" spans="1:44" customFormat="1">
      <c r="A299" s="39">
        <v>43763</v>
      </c>
      <c r="B299" s="11" t="s">
        <v>49</v>
      </c>
      <c r="C299" s="16" t="s">
        <v>1170</v>
      </c>
      <c r="D299" s="16"/>
      <c r="E299" s="38">
        <v>23925</v>
      </c>
      <c r="F299" s="38"/>
      <c r="G299" s="10" t="s">
        <v>1171</v>
      </c>
      <c r="H299" s="12" t="s">
        <v>1172</v>
      </c>
      <c r="I299" s="13">
        <v>33.4</v>
      </c>
      <c r="J299" s="15" t="s">
        <v>1173</v>
      </c>
      <c r="K299" s="12"/>
      <c r="L299" s="11" t="s">
        <v>33</v>
      </c>
      <c r="M299" s="15"/>
      <c r="N299" s="17">
        <v>16500</v>
      </c>
      <c r="O299" s="17"/>
      <c r="P299" s="17"/>
      <c r="Q299" s="48"/>
      <c r="R299" s="11"/>
      <c r="S299" s="48"/>
      <c r="T299" s="85"/>
      <c r="U299" s="88"/>
      <c r="V299" s="32"/>
      <c r="W299" s="25" t="s">
        <v>48</v>
      </c>
      <c r="X299" s="11"/>
      <c r="Y299" s="50" t="s">
        <v>13</v>
      </c>
      <c r="Z299" s="50"/>
      <c r="AA299" s="50"/>
      <c r="AB299" s="50"/>
      <c r="AC299" s="50"/>
      <c r="AD299" s="50"/>
      <c r="AE299" s="50"/>
      <c r="AF299" s="34"/>
      <c r="AG299" s="34"/>
      <c r="AH299" s="34"/>
      <c r="AI299" s="34"/>
      <c r="AJ299" s="34"/>
      <c r="AK299" s="34"/>
      <c r="AL299" s="34"/>
      <c r="AM299" s="34"/>
      <c r="AN299" s="34"/>
      <c r="AO299" s="65"/>
      <c r="AP299" s="69"/>
      <c r="AQ299" s="62"/>
      <c r="AR299" s="34"/>
    </row>
    <row r="300" spans="1:44" customFormat="1">
      <c r="A300" s="39">
        <v>43764</v>
      </c>
      <c r="B300" s="11" t="s">
        <v>23</v>
      </c>
      <c r="C300" s="16" t="s">
        <v>1174</v>
      </c>
      <c r="D300" s="16"/>
      <c r="E300" s="38">
        <v>25095</v>
      </c>
      <c r="F300" s="38"/>
      <c r="G300" s="10" t="s">
        <v>832</v>
      </c>
      <c r="H300" s="12" t="s">
        <v>1175</v>
      </c>
      <c r="I300" s="13">
        <v>11.4</v>
      </c>
      <c r="J300" s="15" t="s">
        <v>1176</v>
      </c>
      <c r="K300" s="12"/>
      <c r="L300" s="11" t="s">
        <v>33</v>
      </c>
      <c r="M300" s="15"/>
      <c r="N300" s="17">
        <v>22000</v>
      </c>
      <c r="O300" s="17"/>
      <c r="P300" s="17"/>
      <c r="Q300" s="48"/>
      <c r="R300" s="11"/>
      <c r="S300" s="48"/>
      <c r="T300" s="85"/>
      <c r="U300" s="88"/>
      <c r="V300" s="32" t="s">
        <v>1177</v>
      </c>
      <c r="W300" s="25" t="s">
        <v>48</v>
      </c>
      <c r="X300" s="11"/>
      <c r="Y300" s="50" t="s">
        <v>13</v>
      </c>
      <c r="Z300" s="50"/>
      <c r="AA300" s="50"/>
      <c r="AB300" s="50"/>
      <c r="AC300" s="50"/>
      <c r="AD300" s="50"/>
      <c r="AE300" s="50"/>
      <c r="AF300" s="34"/>
      <c r="AG300" s="34"/>
      <c r="AH300" s="34"/>
      <c r="AI300" s="34"/>
      <c r="AJ300" s="34"/>
      <c r="AK300" s="34"/>
      <c r="AL300" s="34"/>
      <c r="AM300" s="34"/>
      <c r="AN300" s="34"/>
      <c r="AO300" s="65"/>
      <c r="AP300" s="69"/>
      <c r="AQ300" s="62"/>
      <c r="AR300" s="34"/>
    </row>
    <row r="301" spans="1:44" customFormat="1">
      <c r="A301" s="39">
        <v>43765</v>
      </c>
      <c r="B301" s="11" t="s">
        <v>23</v>
      </c>
      <c r="C301" s="16" t="s">
        <v>1178</v>
      </c>
      <c r="D301" s="16"/>
      <c r="E301" s="38">
        <v>28065</v>
      </c>
      <c r="F301" s="38"/>
      <c r="G301" s="10" t="s">
        <v>1181</v>
      </c>
      <c r="H301" s="12" t="s">
        <v>1180</v>
      </c>
      <c r="I301" s="13">
        <v>78.900000000000006</v>
      </c>
      <c r="J301" s="15" t="s">
        <v>1179</v>
      </c>
      <c r="K301" s="12"/>
      <c r="L301" s="11" t="s">
        <v>33</v>
      </c>
      <c r="M301" s="15"/>
      <c r="N301" s="17">
        <v>22000</v>
      </c>
      <c r="O301" s="17"/>
      <c r="P301" s="17"/>
      <c r="Q301" s="48"/>
      <c r="R301" s="11"/>
      <c r="S301" s="48"/>
      <c r="T301" s="85"/>
      <c r="U301" s="88"/>
      <c r="V301" s="32"/>
      <c r="W301" s="25" t="s">
        <v>8</v>
      </c>
      <c r="X301" s="11"/>
      <c r="Y301" s="50"/>
      <c r="Z301" s="50"/>
      <c r="AA301" s="50"/>
      <c r="AB301" s="50"/>
      <c r="AC301" s="50"/>
      <c r="AD301" s="50"/>
      <c r="AE301" s="50"/>
      <c r="AF301" s="34"/>
      <c r="AG301" s="34"/>
      <c r="AH301" s="34"/>
      <c r="AI301" s="34"/>
      <c r="AJ301" s="34"/>
      <c r="AK301" s="34"/>
      <c r="AL301" s="34"/>
      <c r="AM301" s="34"/>
      <c r="AN301" s="34"/>
      <c r="AO301" s="65"/>
      <c r="AP301" s="69"/>
      <c r="AQ301" s="62"/>
      <c r="AR301" s="34"/>
    </row>
    <row r="302" spans="1:44" customFormat="1">
      <c r="A302" s="39">
        <v>43766</v>
      </c>
      <c r="B302" s="11" t="s">
        <v>49</v>
      </c>
      <c r="C302" s="16" t="s">
        <v>1182</v>
      </c>
      <c r="D302" s="16"/>
      <c r="E302" s="38">
        <v>34281</v>
      </c>
      <c r="F302" s="38"/>
      <c r="G302" s="10" t="s">
        <v>1183</v>
      </c>
      <c r="H302" s="12" t="s">
        <v>1184</v>
      </c>
      <c r="I302" s="13">
        <v>50.9</v>
      </c>
      <c r="J302" s="15" t="s">
        <v>1185</v>
      </c>
      <c r="K302" s="12"/>
      <c r="L302" s="11" t="s">
        <v>34</v>
      </c>
      <c r="M302" s="15"/>
      <c r="N302" s="17">
        <v>22000</v>
      </c>
      <c r="O302" s="17"/>
      <c r="P302" s="17"/>
      <c r="Q302" s="48"/>
      <c r="R302" s="11"/>
      <c r="S302" s="48"/>
      <c r="T302" s="85"/>
      <c r="U302" s="88"/>
      <c r="V302" s="32"/>
      <c r="W302" s="25" t="s">
        <v>8</v>
      </c>
      <c r="X302" s="11"/>
      <c r="Y302" s="50"/>
      <c r="Z302" s="50"/>
      <c r="AA302" s="50"/>
      <c r="AB302" s="50"/>
      <c r="AC302" s="50"/>
      <c r="AD302" s="50"/>
      <c r="AE302" s="50"/>
      <c r="AF302" s="34"/>
      <c r="AG302" s="34"/>
      <c r="AH302" s="34"/>
      <c r="AI302" s="34"/>
      <c r="AJ302" s="34"/>
      <c r="AK302" s="34"/>
      <c r="AL302" s="34"/>
      <c r="AM302" s="34"/>
      <c r="AN302" s="34"/>
      <c r="AO302" s="65"/>
      <c r="AP302" s="69"/>
      <c r="AQ302" s="62"/>
      <c r="AR302" s="34"/>
    </row>
    <row r="303" spans="1:44" customFormat="1">
      <c r="A303" s="39">
        <v>43768</v>
      </c>
      <c r="B303" s="11" t="s">
        <v>23</v>
      </c>
      <c r="C303" s="16" t="s">
        <v>1186</v>
      </c>
      <c r="D303" s="16"/>
      <c r="E303" s="38">
        <v>13411</v>
      </c>
      <c r="F303" s="38"/>
      <c r="G303" s="10" t="s">
        <v>1187</v>
      </c>
      <c r="H303" s="12" t="s">
        <v>1188</v>
      </c>
      <c r="I303" s="13">
        <v>20.2</v>
      </c>
      <c r="J303" s="15" t="s">
        <v>1189</v>
      </c>
      <c r="K303" s="12"/>
      <c r="L303" s="11" t="s">
        <v>39</v>
      </c>
      <c r="M303" s="15"/>
      <c r="N303" s="17">
        <v>16500</v>
      </c>
      <c r="O303" s="17"/>
      <c r="P303" s="17"/>
      <c r="Q303" s="48"/>
      <c r="R303" s="11"/>
      <c r="S303" s="48"/>
      <c r="T303" s="85"/>
      <c r="U303" s="88"/>
      <c r="V303" s="32"/>
      <c r="W303" s="25" t="s">
        <v>8</v>
      </c>
      <c r="X303" s="11"/>
      <c r="Y303" s="50"/>
      <c r="Z303" s="50"/>
      <c r="AA303" s="50"/>
      <c r="AB303" s="50"/>
      <c r="AC303" s="50"/>
      <c r="AD303" s="50"/>
      <c r="AE303" s="50"/>
      <c r="AF303" s="34"/>
      <c r="AG303" s="34"/>
      <c r="AH303" s="34"/>
      <c r="AI303" s="34"/>
      <c r="AJ303" s="34"/>
      <c r="AK303" s="34"/>
      <c r="AL303" s="34"/>
      <c r="AM303" s="34"/>
      <c r="AN303" s="34"/>
      <c r="AO303" s="65"/>
      <c r="AP303" s="69"/>
      <c r="AQ303" s="62"/>
      <c r="AR303" s="34"/>
    </row>
    <row r="304" spans="1:44" customFormat="1">
      <c r="A304" s="39">
        <v>43769</v>
      </c>
      <c r="B304" s="11" t="s">
        <v>49</v>
      </c>
      <c r="C304" s="16" t="s">
        <v>1190</v>
      </c>
      <c r="D304" s="16"/>
      <c r="E304" s="38">
        <v>22251</v>
      </c>
      <c r="F304" s="38"/>
      <c r="G304" s="10" t="s">
        <v>1191</v>
      </c>
      <c r="H304" s="12" t="s">
        <v>1192</v>
      </c>
      <c r="I304" s="13">
        <v>15</v>
      </c>
      <c r="J304" s="15" t="s">
        <v>1193</v>
      </c>
      <c r="K304" s="12"/>
      <c r="L304" s="11" t="s">
        <v>33</v>
      </c>
      <c r="M304" s="15"/>
      <c r="N304" s="17">
        <v>16500</v>
      </c>
      <c r="O304" s="17"/>
      <c r="P304" s="17"/>
      <c r="Q304" s="48"/>
      <c r="R304" s="11"/>
      <c r="S304" s="48"/>
      <c r="T304" s="85"/>
      <c r="U304" s="88"/>
      <c r="V304" s="32"/>
      <c r="W304" s="25"/>
      <c r="X304" s="11"/>
      <c r="Y304" s="50"/>
      <c r="Z304" s="50"/>
      <c r="AA304" s="50"/>
      <c r="AB304" s="50"/>
      <c r="AC304" s="50"/>
      <c r="AD304" s="50"/>
      <c r="AE304" s="50"/>
      <c r="AF304" s="34"/>
      <c r="AG304" s="34"/>
      <c r="AH304" s="34"/>
      <c r="AI304" s="34"/>
      <c r="AJ304" s="34"/>
      <c r="AK304" s="34"/>
      <c r="AL304" s="34"/>
      <c r="AM304" s="34"/>
      <c r="AN304" s="34"/>
      <c r="AO304" s="65"/>
      <c r="AP304" s="69"/>
      <c r="AQ304" s="62"/>
      <c r="AR304" s="34"/>
    </row>
    <row r="305" spans="1:44" customFormat="1">
      <c r="A305" s="39">
        <v>43770</v>
      </c>
      <c r="B305" s="11" t="s">
        <v>22</v>
      </c>
      <c r="C305" s="16" t="s">
        <v>1194</v>
      </c>
      <c r="D305" s="16"/>
      <c r="E305" s="38">
        <v>32517</v>
      </c>
      <c r="F305" s="38"/>
      <c r="G305" s="10" t="s">
        <v>987</v>
      </c>
      <c r="H305" s="12" t="s">
        <v>1195</v>
      </c>
      <c r="I305" s="13">
        <v>16.5</v>
      </c>
      <c r="J305" s="15" t="s">
        <v>1196</v>
      </c>
      <c r="K305" s="12"/>
      <c r="L305" s="11" t="s">
        <v>36</v>
      </c>
      <c r="M305" s="15"/>
      <c r="N305" s="17">
        <v>2700</v>
      </c>
      <c r="O305" s="17"/>
      <c r="P305" s="17"/>
      <c r="Q305" s="48"/>
      <c r="R305" s="11"/>
      <c r="S305" s="48"/>
      <c r="T305" s="85"/>
      <c r="U305" s="88"/>
      <c r="V305" s="32"/>
      <c r="W305" s="25" t="s">
        <v>48</v>
      </c>
      <c r="X305" s="11"/>
      <c r="Y305" s="50" t="s">
        <v>14</v>
      </c>
      <c r="Z305" s="50"/>
      <c r="AA305" s="50"/>
      <c r="AB305" s="50"/>
      <c r="AC305" s="50"/>
      <c r="AD305" s="50"/>
      <c r="AE305" s="50"/>
      <c r="AF305" s="34"/>
      <c r="AG305" s="34"/>
      <c r="AH305" s="34"/>
      <c r="AI305" s="34"/>
      <c r="AJ305" s="34"/>
      <c r="AK305" s="34"/>
      <c r="AL305" s="34"/>
      <c r="AM305" s="34"/>
      <c r="AN305" s="34"/>
      <c r="AO305" s="65"/>
      <c r="AP305" s="69"/>
      <c r="AQ305" s="62"/>
      <c r="AR305" s="34"/>
    </row>
    <row r="306" spans="1:44" customFormat="1">
      <c r="A306" s="39">
        <v>43770</v>
      </c>
      <c r="B306" s="11" t="s">
        <v>22</v>
      </c>
      <c r="C306" s="16" t="s">
        <v>1198</v>
      </c>
      <c r="D306" s="16"/>
      <c r="E306" s="38">
        <v>32982</v>
      </c>
      <c r="F306" s="38"/>
      <c r="G306" s="10" t="s">
        <v>1199</v>
      </c>
      <c r="H306" s="12" t="s">
        <v>1200</v>
      </c>
      <c r="I306" s="13">
        <v>12.2</v>
      </c>
      <c r="J306" s="15" t="s">
        <v>1197</v>
      </c>
      <c r="K306" s="12"/>
      <c r="L306" s="11" t="s">
        <v>36</v>
      </c>
      <c r="M306" s="15"/>
      <c r="N306" s="17">
        <v>2700</v>
      </c>
      <c r="O306" s="17"/>
      <c r="P306" s="17"/>
      <c r="Q306" s="48"/>
      <c r="R306" s="11"/>
      <c r="S306" s="48"/>
      <c r="T306" s="85"/>
      <c r="U306" s="88"/>
      <c r="V306" s="32"/>
      <c r="W306" s="25"/>
      <c r="X306" s="11"/>
      <c r="Y306" s="50" t="s">
        <v>20</v>
      </c>
      <c r="Z306" s="50"/>
      <c r="AA306" s="50"/>
      <c r="AB306" s="50"/>
      <c r="AC306" s="50"/>
      <c r="AD306" s="50"/>
      <c r="AE306" s="50"/>
      <c r="AF306" s="34"/>
      <c r="AG306" s="34"/>
      <c r="AH306" s="34"/>
      <c r="AI306" s="34"/>
      <c r="AJ306" s="34"/>
      <c r="AK306" s="34"/>
      <c r="AL306" s="34"/>
      <c r="AM306" s="34"/>
      <c r="AN306" s="34"/>
      <c r="AO306" s="65"/>
      <c r="AP306" s="69"/>
      <c r="AQ306" s="62"/>
      <c r="AR306" s="34"/>
    </row>
    <row r="307" spans="1:44" customFormat="1">
      <c r="A307" s="39">
        <v>43772</v>
      </c>
      <c r="B307" s="11" t="s">
        <v>49</v>
      </c>
      <c r="C307" s="16" t="s">
        <v>1201</v>
      </c>
      <c r="D307" s="16"/>
      <c r="E307" s="38">
        <v>36564</v>
      </c>
      <c r="F307" s="38"/>
      <c r="G307" s="10" t="s">
        <v>1203</v>
      </c>
      <c r="H307" s="12" t="s">
        <v>1205</v>
      </c>
      <c r="I307" s="13">
        <v>6.9</v>
      </c>
      <c r="J307" s="15" t="s">
        <v>1207</v>
      </c>
      <c r="K307" s="12"/>
      <c r="L307" s="11" t="s">
        <v>38</v>
      </c>
      <c r="M307" s="15"/>
      <c r="N307" s="17">
        <v>16500</v>
      </c>
      <c r="O307" s="17"/>
      <c r="P307" s="17"/>
      <c r="Q307" s="48"/>
      <c r="R307" s="11"/>
      <c r="S307" s="48"/>
      <c r="T307" s="85"/>
      <c r="U307" s="88"/>
      <c r="V307" s="32"/>
      <c r="W307" s="25" t="s">
        <v>8</v>
      </c>
      <c r="X307" s="11"/>
      <c r="Y307" s="50" t="s">
        <v>13</v>
      </c>
      <c r="Z307" s="50"/>
      <c r="AA307" s="50"/>
      <c r="AB307" s="50"/>
      <c r="AC307" s="50"/>
      <c r="AD307" s="50"/>
      <c r="AE307" s="50"/>
      <c r="AF307" s="34"/>
      <c r="AG307" s="34"/>
      <c r="AH307" s="34"/>
      <c r="AI307" s="34"/>
      <c r="AJ307" s="34"/>
      <c r="AK307" s="34"/>
      <c r="AL307" s="34"/>
      <c r="AM307" s="34"/>
      <c r="AN307" s="34"/>
      <c r="AO307" s="65"/>
      <c r="AP307" s="69"/>
      <c r="AQ307" s="62"/>
      <c r="AR307" s="34"/>
    </row>
    <row r="308" spans="1:44" customFormat="1">
      <c r="A308" s="39">
        <v>43772</v>
      </c>
      <c r="B308" s="11" t="s">
        <v>49</v>
      </c>
      <c r="C308" s="16" t="s">
        <v>1202</v>
      </c>
      <c r="D308" s="16"/>
      <c r="E308" s="38">
        <v>22955</v>
      </c>
      <c r="F308" s="38"/>
      <c r="G308" s="10" t="s">
        <v>1204</v>
      </c>
      <c r="H308" s="12" t="s">
        <v>1206</v>
      </c>
      <c r="I308" s="13">
        <v>41.8</v>
      </c>
      <c r="J308" s="15" t="s">
        <v>1208</v>
      </c>
      <c r="K308" s="12"/>
      <c r="L308" s="11" t="s">
        <v>34</v>
      </c>
      <c r="M308" s="15"/>
      <c r="N308" s="17">
        <v>16500</v>
      </c>
      <c r="O308" s="17"/>
      <c r="P308" s="17"/>
      <c r="Q308" s="48"/>
      <c r="R308" s="11"/>
      <c r="S308" s="48"/>
      <c r="T308" s="85"/>
      <c r="U308" s="88"/>
      <c r="V308" s="32"/>
      <c r="W308" s="25" t="s">
        <v>48</v>
      </c>
      <c r="X308" s="11"/>
      <c r="Y308" s="50" t="s">
        <v>12</v>
      </c>
      <c r="Z308" s="50"/>
      <c r="AA308" s="50"/>
      <c r="AB308" s="50"/>
      <c r="AC308" s="50"/>
      <c r="AD308" s="50"/>
      <c r="AE308" s="50"/>
      <c r="AF308" s="34"/>
      <c r="AG308" s="34"/>
      <c r="AH308" s="34"/>
      <c r="AI308" s="34"/>
      <c r="AJ308" s="34"/>
      <c r="AK308" s="34"/>
      <c r="AL308" s="34"/>
      <c r="AM308" s="34"/>
      <c r="AN308" s="34"/>
      <c r="AO308" s="65"/>
      <c r="AP308" s="69"/>
      <c r="AQ308" s="62"/>
      <c r="AR308" s="34"/>
    </row>
    <row r="309" spans="1:44" customFormat="1">
      <c r="A309" s="39">
        <v>43773</v>
      </c>
      <c r="B309" s="11" t="s">
        <v>49</v>
      </c>
      <c r="C309" s="16" t="s">
        <v>1212</v>
      </c>
      <c r="D309" s="16"/>
      <c r="E309" s="38">
        <v>27438</v>
      </c>
      <c r="F309" s="38"/>
      <c r="G309" s="10" t="s">
        <v>1209</v>
      </c>
      <c r="H309" s="12" t="s">
        <v>1210</v>
      </c>
      <c r="I309" s="13">
        <v>40.5</v>
      </c>
      <c r="J309" s="15" t="s">
        <v>1211</v>
      </c>
      <c r="K309" s="12"/>
      <c r="L309" s="11" t="s">
        <v>33</v>
      </c>
      <c r="M309" s="15"/>
      <c r="N309" s="17">
        <v>22000</v>
      </c>
      <c r="O309" s="17"/>
      <c r="P309" s="17"/>
      <c r="Q309" s="48"/>
      <c r="R309" s="11"/>
      <c r="S309" s="48"/>
      <c r="T309" s="85"/>
      <c r="U309" s="88"/>
      <c r="V309" s="32"/>
      <c r="W309" s="25" t="s">
        <v>48</v>
      </c>
      <c r="X309" s="11"/>
      <c r="Y309" s="50" t="s">
        <v>13</v>
      </c>
      <c r="Z309" s="50"/>
      <c r="AA309" s="50"/>
      <c r="AB309" s="50"/>
      <c r="AC309" s="50"/>
      <c r="AD309" s="50"/>
      <c r="AE309" s="50"/>
      <c r="AF309" s="34"/>
      <c r="AG309" s="34"/>
      <c r="AH309" s="34"/>
      <c r="AI309" s="34"/>
      <c r="AJ309" s="34"/>
      <c r="AK309" s="34"/>
      <c r="AL309" s="34"/>
      <c r="AM309" s="34"/>
      <c r="AN309" s="34"/>
      <c r="AO309" s="65"/>
      <c r="AP309" s="69"/>
      <c r="AQ309" s="62"/>
      <c r="AR309" s="34"/>
    </row>
    <row r="310" spans="1:44" customFormat="1">
      <c r="A310" s="39">
        <v>43773</v>
      </c>
      <c r="B310" s="11" t="s">
        <v>5659</v>
      </c>
      <c r="C310" s="16" t="s">
        <v>494</v>
      </c>
      <c r="D310" s="16"/>
      <c r="E310" s="38"/>
      <c r="F310" s="38"/>
      <c r="G310" s="10"/>
      <c r="H310" s="12"/>
      <c r="I310" s="13"/>
      <c r="J310" s="15"/>
      <c r="K310" s="12"/>
      <c r="L310" s="11"/>
      <c r="M310" s="15"/>
      <c r="N310" s="17">
        <v>5500</v>
      </c>
      <c r="O310" s="17"/>
      <c r="P310" s="17"/>
      <c r="Q310" s="48"/>
      <c r="R310" s="11"/>
      <c r="S310" s="48"/>
      <c r="T310" s="85"/>
      <c r="U310" s="88"/>
      <c r="V310" s="32" t="s">
        <v>915</v>
      </c>
      <c r="W310" s="25"/>
      <c r="X310" s="11"/>
      <c r="Y310" s="50"/>
      <c r="Z310" s="50"/>
      <c r="AA310" s="50"/>
      <c r="AB310" s="50"/>
      <c r="AC310" s="50"/>
      <c r="AD310" s="50"/>
      <c r="AE310" s="50"/>
      <c r="AF310" s="34"/>
      <c r="AG310" s="34"/>
      <c r="AH310" s="34"/>
      <c r="AI310" s="34"/>
      <c r="AJ310" s="34"/>
      <c r="AK310" s="34"/>
      <c r="AL310" s="34"/>
      <c r="AM310" s="34"/>
      <c r="AN310" s="34"/>
      <c r="AO310" s="65"/>
      <c r="AP310" s="69"/>
      <c r="AQ310" s="62"/>
      <c r="AR310" s="34"/>
    </row>
    <row r="311" spans="1:44" customFormat="1">
      <c r="A311" s="39">
        <v>43773</v>
      </c>
      <c r="B311" s="11" t="s">
        <v>49</v>
      </c>
      <c r="C311" s="16" t="s">
        <v>1213</v>
      </c>
      <c r="D311" s="16"/>
      <c r="E311" s="38">
        <v>24031</v>
      </c>
      <c r="F311" s="38"/>
      <c r="G311" s="10" t="s">
        <v>1215</v>
      </c>
      <c r="H311" s="12" t="s">
        <v>1217</v>
      </c>
      <c r="I311" s="13">
        <v>18.5</v>
      </c>
      <c r="J311" s="15" t="s">
        <v>1219</v>
      </c>
      <c r="K311" s="12"/>
      <c r="L311" s="11" t="s">
        <v>39</v>
      </c>
      <c r="M311" s="15"/>
      <c r="N311" s="17">
        <v>8250</v>
      </c>
      <c r="O311" s="17"/>
      <c r="P311" s="17"/>
      <c r="Q311" s="48"/>
      <c r="R311" s="11"/>
      <c r="S311" s="48"/>
      <c r="T311" s="85"/>
      <c r="U311" s="88"/>
      <c r="V311" s="32" t="s">
        <v>1221</v>
      </c>
      <c r="W311" s="25" t="s">
        <v>8</v>
      </c>
      <c r="X311" s="11"/>
      <c r="Y311" s="50" t="s">
        <v>13</v>
      </c>
      <c r="Z311" s="50"/>
      <c r="AA311" s="50"/>
      <c r="AB311" s="50"/>
      <c r="AC311" s="50"/>
      <c r="AD311" s="50"/>
      <c r="AE311" s="50"/>
      <c r="AF311" s="34"/>
      <c r="AG311" s="34"/>
      <c r="AH311" s="34"/>
      <c r="AI311" s="34"/>
      <c r="AJ311" s="34"/>
      <c r="AK311" s="34"/>
      <c r="AL311" s="34"/>
      <c r="AM311" s="34"/>
      <c r="AN311" s="34"/>
      <c r="AO311" s="65"/>
      <c r="AP311" s="69"/>
      <c r="AQ311" s="62"/>
      <c r="AR311" s="34"/>
    </row>
    <row r="312" spans="1:44" customFormat="1">
      <c r="A312" s="39">
        <v>43773</v>
      </c>
      <c r="B312" s="11" t="s">
        <v>49</v>
      </c>
      <c r="C312" s="16" t="s">
        <v>1214</v>
      </c>
      <c r="D312" s="16"/>
      <c r="E312" s="38">
        <v>26598</v>
      </c>
      <c r="F312" s="38"/>
      <c r="G312" s="10" t="s">
        <v>1216</v>
      </c>
      <c r="H312" s="12" t="s">
        <v>1218</v>
      </c>
      <c r="I312" s="13">
        <v>18.5</v>
      </c>
      <c r="J312" s="15" t="s">
        <v>1220</v>
      </c>
      <c r="K312" s="12"/>
      <c r="L312" s="11"/>
      <c r="M312" s="15"/>
      <c r="N312" s="17">
        <v>8250</v>
      </c>
      <c r="O312" s="17"/>
      <c r="P312" s="17"/>
      <c r="Q312" s="48"/>
      <c r="R312" s="11"/>
      <c r="S312" s="48"/>
      <c r="T312" s="85"/>
      <c r="U312" s="88"/>
      <c r="V312" s="32" t="s">
        <v>1221</v>
      </c>
      <c r="W312" s="25" t="s">
        <v>8</v>
      </c>
      <c r="X312" s="11"/>
      <c r="Y312" s="50"/>
      <c r="Z312" s="50"/>
      <c r="AA312" s="50"/>
      <c r="AB312" s="50"/>
      <c r="AC312" s="50"/>
      <c r="AD312" s="50"/>
      <c r="AE312" s="50"/>
      <c r="AF312" s="34"/>
      <c r="AG312" s="34"/>
      <c r="AH312" s="34"/>
      <c r="AI312" s="34"/>
      <c r="AJ312" s="34"/>
      <c r="AK312" s="34"/>
      <c r="AL312" s="34"/>
      <c r="AM312" s="34"/>
      <c r="AN312" s="34"/>
      <c r="AO312" s="65"/>
      <c r="AP312" s="69"/>
      <c r="AQ312" s="62"/>
      <c r="AR312" s="34"/>
    </row>
    <row r="313" spans="1:44" customFormat="1">
      <c r="A313" s="39">
        <v>43776</v>
      </c>
      <c r="B313" s="11" t="s">
        <v>49</v>
      </c>
      <c r="C313" s="16" t="s">
        <v>1222</v>
      </c>
      <c r="D313" s="16"/>
      <c r="E313" s="38">
        <v>22649</v>
      </c>
      <c r="F313" s="38"/>
      <c r="G313" s="10" t="s">
        <v>1223</v>
      </c>
      <c r="H313" s="12" t="s">
        <v>1224</v>
      </c>
      <c r="I313" s="13">
        <v>43.9</v>
      </c>
      <c r="J313" s="15" t="s">
        <v>1225</v>
      </c>
      <c r="K313" s="12"/>
      <c r="L313" s="11" t="s">
        <v>33</v>
      </c>
      <c r="M313" s="15"/>
      <c r="N313" s="17">
        <v>16500</v>
      </c>
      <c r="O313" s="17"/>
      <c r="P313" s="17"/>
      <c r="Q313" s="48"/>
      <c r="R313" s="11"/>
      <c r="S313" s="48"/>
      <c r="T313" s="85"/>
      <c r="U313" s="88"/>
      <c r="V313" s="32"/>
      <c r="W313" s="25" t="s">
        <v>9</v>
      </c>
      <c r="X313" s="11"/>
      <c r="Y313" s="50" t="s">
        <v>14</v>
      </c>
      <c r="Z313" s="50"/>
      <c r="AA313" s="50"/>
      <c r="AB313" s="50"/>
      <c r="AC313" s="50"/>
      <c r="AD313" s="50"/>
      <c r="AE313" s="50"/>
      <c r="AF313" s="34"/>
      <c r="AG313" s="34"/>
      <c r="AH313" s="34"/>
      <c r="AI313" s="34"/>
      <c r="AJ313" s="34"/>
      <c r="AK313" s="34"/>
      <c r="AL313" s="34"/>
      <c r="AM313" s="34"/>
      <c r="AN313" s="34"/>
      <c r="AO313" s="65"/>
      <c r="AP313" s="69"/>
      <c r="AQ313" s="62"/>
      <c r="AR313" s="34"/>
    </row>
    <row r="314" spans="1:44" customFormat="1">
      <c r="A314" s="39">
        <v>43776</v>
      </c>
      <c r="B314" s="11" t="s">
        <v>49</v>
      </c>
      <c r="C314" s="16" t="s">
        <v>1226</v>
      </c>
      <c r="D314" s="16"/>
      <c r="E314" s="38">
        <v>21945</v>
      </c>
      <c r="F314" s="38"/>
      <c r="G314" s="10" t="s">
        <v>1228</v>
      </c>
      <c r="H314" s="12" t="s">
        <v>1229</v>
      </c>
      <c r="I314" s="13">
        <v>11.1</v>
      </c>
      <c r="J314" s="10" t="s">
        <v>1227</v>
      </c>
      <c r="K314" s="12"/>
      <c r="L314" s="11" t="s">
        <v>33</v>
      </c>
      <c r="M314" s="10"/>
      <c r="N314" s="17">
        <v>16500</v>
      </c>
      <c r="O314" s="17"/>
      <c r="P314" s="17"/>
      <c r="Q314" s="48"/>
      <c r="R314" s="11"/>
      <c r="S314" s="48"/>
      <c r="T314" s="85"/>
      <c r="U314" s="88"/>
      <c r="V314" s="32"/>
      <c r="W314" s="25" t="s">
        <v>48</v>
      </c>
      <c r="X314" s="11"/>
      <c r="Y314" s="50" t="s">
        <v>13</v>
      </c>
      <c r="Z314" s="50"/>
      <c r="AA314" s="50"/>
      <c r="AB314" s="50"/>
      <c r="AC314" s="50"/>
      <c r="AD314" s="50"/>
      <c r="AE314" s="50"/>
      <c r="AF314" s="34"/>
      <c r="AG314" s="34"/>
      <c r="AH314" s="34"/>
      <c r="AI314" s="34"/>
      <c r="AJ314" s="34"/>
      <c r="AK314" s="34"/>
      <c r="AL314" s="34"/>
      <c r="AM314" s="34"/>
      <c r="AN314" s="34"/>
      <c r="AO314" s="65"/>
      <c r="AP314" s="69"/>
      <c r="AQ314" s="62"/>
      <c r="AR314" s="34"/>
    </row>
    <row r="315" spans="1:44" customFormat="1">
      <c r="A315" s="39">
        <v>43777</v>
      </c>
      <c r="B315" s="11" t="s">
        <v>22</v>
      </c>
      <c r="C315" s="16" t="s">
        <v>1230</v>
      </c>
      <c r="D315" s="16"/>
      <c r="E315" s="38">
        <v>34432</v>
      </c>
      <c r="F315" s="38"/>
      <c r="G315" s="10" t="s">
        <v>1231</v>
      </c>
      <c r="H315" s="12" t="s">
        <v>1232</v>
      </c>
      <c r="I315" s="13">
        <v>62.5</v>
      </c>
      <c r="J315" s="15" t="s">
        <v>1233</v>
      </c>
      <c r="K315" s="12"/>
      <c r="L315" s="11" t="s">
        <v>36</v>
      </c>
      <c r="M315" s="15"/>
      <c r="N315" s="17">
        <v>2750</v>
      </c>
      <c r="O315" s="17"/>
      <c r="P315" s="17"/>
      <c r="Q315" s="48"/>
      <c r="R315" s="11"/>
      <c r="S315" s="48"/>
      <c r="T315" s="85"/>
      <c r="U315" s="88"/>
      <c r="V315" s="32"/>
      <c r="W315" s="25" t="s">
        <v>8</v>
      </c>
      <c r="X315" s="11"/>
      <c r="Y315" s="50" t="s">
        <v>17</v>
      </c>
      <c r="Z315" s="50"/>
      <c r="AA315" s="50"/>
      <c r="AB315" s="50"/>
      <c r="AC315" s="50"/>
      <c r="AD315" s="50"/>
      <c r="AE315" s="50"/>
      <c r="AF315" s="34"/>
      <c r="AG315" s="34"/>
      <c r="AH315" s="34"/>
      <c r="AI315" s="34"/>
      <c r="AJ315" s="34"/>
      <c r="AK315" s="34"/>
      <c r="AL315" s="34"/>
      <c r="AM315" s="34"/>
      <c r="AN315" s="34"/>
      <c r="AO315" s="65"/>
      <c r="AP315" s="69"/>
      <c r="AQ315" s="62"/>
      <c r="AR315" s="34"/>
    </row>
    <row r="316" spans="1:44" customFormat="1">
      <c r="A316" s="39">
        <v>43777</v>
      </c>
      <c r="B316" s="11" t="s">
        <v>528</v>
      </c>
      <c r="C316" s="16" t="s">
        <v>231</v>
      </c>
      <c r="D316" s="16"/>
      <c r="E316" s="38">
        <v>23713</v>
      </c>
      <c r="F316" s="38"/>
      <c r="G316" s="10" t="s">
        <v>232</v>
      </c>
      <c r="H316" s="12" t="s">
        <v>233</v>
      </c>
      <c r="I316" s="13">
        <v>40.700000000000003</v>
      </c>
      <c r="J316" s="15" t="s">
        <v>234</v>
      </c>
      <c r="K316" s="12"/>
      <c r="L316" s="11"/>
      <c r="M316" s="15"/>
      <c r="N316" s="17">
        <v>5500</v>
      </c>
      <c r="O316" s="17"/>
      <c r="P316" s="17"/>
      <c r="Q316" s="48"/>
      <c r="R316" s="11"/>
      <c r="S316" s="48"/>
      <c r="T316" s="85"/>
      <c r="U316" s="88"/>
      <c r="V316" s="32" t="s">
        <v>915</v>
      </c>
      <c r="W316" s="25"/>
      <c r="X316" s="11"/>
      <c r="Y316" s="50"/>
      <c r="Z316" s="50"/>
      <c r="AA316" s="50"/>
      <c r="AB316" s="50"/>
      <c r="AC316" s="50"/>
      <c r="AD316" s="50"/>
      <c r="AE316" s="50"/>
      <c r="AF316" s="34"/>
      <c r="AG316" s="34"/>
      <c r="AH316" s="34"/>
      <c r="AI316" s="34"/>
      <c r="AJ316" s="34"/>
      <c r="AK316" s="34"/>
      <c r="AL316" s="34"/>
      <c r="AM316" s="34"/>
      <c r="AN316" s="34"/>
      <c r="AO316" s="65"/>
      <c r="AP316" s="69"/>
      <c r="AQ316" s="62"/>
      <c r="AR316" s="34"/>
    </row>
    <row r="317" spans="1:44" customFormat="1">
      <c r="A317" s="39">
        <v>43778</v>
      </c>
      <c r="B317" s="11" t="s">
        <v>23</v>
      </c>
      <c r="C317" s="16" t="s">
        <v>1234</v>
      </c>
      <c r="D317" s="16"/>
      <c r="E317" s="38">
        <v>37269</v>
      </c>
      <c r="F317" s="38"/>
      <c r="G317" s="10" t="s">
        <v>1235</v>
      </c>
      <c r="H317" s="12" t="s">
        <v>1236</v>
      </c>
      <c r="I317" s="13">
        <v>103</v>
      </c>
      <c r="J317" s="15" t="s">
        <v>1237</v>
      </c>
      <c r="K317" s="12"/>
      <c r="L317" s="11" t="s">
        <v>38</v>
      </c>
      <c r="M317" s="15"/>
      <c r="N317" s="17">
        <v>16500</v>
      </c>
      <c r="O317" s="17"/>
      <c r="P317" s="17"/>
      <c r="Q317" s="48"/>
      <c r="R317" s="11"/>
      <c r="S317" s="48"/>
      <c r="T317" s="85"/>
      <c r="U317" s="88"/>
      <c r="V317" s="32"/>
      <c r="W317" s="25" t="s">
        <v>48</v>
      </c>
      <c r="X317" s="11"/>
      <c r="Y317" s="50"/>
      <c r="Z317" s="50"/>
      <c r="AA317" s="50"/>
      <c r="AB317" s="50"/>
      <c r="AC317" s="50"/>
      <c r="AD317" s="50"/>
      <c r="AE317" s="50"/>
      <c r="AF317" s="34"/>
      <c r="AG317" s="34"/>
      <c r="AH317" s="34"/>
      <c r="AI317" s="34"/>
      <c r="AJ317" s="34"/>
      <c r="AK317" s="34"/>
      <c r="AL317" s="34"/>
      <c r="AM317" s="34"/>
      <c r="AN317" s="34"/>
      <c r="AO317" s="65"/>
      <c r="AP317" s="69"/>
      <c r="AQ317" s="62"/>
      <c r="AR317" s="34"/>
    </row>
    <row r="318" spans="1:44" customFormat="1">
      <c r="A318" s="39">
        <v>43780</v>
      </c>
      <c r="B318" s="11" t="s">
        <v>23</v>
      </c>
      <c r="C318" s="16" t="s">
        <v>1238</v>
      </c>
      <c r="D318" s="16"/>
      <c r="E318" s="38">
        <v>15021</v>
      </c>
      <c r="F318" s="38"/>
      <c r="G318" s="10" t="s">
        <v>1239</v>
      </c>
      <c r="H318" s="12" t="s">
        <v>1240</v>
      </c>
      <c r="I318" s="13">
        <v>29.4</v>
      </c>
      <c r="J318" s="15" t="s">
        <v>1241</v>
      </c>
      <c r="K318" s="12"/>
      <c r="L318" s="11" t="s">
        <v>34</v>
      </c>
      <c r="M318" s="15"/>
      <c r="N318" s="17">
        <v>16500</v>
      </c>
      <c r="O318" s="17"/>
      <c r="P318" s="17"/>
      <c r="Q318" s="48"/>
      <c r="R318" s="11"/>
      <c r="S318" s="48"/>
      <c r="T318" s="85"/>
      <c r="U318" s="88"/>
      <c r="V318" s="32"/>
      <c r="W318" s="25" t="s">
        <v>8</v>
      </c>
      <c r="X318" s="11"/>
      <c r="Y318" s="50" t="s">
        <v>14</v>
      </c>
      <c r="Z318" s="50"/>
      <c r="AA318" s="50"/>
      <c r="AB318" s="50"/>
      <c r="AC318" s="50"/>
      <c r="AD318" s="50"/>
      <c r="AE318" s="50"/>
      <c r="AF318" s="34"/>
      <c r="AG318" s="34"/>
      <c r="AH318" s="34"/>
      <c r="AI318" s="34"/>
      <c r="AJ318" s="34"/>
      <c r="AK318" s="34"/>
      <c r="AL318" s="34"/>
      <c r="AM318" s="34"/>
      <c r="AN318" s="34"/>
      <c r="AO318" s="65"/>
      <c r="AP318" s="69"/>
      <c r="AQ318" s="62"/>
      <c r="AR318" s="34"/>
    </row>
    <row r="319" spans="1:44" customFormat="1">
      <c r="A319" s="39">
        <v>43784</v>
      </c>
      <c r="B319" s="11" t="s">
        <v>22</v>
      </c>
      <c r="C319" s="16" t="s">
        <v>1242</v>
      </c>
      <c r="D319" s="16"/>
      <c r="E319" s="38">
        <v>25762</v>
      </c>
      <c r="F319" s="38"/>
      <c r="G319" s="10" t="s">
        <v>1245</v>
      </c>
      <c r="H319" s="12" t="s">
        <v>1243</v>
      </c>
      <c r="I319" s="13">
        <v>3.3</v>
      </c>
      <c r="J319" s="15" t="s">
        <v>1244</v>
      </c>
      <c r="K319" s="12"/>
      <c r="L319" s="11" t="s">
        <v>37</v>
      </c>
      <c r="M319" s="15"/>
      <c r="N319" s="17">
        <v>2750</v>
      </c>
      <c r="O319" s="17"/>
      <c r="P319" s="17"/>
      <c r="Q319" s="48"/>
      <c r="R319" s="11"/>
      <c r="S319" s="48"/>
      <c r="T319" s="85"/>
      <c r="U319" s="88"/>
      <c r="V319" s="32"/>
      <c r="W319" s="25"/>
      <c r="X319" s="11"/>
      <c r="Y319" s="50" t="s">
        <v>18</v>
      </c>
      <c r="Z319" s="50"/>
      <c r="AA319" s="50"/>
      <c r="AB319" s="50"/>
      <c r="AC319" s="50"/>
      <c r="AD319" s="50"/>
      <c r="AE319" s="50"/>
      <c r="AF319" s="34"/>
      <c r="AG319" s="34"/>
      <c r="AH319" s="34"/>
      <c r="AI319" s="34"/>
      <c r="AJ319" s="34"/>
      <c r="AK319" s="34"/>
      <c r="AL319" s="34"/>
      <c r="AM319" s="34"/>
      <c r="AN319" s="34"/>
      <c r="AO319" s="65"/>
      <c r="AP319" s="69"/>
      <c r="AQ319" s="62"/>
      <c r="AR319" s="34"/>
    </row>
    <row r="320" spans="1:44" customFormat="1">
      <c r="A320" s="39">
        <v>43787</v>
      </c>
      <c r="B320" s="11" t="s">
        <v>22</v>
      </c>
      <c r="C320" s="16" t="s">
        <v>1246</v>
      </c>
      <c r="D320" s="16"/>
      <c r="E320" s="38">
        <v>38810</v>
      </c>
      <c r="F320" s="38"/>
      <c r="G320" s="10" t="s">
        <v>1247</v>
      </c>
      <c r="H320" s="12" t="s">
        <v>1248</v>
      </c>
      <c r="I320" s="13">
        <v>35.200000000000003</v>
      </c>
      <c r="J320" s="15" t="s">
        <v>1249</v>
      </c>
      <c r="K320" s="12"/>
      <c r="L320" s="11" t="s">
        <v>38</v>
      </c>
      <c r="M320" s="15"/>
      <c r="N320" s="17">
        <v>0</v>
      </c>
      <c r="O320" s="17"/>
      <c r="P320" s="17"/>
      <c r="Q320" s="48"/>
      <c r="R320" s="11"/>
      <c r="S320" s="48"/>
      <c r="T320" s="85"/>
      <c r="U320" s="88"/>
      <c r="V320" s="32" t="s">
        <v>1250</v>
      </c>
      <c r="W320" s="25" t="s">
        <v>8</v>
      </c>
      <c r="X320" s="11"/>
      <c r="Y320" s="50"/>
      <c r="Z320" s="50"/>
      <c r="AA320" s="50"/>
      <c r="AB320" s="50"/>
      <c r="AC320" s="50"/>
      <c r="AD320" s="50"/>
      <c r="AE320" s="50"/>
      <c r="AF320" s="34"/>
      <c r="AG320" s="34"/>
      <c r="AH320" s="34"/>
      <c r="AI320" s="34"/>
      <c r="AJ320" s="34"/>
      <c r="AK320" s="34"/>
      <c r="AL320" s="34"/>
      <c r="AM320" s="34"/>
      <c r="AN320" s="34"/>
      <c r="AO320" s="65"/>
      <c r="AP320" s="69"/>
      <c r="AQ320" s="62"/>
      <c r="AR320" s="34"/>
    </row>
    <row r="321" spans="1:44" customFormat="1">
      <c r="A321" s="39">
        <v>43792</v>
      </c>
      <c r="B321" s="11" t="s">
        <v>49</v>
      </c>
      <c r="C321" s="16" t="s">
        <v>1251</v>
      </c>
      <c r="D321" s="16"/>
      <c r="E321" s="38">
        <v>22358</v>
      </c>
      <c r="F321" s="38"/>
      <c r="G321" s="10" t="s">
        <v>1252</v>
      </c>
      <c r="H321" s="12" t="s">
        <v>1253</v>
      </c>
      <c r="I321" s="13">
        <v>85.2</v>
      </c>
      <c r="J321" s="15" t="s">
        <v>1254</v>
      </c>
      <c r="K321" s="12"/>
      <c r="L321" s="11" t="s">
        <v>33</v>
      </c>
      <c r="M321" s="15"/>
      <c r="N321" s="17">
        <v>16500</v>
      </c>
      <c r="O321" s="17"/>
      <c r="P321" s="17"/>
      <c r="Q321" s="48"/>
      <c r="R321" s="11"/>
      <c r="S321" s="48"/>
      <c r="T321" s="85"/>
      <c r="U321" s="88"/>
      <c r="V321" s="32"/>
      <c r="W321" s="25"/>
      <c r="X321" s="11"/>
      <c r="Y321" s="50"/>
      <c r="Z321" s="50"/>
      <c r="AA321" s="50"/>
      <c r="AB321" s="50"/>
      <c r="AC321" s="50"/>
      <c r="AD321" s="50"/>
      <c r="AE321" s="50"/>
      <c r="AF321" s="34"/>
      <c r="AG321" s="34"/>
      <c r="AH321" s="34"/>
      <c r="AI321" s="34"/>
      <c r="AJ321" s="34"/>
      <c r="AK321" s="34"/>
      <c r="AL321" s="34"/>
      <c r="AM321" s="34"/>
      <c r="AN321" s="34"/>
      <c r="AO321" s="65"/>
      <c r="AP321" s="69"/>
      <c r="AQ321" s="62"/>
      <c r="AR321" s="34"/>
    </row>
    <row r="322" spans="1:44" customFormat="1">
      <c r="A322" s="39">
        <v>43792</v>
      </c>
      <c r="B322" s="11" t="s">
        <v>49</v>
      </c>
      <c r="C322" s="16" t="s">
        <v>1255</v>
      </c>
      <c r="D322" s="16"/>
      <c r="E322" s="38">
        <v>23948</v>
      </c>
      <c r="F322" s="38"/>
      <c r="G322" s="10" t="s">
        <v>1256</v>
      </c>
      <c r="H322" s="12" t="s">
        <v>1257</v>
      </c>
      <c r="I322" s="13">
        <v>23.9</v>
      </c>
      <c r="J322" s="15" t="s">
        <v>1258</v>
      </c>
      <c r="K322" s="12"/>
      <c r="L322" s="11" t="s">
        <v>34</v>
      </c>
      <c r="M322" s="15"/>
      <c r="N322" s="17">
        <v>8250</v>
      </c>
      <c r="O322" s="17"/>
      <c r="P322" s="17"/>
      <c r="Q322" s="48"/>
      <c r="R322" s="11"/>
      <c r="S322" s="48"/>
      <c r="T322" s="85"/>
      <c r="U322" s="88"/>
      <c r="V322" s="32" t="s">
        <v>1259</v>
      </c>
      <c r="W322" s="25" t="s">
        <v>8</v>
      </c>
      <c r="X322" s="11"/>
      <c r="Y322" s="50" t="s">
        <v>12</v>
      </c>
      <c r="Z322" s="50"/>
      <c r="AA322" s="50"/>
      <c r="AB322" s="50"/>
      <c r="AC322" s="50"/>
      <c r="AD322" s="50"/>
      <c r="AE322" s="50"/>
      <c r="AF322" s="34"/>
      <c r="AG322" s="34"/>
      <c r="AH322" s="34"/>
      <c r="AI322" s="34"/>
      <c r="AJ322" s="34"/>
      <c r="AK322" s="34"/>
      <c r="AL322" s="34"/>
      <c r="AM322" s="34"/>
      <c r="AN322" s="34"/>
      <c r="AO322" s="65"/>
      <c r="AP322" s="69"/>
      <c r="AQ322" s="62"/>
      <c r="AR322" s="34"/>
    </row>
    <row r="323" spans="1:44" customFormat="1">
      <c r="A323" s="39">
        <v>43792</v>
      </c>
      <c r="B323" s="11" t="s">
        <v>49</v>
      </c>
      <c r="C323" s="16" t="s">
        <v>1260</v>
      </c>
      <c r="D323" s="16"/>
      <c r="E323" s="38">
        <v>27361</v>
      </c>
      <c r="F323" s="38"/>
      <c r="G323" s="10" t="s">
        <v>1261</v>
      </c>
      <c r="H323" s="12" t="s">
        <v>1262</v>
      </c>
      <c r="I323" s="13">
        <v>183</v>
      </c>
      <c r="J323" s="15" t="s">
        <v>1263</v>
      </c>
      <c r="K323" s="12"/>
      <c r="L323" s="11" t="s">
        <v>33</v>
      </c>
      <c r="M323" s="15"/>
      <c r="N323" s="17">
        <v>11000</v>
      </c>
      <c r="O323" s="17"/>
      <c r="P323" s="17"/>
      <c r="Q323" s="48"/>
      <c r="R323" s="11"/>
      <c r="S323" s="48"/>
      <c r="T323" s="85"/>
      <c r="U323" s="88"/>
      <c r="V323" s="32" t="s">
        <v>950</v>
      </c>
      <c r="W323" s="25"/>
      <c r="X323" s="11"/>
      <c r="Y323" s="50" t="s">
        <v>12</v>
      </c>
      <c r="Z323" s="50"/>
      <c r="AA323" s="50"/>
      <c r="AB323" s="50"/>
      <c r="AC323" s="50"/>
      <c r="AD323" s="50"/>
      <c r="AE323" s="50"/>
      <c r="AF323" s="34"/>
      <c r="AG323" s="34"/>
      <c r="AH323" s="34"/>
      <c r="AI323" s="34"/>
      <c r="AJ323" s="34"/>
      <c r="AK323" s="34"/>
      <c r="AL323" s="34"/>
      <c r="AM323" s="34"/>
      <c r="AN323" s="34"/>
      <c r="AO323" s="65"/>
      <c r="AP323" s="69"/>
      <c r="AQ323" s="62"/>
      <c r="AR323" s="34"/>
    </row>
    <row r="324" spans="1:44" customFormat="1">
      <c r="A324" s="39">
        <v>43792</v>
      </c>
      <c r="B324" s="11" t="s">
        <v>23</v>
      </c>
      <c r="C324" s="16" t="s">
        <v>1264</v>
      </c>
      <c r="D324" s="16"/>
      <c r="E324" s="38">
        <v>26202</v>
      </c>
      <c r="F324" s="38"/>
      <c r="G324" s="10" t="s">
        <v>1265</v>
      </c>
      <c r="H324" s="12" t="s">
        <v>1266</v>
      </c>
      <c r="I324" s="13">
        <v>159</v>
      </c>
      <c r="J324" s="15" t="s">
        <v>1267</v>
      </c>
      <c r="K324" s="12"/>
      <c r="L324" s="11" t="s">
        <v>36</v>
      </c>
      <c r="M324" s="15"/>
      <c r="N324" s="17">
        <v>11000</v>
      </c>
      <c r="O324" s="17"/>
      <c r="P324" s="17"/>
      <c r="Q324" s="48"/>
      <c r="R324" s="11"/>
      <c r="S324" s="48"/>
      <c r="T324" s="85"/>
      <c r="U324" s="88"/>
      <c r="V324" s="32" t="s">
        <v>950</v>
      </c>
      <c r="W324" s="25" t="s">
        <v>10</v>
      </c>
      <c r="X324" s="11"/>
      <c r="Y324" s="50" t="s">
        <v>12</v>
      </c>
      <c r="Z324" s="50"/>
      <c r="AA324" s="50"/>
      <c r="AB324" s="50"/>
      <c r="AC324" s="50"/>
      <c r="AD324" s="50"/>
      <c r="AE324" s="50"/>
      <c r="AF324" s="34"/>
      <c r="AG324" s="34"/>
      <c r="AH324" s="34"/>
      <c r="AI324" s="34"/>
      <c r="AJ324" s="34"/>
      <c r="AK324" s="34"/>
      <c r="AL324" s="34"/>
      <c r="AM324" s="34"/>
      <c r="AN324" s="34"/>
      <c r="AO324" s="65"/>
      <c r="AP324" s="69"/>
      <c r="AQ324" s="62"/>
      <c r="AR324" s="34"/>
    </row>
    <row r="325" spans="1:44" customFormat="1">
      <c r="A325" s="39">
        <v>43793</v>
      </c>
      <c r="B325" s="11" t="s">
        <v>5659</v>
      </c>
      <c r="C325" s="16" t="s">
        <v>1268</v>
      </c>
      <c r="D325" s="16"/>
      <c r="E325" s="38">
        <v>20021</v>
      </c>
      <c r="F325" s="38"/>
      <c r="G325" s="10" t="s">
        <v>1269</v>
      </c>
      <c r="H325" s="12" t="s">
        <v>1270</v>
      </c>
      <c r="I325" s="13">
        <v>26.1</v>
      </c>
      <c r="J325" s="15" t="s">
        <v>1274</v>
      </c>
      <c r="K325" s="12"/>
      <c r="L325" s="11" t="s">
        <v>33</v>
      </c>
      <c r="M325" s="15"/>
      <c r="N325" s="17">
        <v>0</v>
      </c>
      <c r="O325" s="17"/>
      <c r="P325" s="17"/>
      <c r="Q325" s="48"/>
      <c r="R325" s="11"/>
      <c r="S325" s="48"/>
      <c r="T325" s="85"/>
      <c r="U325" s="88"/>
      <c r="V325" s="32" t="s">
        <v>1275</v>
      </c>
      <c r="W325" s="25" t="s">
        <v>10</v>
      </c>
      <c r="X325" s="11"/>
      <c r="Y325" s="50" t="s">
        <v>15</v>
      </c>
      <c r="Z325" s="50"/>
      <c r="AA325" s="50"/>
      <c r="AB325" s="50"/>
      <c r="AC325" s="50"/>
      <c r="AD325" s="50"/>
      <c r="AE325" s="50"/>
      <c r="AF325" s="34"/>
      <c r="AG325" s="34"/>
      <c r="AH325" s="34"/>
      <c r="AI325" s="34"/>
      <c r="AJ325" s="34"/>
      <c r="AK325" s="34"/>
      <c r="AL325" s="34"/>
      <c r="AM325" s="34"/>
      <c r="AN325" s="34"/>
      <c r="AO325" s="65"/>
      <c r="AP325" s="69"/>
      <c r="AQ325" s="62"/>
      <c r="AR325" s="34"/>
    </row>
    <row r="326" spans="1:44" customFormat="1">
      <c r="A326" s="39">
        <v>43793</v>
      </c>
      <c r="B326" s="11" t="s">
        <v>49</v>
      </c>
      <c r="C326" s="16" t="s">
        <v>1271</v>
      </c>
      <c r="D326" s="16"/>
      <c r="E326" s="38">
        <v>28512</v>
      </c>
      <c r="F326" s="38"/>
      <c r="G326" s="10" t="s">
        <v>1272</v>
      </c>
      <c r="H326" s="12" t="s">
        <v>1273</v>
      </c>
      <c r="I326" s="13">
        <v>7.6</v>
      </c>
      <c r="J326" s="15" t="s">
        <v>1276</v>
      </c>
      <c r="K326" s="12"/>
      <c r="L326" s="11" t="s">
        <v>35</v>
      </c>
      <c r="M326" s="15"/>
      <c r="N326" s="17">
        <v>11000</v>
      </c>
      <c r="O326" s="17"/>
      <c r="P326" s="17"/>
      <c r="Q326" s="48"/>
      <c r="R326" s="11"/>
      <c r="S326" s="48"/>
      <c r="T326" s="85"/>
      <c r="U326" s="88"/>
      <c r="V326" s="32" t="s">
        <v>1277</v>
      </c>
      <c r="W326" s="25" t="s">
        <v>8</v>
      </c>
      <c r="X326" s="11"/>
      <c r="Y326" s="50" t="s">
        <v>13</v>
      </c>
      <c r="Z326" s="50"/>
      <c r="AA326" s="50"/>
      <c r="AB326" s="50"/>
      <c r="AC326" s="50"/>
      <c r="AD326" s="50"/>
      <c r="AE326" s="50"/>
      <c r="AF326" s="34"/>
      <c r="AG326" s="34"/>
      <c r="AH326" s="34"/>
      <c r="AI326" s="34"/>
      <c r="AJ326" s="34"/>
      <c r="AK326" s="34"/>
      <c r="AL326" s="34"/>
      <c r="AM326" s="34"/>
      <c r="AN326" s="34"/>
      <c r="AO326" s="65"/>
      <c r="AP326" s="69"/>
      <c r="AQ326" s="62"/>
      <c r="AR326" s="34"/>
    </row>
    <row r="327" spans="1:44" customFormat="1">
      <c r="A327" s="39">
        <v>43793</v>
      </c>
      <c r="B327" s="11" t="s">
        <v>24</v>
      </c>
      <c r="C327" s="16" t="s">
        <v>1278</v>
      </c>
      <c r="D327" s="16"/>
      <c r="E327" s="38">
        <v>24127</v>
      </c>
      <c r="F327" s="38"/>
      <c r="G327" s="10" t="s">
        <v>987</v>
      </c>
      <c r="H327" s="12" t="s">
        <v>1279</v>
      </c>
      <c r="I327" s="13">
        <v>16.8</v>
      </c>
      <c r="J327" s="15" t="s">
        <v>1280</v>
      </c>
      <c r="K327" s="12"/>
      <c r="L327" s="11" t="s">
        <v>39</v>
      </c>
      <c r="M327" s="15"/>
      <c r="N327" s="17">
        <v>5500</v>
      </c>
      <c r="O327" s="17"/>
      <c r="P327" s="17"/>
      <c r="Q327" s="48"/>
      <c r="R327" s="11"/>
      <c r="S327" s="48"/>
      <c r="T327" s="85"/>
      <c r="U327" s="88"/>
      <c r="V327" s="32" t="s">
        <v>1281</v>
      </c>
      <c r="W327" s="25" t="s">
        <v>8</v>
      </c>
      <c r="X327" s="11"/>
      <c r="Y327" s="50" t="s">
        <v>12</v>
      </c>
      <c r="Z327" s="50"/>
      <c r="AA327" s="50"/>
      <c r="AB327" s="50"/>
      <c r="AC327" s="50"/>
      <c r="AD327" s="50"/>
      <c r="AE327" s="50"/>
      <c r="AF327" s="34"/>
      <c r="AG327" s="34"/>
      <c r="AH327" s="34"/>
      <c r="AI327" s="34"/>
      <c r="AJ327" s="34"/>
      <c r="AK327" s="34"/>
      <c r="AL327" s="34"/>
      <c r="AM327" s="34"/>
      <c r="AN327" s="34"/>
      <c r="AO327" s="65"/>
      <c r="AP327" s="69"/>
      <c r="AQ327" s="62"/>
      <c r="AR327" s="34"/>
    </row>
    <row r="328" spans="1:44" customFormat="1">
      <c r="A328" s="39">
        <v>43794</v>
      </c>
      <c r="B328" s="11" t="s">
        <v>49</v>
      </c>
      <c r="C328" s="16" t="s">
        <v>1282</v>
      </c>
      <c r="D328" s="16"/>
      <c r="E328" s="38">
        <v>38850</v>
      </c>
      <c r="F328" s="38"/>
      <c r="G328" s="10" t="s">
        <v>1283</v>
      </c>
      <c r="H328" s="12" t="s">
        <v>1284</v>
      </c>
      <c r="I328" s="13">
        <v>6.5</v>
      </c>
      <c r="J328" s="15" t="s">
        <v>1285</v>
      </c>
      <c r="K328" s="12"/>
      <c r="L328" s="11" t="s">
        <v>38</v>
      </c>
      <c r="M328" s="15"/>
      <c r="N328" s="17">
        <v>11000</v>
      </c>
      <c r="O328" s="17"/>
      <c r="P328" s="17"/>
      <c r="Q328" s="48"/>
      <c r="R328" s="11"/>
      <c r="S328" s="48"/>
      <c r="T328" s="85"/>
      <c r="U328" s="88"/>
      <c r="V328" s="32" t="s">
        <v>1286</v>
      </c>
      <c r="W328" s="25" t="s">
        <v>48</v>
      </c>
      <c r="X328" s="11"/>
      <c r="Y328" s="50" t="s">
        <v>13</v>
      </c>
      <c r="Z328" s="50"/>
      <c r="AA328" s="50"/>
      <c r="AB328" s="50"/>
      <c r="AC328" s="50"/>
      <c r="AD328" s="50"/>
      <c r="AE328" s="50"/>
      <c r="AF328" s="34"/>
      <c r="AG328" s="34"/>
      <c r="AH328" s="34"/>
      <c r="AI328" s="34"/>
      <c r="AJ328" s="34"/>
      <c r="AK328" s="34"/>
      <c r="AL328" s="34"/>
      <c r="AM328" s="34"/>
      <c r="AN328" s="34"/>
      <c r="AO328" s="65"/>
      <c r="AP328" s="69"/>
      <c r="AQ328" s="62"/>
      <c r="AR328" s="34"/>
    </row>
    <row r="329" spans="1:44" customFormat="1">
      <c r="A329" s="39">
        <v>43794</v>
      </c>
      <c r="B329" s="11" t="s">
        <v>49</v>
      </c>
      <c r="C329" s="16" t="s">
        <v>1287</v>
      </c>
      <c r="D329" s="16"/>
      <c r="E329" s="38">
        <v>25556</v>
      </c>
      <c r="F329" s="38"/>
      <c r="G329" s="10" t="s">
        <v>1288</v>
      </c>
      <c r="H329" s="12" t="s">
        <v>1289</v>
      </c>
      <c r="I329" s="13">
        <v>17.2</v>
      </c>
      <c r="J329" s="15" t="s">
        <v>1290</v>
      </c>
      <c r="K329" s="14" t="s">
        <v>1291</v>
      </c>
      <c r="L329" s="11" t="s">
        <v>36</v>
      </c>
      <c r="M329" s="15"/>
      <c r="N329" s="17">
        <v>11000</v>
      </c>
      <c r="O329" s="17"/>
      <c r="P329" s="17"/>
      <c r="Q329" s="48"/>
      <c r="R329" s="11"/>
      <c r="S329" s="48"/>
      <c r="T329" s="85"/>
      <c r="U329" s="88"/>
      <c r="V329" s="32" t="s">
        <v>1292</v>
      </c>
      <c r="W329" s="25" t="s">
        <v>48</v>
      </c>
      <c r="X329" s="11"/>
      <c r="Y329" s="50" t="s">
        <v>12</v>
      </c>
      <c r="Z329" s="50"/>
      <c r="AA329" s="50"/>
      <c r="AB329" s="50"/>
      <c r="AC329" s="50"/>
      <c r="AD329" s="50"/>
      <c r="AE329" s="50"/>
      <c r="AF329" s="34"/>
      <c r="AG329" s="34"/>
      <c r="AH329" s="34"/>
      <c r="AI329" s="34"/>
      <c r="AJ329" s="34"/>
      <c r="AK329" s="34"/>
      <c r="AL329" s="34"/>
      <c r="AM329" s="34"/>
      <c r="AN329" s="34"/>
      <c r="AO329" s="65"/>
      <c r="AP329" s="69"/>
      <c r="AQ329" s="62"/>
      <c r="AR329" s="34"/>
    </row>
    <row r="330" spans="1:44" customFormat="1">
      <c r="A330" s="39">
        <v>43796</v>
      </c>
      <c r="B330" s="11" t="s">
        <v>49</v>
      </c>
      <c r="C330" s="16" t="s">
        <v>1293</v>
      </c>
      <c r="D330" s="16"/>
      <c r="E330" s="38">
        <v>18407</v>
      </c>
      <c r="F330" s="38"/>
      <c r="G330" s="10" t="s">
        <v>1294</v>
      </c>
      <c r="H330" s="12" t="s">
        <v>1295</v>
      </c>
      <c r="I330" s="13">
        <v>36.799999999999997</v>
      </c>
      <c r="J330" s="15" t="s">
        <v>1296</v>
      </c>
      <c r="K330" s="12"/>
      <c r="L330" s="11" t="s">
        <v>34</v>
      </c>
      <c r="M330" s="15"/>
      <c r="N330" s="17">
        <v>11000</v>
      </c>
      <c r="O330" s="17"/>
      <c r="P330" s="17"/>
      <c r="Q330" s="48"/>
      <c r="R330" s="11"/>
      <c r="S330" s="48"/>
      <c r="T330" s="85"/>
      <c r="U330" s="88"/>
      <c r="V330" s="32" t="s">
        <v>1297</v>
      </c>
      <c r="W330" s="25" t="s">
        <v>8</v>
      </c>
      <c r="X330" s="11"/>
      <c r="Y330" s="50" t="s">
        <v>14</v>
      </c>
      <c r="Z330" s="50"/>
      <c r="AA330" s="50"/>
      <c r="AB330" s="50"/>
      <c r="AC330" s="50"/>
      <c r="AD330" s="50"/>
      <c r="AE330" s="50"/>
      <c r="AF330" s="34"/>
      <c r="AG330" s="34"/>
      <c r="AH330" s="34"/>
      <c r="AI330" s="34"/>
      <c r="AJ330" s="34"/>
      <c r="AK330" s="34"/>
      <c r="AL330" s="34"/>
      <c r="AM330" s="34"/>
      <c r="AN330" s="34"/>
      <c r="AO330" s="65"/>
      <c r="AP330" s="69"/>
      <c r="AQ330" s="62"/>
      <c r="AR330" s="34"/>
    </row>
    <row r="331" spans="1:44" customFormat="1">
      <c r="A331" s="39">
        <v>43796</v>
      </c>
      <c r="B331" s="11" t="s">
        <v>22</v>
      </c>
      <c r="C331" s="16" t="s">
        <v>1300</v>
      </c>
      <c r="D331" s="16"/>
      <c r="E331" s="38">
        <v>33955</v>
      </c>
      <c r="F331" s="38"/>
      <c r="G331" s="10" t="s">
        <v>78</v>
      </c>
      <c r="H331" s="12" t="s">
        <v>1298</v>
      </c>
      <c r="I331" s="13">
        <v>0.2</v>
      </c>
      <c r="J331" s="15" t="s">
        <v>1299</v>
      </c>
      <c r="K331" s="12"/>
      <c r="L331" s="11" t="s">
        <v>36</v>
      </c>
      <c r="M331" s="15"/>
      <c r="N331" s="17">
        <v>2750</v>
      </c>
      <c r="O331" s="17"/>
      <c r="P331" s="17"/>
      <c r="Q331" s="48"/>
      <c r="R331" s="11"/>
      <c r="S331" s="48"/>
      <c r="T331" s="85"/>
      <c r="U331" s="88"/>
      <c r="V331" s="32"/>
      <c r="W331" s="25" t="s">
        <v>10</v>
      </c>
      <c r="X331" s="11"/>
      <c r="Y331" s="50" t="s">
        <v>18</v>
      </c>
      <c r="Z331" s="50"/>
      <c r="AA331" s="50"/>
      <c r="AB331" s="50"/>
      <c r="AC331" s="50"/>
      <c r="AD331" s="50"/>
      <c r="AE331" s="50"/>
      <c r="AF331" s="34"/>
      <c r="AG331" s="34"/>
      <c r="AH331" s="34"/>
      <c r="AI331" s="34"/>
      <c r="AJ331" s="34"/>
      <c r="AK331" s="34"/>
      <c r="AL331" s="34"/>
      <c r="AM331" s="34"/>
      <c r="AN331" s="34"/>
      <c r="AO331" s="65"/>
      <c r="AP331" s="69"/>
      <c r="AQ331" s="62"/>
      <c r="AR331" s="34"/>
    </row>
    <row r="332" spans="1:44" customFormat="1">
      <c r="A332" s="39">
        <v>43798</v>
      </c>
      <c r="B332" s="11" t="s">
        <v>49</v>
      </c>
      <c r="C332" s="16" t="s">
        <v>1301</v>
      </c>
      <c r="D332" s="16"/>
      <c r="E332" s="38">
        <v>26185</v>
      </c>
      <c r="F332" s="38"/>
      <c r="G332" s="10" t="s">
        <v>1302</v>
      </c>
      <c r="H332" s="12" t="s">
        <v>1303</v>
      </c>
      <c r="I332" s="13">
        <v>53.4</v>
      </c>
      <c r="J332" s="15" t="s">
        <v>1304</v>
      </c>
      <c r="K332" s="12"/>
      <c r="L332" s="11" t="s">
        <v>36</v>
      </c>
      <c r="M332" s="15"/>
      <c r="N332" s="17">
        <v>16500</v>
      </c>
      <c r="O332" s="17"/>
      <c r="P332" s="17"/>
      <c r="Q332" s="48"/>
      <c r="R332" s="11"/>
      <c r="S332" s="48"/>
      <c r="T332" s="85"/>
      <c r="U332" s="88"/>
      <c r="V332" s="32"/>
      <c r="W332" s="25" t="s">
        <v>48</v>
      </c>
      <c r="X332" s="11"/>
      <c r="Y332" s="50"/>
      <c r="Z332" s="50"/>
      <c r="AA332" s="50"/>
      <c r="AB332" s="50"/>
      <c r="AC332" s="50"/>
      <c r="AD332" s="50"/>
      <c r="AE332" s="50"/>
      <c r="AF332" s="34"/>
      <c r="AG332" s="34"/>
      <c r="AH332" s="34"/>
      <c r="AI332" s="34"/>
      <c r="AJ332" s="34"/>
      <c r="AK332" s="34"/>
      <c r="AL332" s="34"/>
      <c r="AM332" s="34"/>
      <c r="AN332" s="34"/>
      <c r="AO332" s="65"/>
      <c r="AP332" s="69"/>
      <c r="AQ332" s="62"/>
      <c r="AR332" s="34"/>
    </row>
    <row r="333" spans="1:44" customFormat="1">
      <c r="A333" s="39">
        <v>43799</v>
      </c>
      <c r="B333" s="11" t="s">
        <v>49</v>
      </c>
      <c r="C333" s="16" t="s">
        <v>1305</v>
      </c>
      <c r="D333" s="16"/>
      <c r="E333" s="38"/>
      <c r="F333" s="38"/>
      <c r="G333" s="10" t="s">
        <v>1306</v>
      </c>
      <c r="H333" s="12" t="s">
        <v>1307</v>
      </c>
      <c r="I333" s="13">
        <v>89.7</v>
      </c>
      <c r="J333" s="15" t="s">
        <v>1308</v>
      </c>
      <c r="K333" s="12"/>
      <c r="L333" s="11" t="s">
        <v>34</v>
      </c>
      <c r="M333" s="15"/>
      <c r="N333" s="17">
        <v>16500</v>
      </c>
      <c r="O333" s="17"/>
      <c r="P333" s="17"/>
      <c r="Q333" s="48"/>
      <c r="R333" s="11"/>
      <c r="S333" s="48"/>
      <c r="T333" s="85"/>
      <c r="U333" s="88"/>
      <c r="V333" s="32" t="s">
        <v>105</v>
      </c>
      <c r="W333" s="25" t="s">
        <v>8</v>
      </c>
      <c r="X333" s="11"/>
      <c r="Y333" s="50" t="s">
        <v>15</v>
      </c>
      <c r="Z333" s="50"/>
      <c r="AA333" s="50"/>
      <c r="AB333" s="50"/>
      <c r="AC333" s="50"/>
      <c r="AD333" s="50"/>
      <c r="AE333" s="50"/>
      <c r="AF333" s="34"/>
      <c r="AG333" s="34"/>
      <c r="AH333" s="34"/>
      <c r="AI333" s="34"/>
      <c r="AJ333" s="34"/>
      <c r="AK333" s="34"/>
      <c r="AL333" s="34"/>
      <c r="AM333" s="34"/>
      <c r="AN333" s="34"/>
      <c r="AO333" s="65"/>
      <c r="AP333" s="69"/>
      <c r="AQ333" s="62"/>
      <c r="AR333" s="34"/>
    </row>
    <row r="334" spans="1:44" customFormat="1">
      <c r="A334" s="39">
        <v>43800</v>
      </c>
      <c r="B334" s="11" t="s">
        <v>49</v>
      </c>
      <c r="C334" s="16" t="s">
        <v>1309</v>
      </c>
      <c r="D334" s="16"/>
      <c r="E334" s="38">
        <v>27225</v>
      </c>
      <c r="F334" s="38"/>
      <c r="G334" s="10" t="s">
        <v>1310</v>
      </c>
      <c r="H334" s="12" t="s">
        <v>1311</v>
      </c>
      <c r="I334" s="13">
        <v>55.9</v>
      </c>
      <c r="J334" s="15" t="s">
        <v>1312</v>
      </c>
      <c r="K334" s="12"/>
      <c r="L334" s="11" t="s">
        <v>36</v>
      </c>
      <c r="M334" s="15"/>
      <c r="N334" s="17">
        <v>11000</v>
      </c>
      <c r="O334" s="17"/>
      <c r="P334" s="17"/>
      <c r="Q334" s="48"/>
      <c r="R334" s="11"/>
      <c r="S334" s="48"/>
      <c r="T334" s="85"/>
      <c r="U334" s="88"/>
      <c r="V334" s="32" t="s">
        <v>1313</v>
      </c>
      <c r="W334" s="25" t="s">
        <v>8</v>
      </c>
      <c r="X334" s="11"/>
      <c r="Y334" s="50" t="s">
        <v>13</v>
      </c>
      <c r="Z334" s="50"/>
      <c r="AA334" s="50"/>
      <c r="AB334" s="50"/>
      <c r="AC334" s="50"/>
      <c r="AD334" s="50"/>
      <c r="AE334" s="50"/>
      <c r="AF334" s="34"/>
      <c r="AG334" s="34"/>
      <c r="AH334" s="34"/>
      <c r="AI334" s="34"/>
      <c r="AJ334" s="34"/>
      <c r="AK334" s="34"/>
      <c r="AL334" s="34"/>
      <c r="AM334" s="34"/>
      <c r="AN334" s="34"/>
      <c r="AO334" s="65"/>
      <c r="AP334" s="69"/>
      <c r="AQ334" s="62"/>
      <c r="AR334" s="34"/>
    </row>
    <row r="335" spans="1:44" customFormat="1">
      <c r="A335" s="39">
        <v>43801</v>
      </c>
      <c r="B335" s="11" t="s">
        <v>49</v>
      </c>
      <c r="C335" s="16" t="s">
        <v>1314</v>
      </c>
      <c r="D335" s="16"/>
      <c r="E335" s="38">
        <v>25819</v>
      </c>
      <c r="F335" s="38"/>
      <c r="G335" s="10" t="s">
        <v>1315</v>
      </c>
      <c r="H335" s="12" t="s">
        <v>1316</v>
      </c>
      <c r="I335" s="13">
        <v>43.7</v>
      </c>
      <c r="J335" s="15" t="s">
        <v>1317</v>
      </c>
      <c r="K335" s="12"/>
      <c r="L335" s="11" t="s">
        <v>37</v>
      </c>
      <c r="M335" s="15"/>
      <c r="N335" s="17">
        <v>11000</v>
      </c>
      <c r="O335" s="17"/>
      <c r="P335" s="17"/>
      <c r="Q335" s="48"/>
      <c r="R335" s="11"/>
      <c r="S335" s="48"/>
      <c r="T335" s="85"/>
      <c r="U335" s="88"/>
      <c r="V335" s="32" t="s">
        <v>1326</v>
      </c>
      <c r="W335" s="25" t="s">
        <v>8</v>
      </c>
      <c r="X335" s="11"/>
      <c r="Y335" s="50" t="s">
        <v>13</v>
      </c>
      <c r="Z335" s="50"/>
      <c r="AA335" s="50"/>
      <c r="AB335" s="50"/>
      <c r="AC335" s="50"/>
      <c r="AD335" s="50"/>
      <c r="AE335" s="50"/>
      <c r="AF335" s="34"/>
      <c r="AG335" s="34"/>
      <c r="AH335" s="34"/>
      <c r="AI335" s="34"/>
      <c r="AJ335" s="34"/>
      <c r="AK335" s="34"/>
      <c r="AL335" s="34"/>
      <c r="AM335" s="34"/>
      <c r="AN335" s="34"/>
      <c r="AO335" s="65"/>
      <c r="AP335" s="69"/>
      <c r="AQ335" s="62"/>
      <c r="AR335" s="34"/>
    </row>
    <row r="336" spans="1:44" customFormat="1">
      <c r="A336" s="39">
        <v>43801</v>
      </c>
      <c r="B336" s="11" t="s">
        <v>23</v>
      </c>
      <c r="C336" s="16" t="s">
        <v>1318</v>
      </c>
      <c r="D336" s="16"/>
      <c r="E336" s="38">
        <v>24375</v>
      </c>
      <c r="F336" s="38"/>
      <c r="G336" s="10" t="s">
        <v>1319</v>
      </c>
      <c r="H336" s="12" t="s">
        <v>1320</v>
      </c>
      <c r="I336" s="13">
        <v>56.2</v>
      </c>
      <c r="J336" s="15" t="s">
        <v>1321</v>
      </c>
      <c r="K336" s="12"/>
      <c r="L336" s="11" t="s">
        <v>36</v>
      </c>
      <c r="M336" s="15"/>
      <c r="N336" s="17">
        <v>11000</v>
      </c>
      <c r="O336" s="17"/>
      <c r="P336" s="17"/>
      <c r="Q336" s="48"/>
      <c r="R336" s="11"/>
      <c r="S336" s="48"/>
      <c r="T336" s="85"/>
      <c r="U336" s="88"/>
      <c r="V336" s="32" t="s">
        <v>1331</v>
      </c>
      <c r="W336" s="25" t="s">
        <v>8</v>
      </c>
      <c r="X336" s="11"/>
      <c r="Y336" s="50" t="s">
        <v>12</v>
      </c>
      <c r="Z336" s="50"/>
      <c r="AA336" s="50"/>
      <c r="AB336" s="50"/>
      <c r="AC336" s="50"/>
      <c r="AD336" s="50"/>
      <c r="AE336" s="50"/>
      <c r="AF336" s="34"/>
      <c r="AG336" s="34"/>
      <c r="AH336" s="34"/>
      <c r="AI336" s="34"/>
      <c r="AJ336" s="34"/>
      <c r="AK336" s="34"/>
      <c r="AL336" s="34"/>
      <c r="AM336" s="34"/>
      <c r="AN336" s="34"/>
      <c r="AO336" s="65"/>
      <c r="AP336" s="69"/>
      <c r="AQ336" s="62"/>
      <c r="AR336" s="34"/>
    </row>
    <row r="337" spans="1:44" customFormat="1">
      <c r="A337" s="39">
        <v>43801</v>
      </c>
      <c r="B337" s="11" t="s">
        <v>24</v>
      </c>
      <c r="C337" s="16" t="s">
        <v>1322</v>
      </c>
      <c r="D337" s="16"/>
      <c r="E337" s="38">
        <v>26420</v>
      </c>
      <c r="F337" s="38"/>
      <c r="G337" s="10" t="s">
        <v>1323</v>
      </c>
      <c r="H337" s="12" t="s">
        <v>1324</v>
      </c>
      <c r="I337" s="13">
        <v>54.5</v>
      </c>
      <c r="J337" s="15" t="s">
        <v>1325</v>
      </c>
      <c r="K337" s="12"/>
      <c r="L337" s="11" t="s">
        <v>36</v>
      </c>
      <c r="M337" s="15"/>
      <c r="N337" s="17">
        <v>5500</v>
      </c>
      <c r="O337" s="17"/>
      <c r="P337" s="17"/>
      <c r="Q337" s="48"/>
      <c r="R337" s="11"/>
      <c r="S337" s="48"/>
      <c r="T337" s="85"/>
      <c r="U337" s="88"/>
      <c r="V337" s="32"/>
      <c r="W337" s="25" t="s">
        <v>8</v>
      </c>
      <c r="X337" s="11"/>
      <c r="Y337" s="50" t="s">
        <v>12</v>
      </c>
      <c r="Z337" s="50"/>
      <c r="AA337" s="50"/>
      <c r="AB337" s="50"/>
      <c r="AC337" s="50"/>
      <c r="AD337" s="50"/>
      <c r="AE337" s="50"/>
      <c r="AF337" s="34"/>
      <c r="AG337" s="34"/>
      <c r="AH337" s="34"/>
      <c r="AI337" s="34"/>
      <c r="AJ337" s="34"/>
      <c r="AK337" s="34"/>
      <c r="AL337" s="34"/>
      <c r="AM337" s="34"/>
      <c r="AN337" s="34"/>
      <c r="AO337" s="65"/>
      <c r="AP337" s="69"/>
      <c r="AQ337" s="62"/>
      <c r="AR337" s="34"/>
    </row>
    <row r="338" spans="1:44" customFormat="1">
      <c r="A338" s="39">
        <v>43804</v>
      </c>
      <c r="B338" s="11" t="s">
        <v>49</v>
      </c>
      <c r="C338" s="16" t="s">
        <v>1327</v>
      </c>
      <c r="D338" s="16"/>
      <c r="E338" s="38">
        <v>25628</v>
      </c>
      <c r="F338" s="38"/>
      <c r="G338" s="10" t="s">
        <v>1328</v>
      </c>
      <c r="H338" s="12" t="s">
        <v>1329</v>
      </c>
      <c r="I338" s="13">
        <v>102</v>
      </c>
      <c r="J338" s="15" t="s">
        <v>1330</v>
      </c>
      <c r="K338" s="12"/>
      <c r="L338" s="11" t="s">
        <v>33</v>
      </c>
      <c r="M338" s="15"/>
      <c r="N338" s="17">
        <v>16500</v>
      </c>
      <c r="O338" s="17"/>
      <c r="P338" s="17"/>
      <c r="Q338" s="48"/>
      <c r="R338" s="11"/>
      <c r="S338" s="48"/>
      <c r="T338" s="85"/>
      <c r="U338" s="88"/>
      <c r="V338" s="32"/>
      <c r="W338" s="25" t="s">
        <v>48</v>
      </c>
      <c r="X338" s="11"/>
      <c r="Y338" s="50" t="s">
        <v>13</v>
      </c>
      <c r="Z338" s="50"/>
      <c r="AA338" s="50"/>
      <c r="AB338" s="50"/>
      <c r="AC338" s="50"/>
      <c r="AD338" s="50"/>
      <c r="AE338" s="50"/>
      <c r="AF338" s="34"/>
      <c r="AG338" s="34"/>
      <c r="AH338" s="34"/>
      <c r="AI338" s="34"/>
      <c r="AJ338" s="34"/>
      <c r="AK338" s="34"/>
      <c r="AL338" s="34"/>
      <c r="AM338" s="34"/>
      <c r="AN338" s="34"/>
      <c r="AO338" s="65"/>
      <c r="AP338" s="69"/>
      <c r="AQ338" s="62"/>
      <c r="AR338" s="34"/>
    </row>
    <row r="339" spans="1:44" customFormat="1">
      <c r="A339" s="39">
        <v>43804</v>
      </c>
      <c r="B339" s="11" t="s">
        <v>49</v>
      </c>
      <c r="C339" s="16" t="s">
        <v>1332</v>
      </c>
      <c r="D339" s="16"/>
      <c r="E339" s="38">
        <v>31328</v>
      </c>
      <c r="F339" s="38"/>
      <c r="G339" s="10" t="s">
        <v>1333</v>
      </c>
      <c r="H339" s="12" t="s">
        <v>1334</v>
      </c>
      <c r="I339" s="13">
        <v>486</v>
      </c>
      <c r="J339" s="15" t="s">
        <v>1335</v>
      </c>
      <c r="K339" s="12"/>
      <c r="L339" s="11" t="s">
        <v>36</v>
      </c>
      <c r="M339" s="15"/>
      <c r="N339" s="17">
        <v>11000</v>
      </c>
      <c r="O339" s="17"/>
      <c r="P339" s="17"/>
      <c r="Q339" s="48"/>
      <c r="R339" s="11"/>
      <c r="S339" s="48"/>
      <c r="T339" s="85"/>
      <c r="U339" s="88"/>
      <c r="V339" s="32" t="s">
        <v>1313</v>
      </c>
      <c r="W339" s="25" t="s">
        <v>10</v>
      </c>
      <c r="X339" s="11"/>
      <c r="Y339" s="50"/>
      <c r="Z339" s="50"/>
      <c r="AA339" s="50"/>
      <c r="AB339" s="50"/>
      <c r="AC339" s="50"/>
      <c r="AD339" s="50"/>
      <c r="AE339" s="50"/>
      <c r="AF339" s="34"/>
      <c r="AG339" s="34"/>
      <c r="AH339" s="34"/>
      <c r="AI339" s="34"/>
      <c r="AJ339" s="34"/>
      <c r="AK339" s="34"/>
      <c r="AL339" s="34"/>
      <c r="AM339" s="34"/>
      <c r="AN339" s="34"/>
      <c r="AO339" s="65"/>
      <c r="AP339" s="69"/>
      <c r="AQ339" s="62"/>
      <c r="AR339" s="34"/>
    </row>
    <row r="340" spans="1:44" customFormat="1">
      <c r="A340" s="39">
        <v>43807</v>
      </c>
      <c r="B340" s="11" t="s">
        <v>22</v>
      </c>
      <c r="C340" s="16" t="s">
        <v>1336</v>
      </c>
      <c r="D340" s="16"/>
      <c r="E340" s="38">
        <v>19441</v>
      </c>
      <c r="F340" s="38"/>
      <c r="G340" s="10" t="s">
        <v>406</v>
      </c>
      <c r="H340" s="12" t="s">
        <v>1017</v>
      </c>
      <c r="I340" s="13">
        <v>2.8</v>
      </c>
      <c r="J340" s="15" t="s">
        <v>1337</v>
      </c>
      <c r="K340" s="12"/>
      <c r="L340" s="11" t="s">
        <v>33</v>
      </c>
      <c r="M340" s="15"/>
      <c r="N340" s="17">
        <v>2800</v>
      </c>
      <c r="O340" s="17"/>
      <c r="P340" s="17"/>
      <c r="Q340" s="48"/>
      <c r="R340" s="11"/>
      <c r="S340" s="48"/>
      <c r="T340" s="85"/>
      <c r="U340" s="88"/>
      <c r="V340" s="32"/>
      <c r="W340" s="25" t="s">
        <v>8</v>
      </c>
      <c r="X340" s="11"/>
      <c r="Y340" s="50" t="s">
        <v>11</v>
      </c>
      <c r="Z340" s="50"/>
      <c r="AA340" s="50"/>
      <c r="AB340" s="50"/>
      <c r="AC340" s="50"/>
      <c r="AD340" s="50"/>
      <c r="AE340" s="50"/>
      <c r="AF340" s="34"/>
      <c r="AG340" s="34"/>
      <c r="AH340" s="34"/>
      <c r="AI340" s="34"/>
      <c r="AJ340" s="34"/>
      <c r="AK340" s="34"/>
      <c r="AL340" s="34"/>
      <c r="AM340" s="34"/>
      <c r="AN340" s="34"/>
      <c r="AO340" s="65"/>
      <c r="AP340" s="69"/>
      <c r="AQ340" s="62"/>
      <c r="AR340" s="34"/>
    </row>
    <row r="341" spans="1:44" customFormat="1">
      <c r="A341" s="39">
        <v>43807</v>
      </c>
      <c r="B341" s="11" t="s">
        <v>22</v>
      </c>
      <c r="C341" s="16" t="s">
        <v>1338</v>
      </c>
      <c r="D341" s="16"/>
      <c r="E341" s="38">
        <v>39266</v>
      </c>
      <c r="F341" s="38"/>
      <c r="G341" s="10" t="s">
        <v>148</v>
      </c>
      <c r="H341" s="12" t="s">
        <v>1339</v>
      </c>
      <c r="I341" s="13">
        <v>0.3</v>
      </c>
      <c r="J341" s="15" t="s">
        <v>1340</v>
      </c>
      <c r="K341" s="12"/>
      <c r="L341" s="11" t="s">
        <v>38</v>
      </c>
      <c r="M341" s="15"/>
      <c r="N341" s="17">
        <v>2750</v>
      </c>
      <c r="O341" s="17"/>
      <c r="P341" s="17"/>
      <c r="Q341" s="48"/>
      <c r="R341" s="11"/>
      <c r="S341" s="48"/>
      <c r="T341" s="85"/>
      <c r="U341" s="88"/>
      <c r="V341" s="32" t="s">
        <v>1341</v>
      </c>
      <c r="W341" s="25" t="s">
        <v>8</v>
      </c>
      <c r="X341" s="11"/>
      <c r="Y341" s="50"/>
      <c r="Z341" s="50"/>
      <c r="AA341" s="50"/>
      <c r="AB341" s="50"/>
      <c r="AC341" s="50"/>
      <c r="AD341" s="50"/>
      <c r="AE341" s="50"/>
      <c r="AF341" s="34"/>
      <c r="AG341" s="34"/>
      <c r="AH341" s="34"/>
      <c r="AI341" s="34"/>
      <c r="AJ341" s="34"/>
      <c r="AK341" s="34"/>
      <c r="AL341" s="34"/>
      <c r="AM341" s="34"/>
      <c r="AN341" s="34"/>
      <c r="AO341" s="65"/>
      <c r="AP341" s="69"/>
      <c r="AQ341" s="62"/>
      <c r="AR341" s="34"/>
    </row>
    <row r="342" spans="1:44" customFormat="1">
      <c r="A342" s="39">
        <v>43808</v>
      </c>
      <c r="B342" s="11" t="s">
        <v>23</v>
      </c>
      <c r="C342" s="16" t="s">
        <v>1342</v>
      </c>
      <c r="D342" s="16"/>
      <c r="E342" s="38">
        <v>30164</v>
      </c>
      <c r="F342" s="38"/>
      <c r="G342" s="10" t="s">
        <v>1344</v>
      </c>
      <c r="H342" s="12" t="s">
        <v>1343</v>
      </c>
      <c r="I342" s="13">
        <v>22.3</v>
      </c>
      <c r="J342" s="15" t="s">
        <v>1345</v>
      </c>
      <c r="K342" s="12"/>
      <c r="L342" s="11" t="s">
        <v>36</v>
      </c>
      <c r="M342" s="15"/>
      <c r="N342" s="17">
        <v>11000</v>
      </c>
      <c r="O342" s="17"/>
      <c r="P342" s="17"/>
      <c r="Q342" s="48"/>
      <c r="R342" s="11"/>
      <c r="S342" s="48"/>
      <c r="T342" s="85"/>
      <c r="U342" s="88"/>
      <c r="V342" s="32" t="s">
        <v>1354</v>
      </c>
      <c r="W342" s="25" t="s">
        <v>8</v>
      </c>
      <c r="X342" s="11"/>
      <c r="Y342" s="50"/>
      <c r="Z342" s="50"/>
      <c r="AA342" s="50"/>
      <c r="AB342" s="50"/>
      <c r="AC342" s="50"/>
      <c r="AD342" s="50"/>
      <c r="AE342" s="50"/>
      <c r="AF342" s="34"/>
      <c r="AG342" s="34"/>
      <c r="AH342" s="34"/>
      <c r="AI342" s="34"/>
      <c r="AJ342" s="34"/>
      <c r="AK342" s="34"/>
      <c r="AL342" s="34"/>
      <c r="AM342" s="34"/>
      <c r="AN342" s="34"/>
      <c r="AO342" s="65"/>
      <c r="AP342" s="69"/>
      <c r="AQ342" s="62"/>
      <c r="AR342" s="34"/>
    </row>
    <row r="343" spans="1:44" customFormat="1">
      <c r="A343" s="39">
        <v>43808</v>
      </c>
      <c r="B343" s="11" t="s">
        <v>22</v>
      </c>
      <c r="C343" s="16" t="s">
        <v>1346</v>
      </c>
      <c r="D343" s="16"/>
      <c r="E343" s="38">
        <v>19870</v>
      </c>
      <c r="F343" s="38"/>
      <c r="G343" s="10" t="s">
        <v>1347</v>
      </c>
      <c r="H343" s="12" t="s">
        <v>1348</v>
      </c>
      <c r="I343" s="13">
        <v>74.8</v>
      </c>
      <c r="J343" s="15" t="s">
        <v>1349</v>
      </c>
      <c r="K343" s="12"/>
      <c r="L343" s="11" t="s">
        <v>10</v>
      </c>
      <c r="M343" s="15"/>
      <c r="N343" s="17">
        <v>0</v>
      </c>
      <c r="O343" s="17"/>
      <c r="P343" s="17"/>
      <c r="Q343" s="48"/>
      <c r="R343" s="11"/>
      <c r="S343" s="48"/>
      <c r="T343" s="85"/>
      <c r="U343" s="88"/>
      <c r="V343" s="32" t="s">
        <v>1350</v>
      </c>
      <c r="W343" s="25" t="s">
        <v>10</v>
      </c>
      <c r="X343" s="11"/>
      <c r="Y343" s="51" t="s">
        <v>10</v>
      </c>
      <c r="Z343" s="51"/>
      <c r="AA343" s="51"/>
      <c r="AB343" s="51"/>
      <c r="AC343" s="51"/>
      <c r="AD343" s="51"/>
      <c r="AE343" s="51"/>
      <c r="AF343" s="62"/>
      <c r="AG343" s="62"/>
      <c r="AH343" s="62"/>
      <c r="AI343" s="62"/>
      <c r="AJ343" s="62"/>
      <c r="AK343" s="62"/>
      <c r="AL343" s="62"/>
      <c r="AM343" s="62"/>
      <c r="AN343" s="62"/>
      <c r="AO343" s="65"/>
      <c r="AP343" s="69"/>
      <c r="AQ343" s="62"/>
      <c r="AR343" s="34"/>
    </row>
    <row r="344" spans="1:44" customFormat="1">
      <c r="A344" s="39">
        <v>43808</v>
      </c>
      <c r="B344" s="11" t="s">
        <v>22</v>
      </c>
      <c r="C344" s="16" t="s">
        <v>1352</v>
      </c>
      <c r="D344" s="16"/>
      <c r="E344" s="38">
        <v>35486</v>
      </c>
      <c r="F344" s="38"/>
      <c r="G344" s="10" t="s">
        <v>1347</v>
      </c>
      <c r="H344" s="12" t="s">
        <v>1348</v>
      </c>
      <c r="I344" s="13">
        <v>74.8</v>
      </c>
      <c r="J344" s="15" t="s">
        <v>1351</v>
      </c>
      <c r="K344" s="14" t="s">
        <v>1353</v>
      </c>
      <c r="L344" s="11" t="s">
        <v>10</v>
      </c>
      <c r="M344" s="15"/>
      <c r="N344" s="17">
        <v>0</v>
      </c>
      <c r="O344" s="17"/>
      <c r="P344" s="17"/>
      <c r="Q344" s="48"/>
      <c r="R344" s="11"/>
      <c r="S344" s="48"/>
      <c r="T344" s="85"/>
      <c r="U344" s="88"/>
      <c r="V344" s="32" t="s">
        <v>1350</v>
      </c>
      <c r="W344" s="25" t="s">
        <v>10</v>
      </c>
      <c r="X344" s="11"/>
      <c r="Y344" s="51" t="s">
        <v>10</v>
      </c>
      <c r="Z344" s="51"/>
      <c r="AA344" s="51"/>
      <c r="AB344" s="51"/>
      <c r="AC344" s="51"/>
      <c r="AD344" s="51"/>
      <c r="AE344" s="51"/>
      <c r="AF344" s="62"/>
      <c r="AG344" s="62"/>
      <c r="AH344" s="62"/>
      <c r="AI344" s="62"/>
      <c r="AJ344" s="62"/>
      <c r="AK344" s="62"/>
      <c r="AL344" s="62"/>
      <c r="AM344" s="62"/>
      <c r="AN344" s="62"/>
      <c r="AO344" s="65"/>
      <c r="AP344" s="69"/>
      <c r="AQ344" s="62"/>
      <c r="AR344" s="34"/>
    </row>
    <row r="345" spans="1:44" customFormat="1">
      <c r="A345" s="39">
        <v>43812</v>
      </c>
      <c r="B345" s="11" t="s">
        <v>49</v>
      </c>
      <c r="C345" s="16" t="s">
        <v>1132</v>
      </c>
      <c r="D345" s="16"/>
      <c r="E345" s="38"/>
      <c r="F345" s="38"/>
      <c r="G345" s="10"/>
      <c r="H345" s="12"/>
      <c r="I345" s="13"/>
      <c r="J345" s="15"/>
      <c r="K345" s="12"/>
      <c r="L345" s="11"/>
      <c r="M345" s="15"/>
      <c r="N345" s="17">
        <v>16500</v>
      </c>
      <c r="O345" s="17"/>
      <c r="P345" s="17"/>
      <c r="Q345" s="48"/>
      <c r="R345" s="11"/>
      <c r="S345" s="48"/>
      <c r="T345" s="85"/>
      <c r="U345" s="88"/>
      <c r="V345" s="32" t="s">
        <v>1355</v>
      </c>
      <c r="W345" s="25"/>
      <c r="X345" s="11"/>
      <c r="Y345" s="50"/>
      <c r="Z345" s="50"/>
      <c r="AA345" s="50"/>
      <c r="AB345" s="50"/>
      <c r="AC345" s="50"/>
      <c r="AD345" s="50"/>
      <c r="AE345" s="50"/>
      <c r="AF345" s="34"/>
      <c r="AG345" s="34"/>
      <c r="AH345" s="34"/>
      <c r="AI345" s="34"/>
      <c r="AJ345" s="34"/>
      <c r="AK345" s="34"/>
      <c r="AL345" s="34"/>
      <c r="AM345" s="34"/>
      <c r="AN345" s="34"/>
      <c r="AO345" s="65"/>
      <c r="AP345" s="69"/>
      <c r="AQ345" s="62"/>
      <c r="AR345" s="34"/>
    </row>
    <row r="346" spans="1:44" customFormat="1">
      <c r="A346" s="39">
        <v>43813</v>
      </c>
      <c r="B346" s="11" t="s">
        <v>22</v>
      </c>
      <c r="C346" s="16" t="s">
        <v>1356</v>
      </c>
      <c r="D346" s="16"/>
      <c r="E346" s="38">
        <v>20390</v>
      </c>
      <c r="F346" s="38"/>
      <c r="G346" s="10" t="s">
        <v>358</v>
      </c>
      <c r="H346" s="12" t="s">
        <v>1357</v>
      </c>
      <c r="I346" s="13">
        <v>3.2</v>
      </c>
      <c r="J346" s="15" t="s">
        <v>1358</v>
      </c>
      <c r="K346" s="12"/>
      <c r="L346" s="11" t="s">
        <v>33</v>
      </c>
      <c r="M346" s="15"/>
      <c r="N346" s="17">
        <v>2750</v>
      </c>
      <c r="O346" s="17"/>
      <c r="P346" s="17"/>
      <c r="Q346" s="48"/>
      <c r="R346" s="11"/>
      <c r="S346" s="48"/>
      <c r="T346" s="85"/>
      <c r="U346" s="88"/>
      <c r="V346" s="32"/>
      <c r="W346" s="25" t="s">
        <v>10</v>
      </c>
      <c r="X346" s="11"/>
      <c r="Y346" s="50" t="s">
        <v>12</v>
      </c>
      <c r="Z346" s="50"/>
      <c r="AA346" s="50"/>
      <c r="AB346" s="50"/>
      <c r="AC346" s="50"/>
      <c r="AD346" s="50"/>
      <c r="AE346" s="50"/>
      <c r="AF346" s="34"/>
      <c r="AG346" s="34"/>
      <c r="AH346" s="34"/>
      <c r="AI346" s="34"/>
      <c r="AJ346" s="34"/>
      <c r="AK346" s="34"/>
      <c r="AL346" s="34"/>
      <c r="AM346" s="34"/>
      <c r="AN346" s="34"/>
      <c r="AO346" s="65"/>
      <c r="AP346" s="69"/>
      <c r="AQ346" s="62"/>
      <c r="AR346" s="34"/>
    </row>
    <row r="347" spans="1:44" customFormat="1">
      <c r="A347" s="39">
        <v>43813</v>
      </c>
      <c r="B347" s="11" t="s">
        <v>49</v>
      </c>
      <c r="C347" s="16" t="s">
        <v>1359</v>
      </c>
      <c r="D347" s="16"/>
      <c r="E347" s="38">
        <v>30551</v>
      </c>
      <c r="F347" s="38"/>
      <c r="G347" s="10" t="s">
        <v>1360</v>
      </c>
      <c r="H347" s="12" t="s">
        <v>1361</v>
      </c>
      <c r="I347" s="13">
        <v>39.799999999999997</v>
      </c>
      <c r="J347" s="15" t="s">
        <v>1362</v>
      </c>
      <c r="K347" s="12"/>
      <c r="L347" s="11" t="s">
        <v>36</v>
      </c>
      <c r="M347" s="15"/>
      <c r="N347" s="17">
        <v>16500</v>
      </c>
      <c r="O347" s="17"/>
      <c r="P347" s="17"/>
      <c r="Q347" s="48"/>
      <c r="R347" s="11"/>
      <c r="S347" s="48"/>
      <c r="T347" s="85"/>
      <c r="U347" s="88"/>
      <c r="V347" s="32" t="s">
        <v>105</v>
      </c>
      <c r="W347" s="25" t="s">
        <v>48</v>
      </c>
      <c r="X347" s="11"/>
      <c r="Y347" s="50" t="s">
        <v>13</v>
      </c>
      <c r="Z347" s="50"/>
      <c r="AA347" s="50"/>
      <c r="AB347" s="50"/>
      <c r="AC347" s="50"/>
      <c r="AD347" s="50"/>
      <c r="AE347" s="50"/>
      <c r="AF347" s="34"/>
      <c r="AG347" s="34"/>
      <c r="AH347" s="34"/>
      <c r="AI347" s="34"/>
      <c r="AJ347" s="34"/>
      <c r="AK347" s="34"/>
      <c r="AL347" s="34"/>
      <c r="AM347" s="34"/>
      <c r="AN347" s="34"/>
      <c r="AO347" s="65"/>
      <c r="AP347" s="69"/>
      <c r="AQ347" s="62"/>
      <c r="AR347" s="34"/>
    </row>
    <row r="348" spans="1:44" customFormat="1">
      <c r="A348" s="39">
        <v>43820</v>
      </c>
      <c r="B348" s="11" t="s">
        <v>22</v>
      </c>
      <c r="C348" s="16" t="s">
        <v>1363</v>
      </c>
      <c r="D348" s="16"/>
      <c r="E348" s="38">
        <v>24992</v>
      </c>
      <c r="F348" s="38"/>
      <c r="G348" s="10" t="s">
        <v>1245</v>
      </c>
      <c r="H348" s="12" t="s">
        <v>1243</v>
      </c>
      <c r="I348" s="13">
        <v>3.3</v>
      </c>
      <c r="J348" s="15" t="s">
        <v>1364</v>
      </c>
      <c r="K348" s="12"/>
      <c r="L348" s="11" t="s">
        <v>36</v>
      </c>
      <c r="M348" s="15"/>
      <c r="N348" s="17">
        <v>2750</v>
      </c>
      <c r="O348" s="17"/>
      <c r="P348" s="17"/>
      <c r="Q348" s="48"/>
      <c r="R348" s="11"/>
      <c r="S348" s="48"/>
      <c r="T348" s="85"/>
      <c r="U348" s="88"/>
      <c r="V348" s="32"/>
      <c r="W348" s="25"/>
      <c r="X348" s="11"/>
      <c r="Y348" s="50" t="s">
        <v>11</v>
      </c>
      <c r="Z348" s="50"/>
      <c r="AA348" s="50"/>
      <c r="AB348" s="50"/>
      <c r="AC348" s="50"/>
      <c r="AD348" s="50"/>
      <c r="AE348" s="50"/>
      <c r="AF348" s="34"/>
      <c r="AG348" s="34"/>
      <c r="AH348" s="34"/>
      <c r="AI348" s="34"/>
      <c r="AJ348" s="34"/>
      <c r="AK348" s="34"/>
      <c r="AL348" s="34"/>
      <c r="AM348" s="34"/>
      <c r="AN348" s="34"/>
      <c r="AO348" s="65"/>
      <c r="AP348" s="69"/>
      <c r="AQ348" s="62"/>
      <c r="AR348" s="34"/>
    </row>
    <row r="349" spans="1:44" customFormat="1">
      <c r="A349" s="39">
        <v>43820</v>
      </c>
      <c r="B349" s="11" t="s">
        <v>49</v>
      </c>
      <c r="C349" s="16" t="s">
        <v>1148</v>
      </c>
      <c r="D349" s="16"/>
      <c r="E349" s="38">
        <v>29422</v>
      </c>
      <c r="F349" s="38"/>
      <c r="G349" s="10" t="s">
        <v>1149</v>
      </c>
      <c r="H349" s="12" t="s">
        <v>1371</v>
      </c>
      <c r="I349" s="13">
        <v>32.299999999999997</v>
      </c>
      <c r="J349" s="15" t="s">
        <v>1151</v>
      </c>
      <c r="K349" s="12"/>
      <c r="L349" s="11" t="s">
        <v>33</v>
      </c>
      <c r="M349" s="15"/>
      <c r="N349" s="17">
        <v>16500</v>
      </c>
      <c r="O349" s="17"/>
      <c r="P349" s="17"/>
      <c r="Q349" s="48"/>
      <c r="R349" s="11"/>
      <c r="S349" s="48"/>
      <c r="T349" s="85"/>
      <c r="U349" s="88"/>
      <c r="V349" s="32" t="s">
        <v>1372</v>
      </c>
      <c r="W349" s="25" t="s">
        <v>48</v>
      </c>
      <c r="X349" s="11"/>
      <c r="Y349" s="50" t="s">
        <v>13</v>
      </c>
      <c r="Z349" s="50"/>
      <c r="AA349" s="50"/>
      <c r="AB349" s="50"/>
      <c r="AC349" s="50"/>
      <c r="AD349" s="50"/>
      <c r="AE349" s="50"/>
      <c r="AF349" s="34"/>
      <c r="AG349" s="34"/>
      <c r="AH349" s="34"/>
      <c r="AI349" s="34"/>
      <c r="AJ349" s="34"/>
      <c r="AK349" s="34"/>
      <c r="AL349" s="34"/>
      <c r="AM349" s="34"/>
      <c r="AN349" s="34"/>
      <c r="AO349" s="65"/>
      <c r="AP349" s="69"/>
      <c r="AQ349" s="62"/>
      <c r="AR349" s="34"/>
    </row>
    <row r="350" spans="1:44" customFormat="1">
      <c r="A350" s="39">
        <v>43820</v>
      </c>
      <c r="B350" s="11" t="s">
        <v>22</v>
      </c>
      <c r="C350" s="16" t="s">
        <v>1365</v>
      </c>
      <c r="D350" s="16"/>
      <c r="E350" s="38">
        <v>22951</v>
      </c>
      <c r="F350" s="38"/>
      <c r="G350" s="10" t="s">
        <v>1367</v>
      </c>
      <c r="H350" s="12" t="s">
        <v>1368</v>
      </c>
      <c r="I350" s="13">
        <v>7.5</v>
      </c>
      <c r="J350" s="15" t="s">
        <v>1369</v>
      </c>
      <c r="K350" s="12"/>
      <c r="L350" s="11" t="s">
        <v>33</v>
      </c>
      <c r="M350" s="15"/>
      <c r="N350" s="17">
        <v>2750</v>
      </c>
      <c r="O350" s="17"/>
      <c r="P350" s="17"/>
      <c r="Q350" s="48"/>
      <c r="R350" s="11"/>
      <c r="S350" s="48"/>
      <c r="T350" s="85" t="s">
        <v>81</v>
      </c>
      <c r="U350" s="88"/>
      <c r="V350" s="32" t="s">
        <v>1398</v>
      </c>
      <c r="W350" s="25" t="s">
        <v>8</v>
      </c>
      <c r="X350" s="11"/>
      <c r="Y350" s="50" t="s">
        <v>14</v>
      </c>
      <c r="Z350" s="50"/>
      <c r="AA350" s="50"/>
      <c r="AB350" s="50"/>
      <c r="AC350" s="50"/>
      <c r="AD350" s="50"/>
      <c r="AE350" s="50"/>
      <c r="AF350" s="34"/>
      <c r="AG350" s="34"/>
      <c r="AH350" s="34"/>
      <c r="AI350" s="34"/>
      <c r="AJ350" s="34"/>
      <c r="AK350" s="34"/>
      <c r="AL350" s="34"/>
      <c r="AM350" s="34"/>
      <c r="AN350" s="34"/>
      <c r="AO350" s="65"/>
      <c r="AP350" s="69"/>
      <c r="AQ350" s="62"/>
      <c r="AR350" s="34"/>
    </row>
    <row r="351" spans="1:44" customFormat="1">
      <c r="A351" s="39">
        <v>43820</v>
      </c>
      <c r="B351" s="11" t="s">
        <v>22</v>
      </c>
      <c r="C351" s="16" t="s">
        <v>1366</v>
      </c>
      <c r="D351" s="16"/>
      <c r="E351" s="38">
        <v>22734</v>
      </c>
      <c r="F351" s="38"/>
      <c r="G351" s="10" t="s">
        <v>1367</v>
      </c>
      <c r="H351" s="12" t="s">
        <v>1368</v>
      </c>
      <c r="I351" s="13">
        <v>7.5</v>
      </c>
      <c r="J351" s="15" t="s">
        <v>1370</v>
      </c>
      <c r="K351" s="12"/>
      <c r="L351" s="11" t="s">
        <v>37</v>
      </c>
      <c r="M351" s="15"/>
      <c r="N351" s="17">
        <v>2750</v>
      </c>
      <c r="O351" s="17"/>
      <c r="P351" s="17"/>
      <c r="Q351" s="48"/>
      <c r="R351" s="11"/>
      <c r="S351" s="48"/>
      <c r="T351" s="85" t="s">
        <v>81</v>
      </c>
      <c r="U351" s="88"/>
      <c r="V351" s="32" t="s">
        <v>1398</v>
      </c>
      <c r="W351" s="25" t="s">
        <v>8</v>
      </c>
      <c r="X351" s="11"/>
      <c r="Y351" s="50"/>
      <c r="Z351" s="50"/>
      <c r="AA351" s="50"/>
      <c r="AB351" s="50"/>
      <c r="AC351" s="50"/>
      <c r="AD351" s="50"/>
      <c r="AE351" s="50"/>
      <c r="AF351" s="34"/>
      <c r="AG351" s="34"/>
      <c r="AH351" s="34"/>
      <c r="AI351" s="34"/>
      <c r="AJ351" s="34"/>
      <c r="AK351" s="34"/>
      <c r="AL351" s="34"/>
      <c r="AM351" s="34"/>
      <c r="AN351" s="34"/>
      <c r="AO351" s="65"/>
      <c r="AP351" s="69"/>
      <c r="AQ351" s="62"/>
      <c r="AR351" s="34"/>
    </row>
    <row r="352" spans="1:44" customFormat="1">
      <c r="A352" s="39">
        <v>43821</v>
      </c>
      <c r="B352" s="11" t="s">
        <v>22</v>
      </c>
      <c r="C352" s="16" t="s">
        <v>1373</v>
      </c>
      <c r="D352" s="16"/>
      <c r="E352" s="38">
        <v>28525</v>
      </c>
      <c r="F352" s="38"/>
      <c r="G352" s="10" t="s">
        <v>1374</v>
      </c>
      <c r="H352" s="12" t="s">
        <v>1375</v>
      </c>
      <c r="I352" s="13">
        <v>14.2</v>
      </c>
      <c r="J352" s="15" t="s">
        <v>1376</v>
      </c>
      <c r="K352" s="14" t="s">
        <v>1382</v>
      </c>
      <c r="L352" s="11" t="s">
        <v>33</v>
      </c>
      <c r="M352" s="15"/>
      <c r="N352" s="17">
        <v>2750</v>
      </c>
      <c r="O352" s="17"/>
      <c r="P352" s="17"/>
      <c r="Q352" s="48"/>
      <c r="R352" s="11"/>
      <c r="S352" s="48"/>
      <c r="T352" s="85"/>
      <c r="U352" s="88"/>
      <c r="V352" s="32" t="s">
        <v>1410</v>
      </c>
      <c r="W352" s="25" t="s">
        <v>10</v>
      </c>
      <c r="X352" s="11"/>
      <c r="Y352" s="50"/>
      <c r="Z352" s="50"/>
      <c r="AA352" s="50"/>
      <c r="AB352" s="50"/>
      <c r="AC352" s="50"/>
      <c r="AD352" s="50"/>
      <c r="AE352" s="50"/>
      <c r="AF352" s="34"/>
      <c r="AG352" s="34"/>
      <c r="AH352" s="34"/>
      <c r="AI352" s="34"/>
      <c r="AJ352" s="34"/>
      <c r="AK352" s="34"/>
      <c r="AL352" s="34"/>
      <c r="AM352" s="34"/>
      <c r="AN352" s="34"/>
      <c r="AO352" s="65"/>
      <c r="AP352" s="69"/>
      <c r="AQ352" s="62"/>
      <c r="AR352" s="34"/>
    </row>
    <row r="353" spans="1:44" customFormat="1">
      <c r="A353" s="39">
        <v>43821</v>
      </c>
      <c r="B353" s="11" t="s">
        <v>49</v>
      </c>
      <c r="C353" s="16" t="s">
        <v>1378</v>
      </c>
      <c r="D353" s="16"/>
      <c r="E353" s="38">
        <v>23356</v>
      </c>
      <c r="F353" s="38"/>
      <c r="G353" s="10" t="s">
        <v>1379</v>
      </c>
      <c r="H353" s="12" t="s">
        <v>1380</v>
      </c>
      <c r="I353" s="13">
        <v>16.3</v>
      </c>
      <c r="J353" s="15" t="s">
        <v>1377</v>
      </c>
      <c r="K353" s="14" t="s">
        <v>1381</v>
      </c>
      <c r="L353" s="11" t="s">
        <v>36</v>
      </c>
      <c r="M353" s="15"/>
      <c r="N353" s="17">
        <v>11000</v>
      </c>
      <c r="O353" s="17"/>
      <c r="P353" s="17"/>
      <c r="Q353" s="48"/>
      <c r="R353" s="11"/>
      <c r="S353" s="48"/>
      <c r="T353" s="85"/>
      <c r="U353" s="88"/>
      <c r="V353" s="32" t="s">
        <v>105</v>
      </c>
      <c r="W353" s="25" t="s">
        <v>8</v>
      </c>
      <c r="X353" s="11"/>
      <c r="Y353" s="50" t="s">
        <v>13</v>
      </c>
      <c r="Z353" s="50"/>
      <c r="AA353" s="50"/>
      <c r="AB353" s="50"/>
      <c r="AC353" s="50"/>
      <c r="AD353" s="50"/>
      <c r="AE353" s="50"/>
      <c r="AF353" s="34"/>
      <c r="AG353" s="34"/>
      <c r="AH353" s="34"/>
      <c r="AI353" s="34"/>
      <c r="AJ353" s="34"/>
      <c r="AK353" s="34"/>
      <c r="AL353" s="34"/>
      <c r="AM353" s="34"/>
      <c r="AN353" s="34"/>
      <c r="AO353" s="65"/>
      <c r="AP353" s="69"/>
      <c r="AQ353" s="62"/>
      <c r="AR353" s="34"/>
    </row>
    <row r="354" spans="1:44" customFormat="1">
      <c r="A354" s="39">
        <v>43822</v>
      </c>
      <c r="B354" s="11" t="s">
        <v>49</v>
      </c>
      <c r="C354" s="16" t="s">
        <v>1383</v>
      </c>
      <c r="D354" s="16"/>
      <c r="E354" s="38">
        <v>30357</v>
      </c>
      <c r="F354" s="38"/>
      <c r="G354" s="10" t="s">
        <v>1384</v>
      </c>
      <c r="H354" s="12" t="s">
        <v>1385</v>
      </c>
      <c r="I354" s="13">
        <v>6.5</v>
      </c>
      <c r="J354" s="15" t="s">
        <v>1386</v>
      </c>
      <c r="K354" s="12"/>
      <c r="L354" s="11" t="s">
        <v>36</v>
      </c>
      <c r="M354" s="15"/>
      <c r="N354" s="17">
        <v>16500</v>
      </c>
      <c r="O354" s="17"/>
      <c r="P354" s="17"/>
      <c r="Q354" s="48"/>
      <c r="R354" s="11"/>
      <c r="S354" s="48"/>
      <c r="T354" s="85"/>
      <c r="U354" s="88"/>
      <c r="V354" s="32" t="s">
        <v>105</v>
      </c>
      <c r="W354" s="25" t="s">
        <v>48</v>
      </c>
      <c r="X354" s="11"/>
      <c r="Y354" s="50" t="s">
        <v>13</v>
      </c>
      <c r="Z354" s="50"/>
      <c r="AA354" s="50"/>
      <c r="AB354" s="50"/>
      <c r="AC354" s="50"/>
      <c r="AD354" s="50"/>
      <c r="AE354" s="50"/>
      <c r="AF354" s="34"/>
      <c r="AG354" s="34"/>
      <c r="AH354" s="34"/>
      <c r="AI354" s="34"/>
      <c r="AJ354" s="34"/>
      <c r="AK354" s="34"/>
      <c r="AL354" s="34"/>
      <c r="AM354" s="34"/>
      <c r="AN354" s="34"/>
      <c r="AO354" s="65"/>
      <c r="AP354" s="69"/>
      <c r="AQ354" s="62"/>
      <c r="AR354" s="34"/>
    </row>
    <row r="355" spans="1:44" customFormat="1">
      <c r="A355" s="39">
        <v>43827</v>
      </c>
      <c r="B355" s="11" t="s">
        <v>49</v>
      </c>
      <c r="C355" s="16" t="s">
        <v>1387</v>
      </c>
      <c r="D355" s="16"/>
      <c r="E355" s="38">
        <v>30724</v>
      </c>
      <c r="F355" s="38"/>
      <c r="G355" s="10" t="s">
        <v>1388</v>
      </c>
      <c r="H355" s="12" t="s">
        <v>1389</v>
      </c>
      <c r="I355" s="13">
        <v>14.3</v>
      </c>
      <c r="J355" s="15" t="s">
        <v>1390</v>
      </c>
      <c r="K355" s="12"/>
      <c r="L355" s="11" t="s">
        <v>36</v>
      </c>
      <c r="M355" s="15"/>
      <c r="N355" s="17">
        <v>16500</v>
      </c>
      <c r="O355" s="17"/>
      <c r="P355" s="17"/>
      <c r="Q355" s="48"/>
      <c r="R355" s="11"/>
      <c r="S355" s="48"/>
      <c r="T355" s="85"/>
      <c r="U355" s="88"/>
      <c r="V355" s="32" t="s">
        <v>105</v>
      </c>
      <c r="W355" s="25" t="s">
        <v>48</v>
      </c>
      <c r="X355" s="11"/>
      <c r="Y355" s="50" t="s">
        <v>12</v>
      </c>
      <c r="Z355" s="50"/>
      <c r="AA355" s="50"/>
      <c r="AB355" s="50"/>
      <c r="AC355" s="50"/>
      <c r="AD355" s="50"/>
      <c r="AE355" s="50"/>
      <c r="AF355" s="34"/>
      <c r="AG355" s="34"/>
      <c r="AH355" s="34"/>
      <c r="AI355" s="34"/>
      <c r="AJ355" s="34"/>
      <c r="AK355" s="34"/>
      <c r="AL355" s="34"/>
      <c r="AM355" s="34"/>
      <c r="AN355" s="34"/>
      <c r="AO355" s="65"/>
      <c r="AP355" s="69"/>
      <c r="AQ355" s="62"/>
      <c r="AR355" s="34"/>
    </row>
    <row r="356" spans="1:44" customFormat="1">
      <c r="A356" s="39">
        <v>43828</v>
      </c>
      <c r="B356" s="11" t="s">
        <v>528</v>
      </c>
      <c r="C356" s="16" t="s">
        <v>154</v>
      </c>
      <c r="D356" s="16"/>
      <c r="E356" s="38">
        <v>20391</v>
      </c>
      <c r="F356" s="38"/>
      <c r="G356" s="10" t="s">
        <v>155</v>
      </c>
      <c r="H356" s="12" t="s">
        <v>156</v>
      </c>
      <c r="I356" s="13">
        <v>6.3</v>
      </c>
      <c r="J356" s="15" t="s">
        <v>157</v>
      </c>
      <c r="K356" s="14" t="s">
        <v>158</v>
      </c>
      <c r="L356" s="11" t="s">
        <v>36</v>
      </c>
      <c r="M356" s="15"/>
      <c r="N356" s="17">
        <v>5500</v>
      </c>
      <c r="O356" s="17"/>
      <c r="P356" s="17"/>
      <c r="Q356" s="48"/>
      <c r="R356" s="11"/>
      <c r="S356" s="48"/>
      <c r="T356" s="85"/>
      <c r="U356" s="88"/>
      <c r="V356" s="32" t="s">
        <v>1391</v>
      </c>
      <c r="W356" s="25" t="s">
        <v>48</v>
      </c>
      <c r="X356" s="11"/>
      <c r="Y356" s="50" t="s">
        <v>14</v>
      </c>
      <c r="Z356" s="50"/>
      <c r="AA356" s="50"/>
      <c r="AB356" s="50"/>
      <c r="AC356" s="50"/>
      <c r="AD356" s="50"/>
      <c r="AE356" s="50"/>
      <c r="AF356" s="34"/>
      <c r="AG356" s="34"/>
      <c r="AH356" s="34"/>
      <c r="AI356" s="34"/>
      <c r="AJ356" s="34"/>
      <c r="AK356" s="34"/>
      <c r="AL356" s="34"/>
      <c r="AM356" s="34"/>
      <c r="AN356" s="34"/>
      <c r="AO356" s="65"/>
      <c r="AP356" s="69"/>
      <c r="AQ356" s="62"/>
      <c r="AR356" s="34"/>
    </row>
    <row r="357" spans="1:44" customFormat="1">
      <c r="A357" s="39">
        <v>43834</v>
      </c>
      <c r="B357" s="11" t="s">
        <v>22</v>
      </c>
      <c r="C357" s="16" t="s">
        <v>1392</v>
      </c>
      <c r="D357" s="16"/>
      <c r="E357" s="38">
        <v>19672</v>
      </c>
      <c r="F357" s="38"/>
      <c r="G357" s="10" t="s">
        <v>1393</v>
      </c>
      <c r="H357" s="12" t="s">
        <v>1394</v>
      </c>
      <c r="I357" s="13">
        <v>2.1</v>
      </c>
      <c r="J357" s="15" t="s">
        <v>1396</v>
      </c>
      <c r="K357" s="14" t="s">
        <v>1395</v>
      </c>
      <c r="L357" s="11" t="s">
        <v>33</v>
      </c>
      <c r="M357" s="15"/>
      <c r="N357" s="17">
        <v>0</v>
      </c>
      <c r="O357" s="17"/>
      <c r="P357" s="17"/>
      <c r="Q357" s="48"/>
      <c r="R357" s="11"/>
      <c r="S357" s="48"/>
      <c r="T357" s="85" t="s">
        <v>81</v>
      </c>
      <c r="U357" s="88"/>
      <c r="V357" s="32" t="s">
        <v>1397</v>
      </c>
      <c r="W357" s="25" t="s">
        <v>10</v>
      </c>
      <c r="X357" s="11"/>
      <c r="Y357" s="50" t="s">
        <v>12</v>
      </c>
      <c r="Z357" s="50"/>
      <c r="AA357" s="50"/>
      <c r="AB357" s="50"/>
      <c r="AC357" s="50"/>
      <c r="AD357" s="50"/>
      <c r="AE357" s="50"/>
      <c r="AF357" s="34"/>
      <c r="AG357" s="34"/>
      <c r="AH357" s="34"/>
      <c r="AI357" s="34"/>
      <c r="AJ357" s="34"/>
      <c r="AK357" s="34"/>
      <c r="AL357" s="34"/>
      <c r="AM357" s="34"/>
      <c r="AN357" s="34"/>
      <c r="AO357" s="65"/>
      <c r="AP357" s="69"/>
      <c r="AQ357" s="62"/>
      <c r="AR357" s="34"/>
    </row>
    <row r="358" spans="1:44" customFormat="1">
      <c r="A358" s="39">
        <v>43835</v>
      </c>
      <c r="B358" s="11" t="s">
        <v>528</v>
      </c>
      <c r="C358" s="16" t="s">
        <v>1399</v>
      </c>
      <c r="D358" s="16"/>
      <c r="E358" s="38"/>
      <c r="F358" s="38"/>
      <c r="G358" s="10"/>
      <c r="H358" s="12"/>
      <c r="I358" s="13"/>
      <c r="J358" s="15"/>
      <c r="K358" s="12"/>
      <c r="L358" s="11"/>
      <c r="M358" s="15"/>
      <c r="N358" s="17">
        <v>5500</v>
      </c>
      <c r="O358" s="17"/>
      <c r="P358" s="17"/>
      <c r="Q358" s="48"/>
      <c r="R358" s="11"/>
      <c r="S358" s="48"/>
      <c r="T358" s="85"/>
      <c r="U358" s="88"/>
      <c r="V358" s="32" t="s">
        <v>1400</v>
      </c>
      <c r="W358" s="25"/>
      <c r="X358" s="11"/>
      <c r="Y358" s="50"/>
      <c r="Z358" s="50"/>
      <c r="AA358" s="50"/>
      <c r="AB358" s="50"/>
      <c r="AC358" s="50"/>
      <c r="AD358" s="50"/>
      <c r="AE358" s="50"/>
      <c r="AF358" s="34"/>
      <c r="AG358" s="34"/>
      <c r="AH358" s="34"/>
      <c r="AI358" s="34"/>
      <c r="AJ358" s="34"/>
      <c r="AK358" s="34"/>
      <c r="AL358" s="34"/>
      <c r="AM358" s="34"/>
      <c r="AN358" s="34"/>
      <c r="AO358" s="65"/>
      <c r="AP358" s="69"/>
      <c r="AQ358" s="62"/>
      <c r="AR358" s="34"/>
    </row>
    <row r="359" spans="1:44" customFormat="1">
      <c r="A359" s="39">
        <v>43835</v>
      </c>
      <c r="B359" s="11" t="s">
        <v>22</v>
      </c>
      <c r="C359" s="16" t="s">
        <v>1401</v>
      </c>
      <c r="D359" s="16"/>
      <c r="E359" s="38">
        <v>16336</v>
      </c>
      <c r="F359" s="38"/>
      <c r="G359" s="10" t="s">
        <v>617</v>
      </c>
      <c r="H359" s="12" t="s">
        <v>1403</v>
      </c>
      <c r="I359" s="13">
        <v>4.0999999999999996</v>
      </c>
      <c r="J359" s="15" t="s">
        <v>1406</v>
      </c>
      <c r="K359" s="14" t="s">
        <v>1404</v>
      </c>
      <c r="L359" s="11" t="s">
        <v>34</v>
      </c>
      <c r="M359" s="15"/>
      <c r="N359" s="17">
        <v>2750</v>
      </c>
      <c r="O359" s="17"/>
      <c r="P359" s="17"/>
      <c r="Q359" s="48"/>
      <c r="R359" s="11"/>
      <c r="S359" s="48"/>
      <c r="T359" s="85"/>
      <c r="U359" s="88"/>
      <c r="V359" s="32"/>
      <c r="W359" s="25" t="s">
        <v>9</v>
      </c>
      <c r="X359" s="11"/>
      <c r="Y359" s="50" t="s">
        <v>18</v>
      </c>
      <c r="Z359" s="50"/>
      <c r="AA359" s="50"/>
      <c r="AB359" s="50"/>
      <c r="AC359" s="50"/>
      <c r="AD359" s="50"/>
      <c r="AE359" s="50"/>
      <c r="AF359" s="34"/>
      <c r="AG359" s="34"/>
      <c r="AH359" s="34"/>
      <c r="AI359" s="34"/>
      <c r="AJ359" s="34"/>
      <c r="AK359" s="34"/>
      <c r="AL359" s="34"/>
      <c r="AM359" s="34"/>
      <c r="AN359" s="34"/>
      <c r="AO359" s="65"/>
      <c r="AP359" s="69"/>
      <c r="AQ359" s="62"/>
      <c r="AR359" s="34"/>
    </row>
    <row r="360" spans="1:44" customFormat="1">
      <c r="A360" s="39">
        <v>43835</v>
      </c>
      <c r="B360" s="11" t="s">
        <v>22</v>
      </c>
      <c r="C360" s="16" t="s">
        <v>1402</v>
      </c>
      <c r="D360" s="16"/>
      <c r="E360" s="38">
        <v>28358</v>
      </c>
      <c r="F360" s="38"/>
      <c r="G360" s="10" t="s">
        <v>617</v>
      </c>
      <c r="H360" s="12" t="s">
        <v>1403</v>
      </c>
      <c r="I360" s="13">
        <v>4.0999999999999996</v>
      </c>
      <c r="J360" s="15" t="s">
        <v>1407</v>
      </c>
      <c r="K360" s="14" t="s">
        <v>1405</v>
      </c>
      <c r="L360" s="11" t="s">
        <v>34</v>
      </c>
      <c r="M360" s="15"/>
      <c r="N360" s="17">
        <v>2750</v>
      </c>
      <c r="O360" s="17"/>
      <c r="P360" s="17"/>
      <c r="Q360" s="48"/>
      <c r="R360" s="11"/>
      <c r="S360" s="48"/>
      <c r="T360" s="85"/>
      <c r="U360" s="88"/>
      <c r="V360" s="32"/>
      <c r="W360" s="25" t="s">
        <v>9</v>
      </c>
      <c r="X360" s="11"/>
      <c r="Y360" s="50" t="s">
        <v>18</v>
      </c>
      <c r="Z360" s="50"/>
      <c r="AA360" s="50"/>
      <c r="AB360" s="50"/>
      <c r="AC360" s="50"/>
      <c r="AD360" s="50"/>
      <c r="AE360" s="50"/>
      <c r="AF360" s="34"/>
      <c r="AG360" s="34"/>
      <c r="AH360" s="34"/>
      <c r="AI360" s="34"/>
      <c r="AJ360" s="34"/>
      <c r="AK360" s="34"/>
      <c r="AL360" s="34"/>
      <c r="AM360" s="34"/>
      <c r="AN360" s="34"/>
      <c r="AO360" s="65"/>
      <c r="AP360" s="69"/>
      <c r="AQ360" s="62"/>
      <c r="AR360" s="34"/>
    </row>
    <row r="361" spans="1:44" customFormat="1">
      <c r="A361" s="39">
        <v>43838</v>
      </c>
      <c r="B361" s="11" t="s">
        <v>528</v>
      </c>
      <c r="C361" s="16" t="s">
        <v>494</v>
      </c>
      <c r="D361" s="16"/>
      <c r="E361" s="38"/>
      <c r="F361" s="38"/>
      <c r="G361" s="10"/>
      <c r="H361" s="12"/>
      <c r="I361" s="13"/>
      <c r="J361" s="15"/>
      <c r="K361" s="12"/>
      <c r="L361" s="11"/>
      <c r="M361" s="15"/>
      <c r="N361" s="17">
        <v>5500</v>
      </c>
      <c r="O361" s="17"/>
      <c r="P361" s="17"/>
      <c r="Q361" s="48"/>
      <c r="R361" s="11"/>
      <c r="S361" s="48"/>
      <c r="T361" s="85"/>
      <c r="U361" s="88"/>
      <c r="V361" s="32"/>
      <c r="W361" s="25"/>
      <c r="X361" s="11"/>
      <c r="Y361" s="50"/>
      <c r="Z361" s="50"/>
      <c r="AA361" s="50"/>
      <c r="AB361" s="50"/>
      <c r="AC361" s="50"/>
      <c r="AD361" s="50"/>
      <c r="AE361" s="50"/>
      <c r="AF361" s="34"/>
      <c r="AG361" s="34"/>
      <c r="AH361" s="34"/>
      <c r="AI361" s="34"/>
      <c r="AJ361" s="34"/>
      <c r="AK361" s="34"/>
      <c r="AL361" s="34"/>
      <c r="AM361" s="34"/>
      <c r="AN361" s="34"/>
      <c r="AO361" s="65"/>
      <c r="AP361" s="69"/>
      <c r="AQ361" s="62"/>
      <c r="AR361" s="34"/>
    </row>
    <row r="362" spans="1:44" customFormat="1">
      <c r="A362" s="39">
        <v>43841</v>
      </c>
      <c r="B362" s="11" t="s">
        <v>528</v>
      </c>
      <c r="C362" s="16" t="s">
        <v>1387</v>
      </c>
      <c r="D362" s="16"/>
      <c r="E362" s="38">
        <v>30724</v>
      </c>
      <c r="F362" s="38"/>
      <c r="G362" s="10" t="s">
        <v>1388</v>
      </c>
      <c r="H362" s="12" t="s">
        <v>1389</v>
      </c>
      <c r="I362" s="13">
        <v>14.3</v>
      </c>
      <c r="J362" s="15" t="s">
        <v>1390</v>
      </c>
      <c r="K362" s="12"/>
      <c r="L362" s="11" t="s">
        <v>36</v>
      </c>
      <c r="M362" s="15"/>
      <c r="N362" s="17">
        <v>4950</v>
      </c>
      <c r="O362" s="17"/>
      <c r="P362" s="17"/>
      <c r="Q362" s="48"/>
      <c r="R362" s="11"/>
      <c r="S362" s="48"/>
      <c r="T362" s="85"/>
      <c r="U362" s="88"/>
      <c r="V362" s="32" t="s">
        <v>1411</v>
      </c>
      <c r="W362" s="25"/>
      <c r="X362" s="11"/>
      <c r="Y362" s="50"/>
      <c r="Z362" s="50"/>
      <c r="AA362" s="50"/>
      <c r="AB362" s="50"/>
      <c r="AC362" s="50"/>
      <c r="AD362" s="50"/>
      <c r="AE362" s="50"/>
      <c r="AF362" s="34"/>
      <c r="AG362" s="34"/>
      <c r="AH362" s="34"/>
      <c r="AI362" s="34"/>
      <c r="AJ362" s="34"/>
      <c r="AK362" s="34"/>
      <c r="AL362" s="34"/>
      <c r="AM362" s="34"/>
      <c r="AN362" s="34"/>
      <c r="AO362" s="65"/>
      <c r="AP362" s="69"/>
      <c r="AQ362" s="62"/>
      <c r="AR362" s="34"/>
    </row>
    <row r="363" spans="1:44" customFormat="1">
      <c r="A363" s="39">
        <v>43842</v>
      </c>
      <c r="B363" s="11" t="s">
        <v>22</v>
      </c>
      <c r="C363" s="16" t="s">
        <v>1412</v>
      </c>
      <c r="D363" s="16"/>
      <c r="E363" s="38">
        <v>27575</v>
      </c>
      <c r="F363" s="38"/>
      <c r="G363" s="10" t="s">
        <v>1413</v>
      </c>
      <c r="H363" s="12" t="s">
        <v>1414</v>
      </c>
      <c r="I363" s="13">
        <v>5.2</v>
      </c>
      <c r="J363" s="15" t="s">
        <v>1416</v>
      </c>
      <c r="K363" s="14" t="s">
        <v>1415</v>
      </c>
      <c r="L363" s="11" t="s">
        <v>34</v>
      </c>
      <c r="M363" s="15"/>
      <c r="N363" s="17">
        <v>2750</v>
      </c>
      <c r="O363" s="17"/>
      <c r="P363" s="17"/>
      <c r="Q363" s="48"/>
      <c r="R363" s="11"/>
      <c r="S363" s="48"/>
      <c r="T363" s="85"/>
      <c r="U363" s="88"/>
      <c r="V363" s="32"/>
      <c r="W363" s="25" t="s">
        <v>9</v>
      </c>
      <c r="X363" s="11"/>
      <c r="Y363" s="50" t="s">
        <v>11</v>
      </c>
      <c r="Z363" s="50"/>
      <c r="AA363" s="50"/>
      <c r="AB363" s="50"/>
      <c r="AC363" s="50"/>
      <c r="AD363" s="50"/>
      <c r="AE363" s="50"/>
      <c r="AF363" s="34"/>
      <c r="AG363" s="34"/>
      <c r="AH363" s="34"/>
      <c r="AI363" s="34"/>
      <c r="AJ363" s="34"/>
      <c r="AK363" s="34"/>
      <c r="AL363" s="34"/>
      <c r="AM363" s="34"/>
      <c r="AN363" s="34"/>
      <c r="AO363" s="65"/>
      <c r="AP363" s="69"/>
      <c r="AQ363" s="62"/>
      <c r="AR363" s="34"/>
    </row>
    <row r="364" spans="1:44" customFormat="1">
      <c r="A364" s="39">
        <v>43842</v>
      </c>
      <c r="B364" s="11" t="s">
        <v>49</v>
      </c>
      <c r="C364" s="16" t="s">
        <v>1417</v>
      </c>
      <c r="D364" s="16"/>
      <c r="E364" s="38">
        <v>22723</v>
      </c>
      <c r="F364" s="38"/>
      <c r="G364" s="10" t="s">
        <v>1418</v>
      </c>
      <c r="H364" s="12" t="s">
        <v>1419</v>
      </c>
      <c r="I364" s="13">
        <v>549</v>
      </c>
      <c r="J364" s="15" t="s">
        <v>1420</v>
      </c>
      <c r="K364" s="12"/>
      <c r="L364" s="11" t="s">
        <v>39</v>
      </c>
      <c r="M364" s="15"/>
      <c r="N364" s="17">
        <v>16500</v>
      </c>
      <c r="O364" s="17"/>
      <c r="P364" s="17"/>
      <c r="Q364" s="48"/>
      <c r="R364" s="11"/>
      <c r="S364" s="48"/>
      <c r="T364" s="85"/>
      <c r="U364" s="88"/>
      <c r="V364" s="32"/>
      <c r="W364" s="25" t="s">
        <v>48</v>
      </c>
      <c r="X364" s="11"/>
      <c r="Y364" s="50"/>
      <c r="Z364" s="50"/>
      <c r="AA364" s="50"/>
      <c r="AB364" s="50"/>
      <c r="AC364" s="50"/>
      <c r="AD364" s="50"/>
      <c r="AE364" s="50"/>
      <c r="AF364" s="34"/>
      <c r="AG364" s="34"/>
      <c r="AH364" s="34"/>
      <c r="AI364" s="34"/>
      <c r="AJ364" s="34"/>
      <c r="AK364" s="34"/>
      <c r="AL364" s="34"/>
      <c r="AM364" s="34"/>
      <c r="AN364" s="34"/>
      <c r="AO364" s="65"/>
      <c r="AP364" s="69"/>
      <c r="AQ364" s="62"/>
      <c r="AR364" s="34"/>
    </row>
    <row r="365" spans="1:44" customFormat="1">
      <c r="A365" s="39">
        <v>43842</v>
      </c>
      <c r="B365" s="11" t="s">
        <v>49</v>
      </c>
      <c r="C365" s="16" t="s">
        <v>1421</v>
      </c>
      <c r="D365" s="16"/>
      <c r="E365" s="38">
        <v>25756</v>
      </c>
      <c r="F365" s="38"/>
      <c r="G365" s="10" t="s">
        <v>1422</v>
      </c>
      <c r="H365" s="12" t="s">
        <v>1423</v>
      </c>
      <c r="I365" s="13">
        <v>29.9</v>
      </c>
      <c r="J365" s="15" t="s">
        <v>1424</v>
      </c>
      <c r="K365" s="12"/>
      <c r="L365" s="11" t="s">
        <v>33</v>
      </c>
      <c r="M365" s="15"/>
      <c r="N365" s="17">
        <v>0</v>
      </c>
      <c r="O365" s="17"/>
      <c r="P365" s="17"/>
      <c r="Q365" s="48"/>
      <c r="R365" s="11"/>
      <c r="S365" s="48"/>
      <c r="T365" s="85"/>
      <c r="U365" s="88"/>
      <c r="V365" s="32" t="s">
        <v>1425</v>
      </c>
      <c r="W365" s="25" t="s">
        <v>10</v>
      </c>
      <c r="X365" s="11"/>
      <c r="Y365" s="50" t="s">
        <v>12</v>
      </c>
      <c r="Z365" s="50"/>
      <c r="AA365" s="50"/>
      <c r="AB365" s="50"/>
      <c r="AC365" s="50"/>
      <c r="AD365" s="50"/>
      <c r="AE365" s="50"/>
      <c r="AF365" s="34"/>
      <c r="AG365" s="34"/>
      <c r="AH365" s="34"/>
      <c r="AI365" s="34"/>
      <c r="AJ365" s="34"/>
      <c r="AK365" s="34"/>
      <c r="AL365" s="34"/>
      <c r="AM365" s="34"/>
      <c r="AN365" s="34"/>
      <c r="AO365" s="65"/>
      <c r="AP365" s="69"/>
      <c r="AQ365" s="62"/>
      <c r="AR365" s="34"/>
    </row>
    <row r="366" spans="1:44" customFormat="1">
      <c r="A366" s="39">
        <v>43845</v>
      </c>
      <c r="B366" s="11" t="s">
        <v>49</v>
      </c>
      <c r="C366" s="16" t="s">
        <v>186</v>
      </c>
      <c r="D366" s="16"/>
      <c r="E366" s="38">
        <v>25300</v>
      </c>
      <c r="F366" s="38"/>
      <c r="G366" s="10" t="s">
        <v>187</v>
      </c>
      <c r="H366" s="12" t="s">
        <v>188</v>
      </c>
      <c r="I366" s="13">
        <v>11.5</v>
      </c>
      <c r="J366" s="15" t="s">
        <v>190</v>
      </c>
      <c r="K366" s="14" t="s">
        <v>189</v>
      </c>
      <c r="L366" s="11" t="s">
        <v>36</v>
      </c>
      <c r="M366" s="15"/>
      <c r="N366" s="17">
        <v>16500</v>
      </c>
      <c r="O366" s="17"/>
      <c r="P366" s="17"/>
      <c r="Q366" s="48"/>
      <c r="R366" s="11"/>
      <c r="S366" s="48"/>
      <c r="T366" s="85"/>
      <c r="U366" s="88"/>
      <c r="V366" s="32" t="s">
        <v>1426</v>
      </c>
      <c r="W366" s="25"/>
      <c r="X366" s="11"/>
      <c r="Y366" s="50" t="s">
        <v>13</v>
      </c>
      <c r="Z366" s="50"/>
      <c r="AA366" s="50"/>
      <c r="AB366" s="50"/>
      <c r="AC366" s="50"/>
      <c r="AD366" s="50"/>
      <c r="AE366" s="50"/>
      <c r="AF366" s="34"/>
      <c r="AG366" s="34"/>
      <c r="AH366" s="34"/>
      <c r="AI366" s="34"/>
      <c r="AJ366" s="34"/>
      <c r="AK366" s="34"/>
      <c r="AL366" s="34"/>
      <c r="AM366" s="34"/>
      <c r="AN366" s="34"/>
      <c r="AO366" s="65"/>
      <c r="AP366" s="69"/>
      <c r="AQ366" s="62"/>
      <c r="AR366" s="34"/>
    </row>
    <row r="367" spans="1:44" customFormat="1">
      <c r="A367" s="39">
        <v>43848</v>
      </c>
      <c r="B367" s="11" t="s">
        <v>22</v>
      </c>
      <c r="C367" s="16" t="s">
        <v>1427</v>
      </c>
      <c r="D367" s="16"/>
      <c r="E367" s="38">
        <v>26585</v>
      </c>
      <c r="F367" s="38"/>
      <c r="G367" s="10" t="s">
        <v>252</v>
      </c>
      <c r="H367" s="12" t="s">
        <v>1428</v>
      </c>
      <c r="I367" s="13">
        <v>2.8</v>
      </c>
      <c r="J367" s="15" t="s">
        <v>1429</v>
      </c>
      <c r="K367" s="12"/>
      <c r="L367" s="11" t="s">
        <v>36</v>
      </c>
      <c r="M367" s="15"/>
      <c r="N367" s="17">
        <v>2750</v>
      </c>
      <c r="O367" s="17"/>
      <c r="P367" s="17"/>
      <c r="Q367" s="48"/>
      <c r="R367" s="11"/>
      <c r="S367" s="48"/>
      <c r="T367" s="85"/>
      <c r="U367" s="88"/>
      <c r="V367" s="32" t="s">
        <v>1430</v>
      </c>
      <c r="W367" s="25" t="s">
        <v>8</v>
      </c>
      <c r="X367" s="11"/>
      <c r="Y367" s="50" t="s">
        <v>14</v>
      </c>
      <c r="Z367" s="50"/>
      <c r="AA367" s="50"/>
      <c r="AB367" s="50"/>
      <c r="AC367" s="50"/>
      <c r="AD367" s="50"/>
      <c r="AE367" s="50"/>
      <c r="AF367" s="34"/>
      <c r="AG367" s="34"/>
      <c r="AH367" s="34"/>
      <c r="AI367" s="34"/>
      <c r="AJ367" s="34"/>
      <c r="AK367" s="34"/>
      <c r="AL367" s="34"/>
      <c r="AM367" s="34"/>
      <c r="AN367" s="34"/>
      <c r="AO367" s="65"/>
      <c r="AP367" s="69"/>
      <c r="AQ367" s="62"/>
      <c r="AR367" s="34"/>
    </row>
    <row r="368" spans="1:44" customFormat="1">
      <c r="A368" s="39">
        <v>43849</v>
      </c>
      <c r="B368" s="11" t="s">
        <v>22</v>
      </c>
      <c r="C368" s="16" t="s">
        <v>1431</v>
      </c>
      <c r="D368" s="16"/>
      <c r="E368" s="38">
        <v>24571</v>
      </c>
      <c r="F368" s="38"/>
      <c r="G368" s="10" t="s">
        <v>1433</v>
      </c>
      <c r="H368" s="12" t="s">
        <v>1434</v>
      </c>
      <c r="I368" s="13">
        <v>1.5</v>
      </c>
      <c r="J368" s="15" t="s">
        <v>1436</v>
      </c>
      <c r="K368" s="12"/>
      <c r="L368" s="11" t="s">
        <v>34</v>
      </c>
      <c r="M368" s="15"/>
      <c r="N368" s="17">
        <v>2750</v>
      </c>
      <c r="O368" s="17"/>
      <c r="P368" s="17"/>
      <c r="Q368" s="48"/>
      <c r="R368" s="11"/>
      <c r="S368" s="48"/>
      <c r="T368" s="85"/>
      <c r="U368" s="88"/>
      <c r="V368" s="32"/>
      <c r="W368" s="25" t="s">
        <v>48</v>
      </c>
      <c r="X368" s="11"/>
      <c r="Y368" s="50" t="s">
        <v>14</v>
      </c>
      <c r="Z368" s="50"/>
      <c r="AA368" s="50"/>
      <c r="AB368" s="50"/>
      <c r="AC368" s="50"/>
      <c r="AD368" s="50"/>
      <c r="AE368" s="50"/>
      <c r="AF368" s="34"/>
      <c r="AG368" s="34"/>
      <c r="AH368" s="34"/>
      <c r="AI368" s="34"/>
      <c r="AJ368" s="34"/>
      <c r="AK368" s="34"/>
      <c r="AL368" s="34"/>
      <c r="AM368" s="34"/>
      <c r="AN368" s="34"/>
      <c r="AO368" s="65"/>
      <c r="AP368" s="69"/>
      <c r="AQ368" s="62"/>
      <c r="AR368" s="34"/>
    </row>
    <row r="369" spans="1:44" customFormat="1">
      <c r="A369" s="39">
        <v>43849</v>
      </c>
      <c r="B369" s="11" t="s">
        <v>22</v>
      </c>
      <c r="C369" s="16" t="s">
        <v>1432</v>
      </c>
      <c r="D369" s="16"/>
      <c r="E369" s="38">
        <v>33142</v>
      </c>
      <c r="F369" s="38"/>
      <c r="G369" s="10" t="s">
        <v>344</v>
      </c>
      <c r="H369" s="12" t="s">
        <v>1435</v>
      </c>
      <c r="I369" s="13">
        <v>0.9</v>
      </c>
      <c r="J369" s="15" t="s">
        <v>1437</v>
      </c>
      <c r="K369" s="12"/>
      <c r="L369" s="11" t="s">
        <v>36</v>
      </c>
      <c r="M369" s="15"/>
      <c r="N369" s="17">
        <v>2750</v>
      </c>
      <c r="O369" s="17"/>
      <c r="P369" s="17"/>
      <c r="Q369" s="48"/>
      <c r="R369" s="11"/>
      <c r="S369" s="48"/>
      <c r="T369" s="85"/>
      <c r="U369" s="88"/>
      <c r="V369" s="32"/>
      <c r="W369" s="25" t="s">
        <v>48</v>
      </c>
      <c r="X369" s="11"/>
      <c r="Y369" s="50" t="s">
        <v>12</v>
      </c>
      <c r="Z369" s="50"/>
      <c r="AA369" s="50"/>
      <c r="AB369" s="50"/>
      <c r="AC369" s="50"/>
      <c r="AD369" s="50"/>
      <c r="AE369" s="50"/>
      <c r="AF369" s="34"/>
      <c r="AG369" s="34"/>
      <c r="AH369" s="34"/>
      <c r="AI369" s="34"/>
      <c r="AJ369" s="34"/>
      <c r="AK369" s="34"/>
      <c r="AL369" s="34"/>
      <c r="AM369" s="34"/>
      <c r="AN369" s="34"/>
      <c r="AO369" s="65"/>
      <c r="AP369" s="69"/>
      <c r="AQ369" s="62"/>
      <c r="AR369" s="34"/>
    </row>
    <row r="370" spans="1:44" customFormat="1">
      <c r="A370" s="39">
        <v>43850</v>
      </c>
      <c r="B370" s="11" t="s">
        <v>49</v>
      </c>
      <c r="C370" s="16" t="s">
        <v>1438</v>
      </c>
      <c r="D370" s="16"/>
      <c r="E370" s="38">
        <v>26004</v>
      </c>
      <c r="F370" s="38"/>
      <c r="G370" s="10" t="s">
        <v>73</v>
      </c>
      <c r="H370" s="12" t="s">
        <v>1439</v>
      </c>
      <c r="I370" s="13">
        <v>19.7</v>
      </c>
      <c r="J370" s="15" t="s">
        <v>1441</v>
      </c>
      <c r="K370" s="14" t="s">
        <v>1440</v>
      </c>
      <c r="L370" s="11" t="s">
        <v>34</v>
      </c>
      <c r="M370" s="15"/>
      <c r="N370" s="17">
        <v>16500</v>
      </c>
      <c r="O370" s="17"/>
      <c r="P370" s="17"/>
      <c r="Q370" s="48"/>
      <c r="R370" s="11"/>
      <c r="S370" s="48"/>
      <c r="T370" s="85"/>
      <c r="U370" s="88"/>
      <c r="V370" s="32" t="s">
        <v>105</v>
      </c>
      <c r="W370" s="25" t="s">
        <v>8</v>
      </c>
      <c r="X370" s="11"/>
      <c r="Y370" s="50" t="s">
        <v>14</v>
      </c>
      <c r="Z370" s="50"/>
      <c r="AA370" s="50"/>
      <c r="AB370" s="50"/>
      <c r="AC370" s="50"/>
      <c r="AD370" s="50"/>
      <c r="AE370" s="50"/>
      <c r="AF370" s="34"/>
      <c r="AG370" s="34"/>
      <c r="AH370" s="34"/>
      <c r="AI370" s="34"/>
      <c r="AJ370" s="34"/>
      <c r="AK370" s="34"/>
      <c r="AL370" s="34"/>
      <c r="AM370" s="34"/>
      <c r="AN370" s="34"/>
      <c r="AO370" s="65"/>
      <c r="AP370" s="69"/>
      <c r="AQ370" s="62"/>
      <c r="AR370" s="34"/>
    </row>
    <row r="371" spans="1:44" customFormat="1">
      <c r="A371" s="39">
        <v>43853</v>
      </c>
      <c r="B371" s="11" t="s">
        <v>49</v>
      </c>
      <c r="C371" s="16" t="s">
        <v>1442</v>
      </c>
      <c r="D371" s="16"/>
      <c r="E371" s="38">
        <v>18310</v>
      </c>
      <c r="F371" s="38"/>
      <c r="G371" s="10" t="s">
        <v>901</v>
      </c>
      <c r="H371" s="12" t="s">
        <v>1443</v>
      </c>
      <c r="I371" s="13">
        <v>3.7</v>
      </c>
      <c r="J371" s="15" t="s">
        <v>1445</v>
      </c>
      <c r="K371" s="14" t="s">
        <v>1444</v>
      </c>
      <c r="L371" s="11" t="s">
        <v>34</v>
      </c>
      <c r="M371" s="15"/>
      <c r="N371" s="17">
        <v>11000</v>
      </c>
      <c r="O371" s="17"/>
      <c r="P371" s="17"/>
      <c r="Q371" s="48"/>
      <c r="R371" s="11"/>
      <c r="S371" s="48"/>
      <c r="T371" s="85"/>
      <c r="U371" s="88"/>
      <c r="V371" s="32" t="s">
        <v>1292</v>
      </c>
      <c r="W371" s="25"/>
      <c r="X371" s="11"/>
      <c r="Y371" s="50"/>
      <c r="Z371" s="50"/>
      <c r="AA371" s="50"/>
      <c r="AB371" s="50"/>
      <c r="AC371" s="50"/>
      <c r="AD371" s="50"/>
      <c r="AE371" s="50"/>
      <c r="AF371" s="34"/>
      <c r="AG371" s="34"/>
      <c r="AH371" s="34"/>
      <c r="AI371" s="34"/>
      <c r="AJ371" s="34"/>
      <c r="AK371" s="34"/>
      <c r="AL371" s="34"/>
      <c r="AM371" s="34"/>
      <c r="AN371" s="34"/>
      <c r="AO371" s="65"/>
      <c r="AP371" s="69"/>
      <c r="AQ371" s="62"/>
      <c r="AR371" s="34"/>
    </row>
    <row r="372" spans="1:44" customFormat="1">
      <c r="A372" s="39">
        <v>43855</v>
      </c>
      <c r="B372" s="11" t="s">
        <v>49</v>
      </c>
      <c r="C372" s="16" t="s">
        <v>1446</v>
      </c>
      <c r="D372" s="16"/>
      <c r="E372" s="39">
        <v>36344</v>
      </c>
      <c r="F372" s="39"/>
      <c r="G372" s="11" t="s">
        <v>1447</v>
      </c>
      <c r="H372" s="16" t="s">
        <v>1448</v>
      </c>
      <c r="I372" s="13">
        <v>27</v>
      </c>
      <c r="J372" s="15" t="s">
        <v>1450</v>
      </c>
      <c r="K372" s="14" t="s">
        <v>1449</v>
      </c>
      <c r="L372" s="11" t="s">
        <v>39</v>
      </c>
      <c r="M372" s="15"/>
      <c r="N372" s="17">
        <v>11000</v>
      </c>
      <c r="O372" s="17"/>
      <c r="P372" s="17"/>
      <c r="Q372" s="48"/>
      <c r="R372" s="11"/>
      <c r="S372" s="48"/>
      <c r="T372" s="85"/>
      <c r="U372" s="88"/>
      <c r="V372" s="32" t="s">
        <v>879</v>
      </c>
      <c r="W372" s="25" t="s">
        <v>8</v>
      </c>
      <c r="X372" s="11"/>
      <c r="Y372" s="50" t="s">
        <v>12</v>
      </c>
      <c r="Z372" s="50"/>
      <c r="AA372" s="50"/>
      <c r="AB372" s="50"/>
      <c r="AC372" s="50"/>
      <c r="AD372" s="50"/>
      <c r="AE372" s="50"/>
      <c r="AF372" s="34"/>
      <c r="AG372" s="34"/>
      <c r="AH372" s="34"/>
      <c r="AI372" s="34"/>
      <c r="AJ372" s="34"/>
      <c r="AK372" s="34"/>
      <c r="AL372" s="34"/>
      <c r="AM372" s="34"/>
      <c r="AN372" s="34"/>
      <c r="AO372" s="65"/>
      <c r="AP372" s="69"/>
      <c r="AQ372" s="62"/>
      <c r="AR372" s="34"/>
    </row>
    <row r="373" spans="1:44" customFormat="1">
      <c r="A373" s="39">
        <v>43856</v>
      </c>
      <c r="B373" s="11" t="s">
        <v>22</v>
      </c>
      <c r="C373" s="16" t="s">
        <v>1399</v>
      </c>
      <c r="D373" s="16"/>
      <c r="E373" s="38">
        <v>19441</v>
      </c>
      <c r="F373" s="38"/>
      <c r="G373" s="10"/>
      <c r="H373" s="12"/>
      <c r="I373" s="13"/>
      <c r="J373" s="15" t="s">
        <v>1451</v>
      </c>
      <c r="K373" s="12"/>
      <c r="L373" s="11"/>
      <c r="M373" s="15"/>
      <c r="N373" s="17">
        <v>5500</v>
      </c>
      <c r="O373" s="17"/>
      <c r="P373" s="17"/>
      <c r="Q373" s="48"/>
      <c r="R373" s="11"/>
      <c r="S373" s="48"/>
      <c r="T373" s="85"/>
      <c r="U373" s="88"/>
      <c r="V373" s="32" t="s">
        <v>1457</v>
      </c>
      <c r="W373" s="25"/>
      <c r="X373" s="11"/>
      <c r="Y373" s="50"/>
      <c r="Z373" s="50"/>
      <c r="AA373" s="50"/>
      <c r="AB373" s="50"/>
      <c r="AC373" s="50"/>
      <c r="AD373" s="50"/>
      <c r="AE373" s="50"/>
      <c r="AF373" s="34"/>
      <c r="AG373" s="34"/>
      <c r="AH373" s="34"/>
      <c r="AI373" s="34"/>
      <c r="AJ373" s="34"/>
      <c r="AK373" s="34"/>
      <c r="AL373" s="34"/>
      <c r="AM373" s="34"/>
      <c r="AN373" s="34"/>
      <c r="AO373" s="65"/>
      <c r="AP373" s="69"/>
      <c r="AQ373" s="62"/>
      <c r="AR373" s="34"/>
    </row>
    <row r="374" spans="1:44" customFormat="1">
      <c r="A374" s="39">
        <v>43856</v>
      </c>
      <c r="B374" s="11" t="s">
        <v>49</v>
      </c>
      <c r="C374" s="16" t="s">
        <v>1452</v>
      </c>
      <c r="D374" s="16"/>
      <c r="E374" s="38">
        <v>33120</v>
      </c>
      <c r="F374" s="38"/>
      <c r="G374" s="10" t="s">
        <v>1453</v>
      </c>
      <c r="H374" s="12" t="s">
        <v>1454</v>
      </c>
      <c r="I374" s="13">
        <v>36.299999999999997</v>
      </c>
      <c r="J374" s="15" t="s">
        <v>1455</v>
      </c>
      <c r="K374" s="12"/>
      <c r="L374" s="11" t="s">
        <v>36</v>
      </c>
      <c r="M374" s="15"/>
      <c r="N374" s="17">
        <v>11000</v>
      </c>
      <c r="O374" s="17"/>
      <c r="P374" s="17"/>
      <c r="Q374" s="48"/>
      <c r="R374" s="11"/>
      <c r="S374" s="48"/>
      <c r="T374" s="85"/>
      <c r="U374" s="88"/>
      <c r="V374" s="32" t="s">
        <v>1456</v>
      </c>
      <c r="W374" s="25" t="s">
        <v>8</v>
      </c>
      <c r="X374" s="11"/>
      <c r="Y374" s="50" t="s">
        <v>13</v>
      </c>
      <c r="Z374" s="50"/>
      <c r="AA374" s="50"/>
      <c r="AB374" s="50"/>
      <c r="AC374" s="50"/>
      <c r="AD374" s="50"/>
      <c r="AE374" s="50"/>
      <c r="AF374" s="34"/>
      <c r="AG374" s="34"/>
      <c r="AH374" s="34"/>
      <c r="AI374" s="34"/>
      <c r="AJ374" s="34"/>
      <c r="AK374" s="34"/>
      <c r="AL374" s="34"/>
      <c r="AM374" s="34"/>
      <c r="AN374" s="34"/>
      <c r="AO374" s="65"/>
      <c r="AP374" s="69"/>
      <c r="AQ374" s="62"/>
      <c r="AR374" s="34"/>
    </row>
    <row r="375" spans="1:44" customFormat="1">
      <c r="A375" s="39">
        <v>43857</v>
      </c>
      <c r="B375" s="11" t="s">
        <v>23</v>
      </c>
      <c r="C375" s="16" t="s">
        <v>1458</v>
      </c>
      <c r="D375" s="16"/>
      <c r="E375" s="38">
        <v>37946</v>
      </c>
      <c r="F375" s="38"/>
      <c r="G375" s="10" t="s">
        <v>1462</v>
      </c>
      <c r="H375" s="12" t="s">
        <v>1459</v>
      </c>
      <c r="I375" s="13">
        <v>1772</v>
      </c>
      <c r="J375" s="15" t="s">
        <v>1460</v>
      </c>
      <c r="K375" s="14" t="s">
        <v>1461</v>
      </c>
      <c r="L375" s="11"/>
      <c r="M375" s="15"/>
      <c r="N375" s="17">
        <v>22000</v>
      </c>
      <c r="O375" s="17"/>
      <c r="P375" s="17"/>
      <c r="Q375" s="48"/>
      <c r="R375" s="11"/>
      <c r="S375" s="48"/>
      <c r="T375" s="85"/>
      <c r="U375" s="88"/>
      <c r="V375" s="32" t="s">
        <v>1463</v>
      </c>
      <c r="W375" s="25"/>
      <c r="X375" s="11"/>
      <c r="Y375" s="50"/>
      <c r="Z375" s="50"/>
      <c r="AA375" s="50"/>
      <c r="AB375" s="50"/>
      <c r="AC375" s="50"/>
      <c r="AD375" s="50"/>
      <c r="AE375" s="50"/>
      <c r="AF375" s="34"/>
      <c r="AG375" s="34"/>
      <c r="AH375" s="34"/>
      <c r="AI375" s="34"/>
      <c r="AJ375" s="34"/>
      <c r="AK375" s="34"/>
      <c r="AL375" s="34"/>
      <c r="AM375" s="34"/>
      <c r="AN375" s="34"/>
      <c r="AO375" s="65"/>
      <c r="AP375" s="69"/>
      <c r="AQ375" s="62"/>
      <c r="AR375" s="34"/>
    </row>
    <row r="376" spans="1:44" customFormat="1">
      <c r="A376" s="39">
        <v>43862</v>
      </c>
      <c r="B376" s="11" t="s">
        <v>49</v>
      </c>
      <c r="C376" s="16" t="s">
        <v>1464</v>
      </c>
      <c r="D376" s="16"/>
      <c r="E376" s="38">
        <v>26530</v>
      </c>
      <c r="F376" s="38"/>
      <c r="G376" s="10" t="s">
        <v>485</v>
      </c>
      <c r="H376" s="12" t="s">
        <v>1465</v>
      </c>
      <c r="I376" s="13">
        <v>3.1</v>
      </c>
      <c r="J376" s="15" t="s">
        <v>1466</v>
      </c>
      <c r="K376" s="12"/>
      <c r="L376" s="11" t="s">
        <v>36</v>
      </c>
      <c r="M376" s="15"/>
      <c r="N376" s="17">
        <v>16500</v>
      </c>
      <c r="O376" s="17"/>
      <c r="P376" s="17"/>
      <c r="Q376" s="48"/>
      <c r="R376" s="11"/>
      <c r="S376" s="48"/>
      <c r="T376" s="85"/>
      <c r="U376" s="88"/>
      <c r="V376" s="32" t="s">
        <v>105</v>
      </c>
      <c r="W376" s="25" t="s">
        <v>10</v>
      </c>
      <c r="X376" s="11"/>
      <c r="Y376" s="50" t="s">
        <v>13</v>
      </c>
      <c r="Z376" s="50"/>
      <c r="AA376" s="50"/>
      <c r="AB376" s="50"/>
      <c r="AC376" s="50"/>
      <c r="AD376" s="50"/>
      <c r="AE376" s="50"/>
      <c r="AF376" s="34"/>
      <c r="AG376" s="34"/>
      <c r="AH376" s="34"/>
      <c r="AI376" s="34"/>
      <c r="AJ376" s="34"/>
      <c r="AK376" s="34"/>
      <c r="AL376" s="34"/>
      <c r="AM376" s="34"/>
      <c r="AN376" s="34"/>
      <c r="AO376" s="65"/>
      <c r="AP376" s="69"/>
      <c r="AQ376" s="62"/>
      <c r="AR376" s="34"/>
    </row>
    <row r="377" spans="1:44" customFormat="1">
      <c r="A377" s="39">
        <v>43866</v>
      </c>
      <c r="B377" s="11" t="s">
        <v>49</v>
      </c>
      <c r="C377" s="16" t="s">
        <v>1468</v>
      </c>
      <c r="D377" s="16"/>
      <c r="E377" s="38">
        <v>23436</v>
      </c>
      <c r="F377" s="38"/>
      <c r="G377" s="10" t="s">
        <v>1470</v>
      </c>
      <c r="H377" s="12" t="s">
        <v>1469</v>
      </c>
      <c r="I377" s="13">
        <v>473</v>
      </c>
      <c r="J377" s="15" t="s">
        <v>1471</v>
      </c>
      <c r="K377" s="12"/>
      <c r="L377" s="11" t="s">
        <v>39</v>
      </c>
      <c r="M377" s="15"/>
      <c r="N377" s="17">
        <v>16500</v>
      </c>
      <c r="O377" s="17"/>
      <c r="P377" s="17"/>
      <c r="Q377" s="48"/>
      <c r="R377" s="11"/>
      <c r="S377" s="48"/>
      <c r="T377" s="85"/>
      <c r="U377" s="88"/>
      <c r="V377" s="32" t="s">
        <v>1472</v>
      </c>
      <c r="W377" s="25" t="s">
        <v>48</v>
      </c>
      <c r="X377" s="11"/>
      <c r="Y377" s="50" t="s">
        <v>12</v>
      </c>
      <c r="Z377" s="50"/>
      <c r="AA377" s="50"/>
      <c r="AB377" s="50"/>
      <c r="AC377" s="50"/>
      <c r="AD377" s="50"/>
      <c r="AE377" s="50"/>
      <c r="AF377" s="34"/>
      <c r="AG377" s="34"/>
      <c r="AH377" s="34"/>
      <c r="AI377" s="34"/>
      <c r="AJ377" s="34"/>
      <c r="AK377" s="34"/>
      <c r="AL377" s="34"/>
      <c r="AM377" s="34"/>
      <c r="AN377" s="34"/>
      <c r="AO377" s="65"/>
      <c r="AP377" s="69"/>
      <c r="AQ377" s="62"/>
      <c r="AR377" s="34"/>
    </row>
    <row r="378" spans="1:44" customFormat="1">
      <c r="A378" s="39">
        <v>43866</v>
      </c>
      <c r="B378" s="11" t="s">
        <v>528</v>
      </c>
      <c r="C378" s="16" t="s">
        <v>1473</v>
      </c>
      <c r="D378" s="16"/>
      <c r="E378" s="38">
        <v>26853</v>
      </c>
      <c r="F378" s="38"/>
      <c r="G378" s="10" t="s">
        <v>569</v>
      </c>
      <c r="H378" s="12" t="s">
        <v>1474</v>
      </c>
      <c r="I378" s="13">
        <v>43.2</v>
      </c>
      <c r="J378" s="15" t="s">
        <v>1475</v>
      </c>
      <c r="K378" s="12"/>
      <c r="L378" s="11" t="s">
        <v>34</v>
      </c>
      <c r="M378" s="15"/>
      <c r="N378" s="17">
        <v>2750</v>
      </c>
      <c r="O378" s="17"/>
      <c r="P378" s="17"/>
      <c r="Q378" s="48"/>
      <c r="R378" s="11"/>
      <c r="S378" s="48"/>
      <c r="T378" s="85"/>
      <c r="U378" s="88"/>
      <c r="V378" s="32" t="s">
        <v>1486</v>
      </c>
      <c r="W378" s="25"/>
      <c r="X378" s="11"/>
      <c r="Y378" s="50"/>
      <c r="Z378" s="50"/>
      <c r="AA378" s="50"/>
      <c r="AB378" s="50"/>
      <c r="AC378" s="50"/>
      <c r="AD378" s="50"/>
      <c r="AE378" s="50"/>
      <c r="AF378" s="34"/>
      <c r="AG378" s="34"/>
      <c r="AH378" s="34"/>
      <c r="AI378" s="34"/>
      <c r="AJ378" s="34"/>
      <c r="AK378" s="34"/>
      <c r="AL378" s="34"/>
      <c r="AM378" s="34"/>
      <c r="AN378" s="34"/>
      <c r="AO378" s="65"/>
      <c r="AP378" s="69"/>
      <c r="AQ378" s="62"/>
      <c r="AR378" s="34"/>
    </row>
    <row r="379" spans="1:44" customFormat="1">
      <c r="A379" s="39">
        <v>43866</v>
      </c>
      <c r="B379" s="11" t="s">
        <v>528</v>
      </c>
      <c r="C379" s="16" t="s">
        <v>1476</v>
      </c>
      <c r="D379" s="16"/>
      <c r="E379" s="38">
        <v>24206</v>
      </c>
      <c r="F379" s="38"/>
      <c r="G379" s="10"/>
      <c r="H379" s="12" t="s">
        <v>1477</v>
      </c>
      <c r="I379" s="13">
        <v>31.5</v>
      </c>
      <c r="J379" s="15" t="s">
        <v>1478</v>
      </c>
      <c r="K379" s="12"/>
      <c r="L379" s="11" t="s">
        <v>36</v>
      </c>
      <c r="M379" s="15"/>
      <c r="N379" s="17">
        <v>2750</v>
      </c>
      <c r="O379" s="17"/>
      <c r="P379" s="17"/>
      <c r="Q379" s="48"/>
      <c r="R379" s="11"/>
      <c r="S379" s="48"/>
      <c r="T379" s="85"/>
      <c r="U379" s="88"/>
      <c r="V379" s="32" t="s">
        <v>1486</v>
      </c>
      <c r="W379" s="25" t="s">
        <v>8</v>
      </c>
      <c r="X379" s="11"/>
      <c r="Y379" s="50" t="s">
        <v>11</v>
      </c>
      <c r="Z379" s="50"/>
      <c r="AA379" s="50"/>
      <c r="AB379" s="50"/>
      <c r="AC379" s="50"/>
      <c r="AD379" s="50"/>
      <c r="AE379" s="50"/>
      <c r="AF379" s="34"/>
      <c r="AG379" s="34"/>
      <c r="AH379" s="34"/>
      <c r="AI379" s="34"/>
      <c r="AJ379" s="34"/>
      <c r="AK379" s="34"/>
      <c r="AL379" s="34"/>
      <c r="AM379" s="34"/>
      <c r="AN379" s="34"/>
      <c r="AO379" s="65"/>
      <c r="AP379" s="69"/>
      <c r="AQ379" s="62"/>
      <c r="AR379" s="34"/>
    </row>
    <row r="380" spans="1:44" customFormat="1">
      <c r="A380" s="39">
        <v>43866</v>
      </c>
      <c r="B380" s="11" t="s">
        <v>528</v>
      </c>
      <c r="C380" s="16" t="s">
        <v>1479</v>
      </c>
      <c r="D380" s="16"/>
      <c r="E380" s="38">
        <v>23916</v>
      </c>
      <c r="F380" s="38"/>
      <c r="G380" s="10" t="s">
        <v>1480</v>
      </c>
      <c r="H380" s="12" t="s">
        <v>1481</v>
      </c>
      <c r="I380" s="13">
        <v>38.4</v>
      </c>
      <c r="J380" s="15" t="s">
        <v>1482</v>
      </c>
      <c r="K380" s="12"/>
      <c r="L380" s="11" t="s">
        <v>36</v>
      </c>
      <c r="M380" s="15"/>
      <c r="N380" s="17">
        <v>2750</v>
      </c>
      <c r="O380" s="17"/>
      <c r="P380" s="17"/>
      <c r="Q380" s="48"/>
      <c r="R380" s="11"/>
      <c r="S380" s="48"/>
      <c r="T380" s="85"/>
      <c r="U380" s="88"/>
      <c r="V380" s="32" t="s">
        <v>1486</v>
      </c>
      <c r="W380" s="25" t="s">
        <v>8</v>
      </c>
      <c r="X380" s="11"/>
      <c r="Y380" s="50" t="s">
        <v>15</v>
      </c>
      <c r="Z380" s="50"/>
      <c r="AA380" s="50"/>
      <c r="AB380" s="50"/>
      <c r="AC380" s="50"/>
      <c r="AD380" s="50"/>
      <c r="AE380" s="50"/>
      <c r="AF380" s="34"/>
      <c r="AG380" s="34"/>
      <c r="AH380" s="34"/>
      <c r="AI380" s="34"/>
      <c r="AJ380" s="34"/>
      <c r="AK380" s="34"/>
      <c r="AL380" s="34"/>
      <c r="AM380" s="34"/>
      <c r="AN380" s="34"/>
      <c r="AO380" s="65"/>
      <c r="AP380" s="69"/>
      <c r="AQ380" s="62"/>
      <c r="AR380" s="34"/>
    </row>
    <row r="381" spans="1:44" customFormat="1">
      <c r="A381" s="39">
        <v>43866</v>
      </c>
      <c r="B381" s="11" t="s">
        <v>528</v>
      </c>
      <c r="C381" s="16" t="s">
        <v>1483</v>
      </c>
      <c r="D381" s="16"/>
      <c r="E381" s="38">
        <v>28141</v>
      </c>
      <c r="F381" s="38"/>
      <c r="G381" s="10"/>
      <c r="H381" s="12" t="s">
        <v>1484</v>
      </c>
      <c r="I381" s="13">
        <v>38</v>
      </c>
      <c r="J381" s="15" t="s">
        <v>1485</v>
      </c>
      <c r="K381" s="12"/>
      <c r="L381" s="11" t="s">
        <v>36</v>
      </c>
      <c r="M381" s="15"/>
      <c r="N381" s="17">
        <v>2750</v>
      </c>
      <c r="O381" s="17"/>
      <c r="P381" s="17"/>
      <c r="Q381" s="48"/>
      <c r="R381" s="11"/>
      <c r="S381" s="48"/>
      <c r="T381" s="85"/>
      <c r="U381" s="88"/>
      <c r="V381" s="32" t="s">
        <v>1486</v>
      </c>
      <c r="W381" s="25"/>
      <c r="X381" s="11"/>
      <c r="Y381" s="50"/>
      <c r="Z381" s="50"/>
      <c r="AA381" s="50"/>
      <c r="AB381" s="50"/>
      <c r="AC381" s="50"/>
      <c r="AD381" s="50"/>
      <c r="AE381" s="50"/>
      <c r="AF381" s="34"/>
      <c r="AG381" s="34"/>
      <c r="AH381" s="34"/>
      <c r="AI381" s="34"/>
      <c r="AJ381" s="34"/>
      <c r="AK381" s="34"/>
      <c r="AL381" s="34"/>
      <c r="AM381" s="34"/>
      <c r="AN381" s="34"/>
      <c r="AO381" s="65"/>
      <c r="AP381" s="69"/>
      <c r="AQ381" s="62"/>
      <c r="AR381" s="34"/>
    </row>
    <row r="382" spans="1:44" customFormat="1">
      <c r="A382" s="39">
        <v>43866</v>
      </c>
      <c r="B382" s="11" t="s">
        <v>49</v>
      </c>
      <c r="C382" s="16" t="s">
        <v>557</v>
      </c>
      <c r="D382" s="16"/>
      <c r="E382" s="38">
        <v>18693</v>
      </c>
      <c r="F382" s="38"/>
      <c r="G382" s="10" t="s">
        <v>554</v>
      </c>
      <c r="H382" s="12" t="s">
        <v>555</v>
      </c>
      <c r="I382" s="13">
        <v>44.1</v>
      </c>
      <c r="J382" s="15" t="s">
        <v>556</v>
      </c>
      <c r="K382" s="12"/>
      <c r="L382" s="11"/>
      <c r="M382" s="15"/>
      <c r="N382" s="17">
        <v>11000</v>
      </c>
      <c r="O382" s="17"/>
      <c r="P382" s="17"/>
      <c r="Q382" s="48"/>
      <c r="R382" s="11"/>
      <c r="S382" s="48"/>
      <c r="T382" s="85"/>
      <c r="U382" s="88"/>
      <c r="V382" s="32" t="s">
        <v>1487</v>
      </c>
      <c r="W382" s="25"/>
      <c r="X382" s="11"/>
      <c r="Y382" s="50" t="s">
        <v>13</v>
      </c>
      <c r="Z382" s="50"/>
      <c r="AA382" s="50"/>
      <c r="AB382" s="50"/>
      <c r="AC382" s="50"/>
      <c r="AD382" s="50"/>
      <c r="AE382" s="50"/>
      <c r="AF382" s="34"/>
      <c r="AG382" s="34"/>
      <c r="AH382" s="34"/>
      <c r="AI382" s="34"/>
      <c r="AJ382" s="34"/>
      <c r="AK382" s="34"/>
      <c r="AL382" s="34"/>
      <c r="AM382" s="34"/>
      <c r="AN382" s="34"/>
      <c r="AO382" s="65"/>
      <c r="AP382" s="69"/>
      <c r="AQ382" s="62"/>
      <c r="AR382" s="34"/>
    </row>
    <row r="383" spans="1:44" customFormat="1">
      <c r="A383" s="39">
        <v>43868</v>
      </c>
      <c r="B383" s="11" t="s">
        <v>49</v>
      </c>
      <c r="C383" s="16" t="s">
        <v>1488</v>
      </c>
      <c r="D383" s="16"/>
      <c r="E383" s="38">
        <v>26790</v>
      </c>
      <c r="F383" s="38"/>
      <c r="G383" s="10"/>
      <c r="H383" s="12" t="s">
        <v>1489</v>
      </c>
      <c r="I383" s="13">
        <v>15.1</v>
      </c>
      <c r="J383" s="15" t="s">
        <v>1490</v>
      </c>
      <c r="K383" s="12"/>
      <c r="L383" s="11" t="s">
        <v>36</v>
      </c>
      <c r="M383" s="15"/>
      <c r="N383" s="17">
        <v>16500</v>
      </c>
      <c r="O383" s="17"/>
      <c r="P383" s="17"/>
      <c r="Q383" s="48"/>
      <c r="R383" s="11"/>
      <c r="S383" s="48"/>
      <c r="T383" s="85"/>
      <c r="U383" s="88"/>
      <c r="V383" s="32"/>
      <c r="W383" s="25" t="s">
        <v>48</v>
      </c>
      <c r="X383" s="11"/>
      <c r="Y383" s="50"/>
      <c r="Z383" s="50"/>
      <c r="AA383" s="50"/>
      <c r="AB383" s="50"/>
      <c r="AC383" s="50"/>
      <c r="AD383" s="50"/>
      <c r="AE383" s="50"/>
      <c r="AF383" s="34"/>
      <c r="AG383" s="34"/>
      <c r="AH383" s="34"/>
      <c r="AI383" s="34"/>
      <c r="AJ383" s="34"/>
      <c r="AK383" s="34"/>
      <c r="AL383" s="34"/>
      <c r="AM383" s="34"/>
      <c r="AN383" s="34"/>
      <c r="AO383" s="65"/>
      <c r="AP383" s="69"/>
      <c r="AQ383" s="62"/>
      <c r="AR383" s="34"/>
    </row>
    <row r="384" spans="1:44" customFormat="1">
      <c r="A384" s="39">
        <v>43870</v>
      </c>
      <c r="B384" s="11" t="s">
        <v>528</v>
      </c>
      <c r="C384" s="16" t="s">
        <v>1491</v>
      </c>
      <c r="D384" s="16"/>
      <c r="E384" s="38">
        <v>23565</v>
      </c>
      <c r="F384" s="38"/>
      <c r="G384" s="10" t="s">
        <v>704</v>
      </c>
      <c r="H384" s="12" t="s">
        <v>1492</v>
      </c>
      <c r="I384" s="13">
        <v>2.2000000000000002</v>
      </c>
      <c r="J384" s="15" t="s">
        <v>1493</v>
      </c>
      <c r="K384" s="12"/>
      <c r="L384" s="11" t="s">
        <v>36</v>
      </c>
      <c r="M384" s="15"/>
      <c r="N384" s="17">
        <v>2750</v>
      </c>
      <c r="O384" s="17"/>
      <c r="P384" s="17"/>
      <c r="Q384" s="48"/>
      <c r="R384" s="11"/>
      <c r="S384" s="48"/>
      <c r="T384" s="85"/>
      <c r="U384" s="88"/>
      <c r="V384" s="32" t="s">
        <v>279</v>
      </c>
      <c r="W384" s="25" t="s">
        <v>10</v>
      </c>
      <c r="X384" s="11"/>
      <c r="Y384" s="50"/>
      <c r="Z384" s="50"/>
      <c r="AA384" s="50"/>
      <c r="AB384" s="50"/>
      <c r="AC384" s="50"/>
      <c r="AD384" s="50"/>
      <c r="AE384" s="50"/>
      <c r="AF384" s="34"/>
      <c r="AG384" s="34"/>
      <c r="AH384" s="34"/>
      <c r="AI384" s="34"/>
      <c r="AJ384" s="34"/>
      <c r="AK384" s="34"/>
      <c r="AL384" s="34"/>
      <c r="AM384" s="34"/>
      <c r="AN384" s="34"/>
      <c r="AO384" s="65"/>
      <c r="AP384" s="69"/>
      <c r="AQ384" s="62"/>
      <c r="AR384" s="34"/>
    </row>
    <row r="385" spans="1:44" customFormat="1">
      <c r="A385" s="39">
        <v>43870</v>
      </c>
      <c r="B385" s="11" t="s">
        <v>22</v>
      </c>
      <c r="C385" s="16" t="s">
        <v>1399</v>
      </c>
      <c r="D385" s="16"/>
      <c r="E385" s="38">
        <v>19441</v>
      </c>
      <c r="F385" s="38"/>
      <c r="G385" s="10"/>
      <c r="H385" s="12"/>
      <c r="I385" s="13"/>
      <c r="J385" s="15" t="s">
        <v>1451</v>
      </c>
      <c r="K385" s="12"/>
      <c r="L385" s="11"/>
      <c r="M385" s="15"/>
      <c r="N385" s="17">
        <v>5500</v>
      </c>
      <c r="O385" s="17"/>
      <c r="P385" s="17"/>
      <c r="Q385" s="48"/>
      <c r="R385" s="11"/>
      <c r="S385" s="48"/>
      <c r="T385" s="85"/>
      <c r="U385" s="88"/>
      <c r="V385" s="32" t="s">
        <v>1494</v>
      </c>
      <c r="W385" s="25"/>
      <c r="X385" s="11"/>
      <c r="Y385" s="50"/>
      <c r="Z385" s="50"/>
      <c r="AA385" s="50"/>
      <c r="AB385" s="50"/>
      <c r="AC385" s="50"/>
      <c r="AD385" s="50"/>
      <c r="AE385" s="50"/>
      <c r="AF385" s="34"/>
      <c r="AG385" s="34"/>
      <c r="AH385" s="34"/>
      <c r="AI385" s="34"/>
      <c r="AJ385" s="34"/>
      <c r="AK385" s="34"/>
      <c r="AL385" s="34"/>
      <c r="AM385" s="34"/>
      <c r="AN385" s="34"/>
      <c r="AO385" s="65"/>
      <c r="AP385" s="69"/>
      <c r="AQ385" s="62"/>
      <c r="AR385" s="34"/>
    </row>
    <row r="386" spans="1:44" customFormat="1">
      <c r="A386" s="39">
        <v>43870</v>
      </c>
      <c r="B386" s="11" t="s">
        <v>528</v>
      </c>
      <c r="C386" s="16" t="s">
        <v>494</v>
      </c>
      <c r="D386" s="16"/>
      <c r="E386" s="38"/>
      <c r="F386" s="38"/>
      <c r="G386" s="10"/>
      <c r="H386" s="12"/>
      <c r="I386" s="13"/>
      <c r="J386" s="15"/>
      <c r="K386" s="12"/>
      <c r="L386" s="11"/>
      <c r="M386" s="15"/>
      <c r="N386" s="17">
        <v>5500</v>
      </c>
      <c r="O386" s="17"/>
      <c r="P386" s="17"/>
      <c r="Q386" s="48"/>
      <c r="R386" s="11"/>
      <c r="S386" s="48"/>
      <c r="T386" s="85"/>
      <c r="U386" s="88"/>
      <c r="V386" s="32"/>
      <c r="W386" s="25"/>
      <c r="X386" s="11"/>
      <c r="Y386" s="50"/>
      <c r="Z386" s="50"/>
      <c r="AA386" s="50"/>
      <c r="AB386" s="50"/>
      <c r="AC386" s="50"/>
      <c r="AD386" s="50"/>
      <c r="AE386" s="50"/>
      <c r="AF386" s="34"/>
      <c r="AG386" s="34"/>
      <c r="AH386" s="34"/>
      <c r="AI386" s="34"/>
      <c r="AJ386" s="34"/>
      <c r="AK386" s="34"/>
      <c r="AL386" s="34"/>
      <c r="AM386" s="34"/>
      <c r="AN386" s="34"/>
      <c r="AO386" s="65"/>
      <c r="AP386" s="69"/>
      <c r="AQ386" s="62"/>
      <c r="AR386" s="34"/>
    </row>
    <row r="387" spans="1:44" customFormat="1">
      <c r="A387" s="39">
        <v>43871</v>
      </c>
      <c r="B387" s="11" t="s">
        <v>49</v>
      </c>
      <c r="C387" s="16" t="s">
        <v>1499</v>
      </c>
      <c r="D387" s="16"/>
      <c r="E387" s="38">
        <v>25929</v>
      </c>
      <c r="F387" s="38"/>
      <c r="G387" s="10" t="s">
        <v>1500</v>
      </c>
      <c r="H387" s="12" t="s">
        <v>1501</v>
      </c>
      <c r="I387" s="13">
        <v>22.5</v>
      </c>
      <c r="J387" s="15" t="s">
        <v>1503</v>
      </c>
      <c r="K387" s="14" t="s">
        <v>1502</v>
      </c>
      <c r="L387" s="11" t="s">
        <v>33</v>
      </c>
      <c r="M387" s="15"/>
      <c r="N387" s="17">
        <v>22000</v>
      </c>
      <c r="O387" s="17"/>
      <c r="P387" s="17"/>
      <c r="Q387" s="48"/>
      <c r="R387" s="11"/>
      <c r="S387" s="48"/>
      <c r="T387" s="85"/>
      <c r="U387" s="88"/>
      <c r="V387" s="32" t="s">
        <v>1504</v>
      </c>
      <c r="W387" s="25" t="s">
        <v>8</v>
      </c>
      <c r="X387" s="11"/>
      <c r="Y387" s="50" t="s">
        <v>20</v>
      </c>
      <c r="Z387" s="50"/>
      <c r="AA387" s="50"/>
      <c r="AB387" s="50"/>
      <c r="AC387" s="50"/>
      <c r="AD387" s="50"/>
      <c r="AE387" s="50"/>
      <c r="AF387" s="34"/>
      <c r="AG387" s="34"/>
      <c r="AH387" s="34"/>
      <c r="AI387" s="34"/>
      <c r="AJ387" s="34"/>
      <c r="AK387" s="34"/>
      <c r="AL387" s="34"/>
      <c r="AM387" s="34"/>
      <c r="AN387" s="34"/>
      <c r="AO387" s="65"/>
      <c r="AP387" s="69"/>
      <c r="AQ387" s="62"/>
      <c r="AR387" s="34"/>
    </row>
    <row r="388" spans="1:44" customFormat="1">
      <c r="A388" s="39">
        <v>43877</v>
      </c>
      <c r="B388" s="11" t="s">
        <v>49</v>
      </c>
      <c r="C388" s="16" t="s">
        <v>1505</v>
      </c>
      <c r="D388" s="16"/>
      <c r="E388" s="38">
        <v>26783</v>
      </c>
      <c r="F388" s="38"/>
      <c r="G388" s="10" t="s">
        <v>1506</v>
      </c>
      <c r="H388" s="12" t="s">
        <v>1507</v>
      </c>
      <c r="I388" s="13">
        <v>27.5</v>
      </c>
      <c r="J388" s="15" t="s">
        <v>1508</v>
      </c>
      <c r="K388" s="12"/>
      <c r="L388" s="11" t="s">
        <v>33</v>
      </c>
      <c r="M388" s="15"/>
      <c r="N388" s="17">
        <v>16500</v>
      </c>
      <c r="O388" s="17"/>
      <c r="P388" s="17"/>
      <c r="Q388" s="48"/>
      <c r="R388" s="11"/>
      <c r="S388" s="48"/>
      <c r="T388" s="85"/>
      <c r="U388" s="88"/>
      <c r="V388" s="32"/>
      <c r="W388" s="25" t="s">
        <v>8</v>
      </c>
      <c r="X388" s="11"/>
      <c r="Y388" s="50" t="s">
        <v>12</v>
      </c>
      <c r="Z388" s="50"/>
      <c r="AA388" s="50"/>
      <c r="AB388" s="50"/>
      <c r="AC388" s="50"/>
      <c r="AD388" s="50"/>
      <c r="AE388" s="50"/>
      <c r="AF388" s="34"/>
      <c r="AG388" s="34"/>
      <c r="AH388" s="34"/>
      <c r="AI388" s="34"/>
      <c r="AJ388" s="34"/>
      <c r="AK388" s="34"/>
      <c r="AL388" s="34"/>
      <c r="AM388" s="34"/>
      <c r="AN388" s="34"/>
      <c r="AO388" s="65"/>
      <c r="AP388" s="69"/>
      <c r="AQ388" s="62"/>
      <c r="AR388" s="34"/>
    </row>
    <row r="389" spans="1:44" customFormat="1">
      <c r="A389" s="39">
        <v>43880</v>
      </c>
      <c r="B389" s="11" t="s">
        <v>49</v>
      </c>
      <c r="C389" s="16" t="s">
        <v>1495</v>
      </c>
      <c r="D389" s="16"/>
      <c r="E389" s="38">
        <v>30819</v>
      </c>
      <c r="F389" s="38"/>
      <c r="G389" s="10" t="s">
        <v>721</v>
      </c>
      <c r="H389" s="12" t="s">
        <v>1496</v>
      </c>
      <c r="I389" s="13">
        <v>20.100000000000001</v>
      </c>
      <c r="J389" s="15" t="s">
        <v>1497</v>
      </c>
      <c r="K389" s="14" t="s">
        <v>1498</v>
      </c>
      <c r="L389" s="11"/>
      <c r="M389" s="15"/>
      <c r="N389" s="17">
        <v>8250</v>
      </c>
      <c r="O389" s="17"/>
      <c r="P389" s="17"/>
      <c r="Q389" s="48"/>
      <c r="R389" s="11"/>
      <c r="S389" s="48"/>
      <c r="T389" s="85"/>
      <c r="U389" s="88"/>
      <c r="V389" s="32" t="s">
        <v>1281</v>
      </c>
      <c r="W389" s="25" t="s">
        <v>8</v>
      </c>
      <c r="X389" s="11"/>
      <c r="Y389" s="50" t="s">
        <v>13</v>
      </c>
      <c r="Z389" s="50"/>
      <c r="AA389" s="50"/>
      <c r="AB389" s="50"/>
      <c r="AC389" s="50"/>
      <c r="AD389" s="50"/>
      <c r="AE389" s="50"/>
      <c r="AF389" s="34"/>
      <c r="AG389" s="34"/>
      <c r="AH389" s="34"/>
      <c r="AI389" s="34"/>
      <c r="AJ389" s="34"/>
      <c r="AK389" s="34"/>
      <c r="AL389" s="34"/>
      <c r="AM389" s="34"/>
      <c r="AN389" s="34"/>
      <c r="AO389" s="65"/>
      <c r="AP389" s="69"/>
      <c r="AQ389" s="62"/>
      <c r="AR389" s="34"/>
    </row>
    <row r="390" spans="1:44" customFormat="1">
      <c r="A390" s="39">
        <v>43880</v>
      </c>
      <c r="B390" s="11" t="s">
        <v>24</v>
      </c>
      <c r="C390" s="16" t="s">
        <v>1509</v>
      </c>
      <c r="D390" s="16"/>
      <c r="E390" s="38">
        <v>36966</v>
      </c>
      <c r="F390" s="38"/>
      <c r="G390" s="10" t="s">
        <v>1510</v>
      </c>
      <c r="H390" s="12" t="s">
        <v>1511</v>
      </c>
      <c r="I390" s="13">
        <v>28.6</v>
      </c>
      <c r="J390" s="15" t="s">
        <v>1512</v>
      </c>
      <c r="K390" s="12"/>
      <c r="L390" s="11" t="s">
        <v>38</v>
      </c>
      <c r="M390" s="15"/>
      <c r="N390" s="17">
        <v>6050</v>
      </c>
      <c r="O390" s="17"/>
      <c r="P390" s="17"/>
      <c r="Q390" s="48"/>
      <c r="R390" s="11"/>
      <c r="S390" s="48"/>
      <c r="T390" s="85"/>
      <c r="U390" s="88"/>
      <c r="V390" s="32" t="s">
        <v>1513</v>
      </c>
      <c r="W390" s="25"/>
      <c r="X390" s="11"/>
      <c r="Y390" s="50"/>
      <c r="Z390" s="50"/>
      <c r="AA390" s="50"/>
      <c r="AB390" s="50"/>
      <c r="AC390" s="50"/>
      <c r="AD390" s="50"/>
      <c r="AE390" s="50"/>
      <c r="AF390" s="34"/>
      <c r="AG390" s="34"/>
      <c r="AH390" s="34"/>
      <c r="AI390" s="34"/>
      <c r="AJ390" s="34"/>
      <c r="AK390" s="34"/>
      <c r="AL390" s="34"/>
      <c r="AM390" s="34"/>
      <c r="AN390" s="34"/>
      <c r="AO390" s="65"/>
      <c r="AP390" s="69"/>
      <c r="AQ390" s="62"/>
      <c r="AR390" s="34"/>
    </row>
    <row r="391" spans="1:44" customFormat="1">
      <c r="A391" s="39">
        <v>43881</v>
      </c>
      <c r="B391" s="11" t="s">
        <v>22</v>
      </c>
      <c r="C391" s="16" t="s">
        <v>1514</v>
      </c>
      <c r="D391" s="16"/>
      <c r="E391" s="38" t="s">
        <v>1515</v>
      </c>
      <c r="F391" s="38"/>
      <c r="G391" s="10"/>
      <c r="H391" s="12" t="s">
        <v>1516</v>
      </c>
      <c r="I391" s="13">
        <v>7.2</v>
      </c>
      <c r="J391" s="15" t="s">
        <v>1517</v>
      </c>
      <c r="K391" s="12"/>
      <c r="L391" s="11"/>
      <c r="M391" s="15"/>
      <c r="N391" s="17">
        <v>2750</v>
      </c>
      <c r="O391" s="17"/>
      <c r="P391" s="17"/>
      <c r="Q391" s="48"/>
      <c r="R391" s="11"/>
      <c r="S391" s="48"/>
      <c r="T391" s="85"/>
      <c r="U391" s="88"/>
      <c r="V391" s="32"/>
      <c r="W391" s="25" t="s">
        <v>48</v>
      </c>
      <c r="X391" s="11"/>
      <c r="Y391" s="50" t="s">
        <v>12</v>
      </c>
      <c r="Z391" s="50"/>
      <c r="AA391" s="50"/>
      <c r="AB391" s="50"/>
      <c r="AC391" s="50"/>
      <c r="AD391" s="50"/>
      <c r="AE391" s="50"/>
      <c r="AF391" s="34"/>
      <c r="AG391" s="34"/>
      <c r="AH391" s="34"/>
      <c r="AI391" s="34"/>
      <c r="AJ391" s="34"/>
      <c r="AK391" s="34"/>
      <c r="AL391" s="34"/>
      <c r="AM391" s="34"/>
      <c r="AN391" s="34"/>
      <c r="AO391" s="65"/>
      <c r="AP391" s="69"/>
      <c r="AQ391" s="62"/>
      <c r="AR391" s="34"/>
    </row>
    <row r="392" spans="1:44" customFormat="1">
      <c r="A392" s="39">
        <v>43885</v>
      </c>
      <c r="B392" s="11" t="s">
        <v>528</v>
      </c>
      <c r="C392" s="16" t="s">
        <v>1399</v>
      </c>
      <c r="D392" s="16"/>
      <c r="E392" s="38">
        <v>19441</v>
      </c>
      <c r="F392" s="38"/>
      <c r="G392" s="10" t="s">
        <v>406</v>
      </c>
      <c r="H392" s="12" t="s">
        <v>1017</v>
      </c>
      <c r="I392" s="13">
        <v>2.8</v>
      </c>
      <c r="J392" s="15" t="s">
        <v>1451</v>
      </c>
      <c r="K392" s="12"/>
      <c r="L392" s="11" t="s">
        <v>33</v>
      </c>
      <c r="M392" s="15"/>
      <c r="N392" s="17">
        <v>5500</v>
      </c>
      <c r="O392" s="17"/>
      <c r="P392" s="17"/>
      <c r="Q392" s="48"/>
      <c r="R392" s="11"/>
      <c r="S392" s="48"/>
      <c r="T392" s="85"/>
      <c r="U392" s="88"/>
      <c r="V392" s="32"/>
      <c r="W392" s="25" t="s">
        <v>8</v>
      </c>
      <c r="X392" s="11"/>
      <c r="Y392" s="50" t="s">
        <v>11</v>
      </c>
      <c r="Z392" s="50"/>
      <c r="AA392" s="50"/>
      <c r="AB392" s="50"/>
      <c r="AC392" s="50"/>
      <c r="AD392" s="50"/>
      <c r="AE392" s="50"/>
      <c r="AF392" s="34"/>
      <c r="AG392" s="34"/>
      <c r="AH392" s="34"/>
      <c r="AI392" s="34"/>
      <c r="AJ392" s="34"/>
      <c r="AK392" s="34"/>
      <c r="AL392" s="34"/>
      <c r="AM392" s="34"/>
      <c r="AN392" s="34"/>
      <c r="AO392" s="65"/>
      <c r="AP392" s="69"/>
      <c r="AQ392" s="62"/>
      <c r="AR392" s="34"/>
    </row>
    <row r="393" spans="1:44" customFormat="1">
      <c r="A393" s="39">
        <v>43887</v>
      </c>
      <c r="B393" s="11" t="s">
        <v>49</v>
      </c>
      <c r="C393" s="16" t="s">
        <v>1518</v>
      </c>
      <c r="D393" s="16"/>
      <c r="E393" s="38">
        <v>27868</v>
      </c>
      <c r="F393" s="38"/>
      <c r="G393" s="10" t="s">
        <v>1519</v>
      </c>
      <c r="H393" s="12" t="s">
        <v>1520</v>
      </c>
      <c r="I393" s="13">
        <v>55.1</v>
      </c>
      <c r="J393" s="15" t="s">
        <v>1521</v>
      </c>
      <c r="K393" s="12"/>
      <c r="L393" s="11" t="s">
        <v>36</v>
      </c>
      <c r="M393" s="15"/>
      <c r="N393" s="17">
        <v>16500</v>
      </c>
      <c r="O393" s="17"/>
      <c r="P393" s="17"/>
      <c r="Q393" s="48"/>
      <c r="R393" s="11"/>
      <c r="S393" s="48"/>
      <c r="T393" s="85"/>
      <c r="U393" s="88"/>
      <c r="V393" s="32" t="s">
        <v>1522</v>
      </c>
      <c r="W393" s="25" t="s">
        <v>48</v>
      </c>
      <c r="X393" s="11"/>
      <c r="Y393" s="50" t="s">
        <v>12</v>
      </c>
      <c r="Z393" s="50"/>
      <c r="AA393" s="50"/>
      <c r="AB393" s="50"/>
      <c r="AC393" s="50"/>
      <c r="AD393" s="50"/>
      <c r="AE393" s="50"/>
      <c r="AF393" s="34"/>
      <c r="AG393" s="34"/>
      <c r="AH393" s="34"/>
      <c r="AI393" s="34"/>
      <c r="AJ393" s="34"/>
      <c r="AK393" s="34"/>
      <c r="AL393" s="34"/>
      <c r="AM393" s="34"/>
      <c r="AN393" s="34"/>
      <c r="AO393" s="65"/>
      <c r="AP393" s="69"/>
      <c r="AQ393" s="62"/>
      <c r="AR393" s="34"/>
    </row>
    <row r="394" spans="1:44" customFormat="1">
      <c r="A394" s="39">
        <v>43887</v>
      </c>
      <c r="B394" s="11" t="s">
        <v>49</v>
      </c>
      <c r="C394" s="16" t="s">
        <v>1523</v>
      </c>
      <c r="D394" s="16"/>
      <c r="E394" s="38">
        <v>35198</v>
      </c>
      <c r="F394" s="38"/>
      <c r="G394" s="10" t="s">
        <v>1524</v>
      </c>
      <c r="H394" s="12" t="s">
        <v>1525</v>
      </c>
      <c r="I394" s="13">
        <v>17.399999999999999</v>
      </c>
      <c r="J394" s="15" t="s">
        <v>1526</v>
      </c>
      <c r="K394" s="12"/>
      <c r="L394" s="11" t="s">
        <v>38</v>
      </c>
      <c r="M394" s="15"/>
      <c r="N394" s="17">
        <v>11000</v>
      </c>
      <c r="O394" s="17"/>
      <c r="P394" s="17"/>
      <c r="Q394" s="48"/>
      <c r="R394" s="11"/>
      <c r="S394" s="48"/>
      <c r="T394" s="85"/>
      <c r="U394" s="88"/>
      <c r="V394" s="32" t="s">
        <v>1527</v>
      </c>
      <c r="W394" s="25" t="s">
        <v>8</v>
      </c>
      <c r="X394" s="11"/>
      <c r="Y394" s="50" t="s">
        <v>13</v>
      </c>
      <c r="Z394" s="50"/>
      <c r="AA394" s="50"/>
      <c r="AB394" s="50"/>
      <c r="AC394" s="50"/>
      <c r="AD394" s="50"/>
      <c r="AE394" s="50"/>
      <c r="AF394" s="34"/>
      <c r="AG394" s="34"/>
      <c r="AH394" s="34"/>
      <c r="AI394" s="34"/>
      <c r="AJ394" s="34"/>
      <c r="AK394" s="34"/>
      <c r="AL394" s="34"/>
      <c r="AM394" s="34"/>
      <c r="AN394" s="34"/>
      <c r="AO394" s="65"/>
      <c r="AP394" s="69"/>
      <c r="AQ394" s="62"/>
      <c r="AR394" s="34"/>
    </row>
    <row r="395" spans="1:44" customFormat="1">
      <c r="A395" s="39">
        <v>43889</v>
      </c>
      <c r="B395" s="11" t="s">
        <v>5659</v>
      </c>
      <c r="C395" s="16" t="s">
        <v>1528</v>
      </c>
      <c r="D395" s="16"/>
      <c r="E395" s="38">
        <v>30544</v>
      </c>
      <c r="F395" s="38"/>
      <c r="G395" s="10"/>
      <c r="H395" s="12"/>
      <c r="I395" s="13"/>
      <c r="J395" s="15" t="s">
        <v>1529</v>
      </c>
      <c r="K395" s="12"/>
      <c r="L395" s="11" t="s">
        <v>34</v>
      </c>
      <c r="M395" s="15"/>
      <c r="N395" s="17">
        <v>16500</v>
      </c>
      <c r="O395" s="17"/>
      <c r="P395" s="17"/>
      <c r="Q395" s="48"/>
      <c r="R395" s="11"/>
      <c r="S395" s="48"/>
      <c r="T395" s="85"/>
      <c r="U395" s="88"/>
      <c r="V395" s="32" t="s">
        <v>1530</v>
      </c>
      <c r="W395" s="25" t="s">
        <v>8</v>
      </c>
      <c r="X395" s="11"/>
      <c r="Y395" s="50"/>
      <c r="Z395" s="50"/>
      <c r="AA395" s="50"/>
      <c r="AB395" s="50"/>
      <c r="AC395" s="50"/>
      <c r="AD395" s="50"/>
      <c r="AE395" s="50"/>
      <c r="AF395" s="34"/>
      <c r="AG395" s="34"/>
      <c r="AH395" s="34"/>
      <c r="AI395" s="34"/>
      <c r="AJ395" s="34"/>
      <c r="AK395" s="34"/>
      <c r="AL395" s="34"/>
      <c r="AM395" s="34"/>
      <c r="AN395" s="34"/>
      <c r="AO395" s="65"/>
      <c r="AP395" s="69"/>
      <c r="AQ395" s="62"/>
      <c r="AR395" s="34"/>
    </row>
    <row r="396" spans="1:44" customFormat="1">
      <c r="A396" s="39">
        <v>43890</v>
      </c>
      <c r="B396" s="11" t="s">
        <v>49</v>
      </c>
      <c r="C396" s="16" t="s">
        <v>1531</v>
      </c>
      <c r="D396" s="16"/>
      <c r="E396" s="38">
        <v>24815</v>
      </c>
      <c r="F396" s="38"/>
      <c r="G396" s="10" t="s">
        <v>1533</v>
      </c>
      <c r="H396" s="12" t="s">
        <v>1534</v>
      </c>
      <c r="I396" s="13">
        <v>47.6</v>
      </c>
      <c r="J396" s="15" t="s">
        <v>1535</v>
      </c>
      <c r="K396" s="12"/>
      <c r="L396" s="11" t="s">
        <v>39</v>
      </c>
      <c r="M396" s="15"/>
      <c r="N396" s="17">
        <v>0</v>
      </c>
      <c r="O396" s="17"/>
      <c r="P396" s="17"/>
      <c r="Q396" s="48"/>
      <c r="R396" s="11"/>
      <c r="S396" s="48"/>
      <c r="T396" s="85"/>
      <c r="U396" s="88"/>
      <c r="V396" s="32" t="s">
        <v>1537</v>
      </c>
      <c r="W396" s="25" t="s">
        <v>8</v>
      </c>
      <c r="X396" s="11"/>
      <c r="Y396" s="50" t="s">
        <v>14</v>
      </c>
      <c r="Z396" s="50"/>
      <c r="AA396" s="50"/>
      <c r="AB396" s="50"/>
      <c r="AC396" s="50"/>
      <c r="AD396" s="50"/>
      <c r="AE396" s="50"/>
      <c r="AF396" s="34"/>
      <c r="AG396" s="34"/>
      <c r="AH396" s="34"/>
      <c r="AI396" s="34"/>
      <c r="AJ396" s="34"/>
      <c r="AK396" s="34"/>
      <c r="AL396" s="34"/>
      <c r="AM396" s="34"/>
      <c r="AN396" s="34"/>
      <c r="AO396" s="65"/>
      <c r="AP396" s="69"/>
      <c r="AQ396" s="62"/>
      <c r="AR396" s="34"/>
    </row>
    <row r="397" spans="1:44" customFormat="1">
      <c r="A397" s="39">
        <v>43890</v>
      </c>
      <c r="B397" s="11" t="s">
        <v>49</v>
      </c>
      <c r="C397" s="16" t="s">
        <v>1532</v>
      </c>
      <c r="D397" s="16"/>
      <c r="E397" s="38">
        <v>24904</v>
      </c>
      <c r="F397" s="38"/>
      <c r="G397" s="10" t="s">
        <v>1533</v>
      </c>
      <c r="H397" s="12" t="s">
        <v>1534</v>
      </c>
      <c r="I397" s="13">
        <v>47.6</v>
      </c>
      <c r="J397" s="15" t="s">
        <v>1536</v>
      </c>
      <c r="K397" s="12"/>
      <c r="L397" s="11" t="s">
        <v>33</v>
      </c>
      <c r="M397" s="15"/>
      <c r="N397" s="17">
        <v>0</v>
      </c>
      <c r="O397" s="17"/>
      <c r="P397" s="17"/>
      <c r="Q397" s="48"/>
      <c r="R397" s="11"/>
      <c r="S397" s="48"/>
      <c r="T397" s="85"/>
      <c r="U397" s="88"/>
      <c r="V397" s="32" t="s">
        <v>1537</v>
      </c>
      <c r="W397" s="25" t="s">
        <v>8</v>
      </c>
      <c r="X397" s="11"/>
      <c r="Y397" s="50" t="s">
        <v>14</v>
      </c>
      <c r="Z397" s="50"/>
      <c r="AA397" s="50"/>
      <c r="AB397" s="50"/>
      <c r="AC397" s="50"/>
      <c r="AD397" s="50"/>
      <c r="AE397" s="50"/>
      <c r="AF397" s="34"/>
      <c r="AG397" s="34"/>
      <c r="AH397" s="34"/>
      <c r="AI397" s="34"/>
      <c r="AJ397" s="34"/>
      <c r="AK397" s="34"/>
      <c r="AL397" s="34"/>
      <c r="AM397" s="34"/>
      <c r="AN397" s="34"/>
      <c r="AO397" s="65"/>
      <c r="AP397" s="69"/>
      <c r="AQ397" s="62"/>
      <c r="AR397" s="34"/>
    </row>
    <row r="398" spans="1:44" customFormat="1">
      <c r="A398" s="39">
        <v>43895</v>
      </c>
      <c r="B398" s="11" t="s">
        <v>49</v>
      </c>
      <c r="C398" s="16" t="s">
        <v>1543</v>
      </c>
      <c r="D398" s="16"/>
      <c r="E398" s="38">
        <v>38860</v>
      </c>
      <c r="F398" s="38"/>
      <c r="G398" s="10" t="s">
        <v>1544</v>
      </c>
      <c r="H398" s="12" t="s">
        <v>1545</v>
      </c>
      <c r="I398" s="13">
        <v>28.4</v>
      </c>
      <c r="J398" s="15" t="s">
        <v>1546</v>
      </c>
      <c r="K398" s="12"/>
      <c r="L398" s="11" t="s">
        <v>38</v>
      </c>
      <c r="M398" s="15"/>
      <c r="N398" s="17">
        <v>19800</v>
      </c>
      <c r="O398" s="17"/>
      <c r="P398" s="17"/>
      <c r="Q398" s="48"/>
      <c r="R398" s="11"/>
      <c r="S398" s="48"/>
      <c r="T398" s="85"/>
      <c r="U398" s="88"/>
      <c r="V398" s="32" t="s">
        <v>1554</v>
      </c>
      <c r="W398" s="25" t="s">
        <v>8</v>
      </c>
      <c r="X398" s="11"/>
      <c r="Y398" s="50" t="s">
        <v>13</v>
      </c>
      <c r="Z398" s="50"/>
      <c r="AA398" s="50"/>
      <c r="AB398" s="50"/>
      <c r="AC398" s="50"/>
      <c r="AD398" s="50"/>
      <c r="AE398" s="50"/>
      <c r="AF398" s="34"/>
      <c r="AG398" s="34"/>
      <c r="AH398" s="34"/>
      <c r="AI398" s="34"/>
      <c r="AJ398" s="34"/>
      <c r="AK398" s="34"/>
      <c r="AL398" s="34"/>
      <c r="AM398" s="34"/>
      <c r="AN398" s="34"/>
      <c r="AO398" s="65"/>
      <c r="AP398" s="69"/>
      <c r="AQ398" s="62"/>
      <c r="AR398" s="34"/>
    </row>
    <row r="399" spans="1:44" customFormat="1">
      <c r="A399" s="39">
        <v>43896</v>
      </c>
      <c r="B399" s="11" t="s">
        <v>49</v>
      </c>
      <c r="C399" s="16" t="s">
        <v>1548</v>
      </c>
      <c r="D399" s="16"/>
      <c r="E399" s="38">
        <v>19260</v>
      </c>
      <c r="F399" s="38"/>
      <c r="G399" s="10" t="s">
        <v>1549</v>
      </c>
      <c r="H399" s="12" t="s">
        <v>1550</v>
      </c>
      <c r="I399" s="13">
        <v>7.9</v>
      </c>
      <c r="J399" s="15" t="s">
        <v>1552</v>
      </c>
      <c r="K399" s="14" t="s">
        <v>1551</v>
      </c>
      <c r="L399" s="11" t="s">
        <v>33</v>
      </c>
      <c r="M399" s="15"/>
      <c r="N399" s="17">
        <v>0</v>
      </c>
      <c r="O399" s="17"/>
      <c r="P399" s="17"/>
      <c r="Q399" s="48"/>
      <c r="R399" s="11"/>
      <c r="S399" s="48"/>
      <c r="T399" s="85"/>
      <c r="U399" s="88"/>
      <c r="V399" s="32" t="s">
        <v>1553</v>
      </c>
      <c r="W399" s="25" t="s">
        <v>8</v>
      </c>
      <c r="X399" s="11"/>
      <c r="Y399" s="50"/>
      <c r="Z399" s="50"/>
      <c r="AA399" s="50"/>
      <c r="AB399" s="50"/>
      <c r="AC399" s="50"/>
      <c r="AD399" s="50"/>
      <c r="AE399" s="50"/>
      <c r="AF399" s="34"/>
      <c r="AG399" s="34"/>
      <c r="AH399" s="34"/>
      <c r="AI399" s="34"/>
      <c r="AJ399" s="34"/>
      <c r="AK399" s="34"/>
      <c r="AL399" s="34"/>
      <c r="AM399" s="34"/>
      <c r="AN399" s="34"/>
      <c r="AO399" s="65"/>
      <c r="AP399" s="69"/>
      <c r="AQ399" s="62"/>
      <c r="AR399" s="34"/>
    </row>
    <row r="400" spans="1:44" customFormat="1">
      <c r="A400" s="39">
        <v>43897</v>
      </c>
      <c r="B400" s="11" t="s">
        <v>22</v>
      </c>
      <c r="C400" s="16" t="s">
        <v>1538</v>
      </c>
      <c r="D400" s="16"/>
      <c r="E400" s="38">
        <v>23734</v>
      </c>
      <c r="F400" s="38"/>
      <c r="G400" s="10" t="s">
        <v>1539</v>
      </c>
      <c r="H400" s="12" t="s">
        <v>1540</v>
      </c>
      <c r="I400" s="13">
        <v>23</v>
      </c>
      <c r="J400" s="15" t="s">
        <v>1541</v>
      </c>
      <c r="K400" s="12"/>
      <c r="L400" s="11" t="s">
        <v>33</v>
      </c>
      <c r="M400" s="15"/>
      <c r="N400" s="17">
        <v>2750</v>
      </c>
      <c r="O400" s="17"/>
      <c r="P400" s="17"/>
      <c r="Q400" s="48"/>
      <c r="R400" s="11"/>
      <c r="S400" s="48"/>
      <c r="T400" s="85"/>
      <c r="U400" s="88"/>
      <c r="V400" s="32" t="s">
        <v>1542</v>
      </c>
      <c r="W400" s="25" t="s">
        <v>48</v>
      </c>
      <c r="X400" s="11"/>
      <c r="Y400" s="50" t="s">
        <v>12</v>
      </c>
      <c r="Z400" s="50"/>
      <c r="AA400" s="50"/>
      <c r="AB400" s="50"/>
      <c r="AC400" s="50"/>
      <c r="AD400" s="50"/>
      <c r="AE400" s="50"/>
      <c r="AF400" s="34"/>
      <c r="AG400" s="34"/>
      <c r="AH400" s="34"/>
      <c r="AI400" s="34"/>
      <c r="AJ400" s="34"/>
      <c r="AK400" s="34"/>
      <c r="AL400" s="34"/>
      <c r="AM400" s="34"/>
      <c r="AN400" s="34"/>
      <c r="AO400" s="65"/>
      <c r="AP400" s="69"/>
      <c r="AQ400" s="62"/>
      <c r="AR400" s="34"/>
    </row>
    <row r="401" spans="1:44" customFormat="1">
      <c r="A401" s="39">
        <v>43897</v>
      </c>
      <c r="B401" s="11" t="s">
        <v>49</v>
      </c>
      <c r="C401" s="16" t="s">
        <v>1558</v>
      </c>
      <c r="D401" s="16"/>
      <c r="E401" s="38">
        <v>17335</v>
      </c>
      <c r="F401" s="38"/>
      <c r="G401" s="10" t="s">
        <v>620</v>
      </c>
      <c r="H401" s="12" t="s">
        <v>1555</v>
      </c>
      <c r="I401" s="13">
        <v>13.9</v>
      </c>
      <c r="J401" s="15" t="s">
        <v>1556</v>
      </c>
      <c r="K401" s="12"/>
      <c r="L401" s="11" t="s">
        <v>34</v>
      </c>
      <c r="M401" s="15"/>
      <c r="N401" s="17">
        <v>11000</v>
      </c>
      <c r="O401" s="17"/>
      <c r="P401" s="17"/>
      <c r="Q401" s="48"/>
      <c r="R401" s="11"/>
      <c r="S401" s="48"/>
      <c r="T401" s="85"/>
      <c r="U401" s="88"/>
      <c r="V401" s="32" t="s">
        <v>1557</v>
      </c>
      <c r="W401" s="25" t="s">
        <v>8</v>
      </c>
      <c r="X401" s="11"/>
      <c r="Y401" s="50" t="s">
        <v>12</v>
      </c>
      <c r="Z401" s="50"/>
      <c r="AA401" s="50"/>
      <c r="AB401" s="50"/>
      <c r="AC401" s="50"/>
      <c r="AD401" s="50"/>
      <c r="AE401" s="50"/>
      <c r="AF401" s="34"/>
      <c r="AG401" s="34"/>
      <c r="AH401" s="34"/>
      <c r="AI401" s="34"/>
      <c r="AJ401" s="34"/>
      <c r="AK401" s="34"/>
      <c r="AL401" s="34"/>
      <c r="AM401" s="34"/>
      <c r="AN401" s="34"/>
      <c r="AO401" s="65"/>
      <c r="AP401" s="69"/>
      <c r="AQ401" s="62"/>
      <c r="AR401" s="34"/>
    </row>
    <row r="402" spans="1:44" customFormat="1">
      <c r="A402" s="39">
        <v>43898</v>
      </c>
      <c r="B402" s="11" t="s">
        <v>528</v>
      </c>
      <c r="C402" s="16" t="s">
        <v>1559</v>
      </c>
      <c r="D402" s="16"/>
      <c r="E402" s="38">
        <v>27197</v>
      </c>
      <c r="F402" s="38"/>
      <c r="G402" s="10" t="s">
        <v>344</v>
      </c>
      <c r="H402" s="12" t="s">
        <v>1012</v>
      </c>
      <c r="I402" s="13">
        <v>0.6</v>
      </c>
      <c r="J402" s="15"/>
      <c r="K402" s="12"/>
      <c r="L402" s="11"/>
      <c r="M402" s="15"/>
      <c r="N402" s="17">
        <v>5500</v>
      </c>
      <c r="O402" s="17"/>
      <c r="P402" s="17"/>
      <c r="Q402" s="48"/>
      <c r="R402" s="11"/>
      <c r="S402" s="48"/>
      <c r="T402" s="85"/>
      <c r="U402" s="88"/>
      <c r="V402" s="32" t="s">
        <v>1577</v>
      </c>
      <c r="W402" s="25"/>
      <c r="X402" s="11"/>
      <c r="Y402" s="50"/>
      <c r="Z402" s="50"/>
      <c r="AA402" s="50"/>
      <c r="AB402" s="50"/>
      <c r="AC402" s="50"/>
      <c r="AD402" s="50"/>
      <c r="AE402" s="50"/>
      <c r="AF402" s="34"/>
      <c r="AG402" s="34"/>
      <c r="AH402" s="34"/>
      <c r="AI402" s="34"/>
      <c r="AJ402" s="34"/>
      <c r="AK402" s="34"/>
      <c r="AL402" s="34"/>
      <c r="AM402" s="34"/>
      <c r="AN402" s="34"/>
      <c r="AO402" s="65"/>
      <c r="AP402" s="69"/>
      <c r="AQ402" s="62"/>
      <c r="AR402" s="34"/>
    </row>
    <row r="403" spans="1:44" customFormat="1">
      <c r="A403" s="39">
        <v>43902</v>
      </c>
      <c r="B403" s="11" t="s">
        <v>49</v>
      </c>
      <c r="C403" s="16" t="s">
        <v>1560</v>
      </c>
      <c r="D403" s="16"/>
      <c r="E403" s="38">
        <v>21255</v>
      </c>
      <c r="F403" s="38"/>
      <c r="G403" s="10" t="s">
        <v>1561</v>
      </c>
      <c r="H403" s="12" t="s">
        <v>1562</v>
      </c>
      <c r="I403" s="13">
        <v>26.5</v>
      </c>
      <c r="J403" s="15" t="s">
        <v>1563</v>
      </c>
      <c r="K403" s="12"/>
      <c r="L403" s="11" t="s">
        <v>34</v>
      </c>
      <c r="M403" s="15"/>
      <c r="N403" s="17">
        <v>16500</v>
      </c>
      <c r="O403" s="17"/>
      <c r="P403" s="17"/>
      <c r="Q403" s="48"/>
      <c r="R403" s="11"/>
      <c r="S403" s="48"/>
      <c r="T403" s="85"/>
      <c r="U403" s="88"/>
      <c r="V403" s="32" t="s">
        <v>105</v>
      </c>
      <c r="W403" s="25"/>
      <c r="X403" s="11"/>
      <c r="Y403" s="50"/>
      <c r="Z403" s="50"/>
      <c r="AA403" s="50"/>
      <c r="AB403" s="50"/>
      <c r="AC403" s="50"/>
      <c r="AD403" s="50"/>
      <c r="AE403" s="50"/>
      <c r="AF403" s="34"/>
      <c r="AG403" s="34"/>
      <c r="AH403" s="34"/>
      <c r="AI403" s="34"/>
      <c r="AJ403" s="34"/>
      <c r="AK403" s="34"/>
      <c r="AL403" s="34"/>
      <c r="AM403" s="34"/>
      <c r="AN403" s="34"/>
      <c r="AO403" s="65"/>
      <c r="AP403" s="69"/>
      <c r="AQ403" s="62"/>
      <c r="AR403" s="34"/>
    </row>
    <row r="404" spans="1:44" customFormat="1">
      <c r="A404" s="39">
        <v>43903</v>
      </c>
      <c r="B404" s="11" t="s">
        <v>49</v>
      </c>
      <c r="C404" s="16" t="s">
        <v>1564</v>
      </c>
      <c r="D404" s="16"/>
      <c r="E404" s="38">
        <v>27262</v>
      </c>
      <c r="F404" s="38"/>
      <c r="G404" s="10" t="s">
        <v>1567</v>
      </c>
      <c r="H404" s="12" t="s">
        <v>1566</v>
      </c>
      <c r="I404" s="13">
        <v>15.4</v>
      </c>
      <c r="J404" s="15" t="s">
        <v>1565</v>
      </c>
      <c r="K404" s="12"/>
      <c r="L404" s="11" t="s">
        <v>36</v>
      </c>
      <c r="M404" s="15"/>
      <c r="N404" s="17">
        <v>0</v>
      </c>
      <c r="O404" s="17"/>
      <c r="P404" s="17"/>
      <c r="Q404" s="48"/>
      <c r="R404" s="11"/>
      <c r="S404" s="48"/>
      <c r="T404" s="85"/>
      <c r="U404" s="88"/>
      <c r="V404" s="32" t="s">
        <v>1568</v>
      </c>
      <c r="W404" s="25" t="s">
        <v>8</v>
      </c>
      <c r="X404" s="11"/>
      <c r="Y404" s="50" t="s">
        <v>13</v>
      </c>
      <c r="Z404" s="50"/>
      <c r="AA404" s="50"/>
      <c r="AB404" s="50"/>
      <c r="AC404" s="50"/>
      <c r="AD404" s="50"/>
      <c r="AE404" s="50"/>
      <c r="AF404" s="34"/>
      <c r="AG404" s="34"/>
      <c r="AH404" s="34"/>
      <c r="AI404" s="34"/>
      <c r="AJ404" s="34"/>
      <c r="AK404" s="34"/>
      <c r="AL404" s="34"/>
      <c r="AM404" s="34"/>
      <c r="AN404" s="34"/>
      <c r="AO404" s="65"/>
      <c r="AP404" s="69"/>
      <c r="AQ404" s="62"/>
      <c r="AR404" s="34"/>
    </row>
    <row r="405" spans="1:44" customFormat="1">
      <c r="A405" s="39">
        <v>43903</v>
      </c>
      <c r="B405" s="11" t="s">
        <v>22</v>
      </c>
      <c r="C405" s="16" t="s">
        <v>1569</v>
      </c>
      <c r="D405" s="16"/>
      <c r="E405" s="38">
        <v>24582</v>
      </c>
      <c r="F405" s="38"/>
      <c r="G405" s="10" t="s">
        <v>946</v>
      </c>
      <c r="H405" s="12" t="s">
        <v>1570</v>
      </c>
      <c r="I405" s="13">
        <v>10.5</v>
      </c>
      <c r="J405" s="15" t="s">
        <v>1571</v>
      </c>
      <c r="K405" s="12"/>
      <c r="L405" s="11" t="s">
        <v>37</v>
      </c>
      <c r="M405" s="15"/>
      <c r="N405" s="17">
        <v>2750</v>
      </c>
      <c r="O405" s="17"/>
      <c r="P405" s="17"/>
      <c r="Q405" s="48"/>
      <c r="R405" s="11"/>
      <c r="S405" s="48"/>
      <c r="T405" s="85"/>
      <c r="U405" s="88"/>
      <c r="V405" s="32" t="s">
        <v>1572</v>
      </c>
      <c r="W405" s="25" t="s">
        <v>8</v>
      </c>
      <c r="X405" s="11"/>
      <c r="Y405" s="50"/>
      <c r="Z405" s="50"/>
      <c r="AA405" s="50"/>
      <c r="AB405" s="50"/>
      <c r="AC405" s="50"/>
      <c r="AD405" s="50"/>
      <c r="AE405" s="50"/>
      <c r="AF405" s="34"/>
      <c r="AG405" s="34"/>
      <c r="AH405" s="34"/>
      <c r="AI405" s="34"/>
      <c r="AJ405" s="34"/>
      <c r="AK405" s="34"/>
      <c r="AL405" s="34"/>
      <c r="AM405" s="34"/>
      <c r="AN405" s="34"/>
      <c r="AO405" s="65"/>
      <c r="AP405" s="69"/>
      <c r="AQ405" s="62"/>
      <c r="AR405" s="34"/>
    </row>
    <row r="406" spans="1:44" customFormat="1">
      <c r="A406" s="39">
        <v>43904</v>
      </c>
      <c r="B406" s="11" t="s">
        <v>49</v>
      </c>
      <c r="C406" s="16" t="s">
        <v>1573</v>
      </c>
      <c r="D406" s="16"/>
      <c r="E406" s="38">
        <v>27746</v>
      </c>
      <c r="F406" s="38"/>
      <c r="G406" s="10" t="s">
        <v>1574</v>
      </c>
      <c r="H406" s="12" t="s">
        <v>1575</v>
      </c>
      <c r="I406" s="13">
        <v>14.6</v>
      </c>
      <c r="J406" s="15" t="s">
        <v>1576</v>
      </c>
      <c r="K406" s="12"/>
      <c r="L406" s="11" t="s">
        <v>34</v>
      </c>
      <c r="M406" s="15"/>
      <c r="N406" s="17">
        <v>22000</v>
      </c>
      <c r="O406" s="17"/>
      <c r="P406" s="17"/>
      <c r="Q406" s="48"/>
      <c r="R406" s="11"/>
      <c r="S406" s="48"/>
      <c r="T406" s="85"/>
      <c r="U406" s="88"/>
      <c r="V406" s="32"/>
      <c r="W406" s="25" t="s">
        <v>8</v>
      </c>
      <c r="X406" s="11"/>
      <c r="Y406" s="50" t="s">
        <v>13</v>
      </c>
      <c r="Z406" s="50"/>
      <c r="AA406" s="50"/>
      <c r="AB406" s="50"/>
      <c r="AC406" s="50"/>
      <c r="AD406" s="50"/>
      <c r="AE406" s="50"/>
      <c r="AF406" s="34"/>
      <c r="AG406" s="34"/>
      <c r="AH406" s="34"/>
      <c r="AI406" s="34"/>
      <c r="AJ406" s="34"/>
      <c r="AK406" s="34"/>
      <c r="AL406" s="34"/>
      <c r="AM406" s="34"/>
      <c r="AN406" s="34"/>
      <c r="AO406" s="65"/>
      <c r="AP406" s="69"/>
      <c r="AQ406" s="62"/>
      <c r="AR406" s="34"/>
    </row>
    <row r="407" spans="1:44" customFormat="1">
      <c r="A407" s="39">
        <v>43910</v>
      </c>
      <c r="B407" s="11" t="s">
        <v>22</v>
      </c>
      <c r="C407" s="16" t="s">
        <v>1558</v>
      </c>
      <c r="D407" s="16"/>
      <c r="E407" s="38">
        <v>17335</v>
      </c>
      <c r="F407" s="38"/>
      <c r="G407" s="10" t="s">
        <v>620</v>
      </c>
      <c r="H407" s="12" t="s">
        <v>1555</v>
      </c>
      <c r="I407" s="13">
        <v>13.9</v>
      </c>
      <c r="J407" s="15" t="s">
        <v>1556</v>
      </c>
      <c r="K407" s="12"/>
      <c r="L407" s="11" t="s">
        <v>34</v>
      </c>
      <c r="M407" s="15"/>
      <c r="N407" s="17">
        <v>11000</v>
      </c>
      <c r="O407" s="17"/>
      <c r="P407" s="17"/>
      <c r="Q407" s="48"/>
      <c r="R407" s="20"/>
      <c r="S407" s="48"/>
      <c r="T407" s="86"/>
      <c r="U407" s="88"/>
      <c r="V407" s="94" t="s">
        <v>1578</v>
      </c>
      <c r="W407" s="25" t="s">
        <v>8</v>
      </c>
      <c r="X407" s="11"/>
      <c r="Y407" s="50" t="s">
        <v>12</v>
      </c>
      <c r="Z407" s="50"/>
      <c r="AA407" s="50"/>
      <c r="AB407" s="50"/>
      <c r="AC407" s="50"/>
      <c r="AD407" s="50"/>
      <c r="AE407" s="50"/>
      <c r="AF407" s="34"/>
      <c r="AG407" s="34"/>
      <c r="AH407" s="34"/>
      <c r="AI407" s="34"/>
      <c r="AJ407" s="34"/>
      <c r="AK407" s="34"/>
      <c r="AL407" s="34"/>
      <c r="AM407" s="34"/>
      <c r="AN407" s="34"/>
      <c r="AO407" s="65"/>
      <c r="AP407" s="69"/>
      <c r="AQ407" s="62"/>
      <c r="AR407" s="34"/>
    </row>
    <row r="408" spans="1:44" customFormat="1">
      <c r="A408" s="39">
        <v>43912</v>
      </c>
      <c r="B408" s="11" t="s">
        <v>22</v>
      </c>
      <c r="C408" s="16" t="s">
        <v>1579</v>
      </c>
      <c r="D408" s="16"/>
      <c r="E408" s="38">
        <v>22286</v>
      </c>
      <c r="F408" s="38"/>
      <c r="G408" s="10" t="s">
        <v>358</v>
      </c>
      <c r="H408" s="12" t="s">
        <v>1580</v>
      </c>
      <c r="I408" s="13">
        <v>3.1</v>
      </c>
      <c r="J408" s="15" t="s">
        <v>1581</v>
      </c>
      <c r="K408" s="12"/>
      <c r="L408" s="11" t="s">
        <v>37</v>
      </c>
      <c r="M408" s="15"/>
      <c r="N408" s="17">
        <v>2750</v>
      </c>
      <c r="O408" s="17"/>
      <c r="P408" s="17"/>
      <c r="Q408" s="48"/>
      <c r="R408" s="11"/>
      <c r="S408" s="48"/>
      <c r="T408" s="85"/>
      <c r="U408" s="88"/>
      <c r="V408" s="32" t="s">
        <v>1582</v>
      </c>
      <c r="W408" s="25" t="s">
        <v>8</v>
      </c>
      <c r="X408" s="11"/>
      <c r="Y408" s="50" t="s">
        <v>17</v>
      </c>
      <c r="Z408" s="50"/>
      <c r="AA408" s="50"/>
      <c r="AB408" s="50"/>
      <c r="AC408" s="50"/>
      <c r="AD408" s="50"/>
      <c r="AE408" s="50"/>
      <c r="AF408" s="34"/>
      <c r="AG408" s="34"/>
      <c r="AH408" s="34"/>
      <c r="AI408" s="34"/>
      <c r="AJ408" s="34"/>
      <c r="AK408" s="34"/>
      <c r="AL408" s="34"/>
      <c r="AM408" s="34"/>
      <c r="AN408" s="34"/>
      <c r="AO408" s="65"/>
      <c r="AP408" s="70"/>
      <c r="AQ408" s="71"/>
      <c r="AR408" s="34"/>
    </row>
    <row r="409" spans="1:44" customFormat="1">
      <c r="A409" s="39">
        <v>43915</v>
      </c>
      <c r="B409" s="11" t="s">
        <v>49</v>
      </c>
      <c r="C409" s="16" t="s">
        <v>1583</v>
      </c>
      <c r="D409" s="16"/>
      <c r="E409" s="39">
        <v>29617</v>
      </c>
      <c r="F409" s="39"/>
      <c r="G409" s="11" t="s">
        <v>1586</v>
      </c>
      <c r="H409" s="16" t="s">
        <v>1584</v>
      </c>
      <c r="I409" s="13">
        <v>32.700000000000003</v>
      </c>
      <c r="J409" s="16" t="s">
        <v>1585</v>
      </c>
      <c r="K409" s="12"/>
      <c r="L409" s="11" t="s">
        <v>33</v>
      </c>
      <c r="M409" s="16"/>
      <c r="N409" s="17">
        <v>16500</v>
      </c>
      <c r="O409" s="17"/>
      <c r="P409" s="17"/>
      <c r="Q409" s="48"/>
      <c r="R409" s="11"/>
      <c r="S409" s="48"/>
      <c r="T409" s="85"/>
      <c r="U409" s="88"/>
      <c r="V409" s="32" t="s">
        <v>1590</v>
      </c>
      <c r="W409" s="25" t="s">
        <v>48</v>
      </c>
      <c r="X409" s="11"/>
      <c r="Y409" s="50" t="s">
        <v>12</v>
      </c>
      <c r="Z409" s="50"/>
      <c r="AA409" s="50"/>
      <c r="AB409" s="50"/>
      <c r="AC409" s="50"/>
      <c r="AD409" s="50"/>
      <c r="AE409" s="50"/>
      <c r="AF409" s="34"/>
      <c r="AG409" s="34"/>
      <c r="AH409" s="34"/>
      <c r="AI409" s="34"/>
      <c r="AJ409" s="34"/>
      <c r="AK409" s="34"/>
      <c r="AL409" s="34"/>
      <c r="AM409" s="34"/>
      <c r="AN409" s="34"/>
      <c r="AO409" s="65"/>
      <c r="AP409" s="69"/>
      <c r="AQ409" s="62"/>
      <c r="AR409" s="34"/>
    </row>
    <row r="410" spans="1:44" customFormat="1">
      <c r="A410" s="39">
        <v>43915</v>
      </c>
      <c r="B410" s="11" t="s">
        <v>5659</v>
      </c>
      <c r="C410" s="16" t="s">
        <v>296</v>
      </c>
      <c r="D410" s="16"/>
      <c r="E410" s="39"/>
      <c r="F410" s="39"/>
      <c r="G410" s="11"/>
      <c r="H410" s="16" t="s">
        <v>298</v>
      </c>
      <c r="I410" s="13">
        <v>10.1</v>
      </c>
      <c r="J410" s="16" t="s">
        <v>299</v>
      </c>
      <c r="K410" s="12"/>
      <c r="L410" s="11"/>
      <c r="M410" s="16"/>
      <c r="N410" s="17"/>
      <c r="O410" s="17"/>
      <c r="P410" s="17"/>
      <c r="Q410" s="48"/>
      <c r="R410" s="11"/>
      <c r="S410" s="48"/>
      <c r="T410" s="85"/>
      <c r="U410" s="88"/>
      <c r="V410" s="32" t="s">
        <v>1605</v>
      </c>
      <c r="W410" s="25"/>
      <c r="X410" s="11"/>
      <c r="Y410" s="50"/>
      <c r="Z410" s="50"/>
      <c r="AA410" s="50"/>
      <c r="AB410" s="50"/>
      <c r="AC410" s="50"/>
      <c r="AD410" s="50"/>
      <c r="AE410" s="50"/>
      <c r="AF410" s="34"/>
      <c r="AG410" s="34"/>
      <c r="AH410" s="34"/>
      <c r="AI410" s="34"/>
      <c r="AJ410" s="34"/>
      <c r="AK410" s="34"/>
      <c r="AL410" s="34"/>
      <c r="AM410" s="34"/>
      <c r="AN410" s="34"/>
      <c r="AO410" s="65"/>
      <c r="AP410" s="69"/>
      <c r="AQ410" s="62"/>
      <c r="AR410" s="34"/>
    </row>
    <row r="411" spans="1:44" customFormat="1">
      <c r="A411" s="39">
        <v>43915</v>
      </c>
      <c r="B411" s="11" t="s">
        <v>5659</v>
      </c>
      <c r="C411" s="34" t="s">
        <v>1587</v>
      </c>
      <c r="D411" s="34"/>
      <c r="E411" s="38">
        <v>36547</v>
      </c>
      <c r="F411" s="38"/>
      <c r="G411" s="10" t="s">
        <v>1245</v>
      </c>
      <c r="H411" s="12" t="s">
        <v>1588</v>
      </c>
      <c r="I411" s="13">
        <v>3.3</v>
      </c>
      <c r="J411" s="15" t="s">
        <v>1589</v>
      </c>
      <c r="K411" s="12"/>
      <c r="L411" s="11" t="s">
        <v>38</v>
      </c>
      <c r="M411" s="15"/>
      <c r="N411" s="17"/>
      <c r="O411" s="17"/>
      <c r="P411" s="17"/>
      <c r="Q411" s="48"/>
      <c r="R411" s="11"/>
      <c r="S411" s="48"/>
      <c r="T411" s="85"/>
      <c r="U411" s="88"/>
      <c r="V411" s="32"/>
      <c r="W411" s="25" t="s">
        <v>8</v>
      </c>
      <c r="X411" s="11"/>
      <c r="Y411" s="50"/>
      <c r="Z411" s="50"/>
      <c r="AA411" s="50"/>
      <c r="AB411" s="50"/>
      <c r="AC411" s="50"/>
      <c r="AD411" s="50"/>
      <c r="AE411" s="50"/>
      <c r="AF411" s="34"/>
      <c r="AG411" s="34"/>
      <c r="AH411" s="34"/>
      <c r="AI411" s="34"/>
      <c r="AJ411" s="34"/>
      <c r="AK411" s="34"/>
      <c r="AL411" s="34"/>
      <c r="AM411" s="34"/>
      <c r="AN411" s="34"/>
      <c r="AO411" s="65"/>
      <c r="AP411" s="69"/>
      <c r="AQ411" s="62"/>
      <c r="AR411" s="34"/>
    </row>
    <row r="412" spans="1:44" customFormat="1">
      <c r="A412" s="39">
        <v>43916</v>
      </c>
      <c r="B412" s="11" t="s">
        <v>22</v>
      </c>
      <c r="C412" s="34" t="s">
        <v>1591</v>
      </c>
      <c r="D412" s="34"/>
      <c r="E412" s="38">
        <v>17016</v>
      </c>
      <c r="F412" s="38"/>
      <c r="G412" s="10"/>
      <c r="H412" s="12" t="s">
        <v>1592</v>
      </c>
      <c r="I412" s="13">
        <v>4</v>
      </c>
      <c r="J412" s="15" t="s">
        <v>1593</v>
      </c>
      <c r="K412" s="12"/>
      <c r="L412" s="11" t="s">
        <v>39</v>
      </c>
      <c r="M412" s="15"/>
      <c r="N412" s="17">
        <v>2750</v>
      </c>
      <c r="O412" s="17"/>
      <c r="P412" s="17"/>
      <c r="Q412" s="48"/>
      <c r="R412" s="11"/>
      <c r="S412" s="48"/>
      <c r="T412" s="85"/>
      <c r="U412" s="88"/>
      <c r="V412" s="32"/>
      <c r="W412" s="25" t="s">
        <v>48</v>
      </c>
      <c r="X412" s="11"/>
      <c r="Y412" s="50" t="s">
        <v>12</v>
      </c>
      <c r="Z412" s="50"/>
      <c r="AA412" s="50"/>
      <c r="AB412" s="50"/>
      <c r="AC412" s="50"/>
      <c r="AD412" s="50"/>
      <c r="AE412" s="50"/>
      <c r="AF412" s="34"/>
      <c r="AG412" s="34"/>
      <c r="AH412" s="34"/>
      <c r="AI412" s="34"/>
      <c r="AJ412" s="34"/>
      <c r="AK412" s="34"/>
      <c r="AL412" s="34"/>
      <c r="AM412" s="34"/>
      <c r="AN412" s="34"/>
      <c r="AO412" s="65"/>
      <c r="AP412" s="69"/>
      <c r="AQ412" s="62"/>
      <c r="AR412" s="34"/>
    </row>
    <row r="413" spans="1:44" customFormat="1">
      <c r="A413" s="39">
        <v>43917</v>
      </c>
      <c r="B413" s="11" t="s">
        <v>49</v>
      </c>
      <c r="C413" s="34" t="s">
        <v>1594</v>
      </c>
      <c r="D413" s="34"/>
      <c r="E413" s="38">
        <v>30263</v>
      </c>
      <c r="F413" s="38"/>
      <c r="G413" s="10" t="s">
        <v>1595</v>
      </c>
      <c r="H413" s="12" t="s">
        <v>1596</v>
      </c>
      <c r="I413" s="13">
        <v>10.1</v>
      </c>
      <c r="J413" s="15" t="s">
        <v>1597</v>
      </c>
      <c r="K413" s="12"/>
      <c r="L413" s="11" t="s">
        <v>33</v>
      </c>
      <c r="M413" s="15"/>
      <c r="N413" s="17">
        <v>16500</v>
      </c>
      <c r="O413" s="17"/>
      <c r="P413" s="17"/>
      <c r="Q413" s="48"/>
      <c r="R413" s="11"/>
      <c r="S413" s="48"/>
      <c r="T413" s="85"/>
      <c r="U413" s="88"/>
      <c r="V413" s="32" t="s">
        <v>1598</v>
      </c>
      <c r="W413" s="25" t="s">
        <v>8</v>
      </c>
      <c r="X413" s="11"/>
      <c r="Y413" s="50" t="s">
        <v>13</v>
      </c>
      <c r="Z413" s="50"/>
      <c r="AA413" s="50"/>
      <c r="AB413" s="50"/>
      <c r="AC413" s="50"/>
      <c r="AD413" s="50"/>
      <c r="AE413" s="50"/>
      <c r="AF413" s="34"/>
      <c r="AG413" s="34"/>
      <c r="AH413" s="34"/>
      <c r="AI413" s="34"/>
      <c r="AJ413" s="34"/>
      <c r="AK413" s="34"/>
      <c r="AL413" s="34"/>
      <c r="AM413" s="34"/>
      <c r="AN413" s="34"/>
      <c r="AO413" s="65"/>
      <c r="AP413" s="69"/>
      <c r="AQ413" s="62"/>
      <c r="AR413" s="34"/>
    </row>
    <row r="414" spans="1:44" customFormat="1">
      <c r="A414" s="39">
        <v>43920</v>
      </c>
      <c r="B414" s="11" t="s">
        <v>24</v>
      </c>
      <c r="C414" s="16" t="s">
        <v>1599</v>
      </c>
      <c r="D414" s="16"/>
      <c r="E414" s="38">
        <v>29651</v>
      </c>
      <c r="F414" s="38"/>
      <c r="G414" s="10" t="s">
        <v>1600</v>
      </c>
      <c r="H414" s="12" t="s">
        <v>1601</v>
      </c>
      <c r="I414" s="13">
        <v>21.6</v>
      </c>
      <c r="J414" s="15" t="s">
        <v>1602</v>
      </c>
      <c r="K414" s="12"/>
      <c r="L414" s="11" t="s">
        <v>34</v>
      </c>
      <c r="M414" s="15"/>
      <c r="N414" s="17">
        <v>6050</v>
      </c>
      <c r="O414" s="17"/>
      <c r="P414" s="17"/>
      <c r="Q414" s="48"/>
      <c r="R414" s="11"/>
      <c r="S414" s="48"/>
      <c r="T414" s="85"/>
      <c r="U414" s="88"/>
      <c r="V414" s="32"/>
      <c r="W414" s="25" t="s">
        <v>48</v>
      </c>
      <c r="X414" s="11"/>
      <c r="Y414" s="50" t="s">
        <v>13</v>
      </c>
      <c r="Z414" s="50"/>
      <c r="AA414" s="50"/>
      <c r="AB414" s="50"/>
      <c r="AC414" s="50"/>
      <c r="AD414" s="50"/>
      <c r="AE414" s="50"/>
      <c r="AF414" s="34"/>
      <c r="AG414" s="34"/>
      <c r="AH414" s="34"/>
      <c r="AI414" s="34"/>
      <c r="AJ414" s="34"/>
      <c r="AK414" s="34"/>
      <c r="AL414" s="34"/>
      <c r="AM414" s="34"/>
      <c r="AN414" s="34"/>
      <c r="AO414" s="65"/>
      <c r="AP414" s="69"/>
      <c r="AQ414" s="62"/>
      <c r="AR414" s="34"/>
    </row>
    <row r="415" spans="1:44" customFormat="1">
      <c r="A415" s="39">
        <v>43920</v>
      </c>
      <c r="B415" s="11" t="s">
        <v>22</v>
      </c>
      <c r="C415" s="16" t="s">
        <v>1603</v>
      </c>
      <c r="D415" s="16"/>
      <c r="E415" s="38">
        <v>37781</v>
      </c>
      <c r="F415" s="38"/>
      <c r="G415" s="10" t="s">
        <v>1510</v>
      </c>
      <c r="H415" s="12" t="s">
        <v>1511</v>
      </c>
      <c r="I415" s="13">
        <v>28.6</v>
      </c>
      <c r="J415" s="15" t="s">
        <v>1512</v>
      </c>
      <c r="K415" s="12"/>
      <c r="L415" s="11" t="s">
        <v>38</v>
      </c>
      <c r="M415" s="15"/>
      <c r="N415" s="17">
        <v>4950</v>
      </c>
      <c r="O415" s="17"/>
      <c r="P415" s="17"/>
      <c r="Q415" s="48"/>
      <c r="R415" s="11"/>
      <c r="S415" s="48"/>
      <c r="T415" s="85"/>
      <c r="U415" s="88"/>
      <c r="V415" s="32" t="s">
        <v>1604</v>
      </c>
      <c r="W415" s="25" t="s">
        <v>8</v>
      </c>
      <c r="X415" s="11"/>
      <c r="Y415" s="50" t="s">
        <v>13</v>
      </c>
      <c r="Z415" s="50"/>
      <c r="AA415" s="50"/>
      <c r="AB415" s="50"/>
      <c r="AC415" s="50"/>
      <c r="AD415" s="50"/>
      <c r="AE415" s="50"/>
      <c r="AF415" s="34"/>
      <c r="AG415" s="34"/>
      <c r="AH415" s="34"/>
      <c r="AI415" s="34"/>
      <c r="AJ415" s="34"/>
      <c r="AK415" s="34"/>
      <c r="AL415" s="34"/>
      <c r="AM415" s="34"/>
      <c r="AN415" s="34"/>
      <c r="AO415" s="65"/>
      <c r="AP415" s="69"/>
      <c r="AQ415" s="62"/>
      <c r="AR415" s="34"/>
    </row>
    <row r="416" spans="1:44" customFormat="1">
      <c r="A416" s="39">
        <v>43922</v>
      </c>
      <c r="B416" s="11" t="s">
        <v>5659</v>
      </c>
      <c r="C416" s="16" t="s">
        <v>296</v>
      </c>
      <c r="D416" s="16"/>
      <c r="E416" s="38"/>
      <c r="F416" s="38"/>
      <c r="G416" s="10"/>
      <c r="H416" s="12"/>
      <c r="I416" s="13"/>
      <c r="J416" s="15" t="s">
        <v>299</v>
      </c>
      <c r="K416" s="12"/>
      <c r="L416" s="11"/>
      <c r="M416" s="15"/>
      <c r="N416" s="17">
        <v>5500</v>
      </c>
      <c r="O416" s="17"/>
      <c r="P416" s="17"/>
      <c r="Q416" s="48"/>
      <c r="R416" s="11"/>
      <c r="S416" s="48"/>
      <c r="T416" s="85"/>
      <c r="U416" s="88"/>
      <c r="V416" s="32" t="s">
        <v>1605</v>
      </c>
      <c r="W416" s="25"/>
      <c r="X416" s="11"/>
      <c r="Y416" s="50"/>
      <c r="Z416" s="50"/>
      <c r="AA416" s="50"/>
      <c r="AB416" s="50"/>
      <c r="AC416" s="50"/>
      <c r="AD416" s="50"/>
      <c r="AE416" s="50"/>
      <c r="AF416" s="34"/>
      <c r="AG416" s="34"/>
      <c r="AH416" s="34"/>
      <c r="AI416" s="34"/>
      <c r="AJ416" s="34"/>
      <c r="AK416" s="34"/>
      <c r="AL416" s="34"/>
      <c r="AM416" s="34"/>
      <c r="AN416" s="34"/>
      <c r="AO416" s="65"/>
      <c r="AP416" s="69"/>
      <c r="AQ416" s="62"/>
      <c r="AR416" s="34"/>
    </row>
    <row r="417" spans="1:44" customFormat="1">
      <c r="A417" s="39">
        <v>43922</v>
      </c>
      <c r="B417" s="11" t="s">
        <v>5659</v>
      </c>
      <c r="C417" s="16" t="s">
        <v>494</v>
      </c>
      <c r="D417" s="16"/>
      <c r="E417" s="38"/>
      <c r="F417" s="38"/>
      <c r="G417" s="10"/>
      <c r="H417" s="12"/>
      <c r="I417" s="13"/>
      <c r="J417" s="15"/>
      <c r="K417" s="12"/>
      <c r="L417" s="11"/>
      <c r="M417" s="15"/>
      <c r="N417" s="17">
        <v>5500</v>
      </c>
      <c r="O417" s="17"/>
      <c r="P417" s="17"/>
      <c r="Q417" s="48"/>
      <c r="R417" s="11"/>
      <c r="S417" s="48"/>
      <c r="T417" s="85"/>
      <c r="U417" s="88"/>
      <c r="V417" s="32" t="s">
        <v>1605</v>
      </c>
      <c r="W417" s="25"/>
      <c r="X417" s="11"/>
      <c r="Y417" s="50"/>
      <c r="Z417" s="50"/>
      <c r="AA417" s="50"/>
      <c r="AB417" s="50"/>
      <c r="AC417" s="50"/>
      <c r="AD417" s="50"/>
      <c r="AE417" s="50"/>
      <c r="AF417" s="34"/>
      <c r="AG417" s="34"/>
      <c r="AH417" s="34"/>
      <c r="AI417" s="34"/>
      <c r="AJ417" s="34"/>
      <c r="AK417" s="34"/>
      <c r="AL417" s="34"/>
      <c r="AM417" s="34"/>
      <c r="AN417" s="34"/>
      <c r="AO417" s="65"/>
      <c r="AP417" s="69"/>
      <c r="AQ417" s="62"/>
      <c r="AR417" s="34"/>
    </row>
    <row r="418" spans="1:44" customFormat="1">
      <c r="A418" s="39">
        <v>43974</v>
      </c>
      <c r="B418" s="11" t="s">
        <v>49</v>
      </c>
      <c r="C418" s="16" t="s">
        <v>1724</v>
      </c>
      <c r="D418" s="16"/>
      <c r="E418" s="38">
        <v>38109</v>
      </c>
      <c r="F418" s="38"/>
      <c r="G418" s="10" t="s">
        <v>1725</v>
      </c>
      <c r="H418" s="12" t="s">
        <v>1726</v>
      </c>
      <c r="I418" s="13" t="s">
        <v>1729</v>
      </c>
      <c r="J418" s="15" t="s">
        <v>1727</v>
      </c>
      <c r="K418" s="12"/>
      <c r="L418" s="11" t="s">
        <v>38</v>
      </c>
      <c r="M418" s="15"/>
      <c r="N418" s="17">
        <v>0</v>
      </c>
      <c r="O418" s="17"/>
      <c r="P418" s="17"/>
      <c r="Q418" s="48"/>
      <c r="R418" s="11"/>
      <c r="S418" s="48"/>
      <c r="T418" s="85"/>
      <c r="U418" s="88"/>
      <c r="V418" s="32" t="s">
        <v>1728</v>
      </c>
      <c r="W418" s="25" t="s">
        <v>8</v>
      </c>
      <c r="X418" s="11"/>
      <c r="Y418" s="50" t="s">
        <v>13</v>
      </c>
      <c r="Z418" s="50"/>
      <c r="AA418" s="50"/>
      <c r="AB418" s="50"/>
      <c r="AC418" s="50"/>
      <c r="AD418" s="50"/>
      <c r="AE418" s="50"/>
      <c r="AF418" s="34"/>
      <c r="AG418" s="34"/>
      <c r="AH418" s="34"/>
      <c r="AI418" s="34"/>
      <c r="AJ418" s="34"/>
      <c r="AK418" s="34"/>
      <c r="AL418" s="34"/>
      <c r="AM418" s="34"/>
      <c r="AN418" s="34"/>
      <c r="AO418" s="65"/>
      <c r="AP418" s="69"/>
      <c r="AQ418" s="62"/>
      <c r="AR418" s="34"/>
    </row>
    <row r="419" spans="1:44" customFormat="1">
      <c r="A419" s="39">
        <v>43976</v>
      </c>
      <c r="B419" s="11" t="s">
        <v>22</v>
      </c>
      <c r="C419" s="16" t="s">
        <v>1730</v>
      </c>
      <c r="D419" s="16"/>
      <c r="E419" s="38">
        <v>14384</v>
      </c>
      <c r="F419" s="38"/>
      <c r="G419" s="10" t="s">
        <v>1731</v>
      </c>
      <c r="H419" s="12" t="s">
        <v>1732</v>
      </c>
      <c r="I419" s="13" t="s">
        <v>1735</v>
      </c>
      <c r="J419" s="15" t="s">
        <v>1734</v>
      </c>
      <c r="K419" s="14" t="s">
        <v>1733</v>
      </c>
      <c r="L419" s="11" t="s">
        <v>39</v>
      </c>
      <c r="M419" s="15"/>
      <c r="N419" s="17">
        <v>2500</v>
      </c>
      <c r="O419" s="17"/>
      <c r="P419" s="17"/>
      <c r="Q419" s="48"/>
      <c r="R419" s="11"/>
      <c r="S419" s="48"/>
      <c r="T419" s="85"/>
      <c r="U419" s="88"/>
      <c r="V419" s="32"/>
      <c r="W419" s="25" t="s">
        <v>10</v>
      </c>
      <c r="X419" s="11"/>
      <c r="Y419" s="50" t="s">
        <v>12</v>
      </c>
      <c r="Z419" s="50"/>
      <c r="AA419" s="50"/>
      <c r="AB419" s="50"/>
      <c r="AC419" s="50"/>
      <c r="AD419" s="50"/>
      <c r="AE419" s="50"/>
      <c r="AF419" s="34"/>
      <c r="AG419" s="34"/>
      <c r="AH419" s="34"/>
      <c r="AI419" s="34"/>
      <c r="AJ419" s="34"/>
      <c r="AK419" s="34"/>
      <c r="AL419" s="34"/>
      <c r="AM419" s="34"/>
      <c r="AN419" s="34"/>
      <c r="AO419" s="65"/>
      <c r="AP419" s="69"/>
      <c r="AQ419" s="62"/>
      <c r="AR419" s="34"/>
    </row>
    <row r="420" spans="1:44" customFormat="1">
      <c r="A420" s="39">
        <v>43978</v>
      </c>
      <c r="B420" s="11" t="s">
        <v>5659</v>
      </c>
      <c r="C420" s="16" t="s">
        <v>296</v>
      </c>
      <c r="D420" s="16"/>
      <c r="E420" s="38"/>
      <c r="F420" s="38"/>
      <c r="G420" s="10"/>
      <c r="H420" s="12"/>
      <c r="I420" s="13"/>
      <c r="J420" s="15"/>
      <c r="K420" s="12"/>
      <c r="L420" s="11"/>
      <c r="M420" s="15"/>
      <c r="N420" s="17"/>
      <c r="O420" s="17"/>
      <c r="P420" s="17"/>
      <c r="Q420" s="48"/>
      <c r="R420" s="11"/>
      <c r="S420" s="48"/>
      <c r="T420" s="85"/>
      <c r="U420" s="88"/>
      <c r="V420" s="32"/>
      <c r="W420" s="25"/>
      <c r="X420" s="11"/>
      <c r="Y420" s="50"/>
      <c r="Z420" s="50"/>
      <c r="AA420" s="50"/>
      <c r="AB420" s="50"/>
      <c r="AC420" s="50"/>
      <c r="AD420" s="50"/>
      <c r="AE420" s="50"/>
      <c r="AF420" s="34"/>
      <c r="AG420" s="34"/>
      <c r="AH420" s="34"/>
      <c r="AI420" s="34"/>
      <c r="AJ420" s="34"/>
      <c r="AK420" s="34"/>
      <c r="AL420" s="34"/>
      <c r="AM420" s="34"/>
      <c r="AN420" s="34"/>
      <c r="AO420" s="65"/>
      <c r="AP420" s="69"/>
      <c r="AQ420" s="62"/>
      <c r="AR420" s="34"/>
    </row>
    <row r="421" spans="1:44" customFormat="1">
      <c r="A421" s="39">
        <v>43978</v>
      </c>
      <c r="B421" s="11" t="s">
        <v>49</v>
      </c>
      <c r="C421" s="16" t="s">
        <v>1736</v>
      </c>
      <c r="D421" s="16"/>
      <c r="E421" s="38">
        <v>26695</v>
      </c>
      <c r="F421" s="38"/>
      <c r="G421" s="10" t="s">
        <v>1740</v>
      </c>
      <c r="H421" s="12" t="s">
        <v>1737</v>
      </c>
      <c r="I421" s="13" t="s">
        <v>1739</v>
      </c>
      <c r="J421" s="15" t="s">
        <v>1738</v>
      </c>
      <c r="K421" s="12"/>
      <c r="L421" s="11" t="s">
        <v>33</v>
      </c>
      <c r="M421" s="15"/>
      <c r="N421" s="17">
        <v>16500</v>
      </c>
      <c r="O421" s="17"/>
      <c r="P421" s="17"/>
      <c r="Q421" s="48"/>
      <c r="R421" s="11"/>
      <c r="S421" s="48"/>
      <c r="T421" s="85"/>
      <c r="U421" s="88"/>
      <c r="V421" s="32"/>
      <c r="W421" s="25" t="s">
        <v>8</v>
      </c>
      <c r="X421" s="11"/>
      <c r="Y421" s="50" t="s">
        <v>13</v>
      </c>
      <c r="Z421" s="50"/>
      <c r="AA421" s="50"/>
      <c r="AB421" s="50"/>
      <c r="AC421" s="50"/>
      <c r="AD421" s="50"/>
      <c r="AE421" s="50"/>
      <c r="AF421" s="34"/>
      <c r="AG421" s="34"/>
      <c r="AH421" s="34"/>
      <c r="AI421" s="34"/>
      <c r="AJ421" s="34"/>
      <c r="AK421" s="34"/>
      <c r="AL421" s="34"/>
      <c r="AM421" s="34"/>
      <c r="AN421" s="34"/>
      <c r="AO421" s="65"/>
      <c r="AP421" s="69"/>
      <c r="AQ421" s="62"/>
      <c r="AR421" s="34"/>
    </row>
    <row r="422" spans="1:44" customFormat="1">
      <c r="A422" s="39">
        <v>43979</v>
      </c>
      <c r="B422" s="11" t="s">
        <v>22</v>
      </c>
      <c r="C422" s="16" t="s">
        <v>1741</v>
      </c>
      <c r="D422" s="16"/>
      <c r="E422" s="38">
        <v>25057</v>
      </c>
      <c r="F422" s="38"/>
      <c r="G422" s="10" t="s">
        <v>618</v>
      </c>
      <c r="H422" s="12" t="s">
        <v>1742</v>
      </c>
      <c r="I422" s="13" t="s">
        <v>1745</v>
      </c>
      <c r="J422" s="15" t="s">
        <v>1743</v>
      </c>
      <c r="K422" s="12"/>
      <c r="L422" s="11" t="s">
        <v>39</v>
      </c>
      <c r="M422" s="15"/>
      <c r="N422" s="17" t="s">
        <v>1751</v>
      </c>
      <c r="O422" s="17"/>
      <c r="P422" s="17"/>
      <c r="Q422" s="48"/>
      <c r="R422" s="11"/>
      <c r="S422" s="48"/>
      <c r="T422" s="85"/>
      <c r="U422" s="88"/>
      <c r="V422" s="32" t="s">
        <v>1744</v>
      </c>
      <c r="W422" s="25" t="s">
        <v>48</v>
      </c>
      <c r="X422" s="11"/>
      <c r="Y422" s="50" t="s">
        <v>14</v>
      </c>
      <c r="Z422" s="50"/>
      <c r="AA422" s="50"/>
      <c r="AB422" s="50"/>
      <c r="AC422" s="50"/>
      <c r="AD422" s="50"/>
      <c r="AE422" s="50"/>
      <c r="AF422" s="34"/>
      <c r="AG422" s="34"/>
      <c r="AH422" s="34"/>
      <c r="AI422" s="34"/>
      <c r="AJ422" s="34"/>
      <c r="AK422" s="34"/>
      <c r="AL422" s="34"/>
      <c r="AM422" s="34"/>
      <c r="AN422" s="34"/>
      <c r="AO422" s="65"/>
      <c r="AP422" s="69"/>
      <c r="AQ422" s="62"/>
      <c r="AR422" s="34"/>
    </row>
    <row r="423" spans="1:44" customFormat="1">
      <c r="A423" s="39">
        <v>43980</v>
      </c>
      <c r="B423" s="11" t="s">
        <v>22</v>
      </c>
      <c r="C423" s="16" t="s">
        <v>1746</v>
      </c>
      <c r="D423" s="16"/>
      <c r="E423" s="38">
        <v>23910</v>
      </c>
      <c r="F423" s="38"/>
      <c r="G423" s="10" t="s">
        <v>1747</v>
      </c>
      <c r="H423" s="12" t="s">
        <v>1748</v>
      </c>
      <c r="I423" s="13" t="s">
        <v>1757</v>
      </c>
      <c r="J423" s="15" t="s">
        <v>1750</v>
      </c>
      <c r="K423" s="14" t="s">
        <v>1749</v>
      </c>
      <c r="L423" s="11" t="s">
        <v>33</v>
      </c>
      <c r="M423" s="15"/>
      <c r="N423" s="17">
        <v>2500</v>
      </c>
      <c r="O423" s="17"/>
      <c r="P423" s="17"/>
      <c r="Q423" s="48"/>
      <c r="R423" s="11"/>
      <c r="S423" s="48"/>
      <c r="T423" s="85" t="s">
        <v>8079</v>
      </c>
      <c r="U423" s="88"/>
      <c r="V423" s="32" t="s">
        <v>1811</v>
      </c>
      <c r="W423" s="25" t="s">
        <v>8</v>
      </c>
      <c r="X423" s="11"/>
      <c r="Y423" s="50" t="s">
        <v>11</v>
      </c>
      <c r="Z423" s="50"/>
      <c r="AA423" s="50"/>
      <c r="AB423" s="50"/>
      <c r="AC423" s="50"/>
      <c r="AD423" s="50"/>
      <c r="AE423" s="50"/>
      <c r="AF423" s="34"/>
      <c r="AG423" s="34"/>
      <c r="AH423" s="34"/>
      <c r="AI423" s="34"/>
      <c r="AJ423" s="34"/>
      <c r="AK423" s="34"/>
      <c r="AL423" s="34"/>
      <c r="AM423" s="34"/>
      <c r="AN423" s="34"/>
      <c r="AO423" s="65"/>
      <c r="AP423" s="69"/>
      <c r="AQ423" s="62"/>
      <c r="AR423" s="34"/>
    </row>
    <row r="424" spans="1:44" customFormat="1">
      <c r="A424" s="39">
        <v>43980</v>
      </c>
      <c r="B424" s="11" t="s">
        <v>22</v>
      </c>
      <c r="C424" s="16" t="s">
        <v>1752</v>
      </c>
      <c r="D424" s="16"/>
      <c r="E424" s="38">
        <v>36069</v>
      </c>
      <c r="F424" s="38"/>
      <c r="G424" s="10" t="s">
        <v>1753</v>
      </c>
      <c r="H424" s="12" t="s">
        <v>1754</v>
      </c>
      <c r="I424" s="13" t="s">
        <v>1758</v>
      </c>
      <c r="J424" s="15" t="s">
        <v>1756</v>
      </c>
      <c r="K424" s="14" t="s">
        <v>1755</v>
      </c>
      <c r="L424" s="11" t="s">
        <v>39</v>
      </c>
      <c r="M424" s="15"/>
      <c r="N424" s="17">
        <v>2500</v>
      </c>
      <c r="O424" s="17"/>
      <c r="P424" s="17"/>
      <c r="Q424" s="48"/>
      <c r="R424" s="11"/>
      <c r="S424" s="48"/>
      <c r="T424" s="85" t="s">
        <v>8079</v>
      </c>
      <c r="U424" s="88"/>
      <c r="V424" s="32" t="s">
        <v>1811</v>
      </c>
      <c r="W424" s="25" t="s">
        <v>8</v>
      </c>
      <c r="X424" s="11"/>
      <c r="Y424" s="50" t="s">
        <v>11</v>
      </c>
      <c r="Z424" s="50"/>
      <c r="AA424" s="50"/>
      <c r="AB424" s="50"/>
      <c r="AC424" s="50"/>
      <c r="AD424" s="50"/>
      <c r="AE424" s="50"/>
      <c r="AF424" s="34"/>
      <c r="AG424" s="34"/>
      <c r="AH424" s="34"/>
      <c r="AI424" s="34"/>
      <c r="AJ424" s="34"/>
      <c r="AK424" s="34"/>
      <c r="AL424" s="34"/>
      <c r="AM424" s="34"/>
      <c r="AN424" s="34"/>
      <c r="AO424" s="65"/>
      <c r="AP424" s="69"/>
      <c r="AQ424" s="62" t="s">
        <v>8079</v>
      </c>
      <c r="AR424" s="34"/>
    </row>
    <row r="425" spans="1:44" customFormat="1">
      <c r="A425" s="39">
        <v>43981</v>
      </c>
      <c r="B425" s="11" t="s">
        <v>5659</v>
      </c>
      <c r="C425" s="16" t="s">
        <v>296</v>
      </c>
      <c r="D425" s="16"/>
      <c r="E425" s="38"/>
      <c r="F425" s="38"/>
      <c r="G425" s="10"/>
      <c r="H425" s="12"/>
      <c r="I425" s="13"/>
      <c r="J425" s="15"/>
      <c r="K425" s="12"/>
      <c r="L425" s="11"/>
      <c r="M425" s="15"/>
      <c r="N425" s="17">
        <v>5500</v>
      </c>
      <c r="O425" s="17"/>
      <c r="P425" s="17"/>
      <c r="Q425" s="48"/>
      <c r="R425" s="11"/>
      <c r="S425" s="48"/>
      <c r="T425" s="85"/>
      <c r="U425" s="88"/>
      <c r="V425" s="32" t="s">
        <v>1605</v>
      </c>
      <c r="W425" s="25"/>
      <c r="X425" s="11"/>
      <c r="Y425" s="50"/>
      <c r="Z425" s="50"/>
      <c r="AA425" s="50"/>
      <c r="AB425" s="50"/>
      <c r="AC425" s="50"/>
      <c r="AD425" s="50"/>
      <c r="AE425" s="50"/>
      <c r="AF425" s="34"/>
      <c r="AG425" s="34"/>
      <c r="AH425" s="34"/>
      <c r="AI425" s="34"/>
      <c r="AJ425" s="34"/>
      <c r="AK425" s="34"/>
      <c r="AL425" s="34"/>
      <c r="AM425" s="34"/>
      <c r="AN425" s="34"/>
      <c r="AO425" s="65"/>
      <c r="AP425" s="69"/>
      <c r="AQ425" s="62" t="s">
        <v>8079</v>
      </c>
      <c r="AR425" s="34"/>
    </row>
    <row r="426" spans="1:44" customFormat="1">
      <c r="A426" s="39">
        <v>43983</v>
      </c>
      <c r="B426" s="11" t="s">
        <v>22</v>
      </c>
      <c r="C426" s="16" t="s">
        <v>1759</v>
      </c>
      <c r="D426" s="16"/>
      <c r="E426" s="38">
        <v>23252</v>
      </c>
      <c r="F426" s="38"/>
      <c r="G426" s="10" t="s">
        <v>1433</v>
      </c>
      <c r="H426" s="12" t="s">
        <v>1760</v>
      </c>
      <c r="I426" s="13" t="s">
        <v>1640</v>
      </c>
      <c r="J426" s="15" t="s">
        <v>1761</v>
      </c>
      <c r="K426" s="12"/>
      <c r="L426" s="11" t="s">
        <v>37</v>
      </c>
      <c r="M426" s="15"/>
      <c r="N426" s="17">
        <v>2500</v>
      </c>
      <c r="O426" s="17"/>
      <c r="P426" s="17"/>
      <c r="Q426" s="48"/>
      <c r="R426" s="11"/>
      <c r="S426" s="48"/>
      <c r="T426" s="85" t="s">
        <v>8079</v>
      </c>
      <c r="U426" s="88"/>
      <c r="V426" s="32" t="s">
        <v>1744</v>
      </c>
      <c r="W426" s="25" t="s">
        <v>9</v>
      </c>
      <c r="X426" s="11"/>
      <c r="Y426" s="50" t="s">
        <v>15</v>
      </c>
      <c r="Z426" s="50"/>
      <c r="AA426" s="50"/>
      <c r="AB426" s="50"/>
      <c r="AC426" s="50"/>
      <c r="AD426" s="50"/>
      <c r="AE426" s="50"/>
      <c r="AF426" s="34"/>
      <c r="AG426" s="34"/>
      <c r="AH426" s="34"/>
      <c r="AI426" s="34"/>
      <c r="AJ426" s="34"/>
      <c r="AK426" s="34"/>
      <c r="AL426" s="34"/>
      <c r="AM426" s="34"/>
      <c r="AN426" s="34"/>
      <c r="AO426" s="65"/>
      <c r="AP426" s="69"/>
      <c r="AQ426" s="62"/>
      <c r="AR426" s="34"/>
    </row>
    <row r="427" spans="1:44" customFormat="1">
      <c r="A427" s="39">
        <v>43985</v>
      </c>
      <c r="B427" s="11" t="s">
        <v>5659</v>
      </c>
      <c r="C427" s="16" t="s">
        <v>296</v>
      </c>
      <c r="D427" s="16"/>
      <c r="E427" s="38"/>
      <c r="F427" s="38"/>
      <c r="G427" s="10"/>
      <c r="H427" s="12"/>
      <c r="I427" s="13"/>
      <c r="J427" s="15"/>
      <c r="K427" s="12"/>
      <c r="L427" s="11"/>
      <c r="M427" s="15"/>
      <c r="N427" s="17">
        <v>5500</v>
      </c>
      <c r="O427" s="17"/>
      <c r="P427" s="17"/>
      <c r="Q427" s="48"/>
      <c r="R427" s="11"/>
      <c r="S427" s="48"/>
      <c r="T427" s="85"/>
      <c r="U427" s="88"/>
      <c r="V427" s="32" t="s">
        <v>1605</v>
      </c>
      <c r="W427" s="25"/>
      <c r="X427" s="11"/>
      <c r="Y427" s="50"/>
      <c r="Z427" s="50"/>
      <c r="AA427" s="50"/>
      <c r="AB427" s="50"/>
      <c r="AC427" s="50"/>
      <c r="AD427" s="50"/>
      <c r="AE427" s="50"/>
      <c r="AF427" s="34"/>
      <c r="AG427" s="34"/>
      <c r="AH427" s="34"/>
      <c r="AI427" s="34"/>
      <c r="AJ427" s="34"/>
      <c r="AK427" s="34"/>
      <c r="AL427" s="34"/>
      <c r="AM427" s="34"/>
      <c r="AN427" s="34"/>
      <c r="AO427" s="65"/>
      <c r="AP427" s="69"/>
      <c r="AQ427" s="62" t="s">
        <v>8079</v>
      </c>
      <c r="AR427" s="34"/>
    </row>
    <row r="428" spans="1:44" customFormat="1">
      <c r="A428" s="39">
        <v>43985</v>
      </c>
      <c r="B428" s="11" t="s">
        <v>22</v>
      </c>
      <c r="C428" s="16" t="s">
        <v>1762</v>
      </c>
      <c r="D428" s="16"/>
      <c r="E428" s="38">
        <v>33424</v>
      </c>
      <c r="F428" s="38"/>
      <c r="G428" s="10" t="s">
        <v>1763</v>
      </c>
      <c r="H428" s="12" t="s">
        <v>1764</v>
      </c>
      <c r="I428" s="13" t="s">
        <v>1624</v>
      </c>
      <c r="J428" s="15" t="s">
        <v>1765</v>
      </c>
      <c r="K428" s="12"/>
      <c r="L428" s="11" t="s">
        <v>36</v>
      </c>
      <c r="M428" s="15"/>
      <c r="N428" s="17">
        <v>2500</v>
      </c>
      <c r="O428" s="17"/>
      <c r="P428" s="17"/>
      <c r="Q428" s="48"/>
      <c r="R428" s="11"/>
      <c r="S428" s="48"/>
      <c r="T428" s="85" t="s">
        <v>8079</v>
      </c>
      <c r="U428" s="88"/>
      <c r="V428" s="32" t="s">
        <v>1744</v>
      </c>
      <c r="W428" s="25" t="s">
        <v>10</v>
      </c>
      <c r="X428" s="11"/>
      <c r="Y428" s="50" t="s">
        <v>11</v>
      </c>
      <c r="Z428" s="50"/>
      <c r="AA428" s="50"/>
      <c r="AB428" s="50"/>
      <c r="AC428" s="50"/>
      <c r="AD428" s="50"/>
      <c r="AE428" s="50"/>
      <c r="AF428" s="34"/>
      <c r="AG428" s="34"/>
      <c r="AH428" s="34"/>
      <c r="AI428" s="34"/>
      <c r="AJ428" s="34"/>
      <c r="AK428" s="34"/>
      <c r="AL428" s="34"/>
      <c r="AM428" s="34"/>
      <c r="AN428" s="34"/>
      <c r="AO428" s="65"/>
      <c r="AP428" s="69"/>
      <c r="AQ428" s="62"/>
      <c r="AR428" s="34"/>
    </row>
    <row r="429" spans="1:44" customFormat="1">
      <c r="A429" s="39">
        <v>43986</v>
      </c>
      <c r="B429" s="11" t="s">
        <v>22</v>
      </c>
      <c r="C429" s="16" t="s">
        <v>1766</v>
      </c>
      <c r="D429" s="16"/>
      <c r="E429" s="38">
        <v>21212</v>
      </c>
      <c r="F429" s="38"/>
      <c r="G429" s="10" t="s">
        <v>130</v>
      </c>
      <c r="H429" s="12" t="s">
        <v>1767</v>
      </c>
      <c r="I429" s="13" t="s">
        <v>1769</v>
      </c>
      <c r="J429" s="15" t="s">
        <v>1768</v>
      </c>
      <c r="K429" s="12"/>
      <c r="L429" s="11" t="s">
        <v>39</v>
      </c>
      <c r="M429" s="15"/>
      <c r="N429" s="17">
        <v>2500</v>
      </c>
      <c r="O429" s="17"/>
      <c r="P429" s="17"/>
      <c r="Q429" s="48"/>
      <c r="R429" s="11"/>
      <c r="S429" s="48"/>
      <c r="T429" s="85" t="s">
        <v>8079</v>
      </c>
      <c r="U429" s="88"/>
      <c r="V429" s="32" t="s">
        <v>1744</v>
      </c>
      <c r="W429" s="25" t="s">
        <v>10</v>
      </c>
      <c r="X429" s="11"/>
      <c r="Y429" s="50" t="s">
        <v>15</v>
      </c>
      <c r="Z429" s="50"/>
      <c r="AA429" s="50"/>
      <c r="AB429" s="50"/>
      <c r="AC429" s="50"/>
      <c r="AD429" s="50"/>
      <c r="AE429" s="50"/>
      <c r="AF429" s="34"/>
      <c r="AG429" s="34"/>
      <c r="AH429" s="34"/>
      <c r="AI429" s="34"/>
      <c r="AJ429" s="34"/>
      <c r="AK429" s="34"/>
      <c r="AL429" s="34"/>
      <c r="AM429" s="34"/>
      <c r="AN429" s="34"/>
      <c r="AO429" s="65"/>
      <c r="AP429" s="69"/>
      <c r="AQ429" s="62" t="s">
        <v>8079</v>
      </c>
      <c r="AR429" s="34"/>
    </row>
    <row r="430" spans="1:44" customFormat="1">
      <c r="A430" s="39">
        <v>43987</v>
      </c>
      <c r="B430" s="11" t="s">
        <v>5659</v>
      </c>
      <c r="C430" s="16" t="s">
        <v>1770</v>
      </c>
      <c r="D430" s="16"/>
      <c r="E430" s="38">
        <v>26032</v>
      </c>
      <c r="F430" s="38"/>
      <c r="G430" s="10" t="s">
        <v>1774</v>
      </c>
      <c r="H430" s="12" t="s">
        <v>1771</v>
      </c>
      <c r="I430" s="13" t="s">
        <v>1773</v>
      </c>
      <c r="J430" s="15" t="s">
        <v>1772</v>
      </c>
      <c r="K430" s="12"/>
      <c r="L430" s="11" t="s">
        <v>33</v>
      </c>
      <c r="M430" s="15"/>
      <c r="N430" s="17"/>
      <c r="O430" s="17"/>
      <c r="P430" s="17"/>
      <c r="Q430" s="48"/>
      <c r="R430" s="11"/>
      <c r="S430" s="48"/>
      <c r="T430" s="85"/>
      <c r="U430" s="88"/>
      <c r="V430" s="32" t="s">
        <v>575</v>
      </c>
      <c r="W430" s="25" t="s">
        <v>8</v>
      </c>
      <c r="X430" s="11"/>
      <c r="Y430" s="50"/>
      <c r="Z430" s="50"/>
      <c r="AA430" s="50"/>
      <c r="AB430" s="50"/>
      <c r="AC430" s="50"/>
      <c r="AD430" s="50"/>
      <c r="AE430" s="50"/>
      <c r="AF430" s="34"/>
      <c r="AG430" s="34"/>
      <c r="AH430" s="34"/>
      <c r="AI430" s="34"/>
      <c r="AJ430" s="34"/>
      <c r="AK430" s="34"/>
      <c r="AL430" s="34"/>
      <c r="AM430" s="34"/>
      <c r="AN430" s="34"/>
      <c r="AO430" s="65"/>
      <c r="AP430" s="69"/>
      <c r="AQ430" s="62" t="s">
        <v>8079</v>
      </c>
      <c r="AR430" s="34"/>
    </row>
    <row r="431" spans="1:44" customFormat="1">
      <c r="A431" s="39">
        <v>43988</v>
      </c>
      <c r="B431" s="11" t="s">
        <v>49</v>
      </c>
      <c r="C431" s="16" t="s">
        <v>1775</v>
      </c>
      <c r="D431" s="16"/>
      <c r="E431" s="38">
        <v>33225</v>
      </c>
      <c r="F431" s="38"/>
      <c r="G431" s="10" t="s">
        <v>1776</v>
      </c>
      <c r="H431" s="12" t="s">
        <v>1777</v>
      </c>
      <c r="I431" s="13" t="s">
        <v>1779</v>
      </c>
      <c r="J431" s="15" t="s">
        <v>1778</v>
      </c>
      <c r="K431" s="12"/>
      <c r="L431" s="11" t="s">
        <v>39</v>
      </c>
      <c r="M431" s="15"/>
      <c r="N431" s="17">
        <v>15000</v>
      </c>
      <c r="O431" s="17"/>
      <c r="P431" s="17"/>
      <c r="Q431" s="48"/>
      <c r="R431" s="11"/>
      <c r="S431" s="48"/>
      <c r="T431" s="85"/>
      <c r="U431" s="88"/>
      <c r="V431" s="32"/>
      <c r="W431" s="25" t="s">
        <v>8</v>
      </c>
      <c r="X431" s="11"/>
      <c r="Y431" s="50" t="s">
        <v>13</v>
      </c>
      <c r="Z431" s="50"/>
      <c r="AA431" s="50"/>
      <c r="AB431" s="50"/>
      <c r="AC431" s="50"/>
      <c r="AD431" s="50"/>
      <c r="AE431" s="50"/>
      <c r="AF431" s="34"/>
      <c r="AG431" s="34"/>
      <c r="AH431" s="34"/>
      <c r="AI431" s="34"/>
      <c r="AJ431" s="34"/>
      <c r="AK431" s="34"/>
      <c r="AL431" s="34"/>
      <c r="AM431" s="34"/>
      <c r="AN431" s="34"/>
      <c r="AO431" s="65"/>
      <c r="AP431" s="69"/>
      <c r="AQ431" s="62"/>
      <c r="AR431" s="34"/>
    </row>
    <row r="432" spans="1:44" customFormat="1">
      <c r="A432" s="39">
        <v>43989</v>
      </c>
      <c r="B432" s="11" t="s">
        <v>5659</v>
      </c>
      <c r="C432" s="16" t="s">
        <v>296</v>
      </c>
      <c r="D432" s="16"/>
      <c r="E432" s="38">
        <v>24945</v>
      </c>
      <c r="F432" s="38"/>
      <c r="G432" s="10" t="s">
        <v>297</v>
      </c>
      <c r="H432" s="12" t="s">
        <v>298</v>
      </c>
      <c r="I432" s="13"/>
      <c r="J432" s="15" t="s">
        <v>299</v>
      </c>
      <c r="K432" s="12"/>
      <c r="L432" s="11"/>
      <c r="M432" s="15"/>
      <c r="N432" s="17">
        <v>5500</v>
      </c>
      <c r="O432" s="17"/>
      <c r="P432" s="17"/>
      <c r="Q432" s="48"/>
      <c r="R432" s="11"/>
      <c r="S432" s="48"/>
      <c r="T432" s="85"/>
      <c r="U432" s="88"/>
      <c r="V432" s="32" t="s">
        <v>1605</v>
      </c>
      <c r="W432" s="25"/>
      <c r="X432" s="11"/>
      <c r="Y432" s="50"/>
      <c r="Z432" s="50"/>
      <c r="AA432" s="50"/>
      <c r="AB432" s="50"/>
      <c r="AC432" s="50"/>
      <c r="AD432" s="50"/>
      <c r="AE432" s="50"/>
      <c r="AF432" s="34"/>
      <c r="AG432" s="34"/>
      <c r="AH432" s="34"/>
      <c r="AI432" s="34"/>
      <c r="AJ432" s="34"/>
      <c r="AK432" s="34"/>
      <c r="AL432" s="34"/>
      <c r="AM432" s="34"/>
      <c r="AN432" s="34"/>
      <c r="AO432" s="65"/>
      <c r="AP432" s="69"/>
      <c r="AQ432" s="62"/>
      <c r="AR432" s="34"/>
    </row>
    <row r="433" spans="1:44" customFormat="1">
      <c r="A433" s="39">
        <v>43990</v>
      </c>
      <c r="B433" s="11" t="s">
        <v>22</v>
      </c>
      <c r="C433" s="16" t="s">
        <v>1780</v>
      </c>
      <c r="D433" s="16"/>
      <c r="E433" s="38">
        <v>28091</v>
      </c>
      <c r="F433" s="38"/>
      <c r="G433" s="10" t="s">
        <v>1781</v>
      </c>
      <c r="H433" s="12" t="s">
        <v>1782</v>
      </c>
      <c r="I433" s="13" t="s">
        <v>1784</v>
      </c>
      <c r="J433" s="15" t="s">
        <v>1783</v>
      </c>
      <c r="K433" s="12"/>
      <c r="L433" s="11" t="s">
        <v>34</v>
      </c>
      <c r="M433" s="15"/>
      <c r="N433" s="17">
        <v>2500</v>
      </c>
      <c r="O433" s="17"/>
      <c r="P433" s="17"/>
      <c r="Q433" s="48"/>
      <c r="R433" s="11"/>
      <c r="S433" s="48"/>
      <c r="T433" s="85" t="s">
        <v>8079</v>
      </c>
      <c r="U433" s="88"/>
      <c r="V433" s="32" t="s">
        <v>1744</v>
      </c>
      <c r="W433" s="25" t="s">
        <v>10</v>
      </c>
      <c r="X433" s="11"/>
      <c r="Y433" s="50" t="s">
        <v>18</v>
      </c>
      <c r="Z433" s="50"/>
      <c r="AA433" s="50"/>
      <c r="AB433" s="50"/>
      <c r="AC433" s="50"/>
      <c r="AD433" s="50"/>
      <c r="AE433" s="50"/>
      <c r="AF433" s="34"/>
      <c r="AG433" s="34"/>
      <c r="AH433" s="34"/>
      <c r="AI433" s="34"/>
      <c r="AJ433" s="34"/>
      <c r="AK433" s="34"/>
      <c r="AL433" s="34"/>
      <c r="AM433" s="34"/>
      <c r="AN433" s="34"/>
      <c r="AO433" s="65"/>
      <c r="AP433" s="69"/>
      <c r="AQ433" s="62"/>
      <c r="AR433" s="34"/>
    </row>
    <row r="434" spans="1:44" customFormat="1">
      <c r="A434" s="39">
        <v>43993</v>
      </c>
      <c r="B434" s="11" t="s">
        <v>49</v>
      </c>
      <c r="C434" s="16" t="s">
        <v>1789</v>
      </c>
      <c r="D434" s="16"/>
      <c r="E434" s="38">
        <v>29777</v>
      </c>
      <c r="F434" s="38"/>
      <c r="G434" s="10" t="s">
        <v>1791</v>
      </c>
      <c r="H434" s="12" t="s">
        <v>1792</v>
      </c>
      <c r="I434" s="13" t="s">
        <v>1797</v>
      </c>
      <c r="J434" s="15" t="s">
        <v>1795</v>
      </c>
      <c r="K434" s="12"/>
      <c r="L434" s="11" t="s">
        <v>34</v>
      </c>
      <c r="M434" s="15"/>
      <c r="N434" s="17">
        <v>16500</v>
      </c>
      <c r="O434" s="17"/>
      <c r="P434" s="17"/>
      <c r="Q434" s="48"/>
      <c r="R434" s="11"/>
      <c r="S434" s="48"/>
      <c r="T434" s="85"/>
      <c r="U434" s="88"/>
      <c r="V434" s="32"/>
      <c r="W434" s="25" t="s">
        <v>48</v>
      </c>
      <c r="X434" s="11"/>
      <c r="Y434" s="50"/>
      <c r="Z434" s="50"/>
      <c r="AA434" s="50"/>
      <c r="AB434" s="50"/>
      <c r="AC434" s="50"/>
      <c r="AD434" s="50"/>
      <c r="AE434" s="50"/>
      <c r="AF434" s="34"/>
      <c r="AG434" s="34"/>
      <c r="AH434" s="34"/>
      <c r="AI434" s="34"/>
      <c r="AJ434" s="34"/>
      <c r="AK434" s="34"/>
      <c r="AL434" s="34"/>
      <c r="AM434" s="34"/>
      <c r="AN434" s="34"/>
      <c r="AO434" s="65"/>
      <c r="AP434" s="69"/>
      <c r="AQ434" s="62" t="s">
        <v>8079</v>
      </c>
      <c r="AR434" s="34"/>
    </row>
    <row r="435" spans="1:44" customFormat="1">
      <c r="A435" s="39">
        <v>43993</v>
      </c>
      <c r="B435" s="11" t="s">
        <v>22</v>
      </c>
      <c r="C435" s="16" t="s">
        <v>1790</v>
      </c>
      <c r="D435" s="16"/>
      <c r="E435" s="38">
        <v>29879</v>
      </c>
      <c r="F435" s="38"/>
      <c r="G435" s="10" t="s">
        <v>1793</v>
      </c>
      <c r="H435" s="12" t="s">
        <v>1794</v>
      </c>
      <c r="I435" s="13" t="s">
        <v>1798</v>
      </c>
      <c r="J435" s="15" t="s">
        <v>1796</v>
      </c>
      <c r="K435" s="12"/>
      <c r="L435" s="11" t="s">
        <v>36</v>
      </c>
      <c r="M435" s="15"/>
      <c r="N435" s="17">
        <v>2500</v>
      </c>
      <c r="O435" s="17"/>
      <c r="P435" s="17"/>
      <c r="Q435" s="48"/>
      <c r="R435" s="11"/>
      <c r="S435" s="48"/>
      <c r="T435" s="85"/>
      <c r="U435" s="88"/>
      <c r="V435" s="32" t="s">
        <v>1744</v>
      </c>
      <c r="W435" s="25" t="s">
        <v>8</v>
      </c>
      <c r="X435" s="11"/>
      <c r="Y435" s="50" t="s">
        <v>12</v>
      </c>
      <c r="Z435" s="50"/>
      <c r="AA435" s="50"/>
      <c r="AB435" s="50"/>
      <c r="AC435" s="50"/>
      <c r="AD435" s="50"/>
      <c r="AE435" s="50"/>
      <c r="AF435" s="34"/>
      <c r="AG435" s="34"/>
      <c r="AH435" s="34"/>
      <c r="AI435" s="34"/>
      <c r="AJ435" s="34"/>
      <c r="AK435" s="34"/>
      <c r="AL435" s="34"/>
      <c r="AM435" s="34"/>
      <c r="AN435" s="34"/>
      <c r="AO435" s="65"/>
      <c r="AP435" s="69"/>
      <c r="AQ435" s="62" t="s">
        <v>8079</v>
      </c>
      <c r="AR435" s="34"/>
    </row>
    <row r="436" spans="1:44" customFormat="1">
      <c r="A436" s="39">
        <v>43993</v>
      </c>
      <c r="B436" s="11" t="s">
        <v>22</v>
      </c>
      <c r="C436" s="16" t="s">
        <v>1788</v>
      </c>
      <c r="D436" s="16"/>
      <c r="E436" s="38">
        <v>34379</v>
      </c>
      <c r="F436" s="38"/>
      <c r="G436" s="10" t="s">
        <v>293</v>
      </c>
      <c r="H436" s="12" t="s">
        <v>1785</v>
      </c>
      <c r="I436" s="13" t="s">
        <v>1787</v>
      </c>
      <c r="J436" s="15" t="s">
        <v>1786</v>
      </c>
      <c r="K436" s="12"/>
      <c r="L436" s="11" t="s">
        <v>36</v>
      </c>
      <c r="M436" s="15"/>
      <c r="N436" s="17">
        <v>2500</v>
      </c>
      <c r="O436" s="17"/>
      <c r="P436" s="17"/>
      <c r="Q436" s="48"/>
      <c r="R436" s="11"/>
      <c r="S436" s="48"/>
      <c r="T436" s="85" t="s">
        <v>8079</v>
      </c>
      <c r="U436" s="88"/>
      <c r="V436" s="32" t="s">
        <v>1744</v>
      </c>
      <c r="W436" s="25"/>
      <c r="X436" s="11"/>
      <c r="Y436" s="50"/>
      <c r="Z436" s="50"/>
      <c r="AA436" s="50"/>
      <c r="AB436" s="50"/>
      <c r="AC436" s="50"/>
      <c r="AD436" s="50"/>
      <c r="AE436" s="50"/>
      <c r="AF436" s="34"/>
      <c r="AG436" s="34"/>
      <c r="AH436" s="34"/>
      <c r="AI436" s="34"/>
      <c r="AJ436" s="34"/>
      <c r="AK436" s="34"/>
      <c r="AL436" s="34"/>
      <c r="AM436" s="34"/>
      <c r="AN436" s="34"/>
      <c r="AO436" s="65"/>
      <c r="AP436" s="69"/>
      <c r="AQ436" s="62"/>
      <c r="AR436" s="34"/>
    </row>
    <row r="437" spans="1:44" customFormat="1">
      <c r="A437" s="39">
        <v>43996</v>
      </c>
      <c r="B437" s="11" t="s">
        <v>22</v>
      </c>
      <c r="C437" s="16" t="s">
        <v>1804</v>
      </c>
      <c r="D437" s="16"/>
      <c r="E437" s="38">
        <v>25278</v>
      </c>
      <c r="F437" s="38"/>
      <c r="G437" s="10" t="s">
        <v>1805</v>
      </c>
      <c r="H437" s="12" t="s">
        <v>1806</v>
      </c>
      <c r="I437" s="13" t="s">
        <v>1787</v>
      </c>
      <c r="J437" s="15" t="s">
        <v>1808</v>
      </c>
      <c r="K437" s="12"/>
      <c r="L437" s="11" t="s">
        <v>33</v>
      </c>
      <c r="M437" s="15"/>
      <c r="N437" s="17">
        <v>2750</v>
      </c>
      <c r="O437" s="17"/>
      <c r="P437" s="17"/>
      <c r="Q437" s="48"/>
      <c r="R437" s="11"/>
      <c r="S437" s="48"/>
      <c r="T437" s="85" t="s">
        <v>8079</v>
      </c>
      <c r="U437" s="88"/>
      <c r="V437" s="32" t="s">
        <v>1744</v>
      </c>
      <c r="W437" s="25" t="s">
        <v>8</v>
      </c>
      <c r="X437" s="11"/>
      <c r="Y437" s="50" t="s">
        <v>20</v>
      </c>
      <c r="Z437" s="50"/>
      <c r="AA437" s="50"/>
      <c r="AB437" s="50"/>
      <c r="AC437" s="50"/>
      <c r="AD437" s="50"/>
      <c r="AE437" s="50"/>
      <c r="AF437" s="34"/>
      <c r="AG437" s="34"/>
      <c r="AH437" s="34"/>
      <c r="AI437" s="34"/>
      <c r="AJ437" s="34"/>
      <c r="AK437" s="34"/>
      <c r="AL437" s="34"/>
      <c r="AM437" s="34"/>
      <c r="AN437" s="34"/>
      <c r="AO437" s="65"/>
      <c r="AP437" s="69"/>
      <c r="AQ437" s="62"/>
      <c r="AR437" s="34"/>
    </row>
    <row r="438" spans="1:44" customFormat="1">
      <c r="A438" s="39">
        <v>43996</v>
      </c>
      <c r="B438" s="11" t="s">
        <v>5659</v>
      </c>
      <c r="C438" s="16" t="s">
        <v>296</v>
      </c>
      <c r="D438" s="16"/>
      <c r="E438" s="38">
        <v>24945</v>
      </c>
      <c r="F438" s="38"/>
      <c r="G438" s="10" t="s">
        <v>297</v>
      </c>
      <c r="H438" s="12" t="s">
        <v>298</v>
      </c>
      <c r="I438" s="13"/>
      <c r="J438" s="15" t="s">
        <v>299</v>
      </c>
      <c r="K438" s="12"/>
      <c r="L438" s="11"/>
      <c r="M438" s="15"/>
      <c r="N438" s="17">
        <v>5500</v>
      </c>
      <c r="O438" s="17"/>
      <c r="P438" s="17"/>
      <c r="Q438" s="48"/>
      <c r="R438" s="11"/>
      <c r="S438" s="48"/>
      <c r="T438" s="85"/>
      <c r="U438" s="88"/>
      <c r="V438" s="32" t="s">
        <v>1605</v>
      </c>
      <c r="W438" s="25"/>
      <c r="X438" s="11"/>
      <c r="Y438" s="50"/>
      <c r="Z438" s="50"/>
      <c r="AA438" s="50"/>
      <c r="AB438" s="50"/>
      <c r="AC438" s="50"/>
      <c r="AD438" s="50"/>
      <c r="AE438" s="50"/>
      <c r="AF438" s="34"/>
      <c r="AG438" s="34"/>
      <c r="AH438" s="34"/>
      <c r="AI438" s="34"/>
      <c r="AJ438" s="34"/>
      <c r="AK438" s="34"/>
      <c r="AL438" s="34"/>
      <c r="AM438" s="34"/>
      <c r="AN438" s="34"/>
      <c r="AO438" s="65"/>
      <c r="AP438" s="69"/>
      <c r="AQ438" s="62"/>
      <c r="AR438" s="34"/>
    </row>
    <row r="439" spans="1:44" customFormat="1">
      <c r="A439" s="39">
        <v>43996</v>
      </c>
      <c r="B439" s="11" t="s">
        <v>49</v>
      </c>
      <c r="C439" s="16" t="s">
        <v>1799</v>
      </c>
      <c r="D439" s="16"/>
      <c r="E439" s="38">
        <v>32456</v>
      </c>
      <c r="F439" s="38"/>
      <c r="G439" s="10" t="s">
        <v>1800</v>
      </c>
      <c r="H439" s="12" t="s">
        <v>1801</v>
      </c>
      <c r="I439" s="13" t="s">
        <v>1803</v>
      </c>
      <c r="J439" s="15" t="s">
        <v>1802</v>
      </c>
      <c r="K439" s="12"/>
      <c r="L439" s="11" t="s">
        <v>36</v>
      </c>
      <c r="M439" s="15"/>
      <c r="N439" s="17">
        <v>22000</v>
      </c>
      <c r="O439" s="17"/>
      <c r="P439" s="17"/>
      <c r="Q439" s="48"/>
      <c r="R439" s="11"/>
      <c r="S439" s="48"/>
      <c r="T439" s="85"/>
      <c r="U439" s="88"/>
      <c r="V439" s="32"/>
      <c r="W439" s="25" t="s">
        <v>48</v>
      </c>
      <c r="X439" s="11"/>
      <c r="Y439" s="50" t="s">
        <v>12</v>
      </c>
      <c r="Z439" s="50"/>
      <c r="AA439" s="50"/>
      <c r="AB439" s="50"/>
      <c r="AC439" s="50"/>
      <c r="AD439" s="50"/>
      <c r="AE439" s="50"/>
      <c r="AF439" s="34"/>
      <c r="AG439" s="34"/>
      <c r="AH439" s="34"/>
      <c r="AI439" s="34"/>
      <c r="AJ439" s="34"/>
      <c r="AK439" s="34"/>
      <c r="AL439" s="34"/>
      <c r="AM439" s="34"/>
      <c r="AN439" s="34"/>
      <c r="AO439" s="65"/>
      <c r="AP439" s="69"/>
      <c r="AQ439" s="62"/>
      <c r="AR439" s="34"/>
    </row>
    <row r="440" spans="1:44" customFormat="1">
      <c r="A440" s="39">
        <v>43996</v>
      </c>
      <c r="B440" s="11" t="s">
        <v>22</v>
      </c>
      <c r="C440" s="16" t="s">
        <v>1807</v>
      </c>
      <c r="D440" s="16"/>
      <c r="E440" s="38">
        <v>31176</v>
      </c>
      <c r="F440" s="38"/>
      <c r="G440" s="10" t="s">
        <v>1805</v>
      </c>
      <c r="H440" s="12" t="s">
        <v>1806</v>
      </c>
      <c r="I440" s="13" t="s">
        <v>1787</v>
      </c>
      <c r="J440" s="15" t="s">
        <v>1809</v>
      </c>
      <c r="K440" s="12"/>
      <c r="L440" s="11" t="s">
        <v>37</v>
      </c>
      <c r="M440" s="15"/>
      <c r="N440" s="17">
        <v>2750</v>
      </c>
      <c r="O440" s="17"/>
      <c r="P440" s="17"/>
      <c r="Q440" s="48"/>
      <c r="R440" s="11"/>
      <c r="S440" s="48"/>
      <c r="T440" s="85" t="s">
        <v>8079</v>
      </c>
      <c r="U440" s="88"/>
      <c r="V440" s="32" t="s">
        <v>1744</v>
      </c>
      <c r="W440" s="25"/>
      <c r="X440" s="11"/>
      <c r="Y440" s="50"/>
      <c r="Z440" s="50"/>
      <c r="AA440" s="50"/>
      <c r="AB440" s="50"/>
      <c r="AC440" s="50"/>
      <c r="AD440" s="50"/>
      <c r="AE440" s="50"/>
      <c r="AF440" s="34"/>
      <c r="AG440" s="34"/>
      <c r="AH440" s="34"/>
      <c r="AI440" s="34"/>
      <c r="AJ440" s="34"/>
      <c r="AK440" s="34"/>
      <c r="AL440" s="34"/>
      <c r="AM440" s="34"/>
      <c r="AN440" s="34"/>
      <c r="AO440" s="65"/>
      <c r="AP440" s="69"/>
      <c r="AQ440" s="62" t="s">
        <v>8079</v>
      </c>
      <c r="AR440" s="34"/>
    </row>
    <row r="441" spans="1:44" customFormat="1">
      <c r="A441" s="39">
        <v>43997</v>
      </c>
      <c r="B441" s="11" t="s">
        <v>5659</v>
      </c>
      <c r="C441" s="16" t="s">
        <v>1836</v>
      </c>
      <c r="D441" s="16"/>
      <c r="E441" s="38"/>
      <c r="F441" s="38"/>
      <c r="G441" s="10"/>
      <c r="H441" s="12"/>
      <c r="I441" s="13"/>
      <c r="J441" s="15"/>
      <c r="K441" s="12"/>
      <c r="L441" s="11"/>
      <c r="M441" s="15"/>
      <c r="N441" s="17"/>
      <c r="O441" s="17"/>
      <c r="P441" s="17"/>
      <c r="Q441" s="48"/>
      <c r="R441" s="11"/>
      <c r="S441" s="48"/>
      <c r="T441" s="85"/>
      <c r="U441" s="88"/>
      <c r="V441" s="32"/>
      <c r="W441" s="25"/>
      <c r="X441" s="11"/>
      <c r="Y441" s="50"/>
      <c r="Z441" s="50"/>
      <c r="AA441" s="50"/>
      <c r="AB441" s="50"/>
      <c r="AC441" s="50"/>
      <c r="AD441" s="50"/>
      <c r="AE441" s="50"/>
      <c r="AF441" s="34"/>
      <c r="AG441" s="34"/>
      <c r="AH441" s="34"/>
      <c r="AI441" s="34"/>
      <c r="AJ441" s="34"/>
      <c r="AK441" s="34"/>
      <c r="AL441" s="34"/>
      <c r="AM441" s="34"/>
      <c r="AN441" s="34"/>
      <c r="AO441" s="65"/>
      <c r="AP441" s="69"/>
      <c r="AQ441" s="62" t="s">
        <v>8079</v>
      </c>
      <c r="AR441" s="34"/>
    </row>
    <row r="442" spans="1:44" customFormat="1">
      <c r="A442" s="39">
        <v>43997</v>
      </c>
      <c r="B442" s="11" t="s">
        <v>22</v>
      </c>
      <c r="C442" s="16" t="s">
        <v>1837</v>
      </c>
      <c r="D442" s="16"/>
      <c r="E442" s="38">
        <v>29433</v>
      </c>
      <c r="F442" s="38"/>
      <c r="G442" s="10" t="s">
        <v>44</v>
      </c>
      <c r="H442" s="12" t="s">
        <v>1838</v>
      </c>
      <c r="I442" s="13" t="s">
        <v>1844</v>
      </c>
      <c r="J442" s="15" t="s">
        <v>1839</v>
      </c>
      <c r="K442" s="12"/>
      <c r="L442" s="11" t="s">
        <v>36</v>
      </c>
      <c r="M442" s="15"/>
      <c r="N442" s="17">
        <v>2750</v>
      </c>
      <c r="O442" s="17"/>
      <c r="P442" s="17"/>
      <c r="Q442" s="48"/>
      <c r="R442" s="11"/>
      <c r="S442" s="48"/>
      <c r="T442" s="85"/>
      <c r="U442" s="88"/>
      <c r="V442" s="32" t="s">
        <v>1744</v>
      </c>
      <c r="W442" s="25" t="s">
        <v>10</v>
      </c>
      <c r="X442" s="11"/>
      <c r="Y442" s="50" t="s">
        <v>11</v>
      </c>
      <c r="Z442" s="50"/>
      <c r="AA442" s="50"/>
      <c r="AB442" s="50"/>
      <c r="AC442" s="50"/>
      <c r="AD442" s="50"/>
      <c r="AE442" s="50"/>
      <c r="AF442" s="34"/>
      <c r="AG442" s="34"/>
      <c r="AH442" s="34"/>
      <c r="AI442" s="34"/>
      <c r="AJ442" s="34"/>
      <c r="AK442" s="34"/>
      <c r="AL442" s="34"/>
      <c r="AM442" s="34"/>
      <c r="AN442" s="34"/>
      <c r="AO442" s="65"/>
      <c r="AP442" s="69"/>
      <c r="AQ442" s="62"/>
      <c r="AR442" s="34"/>
    </row>
    <row r="443" spans="1:44" customFormat="1">
      <c r="A443" s="39">
        <v>43997</v>
      </c>
      <c r="B443" s="11" t="s">
        <v>22</v>
      </c>
      <c r="C443" s="16" t="s">
        <v>1840</v>
      </c>
      <c r="D443" s="16"/>
      <c r="E443" s="38">
        <v>30564</v>
      </c>
      <c r="F443" s="38"/>
      <c r="G443" s="10" t="s">
        <v>1841</v>
      </c>
      <c r="H443" s="12" t="s">
        <v>1842</v>
      </c>
      <c r="I443" s="13" t="s">
        <v>1845</v>
      </c>
      <c r="J443" s="15" t="s">
        <v>1843</v>
      </c>
      <c r="K443" s="12"/>
      <c r="L443" s="11" t="s">
        <v>33</v>
      </c>
      <c r="M443" s="15"/>
      <c r="N443" s="17">
        <v>2750</v>
      </c>
      <c r="O443" s="17"/>
      <c r="P443" s="17"/>
      <c r="Q443" s="48"/>
      <c r="R443" s="11"/>
      <c r="S443" s="48"/>
      <c r="T443" s="85"/>
      <c r="U443" s="88"/>
      <c r="V443" s="32" t="s">
        <v>1744</v>
      </c>
      <c r="W443" s="25" t="s">
        <v>10</v>
      </c>
      <c r="X443" s="11"/>
      <c r="Y443" s="50" t="s">
        <v>18</v>
      </c>
      <c r="Z443" s="50"/>
      <c r="AA443" s="50"/>
      <c r="AB443" s="50"/>
      <c r="AC443" s="50"/>
      <c r="AD443" s="50"/>
      <c r="AE443" s="50"/>
      <c r="AF443" s="34"/>
      <c r="AG443" s="34"/>
      <c r="AH443" s="34"/>
      <c r="AI443" s="34"/>
      <c r="AJ443" s="34"/>
      <c r="AK443" s="34"/>
      <c r="AL443" s="34"/>
      <c r="AM443" s="34"/>
      <c r="AN443" s="34"/>
      <c r="AO443" s="65"/>
      <c r="AP443" s="69"/>
      <c r="AQ443" s="62"/>
      <c r="AR443" s="34"/>
    </row>
    <row r="444" spans="1:44" customFormat="1">
      <c r="A444" s="39">
        <v>43999</v>
      </c>
      <c r="B444" s="11" t="s">
        <v>49</v>
      </c>
      <c r="C444" s="16" t="s">
        <v>1816</v>
      </c>
      <c r="D444" s="16"/>
      <c r="E444" s="38">
        <v>28767</v>
      </c>
      <c r="F444" s="38"/>
      <c r="G444" s="10" t="s">
        <v>1818</v>
      </c>
      <c r="H444" s="12" t="s">
        <v>1817</v>
      </c>
      <c r="I444" s="13" t="s">
        <v>1819</v>
      </c>
      <c r="J444" s="15" t="s">
        <v>1820</v>
      </c>
      <c r="K444" s="12"/>
      <c r="L444" s="11" t="s">
        <v>33</v>
      </c>
      <c r="M444" s="15"/>
      <c r="N444" s="17">
        <v>22000</v>
      </c>
      <c r="O444" s="17"/>
      <c r="P444" s="17"/>
      <c r="Q444" s="48"/>
      <c r="R444" s="11"/>
      <c r="S444" s="48"/>
      <c r="T444" s="85"/>
      <c r="U444" s="88"/>
      <c r="V444" s="32"/>
      <c r="W444" s="25" t="s">
        <v>8</v>
      </c>
      <c r="X444" s="11"/>
      <c r="Y444" s="50" t="s">
        <v>12</v>
      </c>
      <c r="Z444" s="50"/>
      <c r="AA444" s="50"/>
      <c r="AB444" s="50"/>
      <c r="AC444" s="50"/>
      <c r="AD444" s="50"/>
      <c r="AE444" s="50"/>
      <c r="AF444" s="34"/>
      <c r="AG444" s="34"/>
      <c r="AH444" s="34"/>
      <c r="AI444" s="34"/>
      <c r="AJ444" s="34"/>
      <c r="AK444" s="34"/>
      <c r="AL444" s="34"/>
      <c r="AM444" s="34"/>
      <c r="AN444" s="34"/>
      <c r="AO444" s="65"/>
      <c r="AP444" s="69"/>
      <c r="AQ444" s="62"/>
      <c r="AR444" s="34"/>
    </row>
    <row r="445" spans="1:44" customFormat="1">
      <c r="A445" s="39">
        <v>44000</v>
      </c>
      <c r="B445" s="11" t="s">
        <v>22</v>
      </c>
      <c r="C445" s="16" t="s">
        <v>218</v>
      </c>
      <c r="D445" s="16"/>
      <c r="E445" s="38">
        <v>29289</v>
      </c>
      <c r="F445" s="38"/>
      <c r="G445" s="10" t="s">
        <v>1821</v>
      </c>
      <c r="H445" s="12" t="s">
        <v>1822</v>
      </c>
      <c r="I445" s="13" t="s">
        <v>1833</v>
      </c>
      <c r="J445" s="15" t="s">
        <v>221</v>
      </c>
      <c r="K445" s="12"/>
      <c r="L445" s="11" t="s">
        <v>33</v>
      </c>
      <c r="M445" s="15"/>
      <c r="N445" s="17">
        <v>35750</v>
      </c>
      <c r="O445" s="17"/>
      <c r="P445" s="17"/>
      <c r="Q445" s="48"/>
      <c r="R445" s="11"/>
      <c r="S445" s="48"/>
      <c r="T445" s="85"/>
      <c r="U445" s="88"/>
      <c r="V445" s="32" t="s">
        <v>1823</v>
      </c>
      <c r="W445" s="25" t="s">
        <v>10</v>
      </c>
      <c r="X445" s="11"/>
      <c r="Y445" s="50" t="s">
        <v>12</v>
      </c>
      <c r="Z445" s="50"/>
      <c r="AA445" s="50"/>
      <c r="AB445" s="50"/>
      <c r="AC445" s="50"/>
      <c r="AD445" s="50"/>
      <c r="AE445" s="50"/>
      <c r="AF445" s="34"/>
      <c r="AG445" s="34"/>
      <c r="AH445" s="34"/>
      <c r="AI445" s="34"/>
      <c r="AJ445" s="34"/>
      <c r="AK445" s="34"/>
      <c r="AL445" s="34"/>
      <c r="AM445" s="34"/>
      <c r="AN445" s="34"/>
      <c r="AO445" s="65"/>
      <c r="AP445" s="69"/>
      <c r="AQ445" s="62"/>
      <c r="AR445" s="34"/>
    </row>
    <row r="446" spans="1:44" customFormat="1">
      <c r="A446" s="39">
        <v>44000</v>
      </c>
      <c r="B446" s="11" t="s">
        <v>49</v>
      </c>
      <c r="C446" s="16" t="s">
        <v>1824</v>
      </c>
      <c r="D446" s="16"/>
      <c r="E446" s="38">
        <v>34151</v>
      </c>
      <c r="F446" s="38"/>
      <c r="G446" s="10" t="s">
        <v>1825</v>
      </c>
      <c r="H446" s="12" t="s">
        <v>1826</v>
      </c>
      <c r="I446" s="13" t="s">
        <v>1834</v>
      </c>
      <c r="J446" s="15" t="s">
        <v>1827</v>
      </c>
      <c r="K446" s="12"/>
      <c r="L446" s="11" t="s">
        <v>34</v>
      </c>
      <c r="M446" s="15"/>
      <c r="N446" s="17">
        <v>0</v>
      </c>
      <c r="O446" s="17"/>
      <c r="P446" s="17"/>
      <c r="Q446" s="48"/>
      <c r="R446" s="11"/>
      <c r="S446" s="48"/>
      <c r="T446" s="85"/>
      <c r="U446" s="88"/>
      <c r="V446" s="32" t="s">
        <v>1828</v>
      </c>
      <c r="W446" s="25" t="s">
        <v>8</v>
      </c>
      <c r="X446" s="11"/>
      <c r="Y446" s="50" t="s">
        <v>12</v>
      </c>
      <c r="Z446" s="50"/>
      <c r="AA446" s="50"/>
      <c r="AB446" s="50"/>
      <c r="AC446" s="50"/>
      <c r="AD446" s="50"/>
      <c r="AE446" s="50"/>
      <c r="AF446" s="34"/>
      <c r="AG446" s="34"/>
      <c r="AH446" s="34"/>
      <c r="AI446" s="34"/>
      <c r="AJ446" s="34"/>
      <c r="AK446" s="34"/>
      <c r="AL446" s="34"/>
      <c r="AM446" s="34"/>
      <c r="AN446" s="34"/>
      <c r="AO446" s="65"/>
      <c r="AP446" s="69"/>
      <c r="AQ446" s="62"/>
      <c r="AR446" s="34"/>
    </row>
    <row r="447" spans="1:44" customFormat="1">
      <c r="A447" s="39">
        <v>44000</v>
      </c>
      <c r="B447" s="11" t="s">
        <v>49</v>
      </c>
      <c r="C447" s="16" t="s">
        <v>1829</v>
      </c>
      <c r="D447" s="16"/>
      <c r="E447" s="38">
        <v>32297</v>
      </c>
      <c r="F447" s="38"/>
      <c r="G447" s="10" t="s">
        <v>1830</v>
      </c>
      <c r="H447" s="12" t="s">
        <v>1831</v>
      </c>
      <c r="I447" s="13" t="s">
        <v>1835</v>
      </c>
      <c r="J447" s="15" t="s">
        <v>1832</v>
      </c>
      <c r="K447" s="12"/>
      <c r="L447" s="11" t="s">
        <v>39</v>
      </c>
      <c r="M447" s="15"/>
      <c r="N447" s="17">
        <v>0</v>
      </c>
      <c r="O447" s="17"/>
      <c r="P447" s="17"/>
      <c r="Q447" s="48"/>
      <c r="R447" s="11"/>
      <c r="S447" s="48"/>
      <c r="T447" s="85"/>
      <c r="U447" s="88"/>
      <c r="V447" s="32" t="s">
        <v>1828</v>
      </c>
      <c r="W447" s="25" t="s">
        <v>8</v>
      </c>
      <c r="X447" s="11"/>
      <c r="Y447" s="50" t="s">
        <v>12</v>
      </c>
      <c r="Z447" s="50"/>
      <c r="AA447" s="50"/>
      <c r="AB447" s="50"/>
      <c r="AC447" s="50"/>
      <c r="AD447" s="50"/>
      <c r="AE447" s="50"/>
      <c r="AF447" s="34"/>
      <c r="AG447" s="34"/>
      <c r="AH447" s="34"/>
      <c r="AI447" s="34"/>
      <c r="AJ447" s="34"/>
      <c r="AK447" s="34"/>
      <c r="AL447" s="34"/>
      <c r="AM447" s="34"/>
      <c r="AN447" s="34"/>
      <c r="AO447" s="65"/>
      <c r="AP447" s="69"/>
      <c r="AQ447" s="62"/>
      <c r="AR447" s="34"/>
    </row>
    <row r="448" spans="1:44" customFormat="1">
      <c r="A448" s="39">
        <v>44002</v>
      </c>
      <c r="B448" s="11" t="s">
        <v>23</v>
      </c>
      <c r="C448" s="16" t="s">
        <v>1846</v>
      </c>
      <c r="D448" s="16"/>
      <c r="E448" s="38">
        <v>34302</v>
      </c>
      <c r="F448" s="38"/>
      <c r="G448" s="10" t="s">
        <v>1848</v>
      </c>
      <c r="H448" s="12" t="s">
        <v>1849</v>
      </c>
      <c r="I448" s="13" t="s">
        <v>1857</v>
      </c>
      <c r="J448" s="15" t="s">
        <v>1850</v>
      </c>
      <c r="K448" s="12"/>
      <c r="L448" s="11" t="s">
        <v>36</v>
      </c>
      <c r="M448" s="15"/>
      <c r="N448" s="17">
        <v>0</v>
      </c>
      <c r="O448" s="17"/>
      <c r="P448" s="17"/>
      <c r="Q448" s="48"/>
      <c r="R448" s="11"/>
      <c r="S448" s="48"/>
      <c r="T448" s="85"/>
      <c r="U448" s="88"/>
      <c r="V448" s="32" t="s">
        <v>1851</v>
      </c>
      <c r="W448" s="25" t="s">
        <v>8</v>
      </c>
      <c r="X448" s="11"/>
      <c r="Y448" s="50" t="s">
        <v>12</v>
      </c>
      <c r="Z448" s="50"/>
      <c r="AA448" s="50"/>
      <c r="AB448" s="50"/>
      <c r="AC448" s="50"/>
      <c r="AD448" s="50"/>
      <c r="AE448" s="50"/>
      <c r="AF448" s="34"/>
      <c r="AG448" s="34"/>
      <c r="AH448" s="34"/>
      <c r="AI448" s="34"/>
      <c r="AJ448" s="34"/>
      <c r="AK448" s="34"/>
      <c r="AL448" s="34"/>
      <c r="AM448" s="34"/>
      <c r="AN448" s="34"/>
      <c r="AO448" s="65"/>
      <c r="AP448" s="69"/>
      <c r="AQ448" s="62"/>
      <c r="AR448" s="34"/>
    </row>
    <row r="449" spans="1:44" customFormat="1">
      <c r="A449" s="39">
        <v>44002</v>
      </c>
      <c r="B449" s="11" t="s">
        <v>22</v>
      </c>
      <c r="C449" s="16" t="s">
        <v>1847</v>
      </c>
      <c r="D449" s="16"/>
      <c r="E449" s="38">
        <v>32221</v>
      </c>
      <c r="F449" s="38"/>
      <c r="G449" s="10" t="s">
        <v>1848</v>
      </c>
      <c r="H449" s="12" t="s">
        <v>1849</v>
      </c>
      <c r="I449" s="13" t="s">
        <v>1857</v>
      </c>
      <c r="J449" s="15" t="s">
        <v>1852</v>
      </c>
      <c r="K449" s="12"/>
      <c r="L449" s="11" t="s">
        <v>36</v>
      </c>
      <c r="M449" s="15"/>
      <c r="N449" s="17">
        <v>0</v>
      </c>
      <c r="O449" s="17"/>
      <c r="P449" s="17"/>
      <c r="Q449" s="48"/>
      <c r="R449" s="11"/>
      <c r="S449" s="48"/>
      <c r="T449" s="85"/>
      <c r="U449" s="88"/>
      <c r="V449" s="32" t="s">
        <v>1851</v>
      </c>
      <c r="W449" s="25" t="s">
        <v>8</v>
      </c>
      <c r="X449" s="11"/>
      <c r="Y449" s="50" t="s">
        <v>14</v>
      </c>
      <c r="Z449" s="50"/>
      <c r="AA449" s="50"/>
      <c r="AB449" s="50"/>
      <c r="AC449" s="50"/>
      <c r="AD449" s="50"/>
      <c r="AE449" s="50"/>
      <c r="AF449" s="34"/>
      <c r="AG449" s="34"/>
      <c r="AH449" s="34"/>
      <c r="AI449" s="34"/>
      <c r="AJ449" s="34"/>
      <c r="AK449" s="34"/>
      <c r="AL449" s="34"/>
      <c r="AM449" s="34"/>
      <c r="AN449" s="34"/>
      <c r="AO449" s="65"/>
      <c r="AP449" s="69"/>
      <c r="AQ449" s="62"/>
      <c r="AR449" s="34"/>
    </row>
    <row r="450" spans="1:44" customFormat="1">
      <c r="A450" s="39">
        <v>44002</v>
      </c>
      <c r="B450" s="11" t="s">
        <v>23</v>
      </c>
      <c r="C450" s="16" t="s">
        <v>1853</v>
      </c>
      <c r="D450" s="16"/>
      <c r="E450" s="38">
        <v>34601</v>
      </c>
      <c r="F450" s="38"/>
      <c r="G450" s="10" t="s">
        <v>1854</v>
      </c>
      <c r="H450" s="12" t="s">
        <v>1855</v>
      </c>
      <c r="I450" s="13" t="s">
        <v>1858</v>
      </c>
      <c r="J450" s="15" t="s">
        <v>1856</v>
      </c>
      <c r="K450" s="12"/>
      <c r="L450" s="11" t="s">
        <v>36</v>
      </c>
      <c r="M450" s="15"/>
      <c r="N450" s="17">
        <v>0</v>
      </c>
      <c r="O450" s="17"/>
      <c r="P450" s="17"/>
      <c r="Q450" s="48"/>
      <c r="R450" s="11"/>
      <c r="S450" s="48"/>
      <c r="T450" s="85"/>
      <c r="U450" s="88"/>
      <c r="V450" s="32" t="s">
        <v>1851</v>
      </c>
      <c r="W450" s="25" t="s">
        <v>8</v>
      </c>
      <c r="X450" s="11"/>
      <c r="Y450" s="50" t="s">
        <v>12</v>
      </c>
      <c r="Z450" s="50"/>
      <c r="AA450" s="50"/>
      <c r="AB450" s="50"/>
      <c r="AC450" s="50"/>
      <c r="AD450" s="50"/>
      <c r="AE450" s="50"/>
      <c r="AF450" s="34"/>
      <c r="AG450" s="34"/>
      <c r="AH450" s="34"/>
      <c r="AI450" s="34"/>
      <c r="AJ450" s="34"/>
      <c r="AK450" s="34"/>
      <c r="AL450" s="34"/>
      <c r="AM450" s="34"/>
      <c r="AN450" s="34"/>
      <c r="AO450" s="65"/>
      <c r="AP450" s="69"/>
      <c r="AQ450" s="62"/>
      <c r="AR450" s="34"/>
    </row>
    <row r="451" spans="1:44" customFormat="1">
      <c r="A451" s="39">
        <v>44003</v>
      </c>
      <c r="B451" s="11" t="s">
        <v>5659</v>
      </c>
      <c r="C451" s="16" t="s">
        <v>296</v>
      </c>
      <c r="D451" s="16"/>
      <c r="E451" s="38"/>
      <c r="F451" s="38"/>
      <c r="G451" s="10"/>
      <c r="H451" s="12"/>
      <c r="I451" s="13"/>
      <c r="J451" s="15"/>
      <c r="K451" s="12"/>
      <c r="L451" s="11"/>
      <c r="M451" s="15"/>
      <c r="N451" s="17"/>
      <c r="O451" s="17"/>
      <c r="P451" s="17"/>
      <c r="Q451" s="48"/>
      <c r="R451" s="11"/>
      <c r="S451" s="48"/>
      <c r="T451" s="85"/>
      <c r="U451" s="88"/>
      <c r="V451" s="32"/>
      <c r="W451" s="25"/>
      <c r="X451" s="11"/>
      <c r="Y451" s="50"/>
      <c r="Z451" s="50"/>
      <c r="AA451" s="50"/>
      <c r="AB451" s="50"/>
      <c r="AC451" s="50"/>
      <c r="AD451" s="50"/>
      <c r="AE451" s="50"/>
      <c r="AF451" s="34"/>
      <c r="AG451" s="34"/>
      <c r="AH451" s="34"/>
      <c r="AI451" s="34"/>
      <c r="AJ451" s="34"/>
      <c r="AK451" s="34"/>
      <c r="AL451" s="34"/>
      <c r="AM451" s="34"/>
      <c r="AN451" s="34"/>
      <c r="AO451" s="65"/>
      <c r="AP451" s="69"/>
      <c r="AQ451" s="62"/>
      <c r="AR451" s="34"/>
    </row>
    <row r="452" spans="1:44" customFormat="1">
      <c r="A452" s="39">
        <v>44004</v>
      </c>
      <c r="B452" s="11" t="s">
        <v>49</v>
      </c>
      <c r="C452" s="16" t="s">
        <v>1859</v>
      </c>
      <c r="D452" s="16"/>
      <c r="E452" s="38">
        <v>24316</v>
      </c>
      <c r="F452" s="38"/>
      <c r="G452" s="10" t="s">
        <v>1860</v>
      </c>
      <c r="H452" s="12" t="s">
        <v>1861</v>
      </c>
      <c r="I452" s="13" t="s">
        <v>1862</v>
      </c>
      <c r="J452" s="15" t="s">
        <v>1863</v>
      </c>
      <c r="K452" s="12"/>
      <c r="L452" s="11" t="s">
        <v>36</v>
      </c>
      <c r="M452" s="15"/>
      <c r="N452" s="17">
        <v>16500</v>
      </c>
      <c r="O452" s="17"/>
      <c r="P452" s="17"/>
      <c r="Q452" s="48"/>
      <c r="R452" s="11"/>
      <c r="S452" s="48"/>
      <c r="T452" s="85"/>
      <c r="U452" s="88"/>
      <c r="V452" s="32"/>
      <c r="W452" s="25" t="s">
        <v>48</v>
      </c>
      <c r="X452" s="11"/>
      <c r="Y452" s="50" t="s">
        <v>12</v>
      </c>
      <c r="Z452" s="50"/>
      <c r="AA452" s="50"/>
      <c r="AB452" s="50"/>
      <c r="AC452" s="50"/>
      <c r="AD452" s="50"/>
      <c r="AE452" s="50"/>
      <c r="AF452" s="34"/>
      <c r="AG452" s="34"/>
      <c r="AH452" s="34"/>
      <c r="AI452" s="34"/>
      <c r="AJ452" s="34"/>
      <c r="AK452" s="34"/>
      <c r="AL452" s="34"/>
      <c r="AM452" s="34"/>
      <c r="AN452" s="34"/>
      <c r="AO452" s="65"/>
      <c r="AP452" s="69"/>
      <c r="AQ452" s="62"/>
      <c r="AR452" s="34"/>
    </row>
    <row r="453" spans="1:44" customFormat="1">
      <c r="A453" s="39">
        <v>44007</v>
      </c>
      <c r="B453" s="11" t="s">
        <v>49</v>
      </c>
      <c r="C453" s="16" t="s">
        <v>1864</v>
      </c>
      <c r="D453" s="16"/>
      <c r="E453" s="38">
        <v>27209</v>
      </c>
      <c r="F453" s="38"/>
      <c r="G453" s="10" t="s">
        <v>1865</v>
      </c>
      <c r="H453" s="12" t="s">
        <v>1866</v>
      </c>
      <c r="I453" s="13" t="s">
        <v>1867</v>
      </c>
      <c r="J453" s="15" t="s">
        <v>1868</v>
      </c>
      <c r="K453" s="12"/>
      <c r="L453" s="11" t="s">
        <v>34</v>
      </c>
      <c r="M453" s="15"/>
      <c r="N453" s="17">
        <v>22000</v>
      </c>
      <c r="O453" s="17"/>
      <c r="P453" s="17"/>
      <c r="Q453" s="48"/>
      <c r="R453" s="11"/>
      <c r="S453" s="48"/>
      <c r="T453" s="85"/>
      <c r="U453" s="88"/>
      <c r="V453" s="32"/>
      <c r="W453" s="25" t="s">
        <v>8</v>
      </c>
      <c r="X453" s="11"/>
      <c r="Y453" s="50" t="s">
        <v>13</v>
      </c>
      <c r="Z453" s="50"/>
      <c r="AA453" s="50"/>
      <c r="AB453" s="50"/>
      <c r="AC453" s="50"/>
      <c r="AD453" s="50"/>
      <c r="AE453" s="50"/>
      <c r="AF453" s="34"/>
      <c r="AG453" s="34"/>
      <c r="AH453" s="34"/>
      <c r="AI453" s="34"/>
      <c r="AJ453" s="34"/>
      <c r="AK453" s="34"/>
      <c r="AL453" s="34"/>
      <c r="AM453" s="34"/>
      <c r="AN453" s="34"/>
      <c r="AO453" s="65"/>
      <c r="AP453" s="69"/>
      <c r="AQ453" s="62"/>
      <c r="AR453" s="34"/>
    </row>
    <row r="454" spans="1:44" customFormat="1">
      <c r="A454" s="39">
        <v>44007</v>
      </c>
      <c r="B454" s="11" t="s">
        <v>49</v>
      </c>
      <c r="C454" s="16" t="s">
        <v>1869</v>
      </c>
      <c r="D454" s="16"/>
      <c r="E454" s="38">
        <v>25505</v>
      </c>
      <c r="F454" s="38"/>
      <c r="G454" s="10" t="s">
        <v>1870</v>
      </c>
      <c r="H454" s="12" t="s">
        <v>1871</v>
      </c>
      <c r="I454" s="13" t="s">
        <v>1872</v>
      </c>
      <c r="J454" s="15" t="s">
        <v>1878</v>
      </c>
      <c r="K454" s="12"/>
      <c r="L454" s="11" t="s">
        <v>33</v>
      </c>
      <c r="M454" s="15"/>
      <c r="N454" s="17">
        <v>16500</v>
      </c>
      <c r="O454" s="17"/>
      <c r="P454" s="17"/>
      <c r="Q454" s="48"/>
      <c r="R454" s="11"/>
      <c r="S454" s="48"/>
      <c r="T454" s="85"/>
      <c r="U454" s="88"/>
      <c r="V454" s="32" t="s">
        <v>403</v>
      </c>
      <c r="W454" s="25" t="s">
        <v>8</v>
      </c>
      <c r="X454" s="11"/>
      <c r="Y454" s="50" t="s">
        <v>13</v>
      </c>
      <c r="Z454" s="50"/>
      <c r="AA454" s="50"/>
      <c r="AB454" s="50"/>
      <c r="AC454" s="50"/>
      <c r="AD454" s="50"/>
      <c r="AE454" s="50"/>
      <c r="AF454" s="34"/>
      <c r="AG454" s="34"/>
      <c r="AH454" s="34"/>
      <c r="AI454" s="34"/>
      <c r="AJ454" s="34"/>
      <c r="AK454" s="34"/>
      <c r="AL454" s="34"/>
      <c r="AM454" s="34"/>
      <c r="AN454" s="34"/>
      <c r="AO454" s="65"/>
      <c r="AP454" s="69"/>
      <c r="AQ454" s="62"/>
      <c r="AR454" s="34"/>
    </row>
    <row r="455" spans="1:44" customFormat="1">
      <c r="A455" s="39">
        <v>44008</v>
      </c>
      <c r="B455" s="11" t="s">
        <v>22</v>
      </c>
      <c r="C455" s="16" t="s">
        <v>1873</v>
      </c>
      <c r="D455" s="16"/>
      <c r="E455" s="38">
        <v>19261</v>
      </c>
      <c r="F455" s="38"/>
      <c r="G455" s="10" t="s">
        <v>307</v>
      </c>
      <c r="H455" s="12" t="s">
        <v>1874</v>
      </c>
      <c r="I455" s="13" t="s">
        <v>1875</v>
      </c>
      <c r="J455" s="15" t="s">
        <v>1877</v>
      </c>
      <c r="K455" s="14" t="s">
        <v>1876</v>
      </c>
      <c r="L455" s="11" t="s">
        <v>37</v>
      </c>
      <c r="M455" s="15"/>
      <c r="N455" s="17">
        <v>2500</v>
      </c>
      <c r="O455" s="17"/>
      <c r="P455" s="17"/>
      <c r="Q455" s="48"/>
      <c r="R455" s="11"/>
      <c r="S455" s="48"/>
      <c r="T455" s="85"/>
      <c r="U455" s="88"/>
      <c r="V455" s="32"/>
      <c r="W455" s="25" t="s">
        <v>10</v>
      </c>
      <c r="X455" s="11"/>
      <c r="Y455" s="50" t="s">
        <v>11</v>
      </c>
      <c r="Z455" s="50"/>
      <c r="AA455" s="50"/>
      <c r="AB455" s="50"/>
      <c r="AC455" s="50"/>
      <c r="AD455" s="50"/>
      <c r="AE455" s="50"/>
      <c r="AF455" s="34"/>
      <c r="AG455" s="34"/>
      <c r="AH455" s="34"/>
      <c r="AI455" s="34"/>
      <c r="AJ455" s="34"/>
      <c r="AK455" s="34"/>
      <c r="AL455" s="34"/>
      <c r="AM455" s="34"/>
      <c r="AN455" s="34"/>
      <c r="AO455" s="65"/>
      <c r="AP455" s="69"/>
      <c r="AQ455" s="62"/>
      <c r="AR455" s="34"/>
    </row>
    <row r="456" spans="1:44" customFormat="1">
      <c r="A456" s="39">
        <v>44009</v>
      </c>
      <c r="B456" s="11" t="s">
        <v>5659</v>
      </c>
      <c r="C456" s="16" t="s">
        <v>296</v>
      </c>
      <c r="D456" s="16"/>
      <c r="E456" s="38"/>
      <c r="F456" s="38"/>
      <c r="G456" s="10"/>
      <c r="H456" s="12"/>
      <c r="I456" s="13"/>
      <c r="J456" s="15"/>
      <c r="K456" s="12"/>
      <c r="L456" s="11"/>
      <c r="M456" s="15"/>
      <c r="N456" s="17">
        <v>5500</v>
      </c>
      <c r="O456" s="17"/>
      <c r="P456" s="17"/>
      <c r="Q456" s="48"/>
      <c r="R456" s="11"/>
      <c r="S456" s="48"/>
      <c r="T456" s="85"/>
      <c r="U456" s="88"/>
      <c r="V456" s="32" t="s">
        <v>1605</v>
      </c>
      <c r="W456" s="25"/>
      <c r="X456" s="11"/>
      <c r="Y456" s="50"/>
      <c r="Z456" s="50"/>
      <c r="AA456" s="50"/>
      <c r="AB456" s="50"/>
      <c r="AC456" s="50"/>
      <c r="AD456" s="50"/>
      <c r="AE456" s="50"/>
      <c r="AF456" s="34"/>
      <c r="AG456" s="34"/>
      <c r="AH456" s="34"/>
      <c r="AI456" s="34"/>
      <c r="AJ456" s="34"/>
      <c r="AK456" s="34"/>
      <c r="AL456" s="34"/>
      <c r="AM456" s="34"/>
      <c r="AN456" s="34"/>
      <c r="AO456" s="65"/>
      <c r="AP456" s="69"/>
      <c r="AQ456" s="62"/>
      <c r="AR456" s="34"/>
    </row>
    <row r="457" spans="1:44" customFormat="1">
      <c r="A457" s="39">
        <v>44010</v>
      </c>
      <c r="B457" s="11" t="s">
        <v>22</v>
      </c>
      <c r="C457" s="16" t="s">
        <v>1879</v>
      </c>
      <c r="D457" s="16"/>
      <c r="E457" s="38">
        <v>27086</v>
      </c>
      <c r="F457" s="38"/>
      <c r="G457" s="10" t="s">
        <v>1880</v>
      </c>
      <c r="H457" s="12" t="s">
        <v>1881</v>
      </c>
      <c r="I457" s="13">
        <v>63.1</v>
      </c>
      <c r="J457" s="15" t="s">
        <v>1882</v>
      </c>
      <c r="K457" s="12"/>
      <c r="L457" s="11" t="s">
        <v>34</v>
      </c>
      <c r="M457" s="15"/>
      <c r="N457" s="17">
        <v>2200</v>
      </c>
      <c r="O457" s="17"/>
      <c r="P457" s="17"/>
      <c r="Q457" s="48"/>
      <c r="R457" s="11"/>
      <c r="S457" s="48"/>
      <c r="T457" s="85"/>
      <c r="U457" s="88"/>
      <c r="V457" s="32" t="s">
        <v>1883</v>
      </c>
      <c r="W457" s="25" t="s">
        <v>8</v>
      </c>
      <c r="X457" s="11"/>
      <c r="Y457" s="50" t="s">
        <v>12</v>
      </c>
      <c r="Z457" s="50"/>
      <c r="AA457" s="50"/>
      <c r="AB457" s="50"/>
      <c r="AC457" s="50"/>
      <c r="AD457" s="50"/>
      <c r="AE457" s="50"/>
      <c r="AF457" s="34"/>
      <c r="AG457" s="34"/>
      <c r="AH457" s="34"/>
      <c r="AI457" s="34"/>
      <c r="AJ457" s="34"/>
      <c r="AK457" s="34"/>
      <c r="AL457" s="34"/>
      <c r="AM457" s="34"/>
      <c r="AN457" s="34"/>
      <c r="AO457" s="65"/>
      <c r="AP457" s="69"/>
      <c r="AQ457" s="62"/>
      <c r="AR457" s="34"/>
    </row>
    <row r="458" spans="1:44" customFormat="1">
      <c r="A458" s="39">
        <v>44010</v>
      </c>
      <c r="B458" s="11" t="s">
        <v>22</v>
      </c>
      <c r="C458" s="16" t="s">
        <v>1884</v>
      </c>
      <c r="D458" s="16"/>
      <c r="E458" s="38">
        <v>25800</v>
      </c>
      <c r="F458" s="38"/>
      <c r="G458" s="10" t="s">
        <v>1885</v>
      </c>
      <c r="H458" s="12" t="s">
        <v>1886</v>
      </c>
      <c r="I458" s="13">
        <v>30.4</v>
      </c>
      <c r="J458" s="15" t="s">
        <v>1887</v>
      </c>
      <c r="K458" s="14" t="s">
        <v>1888</v>
      </c>
      <c r="L458" s="11" t="s">
        <v>36</v>
      </c>
      <c r="M458" s="15"/>
      <c r="N458" s="17">
        <v>2200</v>
      </c>
      <c r="O458" s="17"/>
      <c r="P458" s="17"/>
      <c r="Q458" s="48"/>
      <c r="R458" s="11"/>
      <c r="S458" s="48"/>
      <c r="T458" s="85"/>
      <c r="U458" s="88"/>
      <c r="V458" s="32" t="s">
        <v>1883</v>
      </c>
      <c r="W458" s="25" t="s">
        <v>8</v>
      </c>
      <c r="X458" s="11"/>
      <c r="Y458" s="50" t="s">
        <v>12</v>
      </c>
      <c r="Z458" s="50"/>
      <c r="AA458" s="50"/>
      <c r="AB458" s="50"/>
      <c r="AC458" s="50"/>
      <c r="AD458" s="50"/>
      <c r="AE458" s="50"/>
      <c r="AF458" s="34"/>
      <c r="AG458" s="34"/>
      <c r="AH458" s="34"/>
      <c r="AI458" s="34"/>
      <c r="AJ458" s="34"/>
      <c r="AK458" s="34"/>
      <c r="AL458" s="34"/>
      <c r="AM458" s="34"/>
      <c r="AN458" s="34"/>
      <c r="AO458" s="65"/>
      <c r="AP458" s="69"/>
      <c r="AQ458" s="62"/>
      <c r="AR458" s="34"/>
    </row>
    <row r="459" spans="1:44" customFormat="1">
      <c r="A459" s="39">
        <v>44010</v>
      </c>
      <c r="B459" s="11" t="s">
        <v>22</v>
      </c>
      <c r="C459" s="16" t="s">
        <v>1889</v>
      </c>
      <c r="D459" s="16"/>
      <c r="E459" s="38">
        <v>29183</v>
      </c>
      <c r="F459" s="38"/>
      <c r="G459" s="10" t="s">
        <v>1890</v>
      </c>
      <c r="H459" s="12" t="s">
        <v>1891</v>
      </c>
      <c r="I459" s="13" t="s">
        <v>1897</v>
      </c>
      <c r="J459" s="15" t="s">
        <v>1892</v>
      </c>
      <c r="K459" s="12"/>
      <c r="L459" s="11" t="s">
        <v>36</v>
      </c>
      <c r="M459" s="15"/>
      <c r="N459" s="17">
        <v>2750</v>
      </c>
      <c r="O459" s="17"/>
      <c r="P459" s="17"/>
      <c r="Q459" s="48"/>
      <c r="R459" s="11"/>
      <c r="S459" s="48"/>
      <c r="T459" s="85"/>
      <c r="U459" s="88"/>
      <c r="V459" s="32"/>
      <c r="W459" s="25" t="s">
        <v>48</v>
      </c>
      <c r="X459" s="11"/>
      <c r="Y459" s="50" t="s">
        <v>12</v>
      </c>
      <c r="Z459" s="50"/>
      <c r="AA459" s="50"/>
      <c r="AB459" s="50"/>
      <c r="AC459" s="50"/>
      <c r="AD459" s="50"/>
      <c r="AE459" s="50"/>
      <c r="AF459" s="34"/>
      <c r="AG459" s="34"/>
      <c r="AH459" s="34"/>
      <c r="AI459" s="34"/>
      <c r="AJ459" s="34"/>
      <c r="AK459" s="34"/>
      <c r="AL459" s="34"/>
      <c r="AM459" s="34"/>
      <c r="AN459" s="34"/>
      <c r="AO459" s="65"/>
      <c r="AP459" s="69"/>
      <c r="AQ459" s="62"/>
      <c r="AR459" s="34"/>
    </row>
    <row r="460" spans="1:44" customFormat="1">
      <c r="A460" s="39">
        <v>44010</v>
      </c>
      <c r="B460" s="11" t="s">
        <v>22</v>
      </c>
      <c r="C460" s="16" t="s">
        <v>1893</v>
      </c>
      <c r="D460" s="16"/>
      <c r="E460" s="38">
        <v>33611</v>
      </c>
      <c r="F460" s="38"/>
      <c r="G460" s="10" t="s">
        <v>1894</v>
      </c>
      <c r="H460" s="12" t="s">
        <v>1895</v>
      </c>
      <c r="I460" s="13" t="s">
        <v>1898</v>
      </c>
      <c r="J460" s="15" t="s">
        <v>1896</v>
      </c>
      <c r="K460" s="12"/>
      <c r="L460" s="11" t="s">
        <v>36</v>
      </c>
      <c r="M460" s="15"/>
      <c r="N460" s="17">
        <v>2750</v>
      </c>
      <c r="O460" s="17"/>
      <c r="P460" s="17"/>
      <c r="Q460" s="48"/>
      <c r="R460" s="11"/>
      <c r="S460" s="48"/>
      <c r="T460" s="85"/>
      <c r="U460" s="88"/>
      <c r="V460" s="32"/>
      <c r="W460" s="25" t="s">
        <v>48</v>
      </c>
      <c r="X460" s="11"/>
      <c r="Y460" s="50" t="s">
        <v>18</v>
      </c>
      <c r="Z460" s="50"/>
      <c r="AA460" s="50"/>
      <c r="AB460" s="50"/>
      <c r="AC460" s="50"/>
      <c r="AD460" s="50"/>
      <c r="AE460" s="50"/>
      <c r="AF460" s="34"/>
      <c r="AG460" s="34"/>
      <c r="AH460" s="34"/>
      <c r="AI460" s="34"/>
      <c r="AJ460" s="34"/>
      <c r="AK460" s="34"/>
      <c r="AL460" s="34"/>
      <c r="AM460" s="34"/>
      <c r="AN460" s="34"/>
      <c r="AO460" s="65"/>
      <c r="AP460" s="69"/>
      <c r="AQ460" s="62"/>
      <c r="AR460" s="34"/>
    </row>
    <row r="461" spans="1:44" customFormat="1">
      <c r="A461" s="39">
        <v>44010</v>
      </c>
      <c r="B461" s="11" t="s">
        <v>22</v>
      </c>
      <c r="C461" s="16" t="s">
        <v>1899</v>
      </c>
      <c r="D461" s="16"/>
      <c r="E461" s="38">
        <v>30341</v>
      </c>
      <c r="F461" s="38"/>
      <c r="G461" s="10" t="s">
        <v>551</v>
      </c>
      <c r="H461" s="12" t="s">
        <v>1900</v>
      </c>
      <c r="I461" s="13" t="s">
        <v>1902</v>
      </c>
      <c r="J461" s="15" t="s">
        <v>1901</v>
      </c>
      <c r="K461" s="12"/>
      <c r="L461" s="11"/>
      <c r="M461" s="15"/>
      <c r="N461" s="17">
        <v>2750</v>
      </c>
      <c r="O461" s="17"/>
      <c r="P461" s="17"/>
      <c r="Q461" s="48"/>
      <c r="R461" s="11"/>
      <c r="S461" s="48"/>
      <c r="T461" s="85"/>
      <c r="U461" s="88"/>
      <c r="V461" s="32"/>
      <c r="W461" s="25" t="s">
        <v>10</v>
      </c>
      <c r="X461" s="11"/>
      <c r="Y461" s="50" t="s">
        <v>18</v>
      </c>
      <c r="Z461" s="50"/>
      <c r="AA461" s="50"/>
      <c r="AB461" s="50"/>
      <c r="AC461" s="50"/>
      <c r="AD461" s="50"/>
      <c r="AE461" s="50"/>
      <c r="AF461" s="34"/>
      <c r="AG461" s="34"/>
      <c r="AH461" s="34"/>
      <c r="AI461" s="34"/>
      <c r="AJ461" s="34"/>
      <c r="AK461" s="34"/>
      <c r="AL461" s="34"/>
      <c r="AM461" s="34"/>
      <c r="AN461" s="34"/>
      <c r="AO461" s="65"/>
      <c r="AP461" s="69"/>
      <c r="AQ461" s="62"/>
      <c r="AR461" s="34"/>
    </row>
    <row r="462" spans="1:44" customFormat="1">
      <c r="A462" s="39">
        <v>44011</v>
      </c>
      <c r="B462" s="11" t="s">
        <v>5659</v>
      </c>
      <c r="C462" s="16" t="s">
        <v>296</v>
      </c>
      <c r="D462" s="16"/>
      <c r="E462" s="38"/>
      <c r="F462" s="38"/>
      <c r="G462" s="10"/>
      <c r="H462" s="12"/>
      <c r="I462" s="13"/>
      <c r="J462" s="15"/>
      <c r="K462" s="12"/>
      <c r="L462" s="11"/>
      <c r="M462" s="15"/>
      <c r="N462" s="17">
        <v>5500</v>
      </c>
      <c r="O462" s="17"/>
      <c r="P462" s="17"/>
      <c r="Q462" s="48"/>
      <c r="R462" s="11"/>
      <c r="S462" s="48"/>
      <c r="T462" s="85"/>
      <c r="U462" s="88"/>
      <c r="V462" s="32" t="s">
        <v>1605</v>
      </c>
      <c r="W462" s="25"/>
      <c r="X462" s="11"/>
      <c r="Y462" s="50"/>
      <c r="Z462" s="50"/>
      <c r="AA462" s="50"/>
      <c r="AB462" s="50"/>
      <c r="AC462" s="50"/>
      <c r="AD462" s="50"/>
      <c r="AE462" s="50"/>
      <c r="AF462" s="34"/>
      <c r="AG462" s="34"/>
      <c r="AH462" s="34"/>
      <c r="AI462" s="34"/>
      <c r="AJ462" s="34"/>
      <c r="AK462" s="34"/>
      <c r="AL462" s="34"/>
      <c r="AM462" s="34"/>
      <c r="AN462" s="34"/>
      <c r="AO462" s="65"/>
      <c r="AP462" s="69"/>
      <c r="AQ462" s="62"/>
      <c r="AR462" s="34"/>
    </row>
    <row r="463" spans="1:44" customFormat="1">
      <c r="A463" s="39">
        <v>44011</v>
      </c>
      <c r="B463" s="11" t="s">
        <v>24</v>
      </c>
      <c r="C463" s="16" t="s">
        <v>1903</v>
      </c>
      <c r="D463" s="16"/>
      <c r="E463" s="38">
        <v>28853</v>
      </c>
      <c r="F463" s="38"/>
      <c r="G463" s="10" t="s">
        <v>1904</v>
      </c>
      <c r="H463" s="12" t="s">
        <v>1905</v>
      </c>
      <c r="I463" s="13" t="s">
        <v>1908</v>
      </c>
      <c r="J463" s="15" t="s">
        <v>1906</v>
      </c>
      <c r="K463" s="12"/>
      <c r="L463" s="11" t="s">
        <v>36</v>
      </c>
      <c r="M463" s="15"/>
      <c r="N463" s="17">
        <v>4950</v>
      </c>
      <c r="O463" s="17"/>
      <c r="P463" s="17"/>
      <c r="Q463" s="48"/>
      <c r="R463" s="11"/>
      <c r="S463" s="48"/>
      <c r="T463" s="85"/>
      <c r="U463" s="88"/>
      <c r="V463" s="32" t="s">
        <v>1907</v>
      </c>
      <c r="W463" s="25" t="s">
        <v>48</v>
      </c>
      <c r="X463" s="11"/>
      <c r="Y463" s="50" t="s">
        <v>13</v>
      </c>
      <c r="Z463" s="50"/>
      <c r="AA463" s="50"/>
      <c r="AB463" s="50"/>
      <c r="AC463" s="50"/>
      <c r="AD463" s="50"/>
      <c r="AE463" s="50"/>
      <c r="AF463" s="34"/>
      <c r="AG463" s="34"/>
      <c r="AH463" s="34"/>
      <c r="AI463" s="34"/>
      <c r="AJ463" s="34"/>
      <c r="AK463" s="34"/>
      <c r="AL463" s="34"/>
      <c r="AM463" s="34"/>
      <c r="AN463" s="34"/>
      <c r="AO463" s="65"/>
      <c r="AP463" s="69"/>
      <c r="AQ463" s="62"/>
      <c r="AR463" s="34"/>
    </row>
    <row r="464" spans="1:44" customFormat="1">
      <c r="A464" s="39">
        <v>44015</v>
      </c>
      <c r="B464" s="11" t="s">
        <v>24</v>
      </c>
      <c r="C464" s="16" t="s">
        <v>1912</v>
      </c>
      <c r="D464" s="16"/>
      <c r="E464" s="38">
        <v>29893</v>
      </c>
      <c r="F464" s="38"/>
      <c r="G464" s="10" t="s">
        <v>1915</v>
      </c>
      <c r="H464" s="12" t="s">
        <v>1913</v>
      </c>
      <c r="I464" s="13" t="s">
        <v>1914</v>
      </c>
      <c r="J464" s="15" t="s">
        <v>1916</v>
      </c>
      <c r="K464" s="12"/>
      <c r="L464" s="11" t="s">
        <v>33</v>
      </c>
      <c r="M464" s="15"/>
      <c r="N464" s="17">
        <v>8250</v>
      </c>
      <c r="O464" s="17"/>
      <c r="P464" s="17"/>
      <c r="Q464" s="48"/>
      <c r="R464" s="11"/>
      <c r="S464" s="48"/>
      <c r="T464" s="85"/>
      <c r="U464" s="88"/>
      <c r="V464" s="32" t="s">
        <v>1917</v>
      </c>
      <c r="W464" s="25" t="s">
        <v>48</v>
      </c>
      <c r="X464" s="11"/>
      <c r="Y464" s="50" t="s">
        <v>13</v>
      </c>
      <c r="Z464" s="50"/>
      <c r="AA464" s="50"/>
      <c r="AB464" s="50"/>
      <c r="AC464" s="50"/>
      <c r="AD464" s="50"/>
      <c r="AE464" s="50"/>
      <c r="AF464" s="34"/>
      <c r="AG464" s="34"/>
      <c r="AH464" s="34"/>
      <c r="AI464" s="34"/>
      <c r="AJ464" s="34"/>
      <c r="AK464" s="34"/>
      <c r="AL464" s="34"/>
      <c r="AM464" s="34"/>
      <c r="AN464" s="34"/>
      <c r="AO464" s="65"/>
      <c r="AP464" s="69"/>
      <c r="AQ464" s="62"/>
      <c r="AR464" s="34"/>
    </row>
    <row r="465" spans="1:44" customFormat="1">
      <c r="A465" s="39">
        <v>44016</v>
      </c>
      <c r="B465" s="11" t="s">
        <v>49</v>
      </c>
      <c r="C465" s="16" t="s">
        <v>1918</v>
      </c>
      <c r="D465" s="16"/>
      <c r="E465" s="38">
        <v>28343</v>
      </c>
      <c r="F465" s="38"/>
      <c r="G465" s="10" t="s">
        <v>144</v>
      </c>
      <c r="H465" s="12" t="s">
        <v>1919</v>
      </c>
      <c r="I465" s="13" t="s">
        <v>1708</v>
      </c>
      <c r="J465" s="15" t="s">
        <v>1920</v>
      </c>
      <c r="K465" s="12"/>
      <c r="L465" s="11" t="s">
        <v>33</v>
      </c>
      <c r="M465" s="15"/>
      <c r="N465" s="17">
        <v>0</v>
      </c>
      <c r="O465" s="17"/>
      <c r="P465" s="17"/>
      <c r="Q465" s="48"/>
      <c r="R465" s="11"/>
      <c r="S465" s="48"/>
      <c r="T465" s="85"/>
      <c r="U465" s="88"/>
      <c r="V465" s="32" t="s">
        <v>403</v>
      </c>
      <c r="W465" s="25" t="s">
        <v>8</v>
      </c>
      <c r="X465" s="11"/>
      <c r="Y465" s="50"/>
      <c r="Z465" s="50"/>
      <c r="AA465" s="50"/>
      <c r="AB465" s="50"/>
      <c r="AC465" s="50"/>
      <c r="AD465" s="50"/>
      <c r="AE465" s="50"/>
      <c r="AF465" s="34"/>
      <c r="AG465" s="34"/>
      <c r="AH465" s="34"/>
      <c r="AI465" s="34"/>
      <c r="AJ465" s="34"/>
      <c r="AK465" s="34"/>
      <c r="AL465" s="34"/>
      <c r="AM465" s="34"/>
      <c r="AN465" s="34"/>
      <c r="AO465" s="65"/>
      <c r="AP465" s="69"/>
      <c r="AQ465" s="62"/>
      <c r="AR465" s="34"/>
    </row>
    <row r="466" spans="1:44" customFormat="1">
      <c r="A466" s="39">
        <v>44017</v>
      </c>
      <c r="B466" s="11" t="s">
        <v>49</v>
      </c>
      <c r="C466" s="16" t="s">
        <v>1921</v>
      </c>
      <c r="D466" s="16"/>
      <c r="E466" s="38">
        <v>33088</v>
      </c>
      <c r="F466" s="38"/>
      <c r="G466" s="10" t="s">
        <v>1922</v>
      </c>
      <c r="H466" s="12" t="s">
        <v>1923</v>
      </c>
      <c r="I466" s="13" t="s">
        <v>1924</v>
      </c>
      <c r="J466" s="15" t="s">
        <v>1925</v>
      </c>
      <c r="K466" s="12"/>
      <c r="L466" s="11" t="s">
        <v>39</v>
      </c>
      <c r="M466" s="15"/>
      <c r="N466" s="17">
        <v>22000</v>
      </c>
      <c r="O466" s="17"/>
      <c r="P466" s="17"/>
      <c r="Q466" s="48"/>
      <c r="R466" s="11"/>
      <c r="S466" s="48"/>
      <c r="T466" s="85"/>
      <c r="U466" s="88"/>
      <c r="V466" s="32"/>
      <c r="W466" s="25" t="s">
        <v>48</v>
      </c>
      <c r="X466" s="11"/>
      <c r="Y466" s="50" t="s">
        <v>12</v>
      </c>
      <c r="Z466" s="50"/>
      <c r="AA466" s="50"/>
      <c r="AB466" s="50"/>
      <c r="AC466" s="50"/>
      <c r="AD466" s="50"/>
      <c r="AE466" s="50"/>
      <c r="AF466" s="34"/>
      <c r="AG466" s="34"/>
      <c r="AH466" s="34"/>
      <c r="AI466" s="34"/>
      <c r="AJ466" s="34"/>
      <c r="AK466" s="34"/>
      <c r="AL466" s="34"/>
      <c r="AM466" s="34"/>
      <c r="AN466" s="34"/>
      <c r="AO466" s="65"/>
      <c r="AP466" s="69"/>
      <c r="AQ466" s="62"/>
      <c r="AR466" s="34"/>
    </row>
    <row r="467" spans="1:44" customFormat="1">
      <c r="A467" s="39">
        <v>44017</v>
      </c>
      <c r="B467" s="11" t="s">
        <v>5659</v>
      </c>
      <c r="C467" s="16" t="s">
        <v>1300</v>
      </c>
      <c r="D467" s="16"/>
      <c r="E467" s="38">
        <v>33955</v>
      </c>
      <c r="F467" s="38"/>
      <c r="G467" s="10" t="s">
        <v>78</v>
      </c>
      <c r="H467" s="12" t="s">
        <v>1298</v>
      </c>
      <c r="I467" s="13"/>
      <c r="J467" s="15" t="s">
        <v>1299</v>
      </c>
      <c r="K467" s="12"/>
      <c r="L467" s="11"/>
      <c r="M467" s="15"/>
      <c r="N467" s="17">
        <v>5500</v>
      </c>
      <c r="O467" s="17"/>
      <c r="P467" s="17"/>
      <c r="Q467" s="48"/>
      <c r="R467" s="11"/>
      <c r="S467" s="48"/>
      <c r="T467" s="85"/>
      <c r="U467" s="88"/>
      <c r="V467" s="32" t="s">
        <v>1605</v>
      </c>
      <c r="W467" s="25"/>
      <c r="X467" s="11"/>
      <c r="Y467" s="50"/>
      <c r="Z467" s="50"/>
      <c r="AA467" s="50"/>
      <c r="AB467" s="50"/>
      <c r="AC467" s="50"/>
      <c r="AD467" s="50"/>
      <c r="AE467" s="50"/>
      <c r="AF467" s="34"/>
      <c r="AG467" s="34"/>
      <c r="AH467" s="34"/>
      <c r="AI467" s="34"/>
      <c r="AJ467" s="34"/>
      <c r="AK467" s="34"/>
      <c r="AL467" s="34"/>
      <c r="AM467" s="34"/>
      <c r="AN467" s="34"/>
      <c r="AO467" s="65"/>
      <c r="AP467" s="69"/>
      <c r="AQ467" s="62"/>
      <c r="AR467" s="34"/>
    </row>
    <row r="468" spans="1:44" customFormat="1">
      <c r="A468" s="39">
        <v>44018</v>
      </c>
      <c r="B468" s="11" t="s">
        <v>49</v>
      </c>
      <c r="C468" s="16" t="s">
        <v>1926</v>
      </c>
      <c r="D468" s="16"/>
      <c r="E468" s="38">
        <v>30268</v>
      </c>
      <c r="F468" s="38"/>
      <c r="G468" s="10" t="s">
        <v>1927</v>
      </c>
      <c r="H468" s="12" t="s">
        <v>1928</v>
      </c>
      <c r="I468" s="13" t="s">
        <v>1931</v>
      </c>
      <c r="J468" s="15" t="s">
        <v>1930</v>
      </c>
      <c r="K468" s="14" t="s">
        <v>1929</v>
      </c>
      <c r="L468" s="11" t="s">
        <v>33</v>
      </c>
      <c r="M468" s="15"/>
      <c r="N468" s="17">
        <v>16500</v>
      </c>
      <c r="O468" s="17"/>
      <c r="P468" s="17"/>
      <c r="Q468" s="48"/>
      <c r="R468" s="11"/>
      <c r="S468" s="48"/>
      <c r="T468" s="85"/>
      <c r="U468" s="88"/>
      <c r="V468" s="32"/>
      <c r="W468" s="25" t="s">
        <v>8</v>
      </c>
      <c r="X468" s="11"/>
      <c r="Y468" s="50" t="s">
        <v>13</v>
      </c>
      <c r="Z468" s="50"/>
      <c r="AA468" s="50"/>
      <c r="AB468" s="50"/>
      <c r="AC468" s="50"/>
      <c r="AD468" s="50"/>
      <c r="AE468" s="50"/>
      <c r="AF468" s="34"/>
      <c r="AG468" s="34"/>
      <c r="AH468" s="34"/>
      <c r="AI468" s="34"/>
      <c r="AJ468" s="34"/>
      <c r="AK468" s="34"/>
      <c r="AL468" s="34"/>
      <c r="AM468" s="34"/>
      <c r="AN468" s="34"/>
      <c r="AO468" s="65"/>
      <c r="AP468" s="69"/>
      <c r="AQ468" s="62"/>
      <c r="AR468" s="34"/>
    </row>
    <row r="469" spans="1:44" customFormat="1">
      <c r="A469" s="39">
        <v>44018</v>
      </c>
      <c r="B469" s="11" t="s">
        <v>22</v>
      </c>
      <c r="C469" s="16" t="s">
        <v>1932</v>
      </c>
      <c r="D469" s="16"/>
      <c r="E469" s="38">
        <v>31077</v>
      </c>
      <c r="F469" s="38"/>
      <c r="G469" s="10" t="s">
        <v>1933</v>
      </c>
      <c r="H469" s="12" t="s">
        <v>1934</v>
      </c>
      <c r="I469" s="13" t="s">
        <v>1935</v>
      </c>
      <c r="J469" s="15" t="s">
        <v>1936</v>
      </c>
      <c r="K469" s="14" t="s">
        <v>1937</v>
      </c>
      <c r="L469" s="11" t="s">
        <v>33</v>
      </c>
      <c r="M469" s="15"/>
      <c r="N469" s="17">
        <v>2750</v>
      </c>
      <c r="O469" s="17"/>
      <c r="P469" s="17"/>
      <c r="Q469" s="48"/>
      <c r="R469" s="11"/>
      <c r="S469" s="48"/>
      <c r="T469" s="85"/>
      <c r="U469" s="88"/>
      <c r="V469" s="32"/>
      <c r="W469" s="25" t="s">
        <v>48</v>
      </c>
      <c r="X469" s="11"/>
      <c r="Y469" s="50" t="s">
        <v>13</v>
      </c>
      <c r="Z469" s="50"/>
      <c r="AA469" s="50"/>
      <c r="AB469" s="50"/>
      <c r="AC469" s="50"/>
      <c r="AD469" s="50"/>
      <c r="AE469" s="50"/>
      <c r="AF469" s="34"/>
      <c r="AG469" s="34"/>
      <c r="AH469" s="34"/>
      <c r="AI469" s="34"/>
      <c r="AJ469" s="34"/>
      <c r="AK469" s="34"/>
      <c r="AL469" s="34"/>
      <c r="AM469" s="34"/>
      <c r="AN469" s="34"/>
      <c r="AO469" s="65"/>
      <c r="AP469" s="69"/>
      <c r="AQ469" s="62"/>
      <c r="AR469" s="34"/>
    </row>
    <row r="470" spans="1:44" customFormat="1">
      <c r="A470" s="39">
        <v>44020</v>
      </c>
      <c r="B470" s="11" t="s">
        <v>49</v>
      </c>
      <c r="C470" s="16" t="s">
        <v>1938</v>
      </c>
      <c r="D470" s="16"/>
      <c r="E470" s="38">
        <v>30567</v>
      </c>
      <c r="F470" s="38"/>
      <c r="G470" s="10" t="s">
        <v>1939</v>
      </c>
      <c r="H470" s="12" t="s">
        <v>1940</v>
      </c>
      <c r="I470" s="13" t="s">
        <v>1941</v>
      </c>
      <c r="J470" s="15" t="s">
        <v>1942</v>
      </c>
      <c r="K470" s="12"/>
      <c r="L470" s="11" t="s">
        <v>39</v>
      </c>
      <c r="M470" s="15"/>
      <c r="N470" s="17">
        <v>16500</v>
      </c>
      <c r="O470" s="17"/>
      <c r="P470" s="17"/>
      <c r="Q470" s="48"/>
      <c r="R470" s="11"/>
      <c r="S470" s="48"/>
      <c r="T470" s="85"/>
      <c r="U470" s="88"/>
      <c r="V470" s="32"/>
      <c r="W470" s="25" t="s">
        <v>48</v>
      </c>
      <c r="X470" s="11"/>
      <c r="Y470" s="50" t="s">
        <v>12</v>
      </c>
      <c r="Z470" s="50"/>
      <c r="AA470" s="50"/>
      <c r="AB470" s="50"/>
      <c r="AC470" s="50"/>
      <c r="AD470" s="50"/>
      <c r="AE470" s="50"/>
      <c r="AF470" s="34"/>
      <c r="AG470" s="34"/>
      <c r="AH470" s="34"/>
      <c r="AI470" s="34"/>
      <c r="AJ470" s="34"/>
      <c r="AK470" s="34"/>
      <c r="AL470" s="34"/>
      <c r="AM470" s="34"/>
      <c r="AN470" s="34"/>
      <c r="AO470" s="65"/>
      <c r="AP470" s="69"/>
      <c r="AQ470" s="62"/>
      <c r="AR470" s="34"/>
    </row>
    <row r="471" spans="1:44" customFormat="1">
      <c r="A471" s="39">
        <v>44021</v>
      </c>
      <c r="B471" s="11" t="s">
        <v>49</v>
      </c>
      <c r="C471" s="16" t="s">
        <v>1943</v>
      </c>
      <c r="D471" s="16"/>
      <c r="E471" s="38">
        <v>27911</v>
      </c>
      <c r="F471" s="38"/>
      <c r="G471" s="10" t="s">
        <v>1944</v>
      </c>
      <c r="H471" s="12" t="s">
        <v>1945</v>
      </c>
      <c r="I471" s="13" t="s">
        <v>1946</v>
      </c>
      <c r="J471" s="15" t="s">
        <v>1947</v>
      </c>
      <c r="K471" s="12"/>
      <c r="L471" s="11" t="s">
        <v>35</v>
      </c>
      <c r="M471" s="15"/>
      <c r="N471" s="17">
        <v>16500</v>
      </c>
      <c r="O471" s="17"/>
      <c r="P471" s="17"/>
      <c r="Q471" s="48"/>
      <c r="R471" s="11"/>
      <c r="S471" s="48"/>
      <c r="T471" s="85"/>
      <c r="U471" s="88"/>
      <c r="V471" s="32"/>
      <c r="W471" s="25" t="s">
        <v>48</v>
      </c>
      <c r="X471" s="11"/>
      <c r="Y471" s="50" t="s">
        <v>13</v>
      </c>
      <c r="Z471" s="50"/>
      <c r="AA471" s="50"/>
      <c r="AB471" s="50"/>
      <c r="AC471" s="50"/>
      <c r="AD471" s="50"/>
      <c r="AE471" s="50"/>
      <c r="AF471" s="34"/>
      <c r="AG471" s="34"/>
      <c r="AH471" s="34"/>
      <c r="AI471" s="34"/>
      <c r="AJ471" s="34"/>
      <c r="AK471" s="34"/>
      <c r="AL471" s="34"/>
      <c r="AM471" s="34"/>
      <c r="AN471" s="34"/>
      <c r="AO471" s="65"/>
      <c r="AP471" s="69"/>
      <c r="AQ471" s="62"/>
      <c r="AR471" s="34"/>
    </row>
    <row r="472" spans="1:44" customFormat="1">
      <c r="A472" s="39">
        <v>44022</v>
      </c>
      <c r="B472" s="11" t="s">
        <v>49</v>
      </c>
      <c r="C472" s="16" t="s">
        <v>1967</v>
      </c>
      <c r="D472" s="16"/>
      <c r="E472" s="38">
        <v>22058</v>
      </c>
      <c r="F472" s="38"/>
      <c r="G472" s="10" t="s">
        <v>1949</v>
      </c>
      <c r="H472" s="12" t="s">
        <v>1948</v>
      </c>
      <c r="I472" s="13" t="s">
        <v>1950</v>
      </c>
      <c r="J472" s="15" t="s">
        <v>1951</v>
      </c>
      <c r="K472" s="12"/>
      <c r="L472" s="11" t="s">
        <v>34</v>
      </c>
      <c r="M472" s="15"/>
      <c r="N472" s="17">
        <v>16500</v>
      </c>
      <c r="O472" s="17"/>
      <c r="P472" s="17"/>
      <c r="Q472" s="48"/>
      <c r="R472" s="11"/>
      <c r="S472" s="48"/>
      <c r="T472" s="85"/>
      <c r="U472" s="88"/>
      <c r="V472" s="32"/>
      <c r="W472" s="25" t="s">
        <v>8</v>
      </c>
      <c r="X472" s="11"/>
      <c r="Y472" s="50" t="s">
        <v>13</v>
      </c>
      <c r="Z472" s="50"/>
      <c r="AA472" s="50"/>
      <c r="AB472" s="50"/>
      <c r="AC472" s="50"/>
      <c r="AD472" s="50"/>
      <c r="AE472" s="50"/>
      <c r="AF472" s="34"/>
      <c r="AG472" s="34"/>
      <c r="AH472" s="34"/>
      <c r="AI472" s="34"/>
      <c r="AJ472" s="34"/>
      <c r="AK472" s="34"/>
      <c r="AL472" s="34"/>
      <c r="AM472" s="34"/>
      <c r="AN472" s="34"/>
      <c r="AO472" s="65"/>
      <c r="AP472" s="69"/>
      <c r="AQ472" s="62"/>
      <c r="AR472" s="34"/>
    </row>
    <row r="473" spans="1:44" customFormat="1">
      <c r="A473" s="39">
        <v>44022</v>
      </c>
      <c r="B473" s="11" t="s">
        <v>49</v>
      </c>
      <c r="C473" s="16" t="s">
        <v>1952</v>
      </c>
      <c r="D473" s="16"/>
      <c r="E473" s="38">
        <v>29808</v>
      </c>
      <c r="F473" s="38"/>
      <c r="G473" s="10" t="s">
        <v>1953</v>
      </c>
      <c r="H473" s="12" t="s">
        <v>1954</v>
      </c>
      <c r="I473" s="13" t="s">
        <v>1955</v>
      </c>
      <c r="J473" s="15" t="s">
        <v>1956</v>
      </c>
      <c r="K473" s="12"/>
      <c r="L473" s="11" t="s">
        <v>33</v>
      </c>
      <c r="M473" s="15"/>
      <c r="N473" s="17">
        <v>16500</v>
      </c>
      <c r="O473" s="17"/>
      <c r="P473" s="17"/>
      <c r="Q473" s="48"/>
      <c r="R473" s="11"/>
      <c r="S473" s="48"/>
      <c r="T473" s="85"/>
      <c r="U473" s="88"/>
      <c r="V473" s="32"/>
      <c r="W473" s="25" t="s">
        <v>8</v>
      </c>
      <c r="X473" s="11"/>
      <c r="Y473" s="50" t="s">
        <v>13</v>
      </c>
      <c r="Z473" s="50"/>
      <c r="AA473" s="50"/>
      <c r="AB473" s="50"/>
      <c r="AC473" s="50"/>
      <c r="AD473" s="50"/>
      <c r="AE473" s="50"/>
      <c r="AF473" s="34"/>
      <c r="AG473" s="34"/>
      <c r="AH473" s="34"/>
      <c r="AI473" s="34"/>
      <c r="AJ473" s="34"/>
      <c r="AK473" s="34"/>
      <c r="AL473" s="34"/>
      <c r="AM473" s="34"/>
      <c r="AN473" s="34"/>
      <c r="AO473" s="65"/>
      <c r="AP473" s="69"/>
      <c r="AQ473" s="62"/>
      <c r="AR473" s="34"/>
    </row>
    <row r="474" spans="1:44" customFormat="1">
      <c r="A474" s="39">
        <v>44022</v>
      </c>
      <c r="B474" s="11" t="s">
        <v>22</v>
      </c>
      <c r="C474" s="16" t="s">
        <v>1957</v>
      </c>
      <c r="D474" s="16"/>
      <c r="E474" s="38">
        <v>30806</v>
      </c>
      <c r="F474" s="38"/>
      <c r="G474" s="10" t="s">
        <v>1959</v>
      </c>
      <c r="H474" s="12" t="s">
        <v>1958</v>
      </c>
      <c r="I474" s="13" t="s">
        <v>1648</v>
      </c>
      <c r="J474" s="15" t="s">
        <v>1960</v>
      </c>
      <c r="K474" s="12"/>
      <c r="L474" s="11"/>
      <c r="M474" s="15"/>
      <c r="N474" s="17">
        <v>2200</v>
      </c>
      <c r="O474" s="17"/>
      <c r="P474" s="17"/>
      <c r="Q474" s="48"/>
      <c r="R474" s="11"/>
      <c r="S474" s="48"/>
      <c r="T474" s="85"/>
      <c r="U474" s="88"/>
      <c r="V474" s="32" t="s">
        <v>1961</v>
      </c>
      <c r="W474" s="25" t="s">
        <v>8</v>
      </c>
      <c r="X474" s="11"/>
      <c r="Y474" s="50" t="s">
        <v>12</v>
      </c>
      <c r="Z474" s="50"/>
      <c r="AA474" s="50"/>
      <c r="AB474" s="50"/>
      <c r="AC474" s="50"/>
      <c r="AD474" s="50"/>
      <c r="AE474" s="50"/>
      <c r="AF474" s="34"/>
      <c r="AG474" s="34"/>
      <c r="AH474" s="34"/>
      <c r="AI474" s="34"/>
      <c r="AJ474" s="34"/>
      <c r="AK474" s="34"/>
      <c r="AL474" s="34"/>
      <c r="AM474" s="34"/>
      <c r="AN474" s="34"/>
      <c r="AO474" s="65"/>
      <c r="AP474" s="69"/>
      <c r="AQ474" s="62"/>
      <c r="AR474" s="34"/>
    </row>
    <row r="475" spans="1:44" customFormat="1">
      <c r="A475" s="39">
        <v>44023</v>
      </c>
      <c r="B475" s="11" t="s">
        <v>49</v>
      </c>
      <c r="C475" s="16" t="s">
        <v>1962</v>
      </c>
      <c r="D475" s="16"/>
      <c r="E475" s="38">
        <v>26721</v>
      </c>
      <c r="F475" s="38"/>
      <c r="G475" s="10" t="s">
        <v>1963</v>
      </c>
      <c r="H475" s="12" t="s">
        <v>1964</v>
      </c>
      <c r="I475" s="13" t="s">
        <v>1966</v>
      </c>
      <c r="J475" s="15" t="s">
        <v>1965</v>
      </c>
      <c r="K475" s="12"/>
      <c r="L475" s="11" t="s">
        <v>33</v>
      </c>
      <c r="M475" s="15"/>
      <c r="N475" s="17">
        <v>22000</v>
      </c>
      <c r="O475" s="17"/>
      <c r="P475" s="17"/>
      <c r="Q475" s="48"/>
      <c r="R475" s="11"/>
      <c r="S475" s="48"/>
      <c r="T475" s="85"/>
      <c r="U475" s="88"/>
      <c r="V475" s="32"/>
      <c r="W475" s="25" t="s">
        <v>48</v>
      </c>
      <c r="X475" s="11"/>
      <c r="Y475" s="50" t="s">
        <v>13</v>
      </c>
      <c r="Z475" s="50"/>
      <c r="AA475" s="50"/>
      <c r="AB475" s="50"/>
      <c r="AC475" s="50"/>
      <c r="AD475" s="50"/>
      <c r="AE475" s="50"/>
      <c r="AF475" s="34"/>
      <c r="AG475" s="34"/>
      <c r="AH475" s="34"/>
      <c r="AI475" s="34"/>
      <c r="AJ475" s="34"/>
      <c r="AK475" s="34"/>
      <c r="AL475" s="34"/>
      <c r="AM475" s="34"/>
      <c r="AN475" s="34"/>
      <c r="AO475" s="65"/>
      <c r="AP475" s="69"/>
      <c r="AQ475" s="62"/>
      <c r="AR475" s="34"/>
    </row>
    <row r="476" spans="1:44" customFormat="1">
      <c r="A476" s="39">
        <v>44024</v>
      </c>
      <c r="B476" s="11" t="s">
        <v>22</v>
      </c>
      <c r="C476" s="16" t="s">
        <v>1968</v>
      </c>
      <c r="D476" s="16"/>
      <c r="E476" s="38">
        <v>38915</v>
      </c>
      <c r="F476" s="38"/>
      <c r="G476" s="10" t="s">
        <v>1969</v>
      </c>
      <c r="H476" s="12" t="s">
        <v>1970</v>
      </c>
      <c r="I476" s="13" t="s">
        <v>1971</v>
      </c>
      <c r="J476" s="15" t="s">
        <v>1972</v>
      </c>
      <c r="K476" s="12"/>
      <c r="L476" s="11" t="s">
        <v>38</v>
      </c>
      <c r="M476" s="15"/>
      <c r="N476" s="17">
        <v>2200</v>
      </c>
      <c r="O476" s="17"/>
      <c r="P476" s="17"/>
      <c r="Q476" s="48"/>
      <c r="R476" s="11"/>
      <c r="S476" s="48"/>
      <c r="T476" s="85"/>
      <c r="U476" s="88"/>
      <c r="V476" s="32" t="s">
        <v>1973</v>
      </c>
      <c r="W476" s="25" t="s">
        <v>8</v>
      </c>
      <c r="X476" s="11"/>
      <c r="Y476" s="50" t="s">
        <v>12</v>
      </c>
      <c r="Z476" s="50"/>
      <c r="AA476" s="50"/>
      <c r="AB476" s="50"/>
      <c r="AC476" s="50"/>
      <c r="AD476" s="50"/>
      <c r="AE476" s="50"/>
      <c r="AF476" s="34"/>
      <c r="AG476" s="34"/>
      <c r="AH476" s="34"/>
      <c r="AI476" s="34"/>
      <c r="AJ476" s="34"/>
      <c r="AK476" s="34"/>
      <c r="AL476" s="34"/>
      <c r="AM476" s="34"/>
      <c r="AN476" s="34"/>
      <c r="AO476" s="65"/>
      <c r="AP476" s="69"/>
      <c r="AQ476" s="62"/>
      <c r="AR476" s="34"/>
    </row>
    <row r="477" spans="1:44" customFormat="1">
      <c r="A477" s="39">
        <v>44025</v>
      </c>
      <c r="B477" s="11" t="s">
        <v>49</v>
      </c>
      <c r="C477" s="16" t="s">
        <v>1974</v>
      </c>
      <c r="D477" s="16"/>
      <c r="E477" s="38">
        <v>26154</v>
      </c>
      <c r="F477" s="38"/>
      <c r="G477" s="10" t="s">
        <v>1975</v>
      </c>
      <c r="H477" s="12" t="s">
        <v>1976</v>
      </c>
      <c r="I477" s="13" t="s">
        <v>1977</v>
      </c>
      <c r="J477" s="15" t="s">
        <v>1978</v>
      </c>
      <c r="K477" s="12"/>
      <c r="L477" s="11" t="s">
        <v>33</v>
      </c>
      <c r="M477" s="15"/>
      <c r="N477" s="17">
        <v>11000</v>
      </c>
      <c r="O477" s="17"/>
      <c r="P477" s="17"/>
      <c r="Q477" s="48"/>
      <c r="R477" s="11"/>
      <c r="S477" s="48"/>
      <c r="T477" s="85"/>
      <c r="U477" s="88"/>
      <c r="V477" s="32" t="s">
        <v>1979</v>
      </c>
      <c r="W477" s="25" t="s">
        <v>8</v>
      </c>
      <c r="X477" s="11"/>
      <c r="Y477" s="50" t="s">
        <v>12</v>
      </c>
      <c r="Z477" s="50"/>
      <c r="AA477" s="50"/>
      <c r="AB477" s="50"/>
      <c r="AC477" s="50"/>
      <c r="AD477" s="50"/>
      <c r="AE477" s="50"/>
      <c r="AF477" s="34"/>
      <c r="AG477" s="34"/>
      <c r="AH477" s="34"/>
      <c r="AI477" s="34"/>
      <c r="AJ477" s="34"/>
      <c r="AK477" s="34"/>
      <c r="AL477" s="34"/>
      <c r="AM477" s="34"/>
      <c r="AN477" s="34"/>
      <c r="AO477" s="65"/>
      <c r="AP477" s="69"/>
      <c r="AQ477" s="62"/>
      <c r="AR477" s="34"/>
    </row>
    <row r="478" spans="1:44" customFormat="1">
      <c r="A478" s="39">
        <v>44027</v>
      </c>
      <c r="B478" s="11" t="s">
        <v>22</v>
      </c>
      <c r="C478" s="16" t="s">
        <v>1980</v>
      </c>
      <c r="D478" s="16"/>
      <c r="E478" s="38">
        <v>29919</v>
      </c>
      <c r="F478" s="38"/>
      <c r="G478" s="10" t="s">
        <v>1981</v>
      </c>
      <c r="H478" s="103" t="s">
        <v>1982</v>
      </c>
      <c r="I478" s="13" t="s">
        <v>1983</v>
      </c>
      <c r="J478" s="15" t="s">
        <v>1984</v>
      </c>
      <c r="K478" s="12"/>
      <c r="L478" s="11" t="s">
        <v>36</v>
      </c>
      <c r="M478" s="15"/>
      <c r="N478" s="17">
        <v>2750</v>
      </c>
      <c r="O478" s="17"/>
      <c r="P478" s="17"/>
      <c r="Q478" s="48"/>
      <c r="R478" s="11"/>
      <c r="S478" s="48"/>
      <c r="T478" s="85"/>
      <c r="U478" s="88"/>
      <c r="V478" s="32"/>
      <c r="W478" s="25" t="s">
        <v>48</v>
      </c>
      <c r="X478" s="11"/>
      <c r="Y478" s="50" t="s">
        <v>15</v>
      </c>
      <c r="Z478" s="50"/>
      <c r="AA478" s="50"/>
      <c r="AB478" s="50"/>
      <c r="AC478" s="50"/>
      <c r="AD478" s="50"/>
      <c r="AE478" s="50"/>
      <c r="AF478" s="34"/>
      <c r="AG478" s="34"/>
      <c r="AH478" s="34"/>
      <c r="AI478" s="34"/>
      <c r="AJ478" s="34"/>
      <c r="AK478" s="34"/>
      <c r="AL478" s="34"/>
      <c r="AM478" s="34"/>
      <c r="AN478" s="34"/>
      <c r="AO478" s="65"/>
      <c r="AP478" s="69"/>
      <c r="AQ478" s="62"/>
      <c r="AR478" s="34"/>
    </row>
    <row r="479" spans="1:44" customFormat="1">
      <c r="A479" s="39">
        <v>44027</v>
      </c>
      <c r="B479" s="11" t="s">
        <v>22</v>
      </c>
      <c r="C479" s="16" t="s">
        <v>1987</v>
      </c>
      <c r="D479" s="16"/>
      <c r="E479" s="38">
        <v>17577</v>
      </c>
      <c r="F479" s="38"/>
      <c r="G479" s="10" t="s">
        <v>1986</v>
      </c>
      <c r="H479" s="2" t="s">
        <v>1988</v>
      </c>
      <c r="I479" s="13" t="s">
        <v>1989</v>
      </c>
      <c r="J479" s="15" t="s">
        <v>1990</v>
      </c>
      <c r="K479" s="12"/>
      <c r="L479" s="11" t="s">
        <v>36</v>
      </c>
      <c r="M479" s="15"/>
      <c r="N479" s="17">
        <v>2750</v>
      </c>
      <c r="O479" s="17"/>
      <c r="P479" s="17"/>
      <c r="Q479" s="48"/>
      <c r="R479" s="11"/>
      <c r="S479" s="48"/>
      <c r="T479" s="85"/>
      <c r="U479" s="88"/>
      <c r="V479" s="32" t="s">
        <v>1991</v>
      </c>
      <c r="W479" s="25" t="s">
        <v>8</v>
      </c>
      <c r="X479" s="11"/>
      <c r="Y479" s="50" t="s">
        <v>11</v>
      </c>
      <c r="Z479" s="50"/>
      <c r="AA479" s="50"/>
      <c r="AB479" s="50"/>
      <c r="AC479" s="50"/>
      <c r="AD479" s="50"/>
      <c r="AE479" s="50"/>
      <c r="AF479" s="34"/>
      <c r="AG479" s="34"/>
      <c r="AH479" s="34"/>
      <c r="AI479" s="34"/>
      <c r="AJ479" s="34"/>
      <c r="AK479" s="34"/>
      <c r="AL479" s="34"/>
      <c r="AM479" s="34"/>
      <c r="AN479" s="34"/>
      <c r="AO479" s="65"/>
      <c r="AP479" s="69"/>
      <c r="AQ479" s="62"/>
      <c r="AR479" s="34"/>
    </row>
    <row r="480" spans="1:44" customFormat="1">
      <c r="A480" s="39">
        <v>44027</v>
      </c>
      <c r="B480" s="11" t="s">
        <v>22</v>
      </c>
      <c r="C480" s="16" t="s">
        <v>1992</v>
      </c>
      <c r="D480" s="16"/>
      <c r="E480" s="38">
        <v>31907</v>
      </c>
      <c r="F480" s="38"/>
      <c r="G480" s="10" t="s">
        <v>1993</v>
      </c>
      <c r="H480" s="12" t="s">
        <v>1994</v>
      </c>
      <c r="I480" s="13" t="s">
        <v>1995</v>
      </c>
      <c r="J480" s="15" t="s">
        <v>1996</v>
      </c>
      <c r="K480" s="12"/>
      <c r="L480" s="11" t="s">
        <v>36</v>
      </c>
      <c r="M480" s="15"/>
      <c r="N480" s="17">
        <v>2750</v>
      </c>
      <c r="O480" s="17"/>
      <c r="P480" s="17"/>
      <c r="Q480" s="48"/>
      <c r="R480" s="11"/>
      <c r="S480" s="48"/>
      <c r="T480" s="85"/>
      <c r="U480" s="88"/>
      <c r="V480" s="32"/>
      <c r="W480" s="25"/>
      <c r="X480" s="11"/>
      <c r="Y480" s="50"/>
      <c r="Z480" s="50"/>
      <c r="AA480" s="50"/>
      <c r="AB480" s="50"/>
      <c r="AC480" s="50"/>
      <c r="AD480" s="50"/>
      <c r="AE480" s="50"/>
      <c r="AF480" s="34"/>
      <c r="AG480" s="34"/>
      <c r="AH480" s="34"/>
      <c r="AI480" s="34"/>
      <c r="AJ480" s="34"/>
      <c r="AK480" s="34"/>
      <c r="AL480" s="34"/>
      <c r="AM480" s="34"/>
      <c r="AN480" s="34"/>
      <c r="AO480" s="65"/>
      <c r="AP480" s="69"/>
      <c r="AQ480" s="62" t="s">
        <v>81</v>
      </c>
      <c r="AR480" s="34"/>
    </row>
    <row r="481" spans="1:44" customFormat="1">
      <c r="A481" s="39">
        <v>44027</v>
      </c>
      <c r="B481" s="11" t="s">
        <v>22</v>
      </c>
      <c r="C481" s="16" t="s">
        <v>1985</v>
      </c>
      <c r="D481" s="16"/>
      <c r="E481" s="38">
        <v>21976</v>
      </c>
      <c r="F481" s="38"/>
      <c r="G481" s="10" t="s">
        <v>1986</v>
      </c>
      <c r="H481" s="12" t="s">
        <v>1988</v>
      </c>
      <c r="I481" s="13" t="s">
        <v>1989</v>
      </c>
      <c r="J481" s="15" t="s">
        <v>1990</v>
      </c>
      <c r="K481" s="12"/>
      <c r="L481" s="11" t="s">
        <v>39</v>
      </c>
      <c r="M481" s="15"/>
      <c r="N481" s="17">
        <v>2750</v>
      </c>
      <c r="O481" s="17"/>
      <c r="P481" s="17"/>
      <c r="Q481" s="48"/>
      <c r="R481" s="11"/>
      <c r="S481" s="48"/>
      <c r="T481" s="85" t="s">
        <v>81</v>
      </c>
      <c r="U481" s="88"/>
      <c r="V481" s="32" t="s">
        <v>1991</v>
      </c>
      <c r="W481" s="25" t="s">
        <v>8</v>
      </c>
      <c r="X481" s="11"/>
      <c r="Y481" s="50" t="s">
        <v>11</v>
      </c>
      <c r="Z481" s="50"/>
      <c r="AA481" s="50"/>
      <c r="AB481" s="50"/>
      <c r="AC481" s="50"/>
      <c r="AD481" s="50"/>
      <c r="AE481" s="50"/>
      <c r="AF481" s="34"/>
      <c r="AG481" s="34"/>
      <c r="AH481" s="34"/>
      <c r="AI481" s="34"/>
      <c r="AJ481" s="34"/>
      <c r="AK481" s="34"/>
      <c r="AL481" s="34"/>
      <c r="AM481" s="34"/>
      <c r="AN481" s="34"/>
      <c r="AO481" s="65"/>
      <c r="AP481" s="69"/>
      <c r="AQ481" s="62"/>
      <c r="AR481" s="34"/>
    </row>
    <row r="482" spans="1:44" customFormat="1">
      <c r="A482" s="39">
        <v>44028</v>
      </c>
      <c r="B482" s="11" t="s">
        <v>49</v>
      </c>
      <c r="C482" s="16" t="s">
        <v>88</v>
      </c>
      <c r="D482" s="16"/>
      <c r="E482" s="38">
        <v>21104</v>
      </c>
      <c r="F482" s="38"/>
      <c r="G482" s="10" t="s">
        <v>89</v>
      </c>
      <c r="H482" s="12" t="s">
        <v>90</v>
      </c>
      <c r="I482" s="13">
        <v>82.4</v>
      </c>
      <c r="J482" s="15" t="s">
        <v>92</v>
      </c>
      <c r="K482" s="14" t="s">
        <v>91</v>
      </c>
      <c r="L482" s="11" t="s">
        <v>37</v>
      </c>
      <c r="M482" s="15"/>
      <c r="N482" s="17">
        <v>11000</v>
      </c>
      <c r="O482" s="17"/>
      <c r="P482" s="17"/>
      <c r="Q482" s="48"/>
      <c r="R482" s="11"/>
      <c r="S482" s="48"/>
      <c r="T482" s="85"/>
      <c r="U482" s="88"/>
      <c r="V482" s="32" t="s">
        <v>1997</v>
      </c>
      <c r="W482" s="25" t="s">
        <v>8</v>
      </c>
      <c r="X482" s="11"/>
      <c r="Y482" s="50" t="s">
        <v>13</v>
      </c>
      <c r="Z482" s="50"/>
      <c r="AA482" s="50"/>
      <c r="AB482" s="50"/>
      <c r="AC482" s="50"/>
      <c r="AD482" s="50"/>
      <c r="AE482" s="50"/>
      <c r="AF482" s="34"/>
      <c r="AG482" s="34"/>
      <c r="AH482" s="34"/>
      <c r="AI482" s="34"/>
      <c r="AJ482" s="34"/>
      <c r="AK482" s="34"/>
      <c r="AL482" s="34"/>
      <c r="AM482" s="34"/>
      <c r="AN482" s="34"/>
      <c r="AO482" s="65"/>
      <c r="AP482" s="69"/>
      <c r="AQ482" s="62"/>
      <c r="AR482" s="34"/>
    </row>
    <row r="483" spans="1:44" customFormat="1">
      <c r="A483" s="39">
        <v>44028</v>
      </c>
      <c r="B483" s="11" t="s">
        <v>24</v>
      </c>
      <c r="C483" s="16" t="s">
        <v>1573</v>
      </c>
      <c r="D483" s="16"/>
      <c r="E483" s="38">
        <v>27746</v>
      </c>
      <c r="F483" s="38"/>
      <c r="G483" s="10" t="s">
        <v>1574</v>
      </c>
      <c r="H483" s="12" t="s">
        <v>1575</v>
      </c>
      <c r="I483" s="13">
        <v>14.6</v>
      </c>
      <c r="J483" s="15" t="s">
        <v>1576</v>
      </c>
      <c r="K483" s="12"/>
      <c r="L483" s="11" t="s">
        <v>34</v>
      </c>
      <c r="M483" s="15"/>
      <c r="N483" s="17">
        <v>8800</v>
      </c>
      <c r="O483" s="17"/>
      <c r="P483" s="17"/>
      <c r="Q483" s="48"/>
      <c r="R483" s="11"/>
      <c r="S483" s="48"/>
      <c r="T483" s="85"/>
      <c r="U483" s="88"/>
      <c r="V483" s="32" t="s">
        <v>2006</v>
      </c>
      <c r="W483" s="25" t="s">
        <v>48</v>
      </c>
      <c r="X483" s="11"/>
      <c r="Y483" s="50" t="s">
        <v>13</v>
      </c>
      <c r="Z483" s="50"/>
      <c r="AA483" s="50"/>
      <c r="AB483" s="50"/>
      <c r="AC483" s="50"/>
      <c r="AD483" s="50"/>
      <c r="AE483" s="50"/>
      <c r="AF483" s="34"/>
      <c r="AG483" s="34"/>
      <c r="AH483" s="34"/>
      <c r="AI483" s="34"/>
      <c r="AJ483" s="34"/>
      <c r="AK483" s="34"/>
      <c r="AL483" s="34"/>
      <c r="AM483" s="34"/>
      <c r="AN483" s="34"/>
      <c r="AO483" s="65"/>
      <c r="AP483" s="69"/>
      <c r="AQ483" s="62"/>
      <c r="AR483" s="34"/>
    </row>
    <row r="484" spans="1:44" customFormat="1">
      <c r="A484" s="39">
        <v>44028</v>
      </c>
      <c r="B484" s="11" t="s">
        <v>49</v>
      </c>
      <c r="C484" s="16" t="s">
        <v>1998</v>
      </c>
      <c r="D484" s="16"/>
      <c r="E484" s="38">
        <v>33435</v>
      </c>
      <c r="F484" s="38"/>
      <c r="G484" s="10" t="s">
        <v>1999</v>
      </c>
      <c r="H484" s="12" t="s">
        <v>2000</v>
      </c>
      <c r="I484" s="13" t="s">
        <v>2001</v>
      </c>
      <c r="J484" s="15" t="s">
        <v>2002</v>
      </c>
      <c r="K484" s="12"/>
      <c r="L484" s="11" t="s">
        <v>36</v>
      </c>
      <c r="M484" s="15"/>
      <c r="N484" s="17">
        <v>16500</v>
      </c>
      <c r="O484" s="17"/>
      <c r="P484" s="17"/>
      <c r="Q484" s="48"/>
      <c r="R484" s="11"/>
      <c r="S484" s="48"/>
      <c r="T484" s="85"/>
      <c r="U484" s="88"/>
      <c r="V484" s="32"/>
      <c r="W484" s="25" t="s">
        <v>48</v>
      </c>
      <c r="X484" s="11"/>
      <c r="Y484" s="50" t="s">
        <v>13</v>
      </c>
      <c r="Z484" s="50"/>
      <c r="AA484" s="50"/>
      <c r="AB484" s="50"/>
      <c r="AC484" s="50"/>
      <c r="AD484" s="50"/>
      <c r="AE484" s="50"/>
      <c r="AF484" s="34"/>
      <c r="AG484" s="34"/>
      <c r="AH484" s="34"/>
      <c r="AI484" s="34"/>
      <c r="AJ484" s="34"/>
      <c r="AK484" s="34"/>
      <c r="AL484" s="34"/>
      <c r="AM484" s="34"/>
      <c r="AN484" s="34"/>
      <c r="AO484" s="65"/>
      <c r="AP484" s="69"/>
      <c r="AQ484" s="62"/>
      <c r="AR484" s="34"/>
    </row>
    <row r="485" spans="1:44" customFormat="1">
      <c r="A485" s="39">
        <v>44030</v>
      </c>
      <c r="B485" s="11" t="s">
        <v>22</v>
      </c>
      <c r="C485" s="16" t="s">
        <v>2003</v>
      </c>
      <c r="D485" s="16"/>
      <c r="E485" s="38">
        <v>38849</v>
      </c>
      <c r="F485" s="38"/>
      <c r="G485" s="10" t="s">
        <v>1413</v>
      </c>
      <c r="H485" s="12" t="s">
        <v>2004</v>
      </c>
      <c r="I485" s="13" t="s">
        <v>1693</v>
      </c>
      <c r="J485" s="15" t="s">
        <v>1416</v>
      </c>
      <c r="K485" s="12"/>
      <c r="L485" s="11" t="s">
        <v>38</v>
      </c>
      <c r="M485" s="15"/>
      <c r="N485" s="17">
        <v>2750</v>
      </c>
      <c r="O485" s="17"/>
      <c r="P485" s="17"/>
      <c r="Q485" s="48"/>
      <c r="R485" s="11"/>
      <c r="S485" s="48"/>
      <c r="T485" s="85"/>
      <c r="U485" s="88"/>
      <c r="V485" s="32" t="s">
        <v>2005</v>
      </c>
      <c r="W485" s="25" t="s">
        <v>8</v>
      </c>
      <c r="X485" s="11"/>
      <c r="Y485" s="50"/>
      <c r="Z485" s="50"/>
      <c r="AA485" s="50"/>
      <c r="AB485" s="50"/>
      <c r="AC485" s="50"/>
      <c r="AD485" s="50"/>
      <c r="AE485" s="50"/>
      <c r="AF485" s="34"/>
      <c r="AG485" s="34"/>
      <c r="AH485" s="34"/>
      <c r="AI485" s="34"/>
      <c r="AJ485" s="34"/>
      <c r="AK485" s="34"/>
      <c r="AL485" s="34"/>
      <c r="AM485" s="34"/>
      <c r="AN485" s="34"/>
      <c r="AO485" s="65"/>
      <c r="AP485" s="69"/>
      <c r="AQ485" s="62"/>
      <c r="AR485" s="34"/>
    </row>
    <row r="486" spans="1:44" customFormat="1">
      <c r="A486" s="39">
        <v>44030</v>
      </c>
      <c r="B486" s="11" t="s">
        <v>49</v>
      </c>
      <c r="C486" s="16" t="s">
        <v>2007</v>
      </c>
      <c r="D486" s="16"/>
      <c r="E486" s="38">
        <v>33717</v>
      </c>
      <c r="F486" s="38"/>
      <c r="G486" s="10" t="s">
        <v>339</v>
      </c>
      <c r="H486" s="12" t="s">
        <v>2008</v>
      </c>
      <c r="I486" s="13" t="s">
        <v>2009</v>
      </c>
      <c r="J486" s="15" t="s">
        <v>2011</v>
      </c>
      <c r="K486" s="14" t="s">
        <v>2010</v>
      </c>
      <c r="L486" s="11" t="s">
        <v>36</v>
      </c>
      <c r="M486" s="15"/>
      <c r="N486" s="17">
        <v>22000</v>
      </c>
      <c r="O486" s="17"/>
      <c r="P486" s="17"/>
      <c r="Q486" s="48"/>
      <c r="R486" s="11"/>
      <c r="S486" s="48"/>
      <c r="T486" s="85"/>
      <c r="U486" s="88"/>
      <c r="V486" s="32"/>
      <c r="W486" s="25" t="s">
        <v>48</v>
      </c>
      <c r="X486" s="11"/>
      <c r="Y486" s="50" t="s">
        <v>13</v>
      </c>
      <c r="Z486" s="50"/>
      <c r="AA486" s="50"/>
      <c r="AB486" s="50"/>
      <c r="AC486" s="50"/>
      <c r="AD486" s="50"/>
      <c r="AE486" s="50"/>
      <c r="AF486" s="34"/>
      <c r="AG486" s="34"/>
      <c r="AH486" s="34"/>
      <c r="AI486" s="34"/>
      <c r="AJ486" s="34"/>
      <c r="AK486" s="34"/>
      <c r="AL486" s="34"/>
      <c r="AM486" s="34"/>
      <c r="AN486" s="34"/>
      <c r="AO486" s="65"/>
      <c r="AP486" s="69"/>
      <c r="AQ486" s="62"/>
      <c r="AR486" s="34"/>
    </row>
    <row r="487" spans="1:44" customFormat="1">
      <c r="A487" s="39">
        <v>44031</v>
      </c>
      <c r="B487" s="11" t="s">
        <v>49</v>
      </c>
      <c r="C487" s="16" t="s">
        <v>2012</v>
      </c>
      <c r="D487" s="16"/>
      <c r="E487" s="38">
        <v>25118</v>
      </c>
      <c r="F487" s="38"/>
      <c r="G487" s="10" t="s">
        <v>2013</v>
      </c>
      <c r="H487" s="12" t="s">
        <v>2014</v>
      </c>
      <c r="I487" s="13" t="s">
        <v>2015</v>
      </c>
      <c r="J487" s="15" t="s">
        <v>2016</v>
      </c>
      <c r="K487" s="12"/>
      <c r="L487" s="11" t="s">
        <v>36</v>
      </c>
      <c r="M487" s="15"/>
      <c r="N487" s="17">
        <v>16500</v>
      </c>
      <c r="O487" s="17"/>
      <c r="P487" s="17"/>
      <c r="Q487" s="48"/>
      <c r="R487" s="11"/>
      <c r="S487" s="48"/>
      <c r="T487" s="85"/>
      <c r="U487" s="88"/>
      <c r="V487" s="32"/>
      <c r="W487" s="25" t="s">
        <v>48</v>
      </c>
      <c r="X487" s="11"/>
      <c r="Y487" s="50" t="s">
        <v>13</v>
      </c>
      <c r="Z487" s="50"/>
      <c r="AA487" s="50"/>
      <c r="AB487" s="50"/>
      <c r="AC487" s="50"/>
      <c r="AD487" s="50"/>
      <c r="AE487" s="50"/>
      <c r="AF487" s="34"/>
      <c r="AG487" s="34"/>
      <c r="AH487" s="34"/>
      <c r="AI487" s="34"/>
      <c r="AJ487" s="34"/>
      <c r="AK487" s="34"/>
      <c r="AL487" s="34"/>
      <c r="AM487" s="34"/>
      <c r="AN487" s="34"/>
      <c r="AO487" s="65"/>
      <c r="AP487" s="69"/>
      <c r="AQ487" s="62"/>
      <c r="AR487" s="34"/>
    </row>
    <row r="488" spans="1:44" customFormat="1">
      <c r="A488" s="39">
        <v>44031</v>
      </c>
      <c r="B488" s="11" t="s">
        <v>49</v>
      </c>
      <c r="C488" s="16" t="s">
        <v>2017</v>
      </c>
      <c r="D488" s="16"/>
      <c r="E488" s="38">
        <v>25505</v>
      </c>
      <c r="F488" s="38"/>
      <c r="G488" s="10" t="s">
        <v>2018</v>
      </c>
      <c r="H488" s="12" t="s">
        <v>2019</v>
      </c>
      <c r="I488" s="13" t="s">
        <v>2020</v>
      </c>
      <c r="J488" s="15" t="s">
        <v>2021</v>
      </c>
      <c r="K488" s="12"/>
      <c r="L488" s="11" t="s">
        <v>36</v>
      </c>
      <c r="M488" s="15"/>
      <c r="N488" s="17">
        <v>18700</v>
      </c>
      <c r="O488" s="17"/>
      <c r="P488" s="17"/>
      <c r="Q488" s="48"/>
      <c r="R488" s="11"/>
      <c r="S488" s="48"/>
      <c r="T488" s="85"/>
      <c r="U488" s="88"/>
      <c r="V488" s="32" t="s">
        <v>2022</v>
      </c>
      <c r="W488" s="25" t="s">
        <v>48</v>
      </c>
      <c r="X488" s="11"/>
      <c r="Y488" s="50" t="s">
        <v>14</v>
      </c>
      <c r="Z488" s="50"/>
      <c r="AA488" s="50"/>
      <c r="AB488" s="50"/>
      <c r="AC488" s="50"/>
      <c r="AD488" s="50"/>
      <c r="AE488" s="50"/>
      <c r="AF488" s="34"/>
      <c r="AG488" s="34"/>
      <c r="AH488" s="34"/>
      <c r="AI488" s="34"/>
      <c r="AJ488" s="34"/>
      <c r="AK488" s="34"/>
      <c r="AL488" s="34"/>
      <c r="AM488" s="34"/>
      <c r="AN488" s="34"/>
      <c r="AO488" s="65"/>
      <c r="AP488" s="69"/>
      <c r="AQ488" s="62"/>
      <c r="AR488" s="34"/>
    </row>
    <row r="489" spans="1:44" customFormat="1">
      <c r="A489" s="39">
        <v>44031</v>
      </c>
      <c r="B489" s="11" t="s">
        <v>49</v>
      </c>
      <c r="C489" s="16" t="s">
        <v>2023</v>
      </c>
      <c r="D489" s="16"/>
      <c r="E489" s="38">
        <v>25991</v>
      </c>
      <c r="F489" s="38"/>
      <c r="G489" s="10" t="s">
        <v>328</v>
      </c>
      <c r="H489" s="12" t="s">
        <v>2024</v>
      </c>
      <c r="I489" s="13" t="s">
        <v>2025</v>
      </c>
      <c r="J489" s="15" t="s">
        <v>2026</v>
      </c>
      <c r="K489" s="12"/>
      <c r="L489" s="11" t="s">
        <v>36</v>
      </c>
      <c r="M489" s="15"/>
      <c r="N489" s="17">
        <v>11000</v>
      </c>
      <c r="O489" s="17"/>
      <c r="P489" s="17"/>
      <c r="Q489" s="48"/>
      <c r="R489" s="11"/>
      <c r="S489" s="48"/>
      <c r="T489" s="85"/>
      <c r="U489" s="88"/>
      <c r="V489" s="32" t="s">
        <v>2027</v>
      </c>
      <c r="W489" s="25" t="s">
        <v>8</v>
      </c>
      <c r="X489" s="11"/>
      <c r="Y489" s="50" t="s">
        <v>13</v>
      </c>
      <c r="Z489" s="50"/>
      <c r="AA489" s="50"/>
      <c r="AB489" s="50"/>
      <c r="AC489" s="50"/>
      <c r="AD489" s="50"/>
      <c r="AE489" s="50"/>
      <c r="AF489" s="34"/>
      <c r="AG489" s="34"/>
      <c r="AH489" s="34"/>
      <c r="AI489" s="34"/>
      <c r="AJ489" s="34"/>
      <c r="AK489" s="34"/>
      <c r="AL489" s="34"/>
      <c r="AM489" s="34"/>
      <c r="AN489" s="34"/>
      <c r="AO489" s="65"/>
      <c r="AP489" s="69"/>
      <c r="AQ489" s="62"/>
      <c r="AR489" s="34"/>
    </row>
    <row r="490" spans="1:44" customFormat="1">
      <c r="A490" s="39">
        <v>44032</v>
      </c>
      <c r="B490" s="11" t="s">
        <v>49</v>
      </c>
      <c r="C490" s="16" t="s">
        <v>2028</v>
      </c>
      <c r="D490" s="16"/>
      <c r="E490" s="38">
        <v>32159</v>
      </c>
      <c r="F490" s="38"/>
      <c r="G490" s="10" t="s">
        <v>2029</v>
      </c>
      <c r="H490" s="12" t="s">
        <v>2030</v>
      </c>
      <c r="I490" s="13" t="s">
        <v>1633</v>
      </c>
      <c r="J490" s="15" t="s">
        <v>2031</v>
      </c>
      <c r="K490" s="14" t="s">
        <v>2032</v>
      </c>
      <c r="L490" s="11" t="s">
        <v>33</v>
      </c>
      <c r="M490" s="15"/>
      <c r="N490" s="17">
        <v>16500</v>
      </c>
      <c r="O490" s="17"/>
      <c r="P490" s="17"/>
      <c r="Q490" s="48"/>
      <c r="R490" s="11"/>
      <c r="S490" s="48"/>
      <c r="T490" s="85"/>
      <c r="U490" s="88"/>
      <c r="V490" s="32"/>
      <c r="W490" s="25" t="s">
        <v>9</v>
      </c>
      <c r="X490" s="11"/>
      <c r="Y490" s="50" t="s">
        <v>13</v>
      </c>
      <c r="Z490" s="50"/>
      <c r="AA490" s="50"/>
      <c r="AB490" s="50"/>
      <c r="AC490" s="50"/>
      <c r="AD490" s="50"/>
      <c r="AE490" s="50"/>
      <c r="AF490" s="34"/>
      <c r="AG490" s="34"/>
      <c r="AH490" s="34"/>
      <c r="AI490" s="34"/>
      <c r="AJ490" s="34"/>
      <c r="AK490" s="34"/>
      <c r="AL490" s="34"/>
      <c r="AM490" s="34"/>
      <c r="AN490" s="34"/>
      <c r="AO490" s="65"/>
      <c r="AP490" s="69"/>
      <c r="AQ490" s="62"/>
      <c r="AR490" s="34"/>
    </row>
    <row r="491" spans="1:44" customFormat="1">
      <c r="A491" s="39">
        <v>44032</v>
      </c>
      <c r="B491" s="11" t="s">
        <v>22</v>
      </c>
      <c r="C491" s="16" t="s">
        <v>2033</v>
      </c>
      <c r="D491" s="16"/>
      <c r="E491" s="38">
        <v>28020</v>
      </c>
      <c r="F491" s="38"/>
      <c r="G491" s="10" t="s">
        <v>2034</v>
      </c>
      <c r="H491" s="12" t="s">
        <v>2035</v>
      </c>
      <c r="I491" s="13" t="s">
        <v>1617</v>
      </c>
      <c r="J491" s="15" t="s">
        <v>2036</v>
      </c>
      <c r="K491" s="12"/>
      <c r="L491" s="11" t="s">
        <v>36</v>
      </c>
      <c r="M491" s="15"/>
      <c r="N491" s="17">
        <v>2750</v>
      </c>
      <c r="O491" s="17"/>
      <c r="P491" s="17"/>
      <c r="Q491" s="48"/>
      <c r="R491" s="11"/>
      <c r="S491" s="48"/>
      <c r="T491" s="85"/>
      <c r="U491" s="88"/>
      <c r="V491" s="32" t="s">
        <v>1744</v>
      </c>
      <c r="W491" s="25" t="s">
        <v>48</v>
      </c>
      <c r="X491" s="11"/>
      <c r="Y491" s="50" t="s">
        <v>11</v>
      </c>
      <c r="Z491" s="50"/>
      <c r="AA491" s="50"/>
      <c r="AB491" s="50"/>
      <c r="AC491" s="50"/>
      <c r="AD491" s="50"/>
      <c r="AE491" s="50"/>
      <c r="AF491" s="34"/>
      <c r="AG491" s="34"/>
      <c r="AH491" s="34"/>
      <c r="AI491" s="34"/>
      <c r="AJ491" s="34"/>
      <c r="AK491" s="34"/>
      <c r="AL491" s="34"/>
      <c r="AM491" s="34"/>
      <c r="AN491" s="34"/>
      <c r="AO491" s="65"/>
      <c r="AP491" s="69"/>
      <c r="AQ491" s="62"/>
      <c r="AR491" s="34"/>
    </row>
    <row r="492" spans="1:44" customFormat="1">
      <c r="A492" s="39">
        <v>44032</v>
      </c>
      <c r="B492" s="11" t="s">
        <v>49</v>
      </c>
      <c r="C492" s="16" t="s">
        <v>2037</v>
      </c>
      <c r="D492" s="16"/>
      <c r="E492" s="38">
        <v>15045</v>
      </c>
      <c r="F492" s="38"/>
      <c r="G492" s="10" t="s">
        <v>2039</v>
      </c>
      <c r="H492" s="12" t="s">
        <v>2038</v>
      </c>
      <c r="I492" s="13" t="s">
        <v>2040</v>
      </c>
      <c r="J492" s="15" t="s">
        <v>2041</v>
      </c>
      <c r="K492" s="12"/>
      <c r="L492" s="11" t="s">
        <v>39</v>
      </c>
      <c r="M492" s="15"/>
      <c r="N492" s="17">
        <v>16500</v>
      </c>
      <c r="O492" s="17"/>
      <c r="P492" s="17"/>
      <c r="Q492" s="48"/>
      <c r="R492" s="11"/>
      <c r="S492" s="48"/>
      <c r="T492" s="85"/>
      <c r="U492" s="88"/>
      <c r="V492" s="32"/>
      <c r="W492" s="25" t="s">
        <v>48</v>
      </c>
      <c r="X492" s="11"/>
      <c r="Y492" s="50" t="s">
        <v>12</v>
      </c>
      <c r="Z492" s="50"/>
      <c r="AA492" s="50"/>
      <c r="AB492" s="50"/>
      <c r="AC492" s="50"/>
      <c r="AD492" s="50"/>
      <c r="AE492" s="50"/>
      <c r="AF492" s="34"/>
      <c r="AG492" s="34"/>
      <c r="AH492" s="34"/>
      <c r="AI492" s="34"/>
      <c r="AJ492" s="34"/>
      <c r="AK492" s="34"/>
      <c r="AL492" s="34"/>
      <c r="AM492" s="34"/>
      <c r="AN492" s="34"/>
      <c r="AO492" s="65"/>
      <c r="AP492" s="69"/>
      <c r="AQ492" s="62"/>
      <c r="AR492" s="34"/>
    </row>
    <row r="493" spans="1:44" customFormat="1">
      <c r="A493" s="39">
        <v>44032</v>
      </c>
      <c r="B493" s="11" t="s">
        <v>49</v>
      </c>
      <c r="C493" s="16" t="s">
        <v>2046</v>
      </c>
      <c r="D493" s="16"/>
      <c r="E493" s="38">
        <v>24426</v>
      </c>
      <c r="F493" s="38"/>
      <c r="G493" s="10" t="s">
        <v>2039</v>
      </c>
      <c r="H493" s="12" t="s">
        <v>2042</v>
      </c>
      <c r="I493" s="13" t="s">
        <v>2043</v>
      </c>
      <c r="J493" s="15" t="s">
        <v>2044</v>
      </c>
      <c r="K493" s="14" t="s">
        <v>2045</v>
      </c>
      <c r="L493" s="11" t="s">
        <v>39</v>
      </c>
      <c r="M493" s="15"/>
      <c r="N493" s="17">
        <v>16500</v>
      </c>
      <c r="O493" s="17"/>
      <c r="P493" s="17"/>
      <c r="Q493" s="48"/>
      <c r="R493" s="11"/>
      <c r="S493" s="48"/>
      <c r="T493" s="85"/>
      <c r="U493" s="88"/>
      <c r="V493" s="32"/>
      <c r="W493" s="25" t="s">
        <v>48</v>
      </c>
      <c r="X493" s="11"/>
      <c r="Y493" s="50" t="s">
        <v>13</v>
      </c>
      <c r="Z493" s="50"/>
      <c r="AA493" s="50"/>
      <c r="AB493" s="50"/>
      <c r="AC493" s="50"/>
      <c r="AD493" s="50"/>
      <c r="AE493" s="50"/>
      <c r="AF493" s="34"/>
      <c r="AG493" s="34"/>
      <c r="AH493" s="34"/>
      <c r="AI493" s="34"/>
      <c r="AJ493" s="34"/>
      <c r="AK493" s="34"/>
      <c r="AL493" s="34"/>
      <c r="AM493" s="34"/>
      <c r="AN493" s="34"/>
      <c r="AO493" s="65"/>
      <c r="AP493" s="69"/>
      <c r="AQ493" s="62"/>
      <c r="AR493" s="34"/>
    </row>
    <row r="494" spans="1:44" customFormat="1">
      <c r="A494" s="39">
        <v>44034</v>
      </c>
      <c r="B494" s="11" t="s">
        <v>49</v>
      </c>
      <c r="C494" s="16" t="s">
        <v>2049</v>
      </c>
      <c r="D494" s="16"/>
      <c r="E494" s="38">
        <v>24035</v>
      </c>
      <c r="F494" s="38"/>
      <c r="G494" s="10" t="s">
        <v>2050</v>
      </c>
      <c r="H494" s="12" t="s">
        <v>2051</v>
      </c>
      <c r="I494" s="13" t="s">
        <v>2052</v>
      </c>
      <c r="J494" s="15" t="s">
        <v>2054</v>
      </c>
      <c r="K494" s="14" t="s">
        <v>2053</v>
      </c>
      <c r="L494" s="11" t="s">
        <v>33</v>
      </c>
      <c r="M494" s="15"/>
      <c r="N494" s="17">
        <v>22000</v>
      </c>
      <c r="O494" s="17"/>
      <c r="P494" s="17"/>
      <c r="Q494" s="48"/>
      <c r="R494" s="11"/>
      <c r="S494" s="48"/>
      <c r="T494" s="85"/>
      <c r="U494" s="88"/>
      <c r="V494" s="32"/>
      <c r="W494" s="25" t="s">
        <v>48</v>
      </c>
      <c r="X494" s="11"/>
      <c r="Y494" s="50" t="s">
        <v>12</v>
      </c>
      <c r="Z494" s="50"/>
      <c r="AA494" s="50"/>
      <c r="AB494" s="50"/>
      <c r="AC494" s="50"/>
      <c r="AD494" s="50"/>
      <c r="AE494" s="50"/>
      <c r="AF494" s="34"/>
      <c r="AG494" s="34"/>
      <c r="AH494" s="34"/>
      <c r="AI494" s="34"/>
      <c r="AJ494" s="34"/>
      <c r="AK494" s="34"/>
      <c r="AL494" s="34"/>
      <c r="AM494" s="34"/>
      <c r="AN494" s="34"/>
      <c r="AO494" s="65"/>
      <c r="AP494" s="69"/>
      <c r="AQ494" s="62"/>
      <c r="AR494" s="34"/>
    </row>
    <row r="495" spans="1:44" customFormat="1">
      <c r="A495" s="39">
        <v>44034</v>
      </c>
      <c r="B495" s="11" t="s">
        <v>22</v>
      </c>
      <c r="C495" s="16" t="s">
        <v>2055</v>
      </c>
      <c r="D495" s="16"/>
      <c r="E495" s="38">
        <v>21617</v>
      </c>
      <c r="F495" s="38"/>
      <c r="G495" s="10" t="s">
        <v>293</v>
      </c>
      <c r="H495" s="12" t="s">
        <v>2047</v>
      </c>
      <c r="I495" s="13" t="s">
        <v>1787</v>
      </c>
      <c r="J495" s="15" t="s">
        <v>2048</v>
      </c>
      <c r="K495" s="12"/>
      <c r="L495" s="11"/>
      <c r="M495" s="15"/>
      <c r="N495" s="17">
        <v>2750</v>
      </c>
      <c r="O495" s="17"/>
      <c r="P495" s="17"/>
      <c r="Q495" s="48"/>
      <c r="R495" s="11"/>
      <c r="S495" s="48"/>
      <c r="T495" s="85" t="s">
        <v>81</v>
      </c>
      <c r="U495" s="88"/>
      <c r="V495" s="32" t="s">
        <v>1744</v>
      </c>
      <c r="W495" s="25" t="s">
        <v>48</v>
      </c>
      <c r="X495" s="11"/>
      <c r="Y495" s="50" t="s">
        <v>11</v>
      </c>
      <c r="Z495" s="50"/>
      <c r="AA495" s="50"/>
      <c r="AB495" s="50"/>
      <c r="AC495" s="50"/>
      <c r="AD495" s="50"/>
      <c r="AE495" s="50"/>
      <c r="AF495" s="34"/>
      <c r="AG495" s="34"/>
      <c r="AH495" s="34"/>
      <c r="AI495" s="34"/>
      <c r="AJ495" s="34"/>
      <c r="AK495" s="34"/>
      <c r="AL495" s="34"/>
      <c r="AM495" s="34"/>
      <c r="AN495" s="34"/>
      <c r="AO495" s="65"/>
      <c r="AP495" s="69"/>
      <c r="AQ495" s="62" t="s">
        <v>81</v>
      </c>
      <c r="AR495" s="34"/>
    </row>
    <row r="496" spans="1:44" customFormat="1">
      <c r="A496" s="39">
        <v>44035</v>
      </c>
      <c r="B496" s="11" t="s">
        <v>49</v>
      </c>
      <c r="C496" s="16" t="s">
        <v>2067</v>
      </c>
      <c r="D496" s="16"/>
      <c r="E496" s="38">
        <v>22763</v>
      </c>
      <c r="F496" s="38"/>
      <c r="G496" s="10" t="s">
        <v>2056</v>
      </c>
      <c r="H496" s="12" t="s">
        <v>2057</v>
      </c>
      <c r="I496" s="13" t="s">
        <v>2058</v>
      </c>
      <c r="J496" s="15" t="s">
        <v>2060</v>
      </c>
      <c r="K496" s="14" t="s">
        <v>2059</v>
      </c>
      <c r="L496" s="11" t="s">
        <v>36</v>
      </c>
      <c r="M496" s="15"/>
      <c r="N496" s="17">
        <v>16500</v>
      </c>
      <c r="O496" s="17"/>
      <c r="P496" s="17"/>
      <c r="Q496" s="48"/>
      <c r="R496" s="11"/>
      <c r="S496" s="48"/>
      <c r="T496" s="85"/>
      <c r="U496" s="88"/>
      <c r="V496" s="32" t="s">
        <v>23</v>
      </c>
      <c r="W496" s="25" t="s">
        <v>48</v>
      </c>
      <c r="X496" s="11"/>
      <c r="Y496" s="50" t="s">
        <v>12</v>
      </c>
      <c r="Z496" s="50"/>
      <c r="AA496" s="50"/>
      <c r="AB496" s="50"/>
      <c r="AC496" s="50"/>
      <c r="AD496" s="50"/>
      <c r="AE496" s="50"/>
      <c r="AF496" s="34"/>
      <c r="AG496" s="34"/>
      <c r="AH496" s="34"/>
      <c r="AI496" s="34"/>
      <c r="AJ496" s="34"/>
      <c r="AK496" s="34"/>
      <c r="AL496" s="34"/>
      <c r="AM496" s="34"/>
      <c r="AN496" s="34"/>
      <c r="AO496" s="65"/>
      <c r="AP496" s="69"/>
      <c r="AQ496" s="62"/>
      <c r="AR496" s="34"/>
    </row>
    <row r="497" spans="1:44" customFormat="1">
      <c r="A497" s="39">
        <v>44035</v>
      </c>
      <c r="B497" s="11" t="s">
        <v>49</v>
      </c>
      <c r="C497" s="16" t="s">
        <v>2061</v>
      </c>
      <c r="D497" s="16"/>
      <c r="E497" s="38">
        <v>25904</v>
      </c>
      <c r="F497" s="38"/>
      <c r="G497" s="10" t="s">
        <v>2062</v>
      </c>
      <c r="H497" s="12" t="s">
        <v>2063</v>
      </c>
      <c r="I497" s="13" t="s">
        <v>2064</v>
      </c>
      <c r="J497" s="15" t="s">
        <v>2066</v>
      </c>
      <c r="K497" s="14" t="s">
        <v>2065</v>
      </c>
      <c r="L497" s="11" t="s">
        <v>36</v>
      </c>
      <c r="M497" s="15"/>
      <c r="N497" s="17">
        <v>16500</v>
      </c>
      <c r="O497" s="17"/>
      <c r="P497" s="17"/>
      <c r="Q497" s="48"/>
      <c r="R497" s="11"/>
      <c r="S497" s="48"/>
      <c r="T497" s="85"/>
      <c r="U497" s="88"/>
      <c r="V497" s="32"/>
      <c r="W497" s="25" t="s">
        <v>48</v>
      </c>
      <c r="X497" s="11"/>
      <c r="Y497" s="50" t="s">
        <v>13</v>
      </c>
      <c r="Z497" s="50"/>
      <c r="AA497" s="50"/>
      <c r="AB497" s="50"/>
      <c r="AC497" s="50"/>
      <c r="AD497" s="50"/>
      <c r="AE497" s="50"/>
      <c r="AF497" s="34"/>
      <c r="AG497" s="34"/>
      <c r="AH497" s="34"/>
      <c r="AI497" s="34"/>
      <c r="AJ497" s="34"/>
      <c r="AK497" s="34"/>
      <c r="AL497" s="34"/>
      <c r="AM497" s="34"/>
      <c r="AN497" s="34"/>
      <c r="AO497" s="65"/>
      <c r="AP497" s="69"/>
      <c r="AQ497" s="62"/>
      <c r="AR497" s="34"/>
    </row>
    <row r="498" spans="1:44" customFormat="1">
      <c r="A498" s="39">
        <v>44035</v>
      </c>
      <c r="B498" s="11" t="s">
        <v>49</v>
      </c>
      <c r="C498" s="16" t="s">
        <v>2068</v>
      </c>
      <c r="D498" s="16"/>
      <c r="E498" s="38">
        <v>24003</v>
      </c>
      <c r="F498" s="38"/>
      <c r="G498" s="10" t="s">
        <v>102</v>
      </c>
      <c r="H498" s="12" t="s">
        <v>103</v>
      </c>
      <c r="I498" s="13" t="s">
        <v>1630</v>
      </c>
      <c r="J498" s="15" t="s">
        <v>817</v>
      </c>
      <c r="K498" s="12"/>
      <c r="L498" s="11" t="s">
        <v>37</v>
      </c>
      <c r="M498" s="15"/>
      <c r="N498" s="17">
        <v>5500</v>
      </c>
      <c r="O498" s="17"/>
      <c r="P498" s="17"/>
      <c r="Q498" s="48"/>
      <c r="R498" s="11"/>
      <c r="S498" s="48"/>
      <c r="T498" s="85"/>
      <c r="U498" s="88"/>
      <c r="V498" s="32"/>
      <c r="W498" s="25" t="s">
        <v>8</v>
      </c>
      <c r="X498" s="11"/>
      <c r="Y498" s="50"/>
      <c r="Z498" s="50"/>
      <c r="AA498" s="50"/>
      <c r="AB498" s="50"/>
      <c r="AC498" s="50"/>
      <c r="AD498" s="50"/>
      <c r="AE498" s="50"/>
      <c r="AF498" s="34"/>
      <c r="AG498" s="34"/>
      <c r="AH498" s="34"/>
      <c r="AI498" s="34"/>
      <c r="AJ498" s="34"/>
      <c r="AK498" s="34"/>
      <c r="AL498" s="34"/>
      <c r="AM498" s="34"/>
      <c r="AN498" s="34"/>
      <c r="AO498" s="65"/>
      <c r="AP498" s="69"/>
      <c r="AQ498" s="62"/>
      <c r="AR498" s="34"/>
    </row>
    <row r="499" spans="1:44" customFormat="1">
      <c r="A499" s="39">
        <v>44037</v>
      </c>
      <c r="B499" s="11" t="s">
        <v>5659</v>
      </c>
      <c r="C499" s="16" t="s">
        <v>296</v>
      </c>
      <c r="D499" s="16"/>
      <c r="E499" s="38"/>
      <c r="F499" s="38"/>
      <c r="G499" s="10"/>
      <c r="H499" s="12"/>
      <c r="I499" s="13"/>
      <c r="J499" s="15"/>
      <c r="K499" s="12"/>
      <c r="L499" s="11"/>
      <c r="M499" s="15"/>
      <c r="N499" s="17">
        <v>5500</v>
      </c>
      <c r="O499" s="17"/>
      <c r="P499" s="17"/>
      <c r="Q499" s="48"/>
      <c r="R499" s="11"/>
      <c r="S499" s="48"/>
      <c r="T499" s="85"/>
      <c r="U499" s="88"/>
      <c r="V499" s="32" t="s">
        <v>1605</v>
      </c>
      <c r="W499" s="25"/>
      <c r="X499" s="11"/>
      <c r="Y499" s="50"/>
      <c r="Z499" s="50"/>
      <c r="AA499" s="50"/>
      <c r="AB499" s="50"/>
      <c r="AC499" s="50"/>
      <c r="AD499" s="50"/>
      <c r="AE499" s="50"/>
      <c r="AF499" s="34"/>
      <c r="AG499" s="34"/>
      <c r="AH499" s="34"/>
      <c r="AI499" s="34"/>
      <c r="AJ499" s="34"/>
      <c r="AK499" s="34"/>
      <c r="AL499" s="34"/>
      <c r="AM499" s="34"/>
      <c r="AN499" s="34"/>
      <c r="AO499" s="65"/>
      <c r="AP499" s="69"/>
      <c r="AQ499" s="62"/>
      <c r="AR499" s="34"/>
    </row>
    <row r="500" spans="1:44" customFormat="1">
      <c r="A500" s="39">
        <v>44037</v>
      </c>
      <c r="B500" s="11" t="s">
        <v>49</v>
      </c>
      <c r="C500" s="16" t="s">
        <v>2073</v>
      </c>
      <c r="D500" s="16"/>
      <c r="E500" s="38">
        <v>25880</v>
      </c>
      <c r="F500" s="38"/>
      <c r="G500" s="10" t="s">
        <v>610</v>
      </c>
      <c r="H500" s="12" t="s">
        <v>2074</v>
      </c>
      <c r="I500" s="13" t="s">
        <v>1735</v>
      </c>
      <c r="J500" s="15" t="s">
        <v>2076</v>
      </c>
      <c r="K500" s="14" t="s">
        <v>2075</v>
      </c>
      <c r="L500" s="11" t="s">
        <v>33</v>
      </c>
      <c r="M500" s="15"/>
      <c r="N500" s="17">
        <v>16500</v>
      </c>
      <c r="O500" s="17"/>
      <c r="P500" s="17"/>
      <c r="Q500" s="48"/>
      <c r="R500" s="11"/>
      <c r="S500" s="48"/>
      <c r="T500" s="85"/>
      <c r="U500" s="88"/>
      <c r="V500" s="32"/>
      <c r="W500" s="25" t="s">
        <v>48</v>
      </c>
      <c r="X500" s="11"/>
      <c r="Y500" s="50" t="s">
        <v>13</v>
      </c>
      <c r="Z500" s="50"/>
      <c r="AA500" s="50"/>
      <c r="AB500" s="50"/>
      <c r="AC500" s="50"/>
      <c r="AD500" s="50"/>
      <c r="AE500" s="50"/>
      <c r="AF500" s="34"/>
      <c r="AG500" s="34"/>
      <c r="AH500" s="34"/>
      <c r="AI500" s="34"/>
      <c r="AJ500" s="34"/>
      <c r="AK500" s="34"/>
      <c r="AL500" s="34"/>
      <c r="AM500" s="34"/>
      <c r="AN500" s="34"/>
      <c r="AO500" s="65"/>
      <c r="AP500" s="69"/>
      <c r="AQ500" s="62"/>
      <c r="AR500" s="34"/>
    </row>
    <row r="501" spans="1:44" customFormat="1">
      <c r="A501" s="39">
        <v>44038</v>
      </c>
      <c r="B501" s="11" t="s">
        <v>49</v>
      </c>
      <c r="C501" s="16" t="s">
        <v>2078</v>
      </c>
      <c r="D501" s="16"/>
      <c r="E501" s="38">
        <v>29144</v>
      </c>
      <c r="F501" s="38"/>
      <c r="G501" s="10" t="s">
        <v>2079</v>
      </c>
      <c r="H501" s="12" t="s">
        <v>2080</v>
      </c>
      <c r="I501" s="13">
        <v>10</v>
      </c>
      <c r="J501" s="15" t="s">
        <v>2082</v>
      </c>
      <c r="K501" s="14" t="s">
        <v>2081</v>
      </c>
      <c r="L501" s="11" t="s">
        <v>33</v>
      </c>
      <c r="M501" s="15"/>
      <c r="N501" s="17">
        <v>16500</v>
      </c>
      <c r="O501" s="17"/>
      <c r="P501" s="17"/>
      <c r="Q501" s="48"/>
      <c r="R501" s="11"/>
      <c r="S501" s="48"/>
      <c r="T501" s="85"/>
      <c r="U501" s="88"/>
      <c r="V501" s="32"/>
      <c r="W501" s="25" t="s">
        <v>8</v>
      </c>
      <c r="X501" s="11"/>
      <c r="Y501" s="50" t="s">
        <v>13</v>
      </c>
      <c r="Z501" s="50"/>
      <c r="AA501" s="50"/>
      <c r="AB501" s="50"/>
      <c r="AC501" s="50"/>
      <c r="AD501" s="50"/>
      <c r="AE501" s="50"/>
      <c r="AF501" s="34"/>
      <c r="AG501" s="34"/>
      <c r="AH501" s="34"/>
      <c r="AI501" s="34"/>
      <c r="AJ501" s="34"/>
      <c r="AK501" s="34"/>
      <c r="AL501" s="34"/>
      <c r="AM501" s="34"/>
      <c r="AN501" s="34"/>
      <c r="AO501" s="65"/>
      <c r="AP501" s="69"/>
      <c r="AQ501" s="62"/>
      <c r="AR501" s="34"/>
    </row>
    <row r="502" spans="1:44" customFormat="1">
      <c r="A502" s="39">
        <v>44039</v>
      </c>
      <c r="B502" s="11" t="s">
        <v>22</v>
      </c>
      <c r="C502" s="16" t="s">
        <v>2083</v>
      </c>
      <c r="D502" s="16"/>
      <c r="E502" s="38">
        <v>26756</v>
      </c>
      <c r="F502" s="38"/>
      <c r="G502" s="10" t="s">
        <v>650</v>
      </c>
      <c r="H502" s="12" t="s">
        <v>2084</v>
      </c>
      <c r="I502" s="13" t="s">
        <v>1675</v>
      </c>
      <c r="J502" s="15" t="s">
        <v>2085</v>
      </c>
      <c r="K502" s="12"/>
      <c r="L502" s="11" t="s">
        <v>36</v>
      </c>
      <c r="M502" s="15"/>
      <c r="N502" s="17">
        <v>2750</v>
      </c>
      <c r="O502" s="17"/>
      <c r="P502" s="17"/>
      <c r="Q502" s="48"/>
      <c r="R502" s="11"/>
      <c r="S502" s="48"/>
      <c r="T502" s="85" t="s">
        <v>81</v>
      </c>
      <c r="U502" s="88"/>
      <c r="V502" s="32" t="s">
        <v>2086</v>
      </c>
      <c r="W502" s="25" t="s">
        <v>10</v>
      </c>
      <c r="X502" s="11"/>
      <c r="Y502" s="50" t="s">
        <v>14</v>
      </c>
      <c r="Z502" s="50"/>
      <c r="AA502" s="50"/>
      <c r="AB502" s="50"/>
      <c r="AC502" s="50"/>
      <c r="AD502" s="50"/>
      <c r="AE502" s="50"/>
      <c r="AF502" s="34"/>
      <c r="AG502" s="34"/>
      <c r="AH502" s="34"/>
      <c r="AI502" s="34"/>
      <c r="AJ502" s="34"/>
      <c r="AK502" s="34"/>
      <c r="AL502" s="34"/>
      <c r="AM502" s="34"/>
      <c r="AN502" s="34"/>
      <c r="AO502" s="65"/>
      <c r="AP502" s="69"/>
      <c r="AQ502" s="62"/>
      <c r="AR502" s="34"/>
    </row>
    <row r="503" spans="1:44" customFormat="1">
      <c r="A503" s="39">
        <v>44042</v>
      </c>
      <c r="B503" s="11" t="s">
        <v>49</v>
      </c>
      <c r="C503" s="16" t="s">
        <v>2087</v>
      </c>
      <c r="D503" s="16"/>
      <c r="E503" s="38">
        <v>24858</v>
      </c>
      <c r="F503" s="38"/>
      <c r="G503" s="10" t="s">
        <v>2088</v>
      </c>
      <c r="H503" s="12" t="s">
        <v>2089</v>
      </c>
      <c r="I503" s="13" t="s">
        <v>2090</v>
      </c>
      <c r="J503" s="15" t="s">
        <v>2092</v>
      </c>
      <c r="K503" s="14" t="s">
        <v>2091</v>
      </c>
      <c r="L503" s="11" t="s">
        <v>36</v>
      </c>
      <c r="M503" s="15"/>
      <c r="N503" s="17">
        <v>8250</v>
      </c>
      <c r="O503" s="17"/>
      <c r="P503" s="17"/>
      <c r="Q503" s="48"/>
      <c r="R503" s="11"/>
      <c r="S503" s="48"/>
      <c r="T503" s="85"/>
      <c r="U503" s="88"/>
      <c r="V503" s="32"/>
      <c r="W503" s="25" t="s">
        <v>10</v>
      </c>
      <c r="X503" s="11"/>
      <c r="Y503" s="50" t="s">
        <v>13</v>
      </c>
      <c r="Z503" s="50"/>
      <c r="AA503" s="50"/>
      <c r="AB503" s="50"/>
      <c r="AC503" s="50"/>
      <c r="AD503" s="50"/>
      <c r="AE503" s="50"/>
      <c r="AF503" s="34"/>
      <c r="AG503" s="34"/>
      <c r="AH503" s="34"/>
      <c r="AI503" s="34"/>
      <c r="AJ503" s="34"/>
      <c r="AK503" s="34"/>
      <c r="AL503" s="34"/>
      <c r="AM503" s="34"/>
      <c r="AN503" s="34"/>
      <c r="AO503" s="65"/>
      <c r="AP503" s="69"/>
      <c r="AQ503" s="62" t="s">
        <v>81</v>
      </c>
      <c r="AR503" s="34"/>
    </row>
    <row r="504" spans="1:44" customFormat="1">
      <c r="A504" s="39">
        <v>44042</v>
      </c>
      <c r="B504" s="11" t="s">
        <v>49</v>
      </c>
      <c r="C504" s="16" t="s">
        <v>1499</v>
      </c>
      <c r="D504" s="16"/>
      <c r="E504" s="38">
        <v>25929</v>
      </c>
      <c r="F504" s="38"/>
      <c r="G504" s="10" t="s">
        <v>1500</v>
      </c>
      <c r="H504" s="12" t="s">
        <v>1501</v>
      </c>
      <c r="I504" s="13">
        <v>22.5</v>
      </c>
      <c r="J504" s="15" t="s">
        <v>1503</v>
      </c>
      <c r="K504" s="14" t="s">
        <v>1502</v>
      </c>
      <c r="L504" s="11" t="s">
        <v>33</v>
      </c>
      <c r="M504" s="15"/>
      <c r="N504" s="17">
        <v>19800</v>
      </c>
      <c r="O504" s="17"/>
      <c r="P504" s="17"/>
      <c r="Q504" s="48"/>
      <c r="R504" s="11"/>
      <c r="S504" s="48"/>
      <c r="T504" s="85"/>
      <c r="U504" s="88"/>
      <c r="V504" s="32" t="s">
        <v>2093</v>
      </c>
      <c r="W504" s="25" t="s">
        <v>8</v>
      </c>
      <c r="X504" s="11"/>
      <c r="Y504" s="50" t="s">
        <v>13</v>
      </c>
      <c r="Z504" s="50"/>
      <c r="AA504" s="50"/>
      <c r="AB504" s="50"/>
      <c r="AC504" s="50"/>
      <c r="AD504" s="50"/>
      <c r="AE504" s="50"/>
      <c r="AF504" s="34"/>
      <c r="AG504" s="34"/>
      <c r="AH504" s="34"/>
      <c r="AI504" s="34"/>
      <c r="AJ504" s="34"/>
      <c r="AK504" s="34"/>
      <c r="AL504" s="34"/>
      <c r="AM504" s="34"/>
      <c r="AN504" s="34"/>
      <c r="AO504" s="65"/>
      <c r="AP504" s="69"/>
      <c r="AQ504" s="62"/>
      <c r="AR504" s="34"/>
    </row>
    <row r="505" spans="1:44" customFormat="1">
      <c r="A505" s="39">
        <v>44042</v>
      </c>
      <c r="B505" s="11" t="s">
        <v>22</v>
      </c>
      <c r="C505" s="16" t="s">
        <v>2094</v>
      </c>
      <c r="D505" s="16"/>
      <c r="E505" s="38">
        <v>28200</v>
      </c>
      <c r="F505" s="38"/>
      <c r="G505" s="10" t="s">
        <v>2095</v>
      </c>
      <c r="H505" s="12" t="s">
        <v>2096</v>
      </c>
      <c r="I505" s="13" t="s">
        <v>2098</v>
      </c>
      <c r="J505" s="15" t="s">
        <v>2097</v>
      </c>
      <c r="K505" s="12"/>
      <c r="L505" s="11" t="s">
        <v>33</v>
      </c>
      <c r="M505" s="15"/>
      <c r="N505" s="17">
        <v>2750</v>
      </c>
      <c r="O505" s="17"/>
      <c r="P505" s="17"/>
      <c r="Q505" s="48"/>
      <c r="R505" s="11"/>
      <c r="S505" s="48"/>
      <c r="T505" s="85"/>
      <c r="U505" s="88"/>
      <c r="V505" s="32" t="s">
        <v>1744</v>
      </c>
      <c r="W505" s="25"/>
      <c r="X505" s="11"/>
      <c r="Y505" s="50"/>
      <c r="Z505" s="50"/>
      <c r="AA505" s="50"/>
      <c r="AB505" s="50"/>
      <c r="AC505" s="50"/>
      <c r="AD505" s="50"/>
      <c r="AE505" s="50"/>
      <c r="AF505" s="34"/>
      <c r="AG505" s="34"/>
      <c r="AH505" s="34"/>
      <c r="AI505" s="34"/>
      <c r="AJ505" s="34"/>
      <c r="AK505" s="34"/>
      <c r="AL505" s="34"/>
      <c r="AM505" s="34"/>
      <c r="AN505" s="34"/>
      <c r="AO505" s="65"/>
      <c r="AP505" s="69"/>
      <c r="AQ505" s="62"/>
      <c r="AR505" s="34"/>
    </row>
    <row r="506" spans="1:44" customFormat="1">
      <c r="A506" s="39">
        <v>44043</v>
      </c>
      <c r="B506" s="11" t="s">
        <v>22</v>
      </c>
      <c r="C506" s="16" t="s">
        <v>2099</v>
      </c>
      <c r="D506" s="16"/>
      <c r="E506" s="38">
        <v>27547</v>
      </c>
      <c r="F506" s="38"/>
      <c r="G506" s="10" t="s">
        <v>2100</v>
      </c>
      <c r="H506" s="12" t="s">
        <v>2101</v>
      </c>
      <c r="I506" s="13" t="s">
        <v>1617</v>
      </c>
      <c r="J506" s="15" t="s">
        <v>2102</v>
      </c>
      <c r="K506" s="12"/>
      <c r="L506" s="11" t="s">
        <v>34</v>
      </c>
      <c r="M506" s="15"/>
      <c r="N506" s="17">
        <v>2750</v>
      </c>
      <c r="O506" s="17"/>
      <c r="P506" s="17"/>
      <c r="Q506" s="48"/>
      <c r="R506" s="11"/>
      <c r="S506" s="48"/>
      <c r="T506" s="85"/>
      <c r="U506" s="88"/>
      <c r="V506" s="32" t="s">
        <v>1744</v>
      </c>
      <c r="W506" s="25"/>
      <c r="X506" s="11"/>
      <c r="Y506" s="50" t="s">
        <v>12</v>
      </c>
      <c r="Z506" s="50"/>
      <c r="AA506" s="50"/>
      <c r="AB506" s="50"/>
      <c r="AC506" s="50"/>
      <c r="AD506" s="50"/>
      <c r="AE506" s="50"/>
      <c r="AF506" s="34"/>
      <c r="AG506" s="34"/>
      <c r="AH506" s="34"/>
      <c r="AI506" s="34"/>
      <c r="AJ506" s="34"/>
      <c r="AK506" s="34"/>
      <c r="AL506" s="34"/>
      <c r="AM506" s="34"/>
      <c r="AN506" s="34"/>
      <c r="AO506" s="65"/>
      <c r="AP506" s="69"/>
      <c r="AQ506" s="62"/>
      <c r="AR506" s="34"/>
    </row>
    <row r="507" spans="1:44" customFormat="1">
      <c r="A507" s="39">
        <v>44043</v>
      </c>
      <c r="B507" s="11" t="s">
        <v>22</v>
      </c>
      <c r="C507" s="16" t="s">
        <v>2103</v>
      </c>
      <c r="D507" s="16"/>
      <c r="E507" s="38">
        <v>27281</v>
      </c>
      <c r="F507" s="38"/>
      <c r="G507" s="10" t="s">
        <v>2104</v>
      </c>
      <c r="H507" s="12" t="s">
        <v>2105</v>
      </c>
      <c r="I507" s="13" t="s">
        <v>2107</v>
      </c>
      <c r="J507" s="15" t="s">
        <v>2106</v>
      </c>
      <c r="K507" s="12" t="s">
        <v>2106</v>
      </c>
      <c r="L507" s="11" t="s">
        <v>34</v>
      </c>
      <c r="M507" s="15"/>
      <c r="N507" s="17">
        <v>2750</v>
      </c>
      <c r="O507" s="17"/>
      <c r="P507" s="17"/>
      <c r="Q507" s="48"/>
      <c r="R507" s="11"/>
      <c r="S507" s="48"/>
      <c r="T507" s="85"/>
      <c r="U507" s="88"/>
      <c r="V507" s="32" t="s">
        <v>1744</v>
      </c>
      <c r="W507" s="25"/>
      <c r="X507" s="11"/>
      <c r="Y507" s="50" t="s">
        <v>12</v>
      </c>
      <c r="Z507" s="50"/>
      <c r="AA507" s="50"/>
      <c r="AB507" s="50"/>
      <c r="AC507" s="50"/>
      <c r="AD507" s="50"/>
      <c r="AE507" s="50"/>
      <c r="AF507" s="34"/>
      <c r="AG507" s="34"/>
      <c r="AH507" s="34"/>
      <c r="AI507" s="34"/>
      <c r="AJ507" s="34"/>
      <c r="AK507" s="34"/>
      <c r="AL507" s="34"/>
      <c r="AM507" s="34"/>
      <c r="AN507" s="34"/>
      <c r="AO507" s="65"/>
      <c r="AP507" s="69"/>
      <c r="AQ507" s="62"/>
      <c r="AR507" s="34"/>
    </row>
    <row r="508" spans="1:44" customFormat="1">
      <c r="A508" s="39">
        <v>44043</v>
      </c>
      <c r="B508" s="11" t="s">
        <v>22</v>
      </c>
      <c r="C508" s="16" t="s">
        <v>2113</v>
      </c>
      <c r="D508" s="16"/>
      <c r="E508" s="38">
        <v>35794</v>
      </c>
      <c r="F508" s="38"/>
      <c r="G508" s="10" t="s">
        <v>2114</v>
      </c>
      <c r="H508" s="12" t="s">
        <v>2115</v>
      </c>
      <c r="I508" s="13" t="s">
        <v>1699</v>
      </c>
      <c r="J508" s="15" t="s">
        <v>2116</v>
      </c>
      <c r="K508" s="12"/>
      <c r="L508" s="11" t="s">
        <v>36</v>
      </c>
      <c r="M508" s="15"/>
      <c r="N508" s="17">
        <v>2750</v>
      </c>
      <c r="O508" s="17"/>
      <c r="P508" s="17"/>
      <c r="Q508" s="48"/>
      <c r="R508" s="11"/>
      <c r="S508" s="48"/>
      <c r="T508" s="85"/>
      <c r="U508" s="88"/>
      <c r="V508" s="32" t="s">
        <v>2112</v>
      </c>
      <c r="W508" s="25" t="s">
        <v>48</v>
      </c>
      <c r="X508" s="11"/>
      <c r="Y508" s="50" t="s">
        <v>11</v>
      </c>
      <c r="Z508" s="50"/>
      <c r="AA508" s="50"/>
      <c r="AB508" s="50"/>
      <c r="AC508" s="50"/>
      <c r="AD508" s="50"/>
      <c r="AE508" s="50"/>
      <c r="AF508" s="34"/>
      <c r="AG508" s="34"/>
      <c r="AH508" s="34"/>
      <c r="AI508" s="34"/>
      <c r="AJ508" s="34"/>
      <c r="AK508" s="34"/>
      <c r="AL508" s="34"/>
      <c r="AM508" s="34"/>
      <c r="AN508" s="34"/>
      <c r="AO508" s="65"/>
      <c r="AP508" s="69"/>
      <c r="AQ508" s="62"/>
      <c r="AR508" s="34"/>
    </row>
    <row r="509" spans="1:44" customFormat="1">
      <c r="A509" s="39">
        <v>44043</v>
      </c>
      <c r="B509" s="11" t="s">
        <v>22</v>
      </c>
      <c r="C509" s="16" t="s">
        <v>2108</v>
      </c>
      <c r="D509" s="16"/>
      <c r="E509" s="38">
        <v>25593</v>
      </c>
      <c r="F509" s="38"/>
      <c r="G509" s="10" t="s">
        <v>2109</v>
      </c>
      <c r="H509" s="12" t="s">
        <v>2110</v>
      </c>
      <c r="I509" s="13" t="s">
        <v>1666</v>
      </c>
      <c r="J509" s="15" t="s">
        <v>2111</v>
      </c>
      <c r="K509" s="12"/>
      <c r="L509" s="11" t="s">
        <v>33</v>
      </c>
      <c r="M509" s="15"/>
      <c r="N509" s="17">
        <v>2750</v>
      </c>
      <c r="O509" s="17"/>
      <c r="P509" s="17"/>
      <c r="Q509" s="48"/>
      <c r="R509" s="11"/>
      <c r="S509" s="48"/>
      <c r="T509" s="85"/>
      <c r="U509" s="88"/>
      <c r="V509" s="32" t="s">
        <v>2112</v>
      </c>
      <c r="W509" s="25" t="s">
        <v>48</v>
      </c>
      <c r="X509" s="11"/>
      <c r="Y509" s="50" t="s">
        <v>11</v>
      </c>
      <c r="Z509" s="50"/>
      <c r="AA509" s="50"/>
      <c r="AB509" s="50"/>
      <c r="AC509" s="50"/>
      <c r="AD509" s="50"/>
      <c r="AE509" s="50"/>
      <c r="AF509" s="34"/>
      <c r="AG509" s="34"/>
      <c r="AH509" s="34"/>
      <c r="AI509" s="34"/>
      <c r="AJ509" s="34"/>
      <c r="AK509" s="34"/>
      <c r="AL509" s="34"/>
      <c r="AM509" s="34"/>
      <c r="AN509" s="34"/>
      <c r="AO509" s="65"/>
      <c r="AP509" s="69"/>
      <c r="AQ509" s="62"/>
      <c r="AR509" s="34"/>
    </row>
    <row r="510" spans="1:44" customFormat="1">
      <c r="A510" s="39">
        <v>44048</v>
      </c>
      <c r="B510" s="11" t="s">
        <v>22</v>
      </c>
      <c r="C510" s="16" t="s">
        <v>2121</v>
      </c>
      <c r="D510" s="16"/>
      <c r="E510" s="38">
        <v>31430</v>
      </c>
      <c r="F510" s="38"/>
      <c r="G510" s="10" t="s">
        <v>2122</v>
      </c>
      <c r="H510" s="12" t="s">
        <v>2123</v>
      </c>
      <c r="I510" s="13" t="s">
        <v>2124</v>
      </c>
      <c r="J510" s="15" t="s">
        <v>2126</v>
      </c>
      <c r="K510" s="14" t="s">
        <v>2125</v>
      </c>
      <c r="L510" s="11" t="s">
        <v>36</v>
      </c>
      <c r="M510" s="15"/>
      <c r="N510" s="17">
        <v>2750</v>
      </c>
      <c r="O510" s="17"/>
      <c r="P510" s="17"/>
      <c r="Q510" s="48"/>
      <c r="R510" s="11"/>
      <c r="S510" s="48"/>
      <c r="T510" s="85"/>
      <c r="U510" s="88"/>
      <c r="V510" s="32" t="s">
        <v>1744</v>
      </c>
      <c r="W510" s="25" t="s">
        <v>48</v>
      </c>
      <c r="X510" s="11"/>
      <c r="Y510" s="50" t="s">
        <v>14</v>
      </c>
      <c r="Z510" s="50"/>
      <c r="AA510" s="50"/>
      <c r="AB510" s="50"/>
      <c r="AC510" s="50"/>
      <c r="AD510" s="50"/>
      <c r="AE510" s="50"/>
      <c r="AF510" s="34"/>
      <c r="AG510" s="34"/>
      <c r="AH510" s="34"/>
      <c r="AI510" s="34"/>
      <c r="AJ510" s="34"/>
      <c r="AK510" s="34"/>
      <c r="AL510" s="34"/>
      <c r="AM510" s="34"/>
      <c r="AN510" s="34"/>
      <c r="AO510" s="65"/>
      <c r="AP510" s="69"/>
      <c r="AQ510" s="62"/>
      <c r="AR510" s="34"/>
    </row>
    <row r="511" spans="1:44" customFormat="1">
      <c r="A511" s="39">
        <v>44048</v>
      </c>
      <c r="B511" s="11" t="s">
        <v>22</v>
      </c>
      <c r="C511" s="16" t="s">
        <v>2117</v>
      </c>
      <c r="D511" s="16"/>
      <c r="E511" s="38">
        <v>27108</v>
      </c>
      <c r="F511" s="38"/>
      <c r="G511" s="10" t="s">
        <v>636</v>
      </c>
      <c r="H511" s="12" t="s">
        <v>2118</v>
      </c>
      <c r="I511" s="13" t="s">
        <v>1616</v>
      </c>
      <c r="J511" s="15" t="s">
        <v>2120</v>
      </c>
      <c r="K511" s="14" t="s">
        <v>2119</v>
      </c>
      <c r="L511" s="11" t="s">
        <v>36</v>
      </c>
      <c r="M511" s="15"/>
      <c r="N511" s="17">
        <v>2750</v>
      </c>
      <c r="O511" s="17"/>
      <c r="P511" s="17"/>
      <c r="Q511" s="48"/>
      <c r="R511" s="11"/>
      <c r="S511" s="48"/>
      <c r="T511" s="85" t="s">
        <v>81</v>
      </c>
      <c r="U511" s="88"/>
      <c r="V511" s="32" t="s">
        <v>2086</v>
      </c>
      <c r="W511" s="25" t="s">
        <v>10</v>
      </c>
      <c r="X511" s="11"/>
      <c r="Y511" s="50" t="s">
        <v>11</v>
      </c>
      <c r="Z511" s="50"/>
      <c r="AA511" s="50"/>
      <c r="AB511" s="50"/>
      <c r="AC511" s="50"/>
      <c r="AD511" s="50"/>
      <c r="AE511" s="50"/>
      <c r="AF511" s="34"/>
      <c r="AG511" s="34"/>
      <c r="AH511" s="34"/>
      <c r="AI511" s="34"/>
      <c r="AJ511" s="34"/>
      <c r="AK511" s="34"/>
      <c r="AL511" s="34"/>
      <c r="AM511" s="34"/>
      <c r="AN511" s="34"/>
      <c r="AO511" s="65"/>
      <c r="AP511" s="69"/>
      <c r="AQ511" s="62" t="s">
        <v>81</v>
      </c>
      <c r="AR511" s="34"/>
    </row>
    <row r="512" spans="1:44" customFormat="1">
      <c r="A512" s="39">
        <v>44049</v>
      </c>
      <c r="B512" s="11" t="s">
        <v>22</v>
      </c>
      <c r="C512" s="16" t="s">
        <v>2127</v>
      </c>
      <c r="D512" s="16"/>
      <c r="E512" s="38">
        <v>24479</v>
      </c>
      <c r="F512" s="38"/>
      <c r="G512" s="10" t="s">
        <v>636</v>
      </c>
      <c r="H512" s="12" t="s">
        <v>2118</v>
      </c>
      <c r="I512" s="13" t="s">
        <v>2128</v>
      </c>
      <c r="J512" s="15" t="s">
        <v>2129</v>
      </c>
      <c r="K512" s="12"/>
      <c r="L512" s="11" t="s">
        <v>36</v>
      </c>
      <c r="M512" s="15"/>
      <c r="N512" s="17">
        <v>2750</v>
      </c>
      <c r="O512" s="17"/>
      <c r="P512" s="17"/>
      <c r="Q512" s="48"/>
      <c r="R512" s="11"/>
      <c r="S512" s="48"/>
      <c r="T512" s="85"/>
      <c r="U512" s="88"/>
      <c r="V512" s="32" t="s">
        <v>1744</v>
      </c>
      <c r="W512" s="25" t="s">
        <v>8</v>
      </c>
      <c r="X512" s="11"/>
      <c r="Y512" s="50" t="s">
        <v>11</v>
      </c>
      <c r="Z512" s="50"/>
      <c r="AA512" s="50"/>
      <c r="AB512" s="50"/>
      <c r="AC512" s="50"/>
      <c r="AD512" s="50"/>
      <c r="AE512" s="50"/>
      <c r="AF512" s="34"/>
      <c r="AG512" s="34"/>
      <c r="AH512" s="34"/>
      <c r="AI512" s="34"/>
      <c r="AJ512" s="34"/>
      <c r="AK512" s="34"/>
      <c r="AL512" s="34"/>
      <c r="AM512" s="34"/>
      <c r="AN512" s="34"/>
      <c r="AO512" s="65"/>
      <c r="AP512" s="69"/>
      <c r="AQ512" s="62"/>
      <c r="AR512" s="34"/>
    </row>
    <row r="513" spans="1:44" customFormat="1">
      <c r="A513" s="39">
        <v>44050</v>
      </c>
      <c r="B513" s="11" t="s">
        <v>49</v>
      </c>
      <c r="C513" s="16" t="s">
        <v>2131</v>
      </c>
      <c r="D513" s="16"/>
      <c r="E513" s="38">
        <v>28180</v>
      </c>
      <c r="F513" s="38"/>
      <c r="G513" s="10" t="s">
        <v>2132</v>
      </c>
      <c r="H513" s="12" t="s">
        <v>2133</v>
      </c>
      <c r="I513" s="13" t="s">
        <v>2134</v>
      </c>
      <c r="J513" s="15" t="s">
        <v>2135</v>
      </c>
      <c r="K513" s="12"/>
      <c r="L513" s="11" t="s">
        <v>33</v>
      </c>
      <c r="M513" s="15"/>
      <c r="N513" s="17">
        <v>16500</v>
      </c>
      <c r="O513" s="17"/>
      <c r="P513" s="17"/>
      <c r="Q513" s="48"/>
      <c r="R513" s="11"/>
      <c r="S513" s="48"/>
      <c r="T513" s="85"/>
      <c r="U513" s="88"/>
      <c r="V513" s="32" t="s">
        <v>2136</v>
      </c>
      <c r="W513" s="25" t="s">
        <v>8</v>
      </c>
      <c r="X513" s="11"/>
      <c r="Y513" s="50" t="s">
        <v>13</v>
      </c>
      <c r="Z513" s="50"/>
      <c r="AA513" s="50"/>
      <c r="AB513" s="50"/>
      <c r="AC513" s="50"/>
      <c r="AD513" s="50"/>
      <c r="AE513" s="50"/>
      <c r="AF513" s="34"/>
      <c r="AG513" s="34"/>
      <c r="AH513" s="34"/>
      <c r="AI513" s="34"/>
      <c r="AJ513" s="34"/>
      <c r="AK513" s="34"/>
      <c r="AL513" s="34"/>
      <c r="AM513" s="34"/>
      <c r="AN513" s="34"/>
      <c r="AO513" s="65"/>
      <c r="AP513" s="69"/>
      <c r="AQ513" s="62"/>
      <c r="AR513" s="34"/>
    </row>
    <row r="514" spans="1:44" customFormat="1">
      <c r="A514" s="39">
        <v>44050</v>
      </c>
      <c r="B514" s="11" t="s">
        <v>2170</v>
      </c>
      <c r="C514" s="16" t="s">
        <v>1836</v>
      </c>
      <c r="D514" s="16"/>
      <c r="E514" s="38"/>
      <c r="F514" s="38"/>
      <c r="G514" s="10"/>
      <c r="H514" s="12"/>
      <c r="I514" s="13"/>
      <c r="J514" s="15"/>
      <c r="K514" s="12"/>
      <c r="L514" s="11"/>
      <c r="M514" s="15"/>
      <c r="N514" s="17">
        <v>3300</v>
      </c>
      <c r="O514" s="17"/>
      <c r="P514" s="17"/>
      <c r="Q514" s="48"/>
      <c r="R514" s="11"/>
      <c r="S514" s="48"/>
      <c r="T514" s="85"/>
      <c r="U514" s="88"/>
      <c r="V514" s="32" t="s">
        <v>2130</v>
      </c>
      <c r="W514" s="25"/>
      <c r="X514" s="11"/>
      <c r="Y514" s="50"/>
      <c r="Z514" s="50"/>
      <c r="AA514" s="50"/>
      <c r="AB514" s="50"/>
      <c r="AC514" s="50"/>
      <c r="AD514" s="50"/>
      <c r="AE514" s="50"/>
      <c r="AF514" s="34"/>
      <c r="AG514" s="34"/>
      <c r="AH514" s="34"/>
      <c r="AI514" s="34"/>
      <c r="AJ514" s="34"/>
      <c r="AK514" s="34"/>
      <c r="AL514" s="34"/>
      <c r="AM514" s="34"/>
      <c r="AN514" s="34"/>
      <c r="AO514" s="65"/>
      <c r="AP514" s="69"/>
      <c r="AQ514" s="62"/>
      <c r="AR514" s="34"/>
    </row>
    <row r="515" spans="1:44" customFormat="1">
      <c r="A515" s="39">
        <v>44051</v>
      </c>
      <c r="B515" s="11" t="s">
        <v>2171</v>
      </c>
      <c r="C515" s="16" t="s">
        <v>2003</v>
      </c>
      <c r="D515" s="16"/>
      <c r="E515" s="38">
        <v>38849</v>
      </c>
      <c r="F515" s="38"/>
      <c r="G515" s="10" t="s">
        <v>1413</v>
      </c>
      <c r="H515" s="12" t="s">
        <v>2004</v>
      </c>
      <c r="I515" s="13" t="s">
        <v>2142</v>
      </c>
      <c r="J515" s="15" t="s">
        <v>1416</v>
      </c>
      <c r="K515" s="12"/>
      <c r="L515" s="11" t="s">
        <v>38</v>
      </c>
      <c r="M515" s="15"/>
      <c r="N515" s="17">
        <v>3300</v>
      </c>
      <c r="O515" s="17"/>
      <c r="P515" s="17"/>
      <c r="Q515" s="48"/>
      <c r="R515" s="11"/>
      <c r="S515" s="48"/>
      <c r="T515" s="85"/>
      <c r="U515" s="88"/>
      <c r="V515" s="32" t="s">
        <v>2005</v>
      </c>
      <c r="W515" s="25" t="s">
        <v>8</v>
      </c>
      <c r="X515" s="11"/>
      <c r="Y515" s="50" t="s">
        <v>17</v>
      </c>
      <c r="Z515" s="50"/>
      <c r="AA515" s="50"/>
      <c r="AB515" s="50"/>
      <c r="AC515" s="50"/>
      <c r="AD515" s="50"/>
      <c r="AE515" s="50"/>
      <c r="AF515" s="34"/>
      <c r="AG515" s="34"/>
      <c r="AH515" s="34"/>
      <c r="AI515" s="34"/>
      <c r="AJ515" s="34"/>
      <c r="AK515" s="34"/>
      <c r="AL515" s="34"/>
      <c r="AM515" s="34"/>
      <c r="AN515" s="34"/>
      <c r="AO515" s="65"/>
      <c r="AP515" s="69"/>
      <c r="AQ515" s="62"/>
      <c r="AR515" s="34"/>
    </row>
    <row r="516" spans="1:44" customFormat="1">
      <c r="A516" s="39">
        <v>44051</v>
      </c>
      <c r="B516" s="11" t="s">
        <v>22</v>
      </c>
      <c r="C516" s="16" t="s">
        <v>2137</v>
      </c>
      <c r="D516" s="16"/>
      <c r="E516" s="38">
        <v>37832</v>
      </c>
      <c r="F516" s="38"/>
      <c r="G516" s="10" t="s">
        <v>1413</v>
      </c>
      <c r="H516" s="12" t="s">
        <v>2004</v>
      </c>
      <c r="I516" s="13" t="s">
        <v>2142</v>
      </c>
      <c r="J516" s="15" t="s">
        <v>1416</v>
      </c>
      <c r="K516" s="12"/>
      <c r="L516" s="11" t="s">
        <v>38</v>
      </c>
      <c r="M516" s="15"/>
      <c r="N516" s="17">
        <v>2750</v>
      </c>
      <c r="O516" s="17"/>
      <c r="P516" s="17"/>
      <c r="Q516" s="48"/>
      <c r="R516" s="11"/>
      <c r="S516" s="48"/>
      <c r="T516" s="85"/>
      <c r="U516" s="88"/>
      <c r="V516" s="32" t="s">
        <v>2005</v>
      </c>
      <c r="W516" s="25" t="s">
        <v>8</v>
      </c>
      <c r="X516" s="11"/>
      <c r="Y516" s="50" t="s">
        <v>17</v>
      </c>
      <c r="Z516" s="50"/>
      <c r="AA516" s="50"/>
      <c r="AB516" s="50"/>
      <c r="AC516" s="50"/>
      <c r="AD516" s="50"/>
      <c r="AE516" s="50"/>
      <c r="AF516" s="34"/>
      <c r="AG516" s="34"/>
      <c r="AH516" s="34"/>
      <c r="AI516" s="34"/>
      <c r="AJ516" s="34"/>
      <c r="AK516" s="34"/>
      <c r="AL516" s="34"/>
      <c r="AM516" s="34"/>
      <c r="AN516" s="34"/>
      <c r="AO516" s="65"/>
      <c r="AP516" s="69"/>
      <c r="AQ516" s="62"/>
      <c r="AR516" s="34"/>
    </row>
    <row r="517" spans="1:44" customFormat="1">
      <c r="A517" s="39">
        <v>44051</v>
      </c>
      <c r="B517" s="11" t="s">
        <v>22</v>
      </c>
      <c r="C517" s="16" t="s">
        <v>2148</v>
      </c>
      <c r="D517" s="16"/>
      <c r="E517" s="38">
        <v>35351</v>
      </c>
      <c r="F517" s="38"/>
      <c r="G517" s="10" t="s">
        <v>2149</v>
      </c>
      <c r="H517" s="12" t="s">
        <v>2150</v>
      </c>
      <c r="I517" s="13" t="s">
        <v>2151</v>
      </c>
      <c r="J517" s="15" t="s">
        <v>2152</v>
      </c>
      <c r="K517" s="12"/>
      <c r="L517" s="11" t="s">
        <v>36</v>
      </c>
      <c r="M517" s="15"/>
      <c r="N517" s="17">
        <v>2750</v>
      </c>
      <c r="O517" s="17"/>
      <c r="P517" s="17"/>
      <c r="Q517" s="48"/>
      <c r="R517" s="11"/>
      <c r="S517" s="48"/>
      <c r="T517" s="85"/>
      <c r="U517" s="88"/>
      <c r="V517" s="32" t="s">
        <v>1744</v>
      </c>
      <c r="W517" s="25" t="s">
        <v>8</v>
      </c>
      <c r="X517" s="11"/>
      <c r="Y517" s="50"/>
      <c r="Z517" s="50"/>
      <c r="AA517" s="50"/>
      <c r="AB517" s="50"/>
      <c r="AC517" s="50"/>
      <c r="AD517" s="50"/>
      <c r="AE517" s="50"/>
      <c r="AF517" s="34"/>
      <c r="AG517" s="34"/>
      <c r="AH517" s="34"/>
      <c r="AI517" s="34"/>
      <c r="AJ517" s="34"/>
      <c r="AK517" s="34"/>
      <c r="AL517" s="34"/>
      <c r="AM517" s="34"/>
      <c r="AN517" s="34"/>
      <c r="AO517" s="65"/>
      <c r="AP517" s="69"/>
      <c r="AQ517" s="62"/>
      <c r="AR517" s="34"/>
    </row>
    <row r="518" spans="1:44" customFormat="1">
      <c r="A518" s="39">
        <v>44051</v>
      </c>
      <c r="B518" s="11" t="s">
        <v>49</v>
      </c>
      <c r="C518" s="16" t="s">
        <v>2138</v>
      </c>
      <c r="D518" s="16"/>
      <c r="E518" s="38">
        <v>24761</v>
      </c>
      <c r="F518" s="38"/>
      <c r="G518" s="10" t="s">
        <v>2139</v>
      </c>
      <c r="H518" s="12" t="s">
        <v>2140</v>
      </c>
      <c r="I518" s="13" t="s">
        <v>2141</v>
      </c>
      <c r="J518" s="15" t="s">
        <v>2143</v>
      </c>
      <c r="K518" s="12"/>
      <c r="L518" s="11" t="s">
        <v>36</v>
      </c>
      <c r="M518" s="15"/>
      <c r="N518" s="17">
        <v>11000</v>
      </c>
      <c r="O518" s="17"/>
      <c r="P518" s="17"/>
      <c r="Q518" s="48"/>
      <c r="R518" s="11"/>
      <c r="S518" s="48"/>
      <c r="T518" s="85"/>
      <c r="U518" s="88"/>
      <c r="V518" s="32" t="s">
        <v>1851</v>
      </c>
      <c r="W518" s="25" t="s">
        <v>8</v>
      </c>
      <c r="X518" s="11"/>
      <c r="Y518" s="50"/>
      <c r="Z518" s="50"/>
      <c r="AA518" s="50"/>
      <c r="AB518" s="50"/>
      <c r="AC518" s="50"/>
      <c r="AD518" s="50"/>
      <c r="AE518" s="50"/>
      <c r="AF518" s="34"/>
      <c r="AG518" s="34"/>
      <c r="AH518" s="34"/>
      <c r="AI518" s="34"/>
      <c r="AJ518" s="34"/>
      <c r="AK518" s="34"/>
      <c r="AL518" s="34"/>
      <c r="AM518" s="34"/>
      <c r="AN518" s="34"/>
      <c r="AO518" s="65"/>
      <c r="AP518" s="69"/>
      <c r="AQ518" s="62"/>
      <c r="AR518" s="34"/>
    </row>
    <row r="519" spans="1:44" customFormat="1">
      <c r="A519" s="39">
        <v>44051</v>
      </c>
      <c r="B519" s="11" t="s">
        <v>49</v>
      </c>
      <c r="C519" s="16" t="s">
        <v>2144</v>
      </c>
      <c r="D519" s="16"/>
      <c r="E519" s="38">
        <v>35207</v>
      </c>
      <c r="F519" s="38"/>
      <c r="G519" s="10" t="s">
        <v>2145</v>
      </c>
      <c r="H519" s="12" t="s">
        <v>2146</v>
      </c>
      <c r="I519" s="13" t="s">
        <v>2064</v>
      </c>
      <c r="J519" s="15" t="s">
        <v>2147</v>
      </c>
      <c r="K519" s="12"/>
      <c r="L519" s="11" t="s">
        <v>36</v>
      </c>
      <c r="M519" s="15"/>
      <c r="N519" s="17">
        <v>16500</v>
      </c>
      <c r="O519" s="17"/>
      <c r="P519" s="17"/>
      <c r="Q519" s="48"/>
      <c r="R519" s="11"/>
      <c r="S519" s="48"/>
      <c r="T519" s="85"/>
      <c r="U519" s="88"/>
      <c r="V519" s="32"/>
      <c r="W519" s="25" t="s">
        <v>10</v>
      </c>
      <c r="X519" s="11"/>
      <c r="Y519" s="50" t="s">
        <v>12</v>
      </c>
      <c r="Z519" s="50"/>
      <c r="AA519" s="50"/>
      <c r="AB519" s="50"/>
      <c r="AC519" s="50"/>
      <c r="AD519" s="50"/>
      <c r="AE519" s="50"/>
      <c r="AF519" s="34"/>
      <c r="AG519" s="34"/>
      <c r="AH519" s="34"/>
      <c r="AI519" s="34"/>
      <c r="AJ519" s="34"/>
      <c r="AK519" s="34"/>
      <c r="AL519" s="34"/>
      <c r="AM519" s="34"/>
      <c r="AN519" s="34"/>
      <c r="AO519" s="65"/>
      <c r="AP519" s="69"/>
      <c r="AQ519" s="62"/>
      <c r="AR519" s="34"/>
    </row>
    <row r="520" spans="1:44" customFormat="1">
      <c r="A520" s="39">
        <v>44052</v>
      </c>
      <c r="B520" s="11" t="s">
        <v>22</v>
      </c>
      <c r="C520" s="16" t="s">
        <v>2153</v>
      </c>
      <c r="D520" s="16"/>
      <c r="E520" s="38">
        <v>26119</v>
      </c>
      <c r="F520" s="38"/>
      <c r="G520" s="10" t="s">
        <v>2154</v>
      </c>
      <c r="H520" s="12" t="s">
        <v>2155</v>
      </c>
      <c r="I520" s="13" t="s">
        <v>2156</v>
      </c>
      <c r="J520" s="15" t="s">
        <v>2158</v>
      </c>
      <c r="K520" s="14" t="s">
        <v>2157</v>
      </c>
      <c r="L520" s="11" t="s">
        <v>33</v>
      </c>
      <c r="M520" s="15"/>
      <c r="N520" s="17">
        <v>2750</v>
      </c>
      <c r="O520" s="17"/>
      <c r="P520" s="17"/>
      <c r="Q520" s="48"/>
      <c r="R520" s="11"/>
      <c r="S520" s="48"/>
      <c r="T520" s="85"/>
      <c r="U520" s="88"/>
      <c r="V520" s="32" t="s">
        <v>2159</v>
      </c>
      <c r="W520" s="25" t="s">
        <v>8</v>
      </c>
      <c r="X520" s="11"/>
      <c r="Y520" s="50" t="s">
        <v>12</v>
      </c>
      <c r="Z520" s="50"/>
      <c r="AA520" s="50"/>
      <c r="AB520" s="50"/>
      <c r="AC520" s="50"/>
      <c r="AD520" s="50"/>
      <c r="AE520" s="50"/>
      <c r="AF520" s="34"/>
      <c r="AG520" s="34"/>
      <c r="AH520" s="34"/>
      <c r="AI520" s="34"/>
      <c r="AJ520" s="34"/>
      <c r="AK520" s="34"/>
      <c r="AL520" s="34"/>
      <c r="AM520" s="34"/>
      <c r="AN520" s="34"/>
      <c r="AO520" s="65"/>
      <c r="AP520" s="69"/>
      <c r="AQ520" s="62"/>
      <c r="AR520" s="34"/>
    </row>
    <row r="521" spans="1:44" customFormat="1">
      <c r="A521" s="39">
        <v>44052</v>
      </c>
      <c r="B521" s="11" t="s">
        <v>49</v>
      </c>
      <c r="C521" s="16" t="s">
        <v>2160</v>
      </c>
      <c r="D521" s="16"/>
      <c r="E521" s="38">
        <v>36025</v>
      </c>
      <c r="F521" s="38"/>
      <c r="G521" s="10" t="s">
        <v>2161</v>
      </c>
      <c r="H521" s="12" t="s">
        <v>2162</v>
      </c>
      <c r="I521" s="13" t="s">
        <v>2163</v>
      </c>
      <c r="J521" s="15" t="s">
        <v>2164</v>
      </c>
      <c r="K521" s="12"/>
      <c r="L521" s="11" t="s">
        <v>38</v>
      </c>
      <c r="M521" s="15"/>
      <c r="N521" s="17">
        <v>14850</v>
      </c>
      <c r="O521" s="17"/>
      <c r="P521" s="17"/>
      <c r="Q521" s="48"/>
      <c r="R521" s="11"/>
      <c r="S521" s="48"/>
      <c r="T521" s="85"/>
      <c r="U521" s="88"/>
      <c r="V521" s="32" t="s">
        <v>2169</v>
      </c>
      <c r="W521" s="25" t="s">
        <v>8</v>
      </c>
      <c r="X521" s="11"/>
      <c r="Y521" s="50"/>
      <c r="Z521" s="50"/>
      <c r="AA521" s="50"/>
      <c r="AB521" s="50"/>
      <c r="AC521" s="50"/>
      <c r="AD521" s="50"/>
      <c r="AE521" s="50"/>
      <c r="AF521" s="34"/>
      <c r="AG521" s="34"/>
      <c r="AH521" s="34"/>
      <c r="AI521" s="34"/>
      <c r="AJ521" s="34"/>
      <c r="AK521" s="34"/>
      <c r="AL521" s="34"/>
      <c r="AM521" s="34"/>
      <c r="AN521" s="34"/>
      <c r="AO521" s="65"/>
      <c r="AP521" s="69"/>
      <c r="AQ521" s="62"/>
      <c r="AR521" s="34"/>
    </row>
    <row r="522" spans="1:44" customFormat="1">
      <c r="A522" s="39">
        <v>44055</v>
      </c>
      <c r="B522" s="11" t="s">
        <v>22</v>
      </c>
      <c r="C522" s="16" t="s">
        <v>2165</v>
      </c>
      <c r="D522" s="16"/>
      <c r="E522" s="38">
        <v>24850</v>
      </c>
      <c r="F522" s="38"/>
      <c r="G522" s="10" t="s">
        <v>551</v>
      </c>
      <c r="H522" s="12" t="s">
        <v>2166</v>
      </c>
      <c r="I522" s="13" t="s">
        <v>1684</v>
      </c>
      <c r="J522" s="15" t="s">
        <v>2167</v>
      </c>
      <c r="K522" s="14" t="s">
        <v>2168</v>
      </c>
      <c r="L522" s="11" t="s">
        <v>531</v>
      </c>
      <c r="M522" s="15"/>
      <c r="N522" s="17">
        <v>2750</v>
      </c>
      <c r="O522" s="17"/>
      <c r="P522" s="17"/>
      <c r="Q522" s="48"/>
      <c r="R522" s="11"/>
      <c r="S522" s="48"/>
      <c r="T522" s="85"/>
      <c r="U522" s="88"/>
      <c r="V522" s="32" t="s">
        <v>1744</v>
      </c>
      <c r="W522" s="25" t="s">
        <v>10</v>
      </c>
      <c r="X522" s="11"/>
      <c r="Y522" s="50" t="s">
        <v>11</v>
      </c>
      <c r="Z522" s="50"/>
      <c r="AA522" s="50"/>
      <c r="AB522" s="50"/>
      <c r="AC522" s="50"/>
      <c r="AD522" s="50"/>
      <c r="AE522" s="50"/>
      <c r="AF522" s="34"/>
      <c r="AG522" s="34"/>
      <c r="AH522" s="34"/>
      <c r="AI522" s="34"/>
      <c r="AJ522" s="34"/>
      <c r="AK522" s="34"/>
      <c r="AL522" s="34"/>
      <c r="AM522" s="34"/>
      <c r="AN522" s="34"/>
      <c r="AO522" s="65"/>
      <c r="AP522" s="69"/>
      <c r="AQ522" s="62"/>
      <c r="AR522" s="34"/>
    </row>
    <row r="523" spans="1:44" customFormat="1">
      <c r="A523" s="39">
        <v>44056</v>
      </c>
      <c r="B523" s="11" t="s">
        <v>22</v>
      </c>
      <c r="C523" s="16" t="s">
        <v>2172</v>
      </c>
      <c r="D523" s="16"/>
      <c r="E523" s="38">
        <v>30798</v>
      </c>
      <c r="F523" s="38"/>
      <c r="G523" s="10" t="s">
        <v>396</v>
      </c>
      <c r="H523" s="12" t="s">
        <v>2173</v>
      </c>
      <c r="I523" s="13" t="s">
        <v>2142</v>
      </c>
      <c r="J523" s="15" t="s">
        <v>2174</v>
      </c>
      <c r="K523" s="12"/>
      <c r="L523" s="11" t="s">
        <v>36</v>
      </c>
      <c r="M523" s="15"/>
      <c r="N523" s="17">
        <v>2750</v>
      </c>
      <c r="O523" s="17"/>
      <c r="P523" s="17"/>
      <c r="Q523" s="48"/>
      <c r="R523" s="11"/>
      <c r="S523" s="48"/>
      <c r="T523" s="85"/>
      <c r="U523" s="88"/>
      <c r="V523" s="32" t="s">
        <v>1744</v>
      </c>
      <c r="W523" s="25" t="s">
        <v>48</v>
      </c>
      <c r="X523" s="11"/>
      <c r="Y523" s="50" t="s">
        <v>18</v>
      </c>
      <c r="Z523" s="50"/>
      <c r="AA523" s="50"/>
      <c r="AB523" s="50"/>
      <c r="AC523" s="50"/>
      <c r="AD523" s="50"/>
      <c r="AE523" s="50"/>
      <c r="AF523" s="34"/>
      <c r="AG523" s="34"/>
      <c r="AH523" s="34"/>
      <c r="AI523" s="34"/>
      <c r="AJ523" s="34"/>
      <c r="AK523" s="34"/>
      <c r="AL523" s="34"/>
      <c r="AM523" s="34"/>
      <c r="AN523" s="34"/>
      <c r="AO523" s="65"/>
      <c r="AP523" s="69"/>
      <c r="AQ523" s="62"/>
      <c r="AR523" s="34"/>
    </row>
    <row r="524" spans="1:44" customFormat="1">
      <c r="A524" s="39">
        <v>44056</v>
      </c>
      <c r="B524" s="11" t="s">
        <v>5659</v>
      </c>
      <c r="C524" s="16" t="s">
        <v>2153</v>
      </c>
      <c r="D524" s="16"/>
      <c r="E524" s="38"/>
      <c r="F524" s="38"/>
      <c r="G524" s="10"/>
      <c r="H524" s="12"/>
      <c r="I524" s="13"/>
      <c r="J524" s="15"/>
      <c r="K524" s="12"/>
      <c r="L524" s="11"/>
      <c r="M524" s="15"/>
      <c r="N524" s="17"/>
      <c r="O524" s="17"/>
      <c r="P524" s="17"/>
      <c r="Q524" s="48"/>
      <c r="R524" s="11"/>
      <c r="S524" s="48"/>
      <c r="T524" s="85"/>
      <c r="U524" s="88"/>
      <c r="V524" s="32" t="s">
        <v>915</v>
      </c>
      <c r="W524" s="25"/>
      <c r="X524" s="11"/>
      <c r="Y524" s="50"/>
      <c r="Z524" s="50"/>
      <c r="AA524" s="50"/>
      <c r="AB524" s="50"/>
      <c r="AC524" s="50"/>
      <c r="AD524" s="50"/>
      <c r="AE524" s="50"/>
      <c r="AF524" s="34"/>
      <c r="AG524" s="34"/>
      <c r="AH524" s="34"/>
      <c r="AI524" s="34"/>
      <c r="AJ524" s="34"/>
      <c r="AK524" s="34"/>
      <c r="AL524" s="34"/>
      <c r="AM524" s="34"/>
      <c r="AN524" s="34"/>
      <c r="AO524" s="65"/>
      <c r="AP524" s="69"/>
      <c r="AQ524" s="62"/>
      <c r="AR524" s="34"/>
    </row>
    <row r="525" spans="1:44" customFormat="1">
      <c r="A525" s="39">
        <v>44056</v>
      </c>
      <c r="B525" s="11" t="s">
        <v>22</v>
      </c>
      <c r="C525" s="16" t="s">
        <v>2176</v>
      </c>
      <c r="D525" s="16"/>
      <c r="E525" s="38">
        <v>30392</v>
      </c>
      <c r="F525" s="38"/>
      <c r="G525" s="10" t="s">
        <v>2177</v>
      </c>
      <c r="H525" s="12" t="s">
        <v>2178</v>
      </c>
      <c r="I525" s="13" t="s">
        <v>2179</v>
      </c>
      <c r="J525" s="15" t="s">
        <v>2180</v>
      </c>
      <c r="K525" s="12"/>
      <c r="L525" s="11"/>
      <c r="M525" s="15"/>
      <c r="N525" s="17">
        <v>2750</v>
      </c>
      <c r="O525" s="17"/>
      <c r="P525" s="17"/>
      <c r="Q525" s="48"/>
      <c r="R525" s="11"/>
      <c r="S525" s="48"/>
      <c r="T525" s="85"/>
      <c r="U525" s="88"/>
      <c r="V525" s="32" t="s">
        <v>2181</v>
      </c>
      <c r="W525" s="25" t="s">
        <v>8</v>
      </c>
      <c r="X525" s="11"/>
      <c r="Y525" s="50" t="s">
        <v>14</v>
      </c>
      <c r="Z525" s="50"/>
      <c r="AA525" s="50"/>
      <c r="AB525" s="50"/>
      <c r="AC525" s="50"/>
      <c r="AD525" s="50"/>
      <c r="AE525" s="50"/>
      <c r="AF525" s="34"/>
      <c r="AG525" s="34"/>
      <c r="AH525" s="34"/>
      <c r="AI525" s="34"/>
      <c r="AJ525" s="34"/>
      <c r="AK525" s="34"/>
      <c r="AL525" s="34"/>
      <c r="AM525" s="34"/>
      <c r="AN525" s="34"/>
      <c r="AO525" s="65"/>
      <c r="AP525" s="69"/>
      <c r="AQ525" s="62"/>
      <c r="AR525" s="34"/>
    </row>
    <row r="526" spans="1:44" customFormat="1">
      <c r="A526" s="39">
        <v>44056</v>
      </c>
      <c r="B526" s="11" t="s">
        <v>22</v>
      </c>
      <c r="C526" s="16" t="s">
        <v>2182</v>
      </c>
      <c r="D526" s="16"/>
      <c r="E526" s="38">
        <v>24833</v>
      </c>
      <c r="F526" s="38"/>
      <c r="G526" s="10" t="s">
        <v>2183</v>
      </c>
      <c r="H526" s="12" t="s">
        <v>2184</v>
      </c>
      <c r="I526" s="13" t="s">
        <v>2185</v>
      </c>
      <c r="J526" s="15" t="s">
        <v>2186</v>
      </c>
      <c r="K526" s="12"/>
      <c r="L526" s="11" t="s">
        <v>36</v>
      </c>
      <c r="M526" s="15"/>
      <c r="N526" s="17">
        <v>2750</v>
      </c>
      <c r="O526" s="17"/>
      <c r="P526" s="17"/>
      <c r="Q526" s="48"/>
      <c r="R526" s="11"/>
      <c r="S526" s="48"/>
      <c r="T526" s="85"/>
      <c r="U526" s="88"/>
      <c r="V526" s="32" t="s">
        <v>1744</v>
      </c>
      <c r="W526" s="25" t="s">
        <v>8</v>
      </c>
      <c r="X526" s="11"/>
      <c r="Y526" s="50" t="s">
        <v>11</v>
      </c>
      <c r="Z526" s="50"/>
      <c r="AA526" s="50"/>
      <c r="AB526" s="50"/>
      <c r="AC526" s="50"/>
      <c r="AD526" s="50"/>
      <c r="AE526" s="50"/>
      <c r="AF526" s="34"/>
      <c r="AG526" s="34"/>
      <c r="AH526" s="34"/>
      <c r="AI526" s="34"/>
      <c r="AJ526" s="34"/>
      <c r="AK526" s="34"/>
      <c r="AL526" s="34"/>
      <c r="AM526" s="34"/>
      <c r="AN526" s="34"/>
      <c r="AO526" s="65"/>
      <c r="AP526" s="69"/>
      <c r="AQ526" s="62"/>
      <c r="AR526" s="34"/>
    </row>
    <row r="527" spans="1:44" customFormat="1">
      <c r="A527" s="39">
        <v>44056</v>
      </c>
      <c r="B527" s="11" t="s">
        <v>49</v>
      </c>
      <c r="C527" s="16" t="s">
        <v>2187</v>
      </c>
      <c r="D527" s="16"/>
      <c r="E527" s="38">
        <v>22683</v>
      </c>
      <c r="F527" s="38"/>
      <c r="G527" s="10" t="s">
        <v>2034</v>
      </c>
      <c r="H527" s="12" t="s">
        <v>2188</v>
      </c>
      <c r="I527" s="13" t="s">
        <v>2189</v>
      </c>
      <c r="J527" s="15" t="s">
        <v>2190</v>
      </c>
      <c r="K527" s="12"/>
      <c r="L527" s="11"/>
      <c r="M527" s="15"/>
      <c r="N527" s="17">
        <v>11000</v>
      </c>
      <c r="O527" s="17"/>
      <c r="P527" s="17"/>
      <c r="Q527" s="48"/>
      <c r="R527" s="11"/>
      <c r="S527" s="48"/>
      <c r="T527" s="85"/>
      <c r="U527" s="88"/>
      <c r="V527" s="32" t="s">
        <v>2191</v>
      </c>
      <c r="W527" s="25" t="s">
        <v>8</v>
      </c>
      <c r="X527" s="11"/>
      <c r="Y527" s="50"/>
      <c r="Z527" s="50"/>
      <c r="AA527" s="50"/>
      <c r="AB527" s="50"/>
      <c r="AC527" s="50"/>
      <c r="AD527" s="50"/>
      <c r="AE527" s="50"/>
      <c r="AF527" s="34"/>
      <c r="AG527" s="34"/>
      <c r="AH527" s="34"/>
      <c r="AI527" s="34"/>
      <c r="AJ527" s="34"/>
      <c r="AK527" s="34"/>
      <c r="AL527" s="34"/>
      <c r="AM527" s="34"/>
      <c r="AN527" s="34"/>
      <c r="AO527" s="65"/>
      <c r="AP527" s="69"/>
      <c r="AQ527" s="62"/>
      <c r="AR527" s="34"/>
    </row>
    <row r="528" spans="1:44" customFormat="1">
      <c r="A528" s="39">
        <v>44056</v>
      </c>
      <c r="B528" s="11" t="s">
        <v>2170</v>
      </c>
      <c r="C528" s="16" t="s">
        <v>2121</v>
      </c>
      <c r="D528" s="16"/>
      <c r="E528" s="38"/>
      <c r="F528" s="38"/>
      <c r="G528" s="10"/>
      <c r="H528" s="12"/>
      <c r="I528" s="13"/>
      <c r="J528" s="15"/>
      <c r="K528" s="12"/>
      <c r="L528" s="11"/>
      <c r="M528" s="15"/>
      <c r="N528" s="17">
        <v>5500</v>
      </c>
      <c r="O528" s="17"/>
      <c r="P528" s="17"/>
      <c r="Q528" s="48"/>
      <c r="R528" s="11"/>
      <c r="S528" s="48"/>
      <c r="T528" s="85"/>
      <c r="U528" s="88"/>
      <c r="V528" s="32" t="s">
        <v>2192</v>
      </c>
      <c r="W528" s="25"/>
      <c r="X528" s="11"/>
      <c r="Y528" s="50"/>
      <c r="Z528" s="50"/>
      <c r="AA528" s="50"/>
      <c r="AB528" s="50"/>
      <c r="AC528" s="50"/>
      <c r="AD528" s="50"/>
      <c r="AE528" s="50"/>
      <c r="AF528" s="34"/>
      <c r="AG528" s="34"/>
      <c r="AH528" s="34"/>
      <c r="AI528" s="34"/>
      <c r="AJ528" s="34"/>
      <c r="AK528" s="34"/>
      <c r="AL528" s="34"/>
      <c r="AM528" s="34"/>
      <c r="AN528" s="34"/>
      <c r="AO528" s="65"/>
      <c r="AP528" s="69"/>
      <c r="AQ528" s="62"/>
      <c r="AR528" s="34"/>
    </row>
    <row r="529" spans="1:44" customFormat="1">
      <c r="A529" s="39">
        <v>44057</v>
      </c>
      <c r="B529" s="11" t="s">
        <v>2170</v>
      </c>
      <c r="C529" s="16" t="s">
        <v>2165</v>
      </c>
      <c r="D529" s="16"/>
      <c r="E529" s="38"/>
      <c r="F529" s="38"/>
      <c r="G529" s="10"/>
      <c r="H529" s="12"/>
      <c r="I529" s="13"/>
      <c r="J529" s="15"/>
      <c r="K529" s="12"/>
      <c r="L529" s="11"/>
      <c r="M529" s="15"/>
      <c r="N529" s="17">
        <v>5500</v>
      </c>
      <c r="O529" s="17"/>
      <c r="P529" s="17"/>
      <c r="Q529" s="48"/>
      <c r="R529" s="11"/>
      <c r="S529" s="48"/>
      <c r="T529" s="85"/>
      <c r="U529" s="88"/>
      <c r="V529" s="32" t="s">
        <v>2193</v>
      </c>
      <c r="W529" s="25"/>
      <c r="X529" s="11"/>
      <c r="Y529" s="50"/>
      <c r="Z529" s="50"/>
      <c r="AA529" s="50"/>
      <c r="AB529" s="50"/>
      <c r="AC529" s="50"/>
      <c r="AD529" s="50"/>
      <c r="AE529" s="50"/>
      <c r="AF529" s="34"/>
      <c r="AG529" s="34"/>
      <c r="AH529" s="34"/>
      <c r="AI529" s="34"/>
      <c r="AJ529" s="34"/>
      <c r="AK529" s="34"/>
      <c r="AL529" s="34"/>
      <c r="AM529" s="34"/>
      <c r="AN529" s="34"/>
      <c r="AO529" s="65"/>
      <c r="AP529" s="69"/>
      <c r="AQ529" s="62"/>
      <c r="AR529" s="34"/>
    </row>
    <row r="530" spans="1:44" customFormat="1">
      <c r="A530" s="39">
        <v>44058</v>
      </c>
      <c r="B530" s="11" t="s">
        <v>49</v>
      </c>
      <c r="C530" s="16" t="s">
        <v>2194</v>
      </c>
      <c r="D530" s="16"/>
      <c r="E530" s="38">
        <v>29434</v>
      </c>
      <c r="F530" s="38"/>
      <c r="G530" s="10" t="s">
        <v>2196</v>
      </c>
      <c r="H530" s="12" t="s">
        <v>2197</v>
      </c>
      <c r="I530" s="13" t="s">
        <v>1862</v>
      </c>
      <c r="J530" s="15" t="s">
        <v>2195</v>
      </c>
      <c r="K530" s="12"/>
      <c r="L530" s="11" t="s">
        <v>33</v>
      </c>
      <c r="M530" s="15"/>
      <c r="N530" s="17">
        <v>19250</v>
      </c>
      <c r="O530" s="17"/>
      <c r="P530" s="17"/>
      <c r="Q530" s="48"/>
      <c r="R530" s="11"/>
      <c r="S530" s="48"/>
      <c r="T530" s="85"/>
      <c r="U530" s="88"/>
      <c r="V530" s="32" t="s">
        <v>2198</v>
      </c>
      <c r="W530" s="25" t="s">
        <v>48</v>
      </c>
      <c r="X530" s="11"/>
      <c r="Y530" s="50" t="s">
        <v>13</v>
      </c>
      <c r="Z530" s="50"/>
      <c r="AA530" s="50"/>
      <c r="AB530" s="50"/>
      <c r="AC530" s="50"/>
      <c r="AD530" s="50"/>
      <c r="AE530" s="50"/>
      <c r="AF530" s="34"/>
      <c r="AG530" s="34"/>
      <c r="AH530" s="34"/>
      <c r="AI530" s="34"/>
      <c r="AJ530" s="34"/>
      <c r="AK530" s="34"/>
      <c r="AL530" s="34"/>
      <c r="AM530" s="34"/>
      <c r="AN530" s="34"/>
      <c r="AO530" s="65"/>
      <c r="AP530" s="69"/>
      <c r="AQ530" s="62"/>
      <c r="AR530" s="34"/>
    </row>
    <row r="531" spans="1:44" customFormat="1">
      <c r="A531" s="39">
        <v>44059</v>
      </c>
      <c r="B531" s="11" t="s">
        <v>2170</v>
      </c>
      <c r="C531" s="16" t="s">
        <v>2121</v>
      </c>
      <c r="D531" s="16"/>
      <c r="E531" s="38"/>
      <c r="F531" s="38"/>
      <c r="G531" s="10"/>
      <c r="H531" s="12"/>
      <c r="I531" s="13"/>
      <c r="J531" s="15"/>
      <c r="K531" s="12"/>
      <c r="L531" s="11"/>
      <c r="M531" s="15"/>
      <c r="N531" s="17">
        <v>5500</v>
      </c>
      <c r="O531" s="17"/>
      <c r="P531" s="17"/>
      <c r="Q531" s="48"/>
      <c r="R531" s="11"/>
      <c r="S531" s="48"/>
      <c r="T531" s="85"/>
      <c r="U531" s="88"/>
      <c r="V531" s="32" t="s">
        <v>2199</v>
      </c>
      <c r="W531" s="25"/>
      <c r="X531" s="11"/>
      <c r="Y531" s="50"/>
      <c r="Z531" s="50"/>
      <c r="AA531" s="50"/>
      <c r="AB531" s="50"/>
      <c r="AC531" s="50"/>
      <c r="AD531" s="50"/>
      <c r="AE531" s="50"/>
      <c r="AF531" s="34"/>
      <c r="AG531" s="34"/>
      <c r="AH531" s="34"/>
      <c r="AI531" s="34"/>
      <c r="AJ531" s="34"/>
      <c r="AK531" s="34"/>
      <c r="AL531" s="34"/>
      <c r="AM531" s="34"/>
      <c r="AN531" s="34"/>
      <c r="AO531" s="65"/>
      <c r="AP531" s="69"/>
      <c r="AQ531" s="62"/>
      <c r="AR531" s="34"/>
    </row>
    <row r="532" spans="1:44" customFormat="1">
      <c r="A532" s="39">
        <v>44059</v>
      </c>
      <c r="B532" s="11" t="s">
        <v>2170</v>
      </c>
      <c r="C532" s="16" t="s">
        <v>2194</v>
      </c>
      <c r="D532" s="16"/>
      <c r="E532" s="38"/>
      <c r="F532" s="38"/>
      <c r="G532" s="10"/>
      <c r="H532" s="12"/>
      <c r="I532" s="13"/>
      <c r="J532" s="15"/>
      <c r="K532" s="12"/>
      <c r="L532" s="11"/>
      <c r="M532" s="15"/>
      <c r="N532" s="17">
        <v>5500</v>
      </c>
      <c r="O532" s="17"/>
      <c r="P532" s="17"/>
      <c r="Q532" s="48"/>
      <c r="R532" s="11"/>
      <c r="S532" s="48"/>
      <c r="T532" s="85"/>
      <c r="U532" s="88"/>
      <c r="V532" s="32" t="s">
        <v>2192</v>
      </c>
      <c r="W532" s="25"/>
      <c r="X532" s="11"/>
      <c r="Y532" s="50"/>
      <c r="Z532" s="50"/>
      <c r="AA532" s="50"/>
      <c r="AB532" s="50"/>
      <c r="AC532" s="50"/>
      <c r="AD532" s="50"/>
      <c r="AE532" s="50"/>
      <c r="AF532" s="34"/>
      <c r="AG532" s="34"/>
      <c r="AH532" s="34"/>
      <c r="AI532" s="34"/>
      <c r="AJ532" s="34"/>
      <c r="AK532" s="34"/>
      <c r="AL532" s="34"/>
      <c r="AM532" s="34"/>
      <c r="AN532" s="34"/>
      <c r="AO532" s="65"/>
      <c r="AP532" s="69"/>
      <c r="AQ532" s="62"/>
      <c r="AR532" s="34"/>
    </row>
    <row r="533" spans="1:44" customFormat="1">
      <c r="A533" s="39">
        <v>44059</v>
      </c>
      <c r="B533" s="11" t="s">
        <v>49</v>
      </c>
      <c r="C533" s="16" t="s">
        <v>2200</v>
      </c>
      <c r="D533" s="16"/>
      <c r="E533" s="38">
        <v>24935</v>
      </c>
      <c r="F533" s="38"/>
      <c r="G533" s="10" t="s">
        <v>2201</v>
      </c>
      <c r="H533" s="12" t="s">
        <v>2202</v>
      </c>
      <c r="I533" s="13" t="s">
        <v>2203</v>
      </c>
      <c r="J533" s="15" t="s">
        <v>2204</v>
      </c>
      <c r="K533" s="14" t="s">
        <v>2205</v>
      </c>
      <c r="L533" s="11" t="s">
        <v>36</v>
      </c>
      <c r="M533" s="15"/>
      <c r="N533" s="17">
        <v>16500</v>
      </c>
      <c r="O533" s="17"/>
      <c r="P533" s="17"/>
      <c r="Q533" s="48"/>
      <c r="R533" s="11"/>
      <c r="S533" s="48"/>
      <c r="T533" s="85"/>
      <c r="U533" s="88"/>
      <c r="V533" s="32"/>
      <c r="W533" s="25" t="s">
        <v>48</v>
      </c>
      <c r="X533" s="11"/>
      <c r="Y533" s="50" t="s">
        <v>13</v>
      </c>
      <c r="Z533" s="50"/>
      <c r="AA533" s="50"/>
      <c r="AB533" s="50"/>
      <c r="AC533" s="50"/>
      <c r="AD533" s="50"/>
      <c r="AE533" s="50"/>
      <c r="AF533" s="34"/>
      <c r="AG533" s="34"/>
      <c r="AH533" s="34"/>
      <c r="AI533" s="34"/>
      <c r="AJ533" s="34"/>
      <c r="AK533" s="34"/>
      <c r="AL533" s="34"/>
      <c r="AM533" s="34"/>
      <c r="AN533" s="34"/>
      <c r="AO533" s="65"/>
      <c r="AP533" s="69"/>
      <c r="AQ533" s="62"/>
      <c r="AR533" s="34"/>
    </row>
    <row r="534" spans="1:44" customFormat="1">
      <c r="A534" s="39">
        <v>44059</v>
      </c>
      <c r="B534" s="11" t="s">
        <v>22</v>
      </c>
      <c r="C534" s="16" t="s">
        <v>2207</v>
      </c>
      <c r="D534" s="16"/>
      <c r="E534" s="38">
        <v>30368</v>
      </c>
      <c r="F534" s="38"/>
      <c r="G534" s="10" t="s">
        <v>358</v>
      </c>
      <c r="H534" s="12" t="s">
        <v>2208</v>
      </c>
      <c r="I534" s="13" t="s">
        <v>2209</v>
      </c>
      <c r="J534" s="15" t="s">
        <v>2206</v>
      </c>
      <c r="K534" s="12"/>
      <c r="L534" s="11" t="s">
        <v>33</v>
      </c>
      <c r="M534" s="15"/>
      <c r="N534" s="17">
        <v>2750</v>
      </c>
      <c r="O534" s="17"/>
      <c r="P534" s="17"/>
      <c r="Q534" s="48"/>
      <c r="R534" s="11"/>
      <c r="S534" s="48"/>
      <c r="T534" s="85"/>
      <c r="U534" s="88"/>
      <c r="V534" s="32" t="s">
        <v>1744</v>
      </c>
      <c r="W534" s="25" t="s">
        <v>48</v>
      </c>
      <c r="X534" s="11"/>
      <c r="Y534" s="50" t="s">
        <v>12</v>
      </c>
      <c r="Z534" s="50"/>
      <c r="AA534" s="50"/>
      <c r="AB534" s="50"/>
      <c r="AC534" s="50"/>
      <c r="AD534" s="50"/>
      <c r="AE534" s="50"/>
      <c r="AF534" s="34"/>
      <c r="AG534" s="34"/>
      <c r="AH534" s="34"/>
      <c r="AI534" s="34"/>
      <c r="AJ534" s="34"/>
      <c r="AK534" s="34"/>
      <c r="AL534" s="34"/>
      <c r="AM534" s="34"/>
      <c r="AN534" s="34"/>
      <c r="AO534" s="65"/>
      <c r="AP534" s="69"/>
      <c r="AQ534" s="62"/>
      <c r="AR534" s="34"/>
    </row>
    <row r="535" spans="1:44" customFormat="1">
      <c r="A535" s="39">
        <v>44063</v>
      </c>
      <c r="B535" s="11" t="s">
        <v>2170</v>
      </c>
      <c r="C535" s="16" t="s">
        <v>2194</v>
      </c>
      <c r="D535" s="16"/>
      <c r="E535" s="38"/>
      <c r="F535" s="38"/>
      <c r="G535" s="10"/>
      <c r="H535" s="12"/>
      <c r="I535" s="13"/>
      <c r="J535" s="15"/>
      <c r="K535" s="12"/>
      <c r="L535" s="11"/>
      <c r="M535" s="15"/>
      <c r="N535" s="17">
        <v>5500</v>
      </c>
      <c r="O535" s="17"/>
      <c r="P535" s="17"/>
      <c r="Q535" s="48"/>
      <c r="R535" s="11"/>
      <c r="S535" s="48"/>
      <c r="T535" s="85"/>
      <c r="U535" s="88"/>
      <c r="V535" s="32" t="s">
        <v>2199</v>
      </c>
      <c r="W535" s="25"/>
      <c r="X535" s="11"/>
      <c r="Y535" s="50"/>
      <c r="Z535" s="50"/>
      <c r="AA535" s="50"/>
      <c r="AB535" s="50"/>
      <c r="AC535" s="50"/>
      <c r="AD535" s="50"/>
      <c r="AE535" s="50"/>
      <c r="AF535" s="34"/>
      <c r="AG535" s="34"/>
      <c r="AH535" s="34"/>
      <c r="AI535" s="34"/>
      <c r="AJ535" s="34"/>
      <c r="AK535" s="34"/>
      <c r="AL535" s="34"/>
      <c r="AM535" s="34"/>
      <c r="AN535" s="34"/>
      <c r="AO535" s="65"/>
      <c r="AP535" s="69"/>
      <c r="AQ535" s="62"/>
      <c r="AR535" s="34"/>
    </row>
    <row r="536" spans="1:44" customFormat="1">
      <c r="A536" s="39">
        <v>44063</v>
      </c>
      <c r="B536" s="11" t="s">
        <v>49</v>
      </c>
      <c r="C536" s="16" t="s">
        <v>2210</v>
      </c>
      <c r="D536" s="16"/>
      <c r="E536" s="38">
        <v>29003</v>
      </c>
      <c r="F536" s="38"/>
      <c r="G536" s="10" t="s">
        <v>2211</v>
      </c>
      <c r="H536" s="12" t="s">
        <v>2212</v>
      </c>
      <c r="I536" s="13" t="s">
        <v>2213</v>
      </c>
      <c r="J536" s="15" t="s">
        <v>2214</v>
      </c>
      <c r="K536" s="12"/>
      <c r="L536" s="11" t="s">
        <v>33</v>
      </c>
      <c r="M536" s="15"/>
      <c r="N536" s="17">
        <v>22000</v>
      </c>
      <c r="O536" s="17"/>
      <c r="P536" s="17"/>
      <c r="Q536" s="48"/>
      <c r="R536" s="11"/>
      <c r="S536" s="48"/>
      <c r="T536" s="85"/>
      <c r="U536" s="88"/>
      <c r="V536" s="32"/>
      <c r="W536" s="25" t="s">
        <v>8</v>
      </c>
      <c r="X536" s="11"/>
      <c r="Y536" s="50" t="s">
        <v>13</v>
      </c>
      <c r="Z536" s="50"/>
      <c r="AA536" s="50"/>
      <c r="AB536" s="50"/>
      <c r="AC536" s="50"/>
      <c r="AD536" s="50"/>
      <c r="AE536" s="50"/>
      <c r="AF536" s="34"/>
      <c r="AG536" s="34"/>
      <c r="AH536" s="34"/>
      <c r="AI536" s="34"/>
      <c r="AJ536" s="34"/>
      <c r="AK536" s="34"/>
      <c r="AL536" s="34"/>
      <c r="AM536" s="34"/>
      <c r="AN536" s="34"/>
      <c r="AO536" s="65"/>
      <c r="AP536" s="69"/>
      <c r="AQ536" s="62"/>
      <c r="AR536" s="34"/>
    </row>
    <row r="537" spans="1:44" customFormat="1">
      <c r="A537" s="39">
        <v>44063</v>
      </c>
      <c r="B537" s="11" t="s">
        <v>49</v>
      </c>
      <c r="C537" s="16" t="s">
        <v>2215</v>
      </c>
      <c r="D537" s="16"/>
      <c r="E537" s="38">
        <v>28833</v>
      </c>
      <c r="F537" s="38"/>
      <c r="G537" s="10" t="s">
        <v>2216</v>
      </c>
      <c r="H537" s="12" t="s">
        <v>2217</v>
      </c>
      <c r="I537" s="13" t="s">
        <v>1797</v>
      </c>
      <c r="J537" s="15" t="s">
        <v>2218</v>
      </c>
      <c r="K537" s="12"/>
      <c r="L537" s="11" t="s">
        <v>33</v>
      </c>
      <c r="M537" s="15"/>
      <c r="N537" s="17">
        <v>14850</v>
      </c>
      <c r="O537" s="17"/>
      <c r="P537" s="17"/>
      <c r="Q537" s="48"/>
      <c r="R537" s="11"/>
      <c r="S537" s="48"/>
      <c r="T537" s="85"/>
      <c r="U537" s="88"/>
      <c r="V537" s="32" t="s">
        <v>2219</v>
      </c>
      <c r="W537" s="25" t="s">
        <v>8</v>
      </c>
      <c r="X537" s="11"/>
      <c r="Y537" s="50"/>
      <c r="Z537" s="50"/>
      <c r="AA537" s="50"/>
      <c r="AB537" s="50"/>
      <c r="AC537" s="50"/>
      <c r="AD537" s="50"/>
      <c r="AE537" s="50"/>
      <c r="AF537" s="34"/>
      <c r="AG537" s="34"/>
      <c r="AH537" s="34"/>
      <c r="AI537" s="34"/>
      <c r="AJ537" s="34"/>
      <c r="AK537" s="34"/>
      <c r="AL537" s="34"/>
      <c r="AM537" s="34"/>
      <c r="AN537" s="34"/>
      <c r="AO537" s="65"/>
      <c r="AP537" s="69"/>
      <c r="AQ537" s="62"/>
      <c r="AR537" s="34"/>
    </row>
    <row r="538" spans="1:44" customFormat="1">
      <c r="A538" s="39">
        <v>44064</v>
      </c>
      <c r="B538" s="11" t="s">
        <v>49</v>
      </c>
      <c r="C538" s="16" t="s">
        <v>2220</v>
      </c>
      <c r="D538" s="16"/>
      <c r="E538" s="38">
        <v>29887</v>
      </c>
      <c r="F538" s="38"/>
      <c r="G538" s="10" t="s">
        <v>2222</v>
      </c>
      <c r="H538" s="12" t="s">
        <v>2224</v>
      </c>
      <c r="I538" s="13" t="s">
        <v>2226</v>
      </c>
      <c r="J538" s="15" t="s">
        <v>2228</v>
      </c>
      <c r="K538" s="12"/>
      <c r="L538" s="11" t="s">
        <v>33</v>
      </c>
      <c r="M538" s="15"/>
      <c r="N538" s="17">
        <v>19800</v>
      </c>
      <c r="O538" s="17"/>
      <c r="P538" s="17"/>
      <c r="Q538" s="48"/>
      <c r="R538" s="11"/>
      <c r="S538" s="48"/>
      <c r="T538" s="85"/>
      <c r="U538" s="88"/>
      <c r="V538" s="32" t="s">
        <v>2230</v>
      </c>
      <c r="W538" s="25" t="s">
        <v>8</v>
      </c>
      <c r="X538" s="11"/>
      <c r="Y538" s="50" t="s">
        <v>12</v>
      </c>
      <c r="Z538" s="50"/>
      <c r="AA538" s="50"/>
      <c r="AB538" s="50"/>
      <c r="AC538" s="50"/>
      <c r="AD538" s="50"/>
      <c r="AE538" s="50"/>
      <c r="AF538" s="34"/>
      <c r="AG538" s="34"/>
      <c r="AH538" s="34"/>
      <c r="AI538" s="34"/>
      <c r="AJ538" s="34"/>
      <c r="AK538" s="34"/>
      <c r="AL538" s="34"/>
      <c r="AM538" s="34"/>
      <c r="AN538" s="34"/>
      <c r="AO538" s="65"/>
      <c r="AP538" s="69"/>
      <c r="AQ538" s="62"/>
      <c r="AR538" s="34"/>
    </row>
    <row r="539" spans="1:44" customFormat="1">
      <c r="A539" s="39">
        <v>44064</v>
      </c>
      <c r="B539" s="11" t="s">
        <v>22</v>
      </c>
      <c r="C539" s="16" t="s">
        <v>2221</v>
      </c>
      <c r="D539" s="16"/>
      <c r="E539" s="38">
        <v>30443</v>
      </c>
      <c r="F539" s="38"/>
      <c r="G539" s="10" t="s">
        <v>2223</v>
      </c>
      <c r="H539" s="12" t="s">
        <v>2225</v>
      </c>
      <c r="I539" s="13" t="s">
        <v>2227</v>
      </c>
      <c r="J539" s="15" t="s">
        <v>2229</v>
      </c>
      <c r="K539" s="12"/>
      <c r="L539" s="11" t="s">
        <v>33</v>
      </c>
      <c r="M539" s="15"/>
      <c r="N539" s="17">
        <v>2750</v>
      </c>
      <c r="O539" s="17"/>
      <c r="P539" s="17"/>
      <c r="Q539" s="48"/>
      <c r="R539" s="11"/>
      <c r="S539" s="48"/>
      <c r="T539" s="85"/>
      <c r="U539" s="88"/>
      <c r="V539" s="32" t="s">
        <v>1744</v>
      </c>
      <c r="W539" s="25" t="s">
        <v>8</v>
      </c>
      <c r="X539" s="11"/>
      <c r="Y539" s="50"/>
      <c r="Z539" s="50"/>
      <c r="AA539" s="50"/>
      <c r="AB539" s="50"/>
      <c r="AC539" s="50"/>
      <c r="AD539" s="50"/>
      <c r="AE539" s="50"/>
      <c r="AF539" s="34"/>
      <c r="AG539" s="34"/>
      <c r="AH539" s="34"/>
      <c r="AI539" s="34"/>
      <c r="AJ539" s="34"/>
      <c r="AK539" s="34"/>
      <c r="AL539" s="34"/>
      <c r="AM539" s="34"/>
      <c r="AN539" s="34"/>
      <c r="AO539" s="65"/>
      <c r="AP539" s="69"/>
      <c r="AQ539" s="62"/>
      <c r="AR539" s="34"/>
    </row>
    <row r="540" spans="1:44" customFormat="1">
      <c r="A540" s="39">
        <v>44065</v>
      </c>
      <c r="B540" s="11" t="s">
        <v>2170</v>
      </c>
      <c r="C540" s="16" t="s">
        <v>2003</v>
      </c>
      <c r="D540" s="16"/>
      <c r="E540" s="38"/>
      <c r="F540" s="38"/>
      <c r="G540" s="10"/>
      <c r="H540" s="12"/>
      <c r="I540" s="13"/>
      <c r="J540" s="15"/>
      <c r="K540" s="12"/>
      <c r="L540" s="11"/>
      <c r="M540" s="15"/>
      <c r="N540" s="17">
        <v>3300</v>
      </c>
      <c r="O540" s="17"/>
      <c r="P540" s="17"/>
      <c r="Q540" s="48"/>
      <c r="R540" s="11"/>
      <c r="S540" s="48"/>
      <c r="T540" s="85"/>
      <c r="U540" s="88"/>
      <c r="V540" s="32" t="s">
        <v>2005</v>
      </c>
      <c r="W540" s="25"/>
      <c r="X540" s="11"/>
      <c r="Y540" s="50"/>
      <c r="Z540" s="50"/>
      <c r="AA540" s="50"/>
      <c r="AB540" s="50"/>
      <c r="AC540" s="50"/>
      <c r="AD540" s="50"/>
      <c r="AE540" s="50"/>
      <c r="AF540" s="34"/>
      <c r="AG540" s="34"/>
      <c r="AH540" s="34"/>
      <c r="AI540" s="34"/>
      <c r="AJ540" s="34"/>
      <c r="AK540" s="34"/>
      <c r="AL540" s="34"/>
      <c r="AM540" s="34"/>
      <c r="AN540" s="34"/>
      <c r="AO540" s="65"/>
      <c r="AP540" s="69"/>
      <c r="AQ540" s="62"/>
      <c r="AR540" s="34"/>
    </row>
    <row r="541" spans="1:44" customFormat="1">
      <c r="A541" s="39">
        <v>44065</v>
      </c>
      <c r="B541" s="11" t="s">
        <v>49</v>
      </c>
      <c r="C541" s="16" t="s">
        <v>2231</v>
      </c>
      <c r="D541" s="16"/>
      <c r="E541" s="38">
        <v>24833</v>
      </c>
      <c r="F541" s="38"/>
      <c r="G541" s="10" t="s">
        <v>2232</v>
      </c>
      <c r="H541" s="12" t="s">
        <v>2233</v>
      </c>
      <c r="I541" s="13" t="s">
        <v>1862</v>
      </c>
      <c r="J541" s="15" t="s">
        <v>2234</v>
      </c>
      <c r="K541" s="12"/>
      <c r="L541" s="11" t="s">
        <v>33</v>
      </c>
      <c r="M541" s="15"/>
      <c r="N541" s="17">
        <v>16500</v>
      </c>
      <c r="O541" s="17"/>
      <c r="P541" s="17"/>
      <c r="Q541" s="48"/>
      <c r="R541" s="11"/>
      <c r="S541" s="48"/>
      <c r="T541" s="85"/>
      <c r="U541" s="88"/>
      <c r="V541" s="32"/>
      <c r="W541" s="25" t="s">
        <v>48</v>
      </c>
      <c r="X541" s="11"/>
      <c r="Y541" s="50" t="s">
        <v>12</v>
      </c>
      <c r="Z541" s="50"/>
      <c r="AA541" s="50"/>
      <c r="AB541" s="50"/>
      <c r="AC541" s="50"/>
      <c r="AD541" s="50"/>
      <c r="AE541" s="50"/>
      <c r="AF541" s="34"/>
      <c r="AG541" s="34"/>
      <c r="AH541" s="34"/>
      <c r="AI541" s="34"/>
      <c r="AJ541" s="34"/>
      <c r="AK541" s="34"/>
      <c r="AL541" s="34"/>
      <c r="AM541" s="34"/>
      <c r="AN541" s="34"/>
      <c r="AO541" s="65"/>
      <c r="AP541" s="69"/>
      <c r="AQ541" s="62"/>
      <c r="AR541" s="34"/>
    </row>
    <row r="542" spans="1:44" customFormat="1">
      <c r="A542" s="39">
        <v>44066</v>
      </c>
      <c r="B542" s="11" t="s">
        <v>22</v>
      </c>
      <c r="C542" s="16" t="s">
        <v>2235</v>
      </c>
      <c r="D542" s="16"/>
      <c r="E542" s="38">
        <v>25089</v>
      </c>
      <c r="F542" s="38"/>
      <c r="G542" s="10" t="s">
        <v>2237</v>
      </c>
      <c r="H542" s="12" t="s">
        <v>2238</v>
      </c>
      <c r="I542" s="13" t="s">
        <v>2142</v>
      </c>
      <c r="J542" s="15" t="s">
        <v>2236</v>
      </c>
      <c r="K542" s="12"/>
      <c r="L542" s="11" t="s">
        <v>34</v>
      </c>
      <c r="M542" s="15"/>
      <c r="N542" s="17">
        <v>2750</v>
      </c>
      <c r="O542" s="17"/>
      <c r="P542" s="17"/>
      <c r="Q542" s="48"/>
      <c r="R542" s="11"/>
      <c r="S542" s="48"/>
      <c r="T542" s="85"/>
      <c r="U542" s="88"/>
      <c r="V542" s="32" t="s">
        <v>1744</v>
      </c>
      <c r="W542" s="25" t="s">
        <v>8</v>
      </c>
      <c r="X542" s="11"/>
      <c r="Y542" s="50" t="s">
        <v>14</v>
      </c>
      <c r="Z542" s="50"/>
      <c r="AA542" s="50"/>
      <c r="AB542" s="50"/>
      <c r="AC542" s="50"/>
      <c r="AD542" s="50"/>
      <c r="AE542" s="50"/>
      <c r="AF542" s="34"/>
      <c r="AG542" s="34"/>
      <c r="AH542" s="34"/>
      <c r="AI542" s="34"/>
      <c r="AJ542" s="34"/>
      <c r="AK542" s="34"/>
      <c r="AL542" s="34"/>
      <c r="AM542" s="34"/>
      <c r="AN542" s="34"/>
      <c r="AO542" s="65"/>
      <c r="AP542" s="69"/>
      <c r="AQ542" s="62"/>
      <c r="AR542" s="34"/>
    </row>
    <row r="543" spans="1:44" customFormat="1">
      <c r="A543" s="39">
        <v>44067</v>
      </c>
      <c r="B543" s="11" t="s">
        <v>49</v>
      </c>
      <c r="C543" s="16" t="s">
        <v>2239</v>
      </c>
      <c r="D543" s="16"/>
      <c r="E543" s="38">
        <v>22312</v>
      </c>
      <c r="F543" s="38"/>
      <c r="G543" s="10" t="s">
        <v>2242</v>
      </c>
      <c r="H543" s="12" t="s">
        <v>2245</v>
      </c>
      <c r="I543" s="13" t="s">
        <v>2248</v>
      </c>
      <c r="J543" s="15" t="s">
        <v>2250</v>
      </c>
      <c r="K543" s="12"/>
      <c r="L543" s="11" t="s">
        <v>33</v>
      </c>
      <c r="M543" s="15"/>
      <c r="N543" s="17">
        <v>16500</v>
      </c>
      <c r="O543" s="17"/>
      <c r="P543" s="17"/>
      <c r="Q543" s="48"/>
      <c r="R543" s="11"/>
      <c r="S543" s="48"/>
      <c r="T543" s="85"/>
      <c r="U543" s="88"/>
      <c r="V543" s="32"/>
      <c r="W543" s="25" t="s">
        <v>8</v>
      </c>
      <c r="X543" s="11"/>
      <c r="Y543" s="50"/>
      <c r="Z543" s="50"/>
      <c r="AA543" s="50"/>
      <c r="AB543" s="50"/>
      <c r="AC543" s="50"/>
      <c r="AD543" s="50"/>
      <c r="AE543" s="50"/>
      <c r="AF543" s="34"/>
      <c r="AG543" s="34"/>
      <c r="AH543" s="34"/>
      <c r="AI543" s="34"/>
      <c r="AJ543" s="34"/>
      <c r="AK543" s="34"/>
      <c r="AL543" s="34"/>
      <c r="AM543" s="34"/>
      <c r="AN543" s="34"/>
      <c r="AO543" s="65"/>
      <c r="AP543" s="69"/>
      <c r="AQ543" s="62"/>
      <c r="AR543" s="34"/>
    </row>
    <row r="544" spans="1:44" customFormat="1">
      <c r="A544" s="39">
        <v>44067</v>
      </c>
      <c r="B544" s="11" t="s">
        <v>49</v>
      </c>
      <c r="C544" s="16" t="s">
        <v>2240</v>
      </c>
      <c r="D544" s="16"/>
      <c r="E544" s="38">
        <v>26003</v>
      </c>
      <c r="F544" s="38"/>
      <c r="G544" s="10" t="s">
        <v>2244</v>
      </c>
      <c r="H544" s="12" t="s">
        <v>2246</v>
      </c>
      <c r="I544" s="13" t="s">
        <v>1773</v>
      </c>
      <c r="J544" s="15" t="s">
        <v>2251</v>
      </c>
      <c r="K544" s="12"/>
      <c r="L544" s="11" t="s">
        <v>33</v>
      </c>
      <c r="M544" s="15"/>
      <c r="N544" s="17">
        <v>16500</v>
      </c>
      <c r="O544" s="17"/>
      <c r="P544" s="17"/>
      <c r="Q544" s="48"/>
      <c r="R544" s="11"/>
      <c r="S544" s="48"/>
      <c r="T544" s="85"/>
      <c r="U544" s="88"/>
      <c r="V544" s="32"/>
      <c r="W544" s="25" t="s">
        <v>48</v>
      </c>
      <c r="X544" s="11"/>
      <c r="Y544" s="50" t="s">
        <v>12</v>
      </c>
      <c r="Z544" s="50"/>
      <c r="AA544" s="50"/>
      <c r="AB544" s="50"/>
      <c r="AC544" s="50"/>
      <c r="AD544" s="50"/>
      <c r="AE544" s="50"/>
      <c r="AF544" s="34"/>
      <c r="AG544" s="34"/>
      <c r="AH544" s="34"/>
      <c r="AI544" s="34"/>
      <c r="AJ544" s="34"/>
      <c r="AK544" s="34"/>
      <c r="AL544" s="34"/>
      <c r="AM544" s="34"/>
      <c r="AN544" s="34"/>
      <c r="AO544" s="65"/>
      <c r="AP544" s="69"/>
      <c r="AQ544" s="62"/>
      <c r="AR544" s="34"/>
    </row>
    <row r="545" spans="1:44" customFormat="1">
      <c r="A545" s="39">
        <v>44067</v>
      </c>
      <c r="B545" s="11" t="s">
        <v>49</v>
      </c>
      <c r="C545" s="16" t="s">
        <v>2241</v>
      </c>
      <c r="D545" s="16"/>
      <c r="E545" s="38">
        <v>23168</v>
      </c>
      <c r="F545" s="38"/>
      <c r="G545" s="10" t="s">
        <v>2243</v>
      </c>
      <c r="H545" s="12" t="s">
        <v>2247</v>
      </c>
      <c r="I545" s="13" t="s">
        <v>2249</v>
      </c>
      <c r="J545" s="15" t="s">
        <v>2252</v>
      </c>
      <c r="K545" s="12"/>
      <c r="L545" s="11" t="s">
        <v>33</v>
      </c>
      <c r="M545" s="15"/>
      <c r="N545" s="17">
        <v>22000</v>
      </c>
      <c r="O545" s="17"/>
      <c r="P545" s="17"/>
      <c r="Q545" s="48"/>
      <c r="R545" s="11"/>
      <c r="S545" s="48"/>
      <c r="T545" s="85"/>
      <c r="U545" s="88"/>
      <c r="V545" s="32"/>
      <c r="W545" s="25" t="s">
        <v>8</v>
      </c>
      <c r="X545" s="11"/>
      <c r="Y545" s="50" t="s">
        <v>12</v>
      </c>
      <c r="Z545" s="50"/>
      <c r="AA545" s="50"/>
      <c r="AB545" s="50"/>
      <c r="AC545" s="50"/>
      <c r="AD545" s="50"/>
      <c r="AE545" s="50"/>
      <c r="AF545" s="34"/>
      <c r="AG545" s="34"/>
      <c r="AH545" s="34"/>
      <c r="AI545" s="34"/>
      <c r="AJ545" s="34"/>
      <c r="AK545" s="34"/>
      <c r="AL545" s="34"/>
      <c r="AM545" s="34"/>
      <c r="AN545" s="34"/>
      <c r="AO545" s="65"/>
      <c r="AP545" s="69"/>
      <c r="AQ545" s="62"/>
      <c r="AR545" s="34"/>
    </row>
    <row r="546" spans="1:44" customFormat="1">
      <c r="A546" s="39">
        <v>44069</v>
      </c>
      <c r="B546" s="11" t="s">
        <v>49</v>
      </c>
      <c r="C546" s="16" t="s">
        <v>2253</v>
      </c>
      <c r="D546" s="16"/>
      <c r="E546" s="38">
        <v>24777</v>
      </c>
      <c r="F546" s="38"/>
      <c r="G546" s="10" t="s">
        <v>2256</v>
      </c>
      <c r="H546" s="16" t="s">
        <v>2254</v>
      </c>
      <c r="I546" s="13" t="s">
        <v>2255</v>
      </c>
      <c r="J546" s="15" t="s">
        <v>2257</v>
      </c>
      <c r="K546" s="12"/>
      <c r="L546" s="11" t="s">
        <v>34</v>
      </c>
      <c r="M546" s="15"/>
      <c r="N546" s="17">
        <v>16500</v>
      </c>
      <c r="O546" s="17"/>
      <c r="P546" s="17"/>
      <c r="Q546" s="48"/>
      <c r="R546" s="11"/>
      <c r="S546" s="48"/>
      <c r="T546" s="85"/>
      <c r="U546" s="88"/>
      <c r="V546" s="32"/>
      <c r="W546" s="25" t="s">
        <v>48</v>
      </c>
      <c r="X546" s="11"/>
      <c r="Y546" s="50" t="s">
        <v>12</v>
      </c>
      <c r="Z546" s="50"/>
      <c r="AA546" s="50"/>
      <c r="AB546" s="50"/>
      <c r="AC546" s="50"/>
      <c r="AD546" s="50"/>
      <c r="AE546" s="50"/>
      <c r="AF546" s="34"/>
      <c r="AG546" s="34"/>
      <c r="AH546" s="34"/>
      <c r="AI546" s="34"/>
      <c r="AJ546" s="34"/>
      <c r="AK546" s="34"/>
      <c r="AL546" s="34"/>
      <c r="AM546" s="34"/>
      <c r="AN546" s="34"/>
      <c r="AO546" s="65"/>
      <c r="AP546" s="69"/>
      <c r="AQ546" s="62"/>
      <c r="AR546" s="34"/>
    </row>
    <row r="547" spans="1:44" customFormat="1">
      <c r="A547" s="39">
        <v>44070</v>
      </c>
      <c r="B547" s="11" t="s">
        <v>22</v>
      </c>
      <c r="C547" s="16" t="s">
        <v>2258</v>
      </c>
      <c r="D547" s="16"/>
      <c r="E547" s="38">
        <v>36633</v>
      </c>
      <c r="F547" s="38"/>
      <c r="G547" s="10" t="s">
        <v>621</v>
      </c>
      <c r="H547" s="2" t="s">
        <v>2259</v>
      </c>
      <c r="I547" s="13" t="s">
        <v>2260</v>
      </c>
      <c r="J547" s="15" t="s">
        <v>2261</v>
      </c>
      <c r="K547" s="12"/>
      <c r="L547" s="11" t="s">
        <v>38</v>
      </c>
      <c r="M547" s="15"/>
      <c r="N547" s="17">
        <v>2750</v>
      </c>
      <c r="O547" s="17"/>
      <c r="P547" s="17"/>
      <c r="Q547" s="48"/>
      <c r="R547" s="11"/>
      <c r="S547" s="48"/>
      <c r="T547" s="85"/>
      <c r="U547" s="88"/>
      <c r="V547" s="32" t="s">
        <v>1744</v>
      </c>
      <c r="W547" s="25" t="s">
        <v>48</v>
      </c>
      <c r="X547" s="11"/>
      <c r="Y547" s="50" t="s">
        <v>18</v>
      </c>
      <c r="Z547" s="50"/>
      <c r="AA547" s="50"/>
      <c r="AB547" s="50"/>
      <c r="AC547" s="50"/>
      <c r="AD547" s="50"/>
      <c r="AE547" s="50"/>
      <c r="AF547" s="34"/>
      <c r="AG547" s="34"/>
      <c r="AH547" s="34"/>
      <c r="AI547" s="34"/>
      <c r="AJ547" s="34"/>
      <c r="AK547" s="34"/>
      <c r="AL547" s="34"/>
      <c r="AM547" s="34"/>
      <c r="AN547" s="34"/>
      <c r="AO547" s="65"/>
      <c r="AP547" s="69"/>
      <c r="AQ547" s="62"/>
      <c r="AR547" s="34"/>
    </row>
    <row r="548" spans="1:44" customFormat="1">
      <c r="A548" s="39">
        <v>44070</v>
      </c>
      <c r="B548" s="11" t="s">
        <v>5659</v>
      </c>
      <c r="C548" s="16" t="s">
        <v>2262</v>
      </c>
      <c r="D548" s="16"/>
      <c r="E548" s="38">
        <v>23784</v>
      </c>
      <c r="F548" s="38"/>
      <c r="G548" s="10" t="s">
        <v>2263</v>
      </c>
      <c r="H548" s="12" t="s">
        <v>2264</v>
      </c>
      <c r="I548" s="13" t="s">
        <v>2265</v>
      </c>
      <c r="J548" s="15" t="s">
        <v>2266</v>
      </c>
      <c r="K548" s="12"/>
      <c r="L548" s="11" t="s">
        <v>33</v>
      </c>
      <c r="M548" s="15"/>
      <c r="N548" s="17">
        <v>2000</v>
      </c>
      <c r="O548" s="17"/>
      <c r="P548" s="17"/>
      <c r="Q548" s="48"/>
      <c r="R548" s="11"/>
      <c r="S548" s="48"/>
      <c r="T548" s="85"/>
      <c r="U548" s="88"/>
      <c r="V548" s="32" t="s">
        <v>2267</v>
      </c>
      <c r="W548" s="25" t="s">
        <v>8</v>
      </c>
      <c r="X548" s="11"/>
      <c r="Y548" s="50" t="s">
        <v>11</v>
      </c>
      <c r="Z548" s="50"/>
      <c r="AA548" s="50"/>
      <c r="AB548" s="50"/>
      <c r="AC548" s="50"/>
      <c r="AD548" s="50"/>
      <c r="AE548" s="50"/>
      <c r="AF548" s="34"/>
      <c r="AG548" s="34"/>
      <c r="AH548" s="34"/>
      <c r="AI548" s="34"/>
      <c r="AJ548" s="34"/>
      <c r="AK548" s="34"/>
      <c r="AL548" s="34"/>
      <c r="AM548" s="34"/>
      <c r="AN548" s="34"/>
      <c r="AO548" s="65"/>
      <c r="AP548" s="69"/>
      <c r="AQ548" s="62"/>
      <c r="AR548" s="34"/>
    </row>
    <row r="549" spans="1:44" customFormat="1">
      <c r="A549" s="39">
        <v>44070</v>
      </c>
      <c r="B549" s="11" t="s">
        <v>5659</v>
      </c>
      <c r="C549" s="16" t="s">
        <v>2268</v>
      </c>
      <c r="D549" s="16"/>
      <c r="E549" s="38">
        <v>34493</v>
      </c>
      <c r="F549" s="38"/>
      <c r="G549" s="10" t="s">
        <v>2269</v>
      </c>
      <c r="H549" s="12" t="s">
        <v>2270</v>
      </c>
      <c r="I549" s="13" t="s">
        <v>2271</v>
      </c>
      <c r="J549" s="15" t="s">
        <v>2272</v>
      </c>
      <c r="K549" s="12"/>
      <c r="L549" s="11" t="s">
        <v>36</v>
      </c>
      <c r="M549" s="15"/>
      <c r="N549" s="17">
        <v>0</v>
      </c>
      <c r="O549" s="17"/>
      <c r="P549" s="17"/>
      <c r="Q549" s="48"/>
      <c r="R549" s="11"/>
      <c r="S549" s="48"/>
      <c r="T549" s="85"/>
      <c r="U549" s="88"/>
      <c r="V549" s="32" t="s">
        <v>2304</v>
      </c>
      <c r="W549" s="25" t="s">
        <v>8</v>
      </c>
      <c r="X549" s="11"/>
      <c r="Y549" s="50" t="s">
        <v>11</v>
      </c>
      <c r="Z549" s="50"/>
      <c r="AA549" s="50"/>
      <c r="AB549" s="50"/>
      <c r="AC549" s="50"/>
      <c r="AD549" s="50"/>
      <c r="AE549" s="50"/>
      <c r="AF549" s="34"/>
      <c r="AG549" s="34"/>
      <c r="AH549" s="34"/>
      <c r="AI549" s="34"/>
      <c r="AJ549" s="34"/>
      <c r="AK549" s="34"/>
      <c r="AL549" s="34"/>
      <c r="AM549" s="34"/>
      <c r="AN549" s="34"/>
      <c r="AO549" s="65"/>
      <c r="AP549" s="69"/>
      <c r="AQ549" s="62"/>
      <c r="AR549" s="34"/>
    </row>
    <row r="550" spans="1:44" customFormat="1">
      <c r="A550" s="39">
        <v>44070</v>
      </c>
      <c r="B550" s="11" t="s">
        <v>22</v>
      </c>
      <c r="C550" s="16" t="s">
        <v>2273</v>
      </c>
      <c r="D550" s="16"/>
      <c r="E550" s="38">
        <v>30102</v>
      </c>
      <c r="F550" s="38"/>
      <c r="G550" s="10" t="s">
        <v>2274</v>
      </c>
      <c r="H550" s="12" t="s">
        <v>2275</v>
      </c>
      <c r="I550" s="13" t="s">
        <v>2277</v>
      </c>
      <c r="J550" s="15" t="s">
        <v>2276</v>
      </c>
      <c r="K550" s="12"/>
      <c r="L550" s="11" t="s">
        <v>33</v>
      </c>
      <c r="M550" s="15"/>
      <c r="N550" s="17" t="s">
        <v>2303</v>
      </c>
      <c r="O550" s="17"/>
      <c r="P550" s="17"/>
      <c r="Q550" s="48"/>
      <c r="R550" s="11"/>
      <c r="S550" s="48"/>
      <c r="T550" s="85"/>
      <c r="U550" s="88"/>
      <c r="V550" s="32" t="s">
        <v>2289</v>
      </c>
      <c r="W550" s="25" t="s">
        <v>8</v>
      </c>
      <c r="X550" s="11"/>
      <c r="Y550" s="50" t="s">
        <v>13</v>
      </c>
      <c r="Z550" s="50"/>
      <c r="AA550" s="50"/>
      <c r="AB550" s="50"/>
      <c r="AC550" s="50"/>
      <c r="AD550" s="50"/>
      <c r="AE550" s="50"/>
      <c r="AF550" s="34"/>
      <c r="AG550" s="34"/>
      <c r="AH550" s="34"/>
      <c r="AI550" s="34"/>
      <c r="AJ550" s="34"/>
      <c r="AK550" s="34"/>
      <c r="AL550" s="34"/>
      <c r="AM550" s="34"/>
      <c r="AN550" s="34"/>
      <c r="AO550" s="65"/>
      <c r="AP550" s="69"/>
      <c r="AQ550" s="62"/>
      <c r="AR550" s="34"/>
    </row>
    <row r="551" spans="1:44" customFormat="1">
      <c r="A551" s="39">
        <v>44070</v>
      </c>
      <c r="B551" s="11" t="s">
        <v>22</v>
      </c>
      <c r="C551" s="16" t="s">
        <v>2278</v>
      </c>
      <c r="D551" s="16"/>
      <c r="E551" s="38">
        <v>30167</v>
      </c>
      <c r="F551" s="38"/>
      <c r="G551" s="10" t="s">
        <v>2279</v>
      </c>
      <c r="H551" s="12" t="s">
        <v>2280</v>
      </c>
      <c r="I551" s="13" t="s">
        <v>2281</v>
      </c>
      <c r="J551" s="15" t="s">
        <v>2282</v>
      </c>
      <c r="K551" s="12"/>
      <c r="L551" s="11" t="s">
        <v>33</v>
      </c>
      <c r="M551" s="15"/>
      <c r="N551" s="17" t="s">
        <v>2303</v>
      </c>
      <c r="O551" s="17"/>
      <c r="P551" s="17"/>
      <c r="Q551" s="48"/>
      <c r="R551" s="11"/>
      <c r="S551" s="48"/>
      <c r="T551" s="85"/>
      <c r="U551" s="88"/>
      <c r="V551" s="32" t="s">
        <v>2289</v>
      </c>
      <c r="W551" s="25" t="s">
        <v>8</v>
      </c>
      <c r="X551" s="11"/>
      <c r="Y551" s="50" t="s">
        <v>12</v>
      </c>
      <c r="Z551" s="50"/>
      <c r="AA551" s="50"/>
      <c r="AB551" s="50"/>
      <c r="AC551" s="50"/>
      <c r="AD551" s="50"/>
      <c r="AE551" s="50"/>
      <c r="AF551" s="34"/>
      <c r="AG551" s="34"/>
      <c r="AH551" s="34"/>
      <c r="AI551" s="34"/>
      <c r="AJ551" s="34"/>
      <c r="AK551" s="34"/>
      <c r="AL551" s="34"/>
      <c r="AM551" s="34"/>
      <c r="AN551" s="34"/>
      <c r="AO551" s="65"/>
      <c r="AP551" s="69"/>
      <c r="AQ551" s="62"/>
      <c r="AR551" s="34"/>
    </row>
    <row r="552" spans="1:44" customFormat="1">
      <c r="A552" s="39">
        <v>44071</v>
      </c>
      <c r="B552" s="11" t="s">
        <v>49</v>
      </c>
      <c r="C552" s="16" t="s">
        <v>2283</v>
      </c>
      <c r="D552" s="16"/>
      <c r="E552" s="38">
        <v>26267</v>
      </c>
      <c r="F552" s="38"/>
      <c r="G552" s="10" t="s">
        <v>2284</v>
      </c>
      <c r="H552" s="12" t="s">
        <v>2285</v>
      </c>
      <c r="I552" s="13" t="s">
        <v>2286</v>
      </c>
      <c r="J552" s="15" t="s">
        <v>2287</v>
      </c>
      <c r="K552" s="12"/>
      <c r="L552" s="11" t="s">
        <v>33</v>
      </c>
      <c r="M552" s="15"/>
      <c r="N552" s="17">
        <v>11000</v>
      </c>
      <c r="O552" s="17"/>
      <c r="P552" s="17"/>
      <c r="Q552" s="48"/>
      <c r="R552" s="11"/>
      <c r="S552" s="48"/>
      <c r="T552" s="85"/>
      <c r="U552" s="88"/>
      <c r="V552" s="32" t="s">
        <v>2288</v>
      </c>
      <c r="W552" s="25" t="s">
        <v>8</v>
      </c>
      <c r="X552" s="11"/>
      <c r="Y552" s="50" t="s">
        <v>13</v>
      </c>
      <c r="Z552" s="50"/>
      <c r="AA552" s="50"/>
      <c r="AB552" s="50"/>
      <c r="AC552" s="50"/>
      <c r="AD552" s="50"/>
      <c r="AE552" s="50"/>
      <c r="AF552" s="34"/>
      <c r="AG552" s="34"/>
      <c r="AH552" s="34"/>
      <c r="AI552" s="34"/>
      <c r="AJ552" s="34"/>
      <c r="AK552" s="34"/>
      <c r="AL552" s="34"/>
      <c r="AM552" s="34"/>
      <c r="AN552" s="34"/>
      <c r="AO552" s="65"/>
      <c r="AP552" s="69"/>
      <c r="AQ552" s="62"/>
      <c r="AR552" s="34"/>
    </row>
    <row r="553" spans="1:44" customFormat="1">
      <c r="A553" s="39">
        <v>44071</v>
      </c>
      <c r="B553" s="11" t="s">
        <v>22</v>
      </c>
      <c r="C553" s="16" t="s">
        <v>2290</v>
      </c>
      <c r="D553" s="16"/>
      <c r="E553" s="38">
        <v>24899</v>
      </c>
      <c r="F553" s="38"/>
      <c r="G553" s="10" t="s">
        <v>2291</v>
      </c>
      <c r="H553" s="12" t="s">
        <v>2292</v>
      </c>
      <c r="I553" s="13" t="s">
        <v>2293</v>
      </c>
      <c r="J553" s="15" t="s">
        <v>2294</v>
      </c>
      <c r="K553" s="12"/>
      <c r="L553" s="11" t="s">
        <v>36</v>
      </c>
      <c r="M553" s="15"/>
      <c r="N553" s="17">
        <v>0</v>
      </c>
      <c r="O553" s="17"/>
      <c r="P553" s="17"/>
      <c r="Q553" s="48"/>
      <c r="R553" s="11"/>
      <c r="S553" s="48"/>
      <c r="T553" s="85"/>
      <c r="U553" s="88"/>
      <c r="V553" s="32" t="s">
        <v>2295</v>
      </c>
      <c r="W553" s="25" t="s">
        <v>8</v>
      </c>
      <c r="X553" s="11"/>
      <c r="Y553" s="50"/>
      <c r="Z553" s="50"/>
      <c r="AA553" s="50"/>
      <c r="AB553" s="50"/>
      <c r="AC553" s="50"/>
      <c r="AD553" s="50"/>
      <c r="AE553" s="50"/>
      <c r="AF553" s="34"/>
      <c r="AG553" s="34"/>
      <c r="AH553" s="34"/>
      <c r="AI553" s="34"/>
      <c r="AJ553" s="34"/>
      <c r="AK553" s="34"/>
      <c r="AL553" s="34"/>
      <c r="AM553" s="34"/>
      <c r="AN553" s="34"/>
      <c r="AO553" s="65"/>
      <c r="AP553" s="69"/>
      <c r="AQ553" s="62"/>
      <c r="AR553" s="34"/>
    </row>
    <row r="554" spans="1:44" customFormat="1">
      <c r="A554" s="39">
        <v>44072</v>
      </c>
      <c r="B554" s="11" t="s">
        <v>49</v>
      </c>
      <c r="C554" s="16" t="s">
        <v>2296</v>
      </c>
      <c r="D554" s="16"/>
      <c r="E554" s="38">
        <v>30509</v>
      </c>
      <c r="F554" s="38"/>
      <c r="G554" s="10" t="s">
        <v>2297</v>
      </c>
      <c r="H554" s="12" t="s">
        <v>2298</v>
      </c>
      <c r="I554" s="13" t="s">
        <v>2293</v>
      </c>
      <c r="J554" s="15" t="s">
        <v>2299</v>
      </c>
      <c r="K554" s="12"/>
      <c r="L554" s="11" t="s">
        <v>34</v>
      </c>
      <c r="M554" s="15"/>
      <c r="N554" s="17">
        <v>16500</v>
      </c>
      <c r="O554" s="17"/>
      <c r="P554" s="17"/>
      <c r="Q554" s="48"/>
      <c r="R554" s="11"/>
      <c r="S554" s="48"/>
      <c r="T554" s="85"/>
      <c r="U554" s="88"/>
      <c r="V554" s="32"/>
      <c r="W554" s="25" t="s">
        <v>48</v>
      </c>
      <c r="X554" s="11"/>
      <c r="Y554" s="50" t="s">
        <v>12</v>
      </c>
      <c r="Z554" s="50"/>
      <c r="AA554" s="50"/>
      <c r="AB554" s="50"/>
      <c r="AC554" s="50"/>
      <c r="AD554" s="50"/>
      <c r="AE554" s="50"/>
      <c r="AF554" s="34"/>
      <c r="AG554" s="34"/>
      <c r="AH554" s="34"/>
      <c r="AI554" s="34"/>
      <c r="AJ554" s="34"/>
      <c r="AK554" s="34"/>
      <c r="AL554" s="34"/>
      <c r="AM554" s="34"/>
      <c r="AN554" s="34"/>
      <c r="AO554" s="65"/>
      <c r="AP554" s="69"/>
      <c r="AQ554" s="62"/>
      <c r="AR554" s="34"/>
    </row>
    <row r="555" spans="1:44" customFormat="1">
      <c r="A555" s="39">
        <v>44073</v>
      </c>
      <c r="B555" s="11" t="s">
        <v>22</v>
      </c>
      <c r="C555" s="16" t="s">
        <v>2300</v>
      </c>
      <c r="D555" s="16"/>
      <c r="E555" s="38">
        <v>24400</v>
      </c>
      <c r="F555" s="38"/>
      <c r="G555" s="10" t="s">
        <v>1763</v>
      </c>
      <c r="H555" s="12" t="s">
        <v>2301</v>
      </c>
      <c r="I555" s="13" t="s">
        <v>2072</v>
      </c>
      <c r="J555" s="15" t="s">
        <v>2302</v>
      </c>
      <c r="K555" s="12"/>
      <c r="L555" s="11" t="s">
        <v>36</v>
      </c>
      <c r="M555" s="15"/>
      <c r="N555" s="17">
        <v>2750</v>
      </c>
      <c r="O555" s="17"/>
      <c r="P555" s="17"/>
      <c r="Q555" s="48"/>
      <c r="R555" s="11"/>
      <c r="S555" s="48"/>
      <c r="T555" s="85"/>
      <c r="U555" s="88"/>
      <c r="V555" s="32" t="s">
        <v>1744</v>
      </c>
      <c r="W555" s="25" t="s">
        <v>10</v>
      </c>
      <c r="X555" s="11"/>
      <c r="Y555" s="50" t="s">
        <v>15</v>
      </c>
      <c r="Z555" s="50"/>
      <c r="AA555" s="50"/>
      <c r="AB555" s="50"/>
      <c r="AC555" s="50"/>
      <c r="AD555" s="50"/>
      <c r="AE555" s="50"/>
      <c r="AF555" s="34"/>
      <c r="AG555" s="34"/>
      <c r="AH555" s="34"/>
      <c r="AI555" s="34"/>
      <c r="AJ555" s="34"/>
      <c r="AK555" s="34"/>
      <c r="AL555" s="34"/>
      <c r="AM555" s="34"/>
      <c r="AN555" s="34"/>
      <c r="AO555" s="65"/>
      <c r="AP555" s="69"/>
      <c r="AQ555" s="62"/>
      <c r="AR555" s="34"/>
    </row>
    <row r="556" spans="1:44" customFormat="1">
      <c r="A556" s="39">
        <v>44073</v>
      </c>
      <c r="B556" s="11" t="s">
        <v>22</v>
      </c>
      <c r="C556" s="16" t="s">
        <v>2305</v>
      </c>
      <c r="D556" s="16"/>
      <c r="E556" s="38">
        <v>22957</v>
      </c>
      <c r="F556" s="38"/>
      <c r="G556" s="10" t="s">
        <v>473</v>
      </c>
      <c r="H556" s="12" t="s">
        <v>2306</v>
      </c>
      <c r="I556" s="13" t="s">
        <v>2307</v>
      </c>
      <c r="J556" s="15" t="s">
        <v>2308</v>
      </c>
      <c r="K556" s="12"/>
      <c r="L556" s="11" t="s">
        <v>36</v>
      </c>
      <c r="M556" s="15"/>
      <c r="N556" s="17">
        <v>2750</v>
      </c>
      <c r="O556" s="17"/>
      <c r="P556" s="17"/>
      <c r="Q556" s="48"/>
      <c r="R556" s="11"/>
      <c r="S556" s="48"/>
      <c r="T556" s="85"/>
      <c r="U556" s="88"/>
      <c r="V556" s="32" t="s">
        <v>1744</v>
      </c>
      <c r="W556" s="25" t="s">
        <v>8</v>
      </c>
      <c r="X556" s="11"/>
      <c r="Y556" s="50" t="s">
        <v>13</v>
      </c>
      <c r="Z556" s="50"/>
      <c r="AA556" s="50"/>
      <c r="AB556" s="50"/>
      <c r="AC556" s="50"/>
      <c r="AD556" s="50"/>
      <c r="AE556" s="50"/>
      <c r="AF556" s="34"/>
      <c r="AG556" s="34"/>
      <c r="AH556" s="34"/>
      <c r="AI556" s="34"/>
      <c r="AJ556" s="34"/>
      <c r="AK556" s="34"/>
      <c r="AL556" s="34"/>
      <c r="AM556" s="34"/>
      <c r="AN556" s="34"/>
      <c r="AO556" s="65"/>
      <c r="AP556" s="69"/>
      <c r="AQ556" s="62"/>
      <c r="AR556" s="34"/>
    </row>
    <row r="557" spans="1:44" customFormat="1">
      <c r="A557" s="39">
        <v>44076</v>
      </c>
      <c r="B557" s="11" t="s">
        <v>49</v>
      </c>
      <c r="C557" s="16" t="s">
        <v>2309</v>
      </c>
      <c r="D557" s="16"/>
      <c r="E557" s="38">
        <v>24126</v>
      </c>
      <c r="F557" s="38"/>
      <c r="G557" s="10" t="s">
        <v>769</v>
      </c>
      <c r="H557" s="12" t="s">
        <v>2310</v>
      </c>
      <c r="I557" s="13" t="s">
        <v>2311</v>
      </c>
      <c r="J557" s="15" t="s">
        <v>2312</v>
      </c>
      <c r="K557" s="12"/>
      <c r="L557" s="11" t="s">
        <v>33</v>
      </c>
      <c r="M557" s="15"/>
      <c r="N557" s="17">
        <v>14850</v>
      </c>
      <c r="O557" s="17"/>
      <c r="P557" s="17"/>
      <c r="Q557" s="48"/>
      <c r="R557" s="11"/>
      <c r="S557" s="48"/>
      <c r="T557" s="85"/>
      <c r="U557" s="88"/>
      <c r="V557" s="32" t="s">
        <v>2313</v>
      </c>
      <c r="W557" s="25" t="s">
        <v>8</v>
      </c>
      <c r="X557" s="11"/>
      <c r="Y557" s="50" t="s">
        <v>13</v>
      </c>
      <c r="Z557" s="50"/>
      <c r="AA557" s="50"/>
      <c r="AB557" s="50"/>
      <c r="AC557" s="50"/>
      <c r="AD557" s="50"/>
      <c r="AE557" s="50"/>
      <c r="AF557" s="34"/>
      <c r="AG557" s="34"/>
      <c r="AH557" s="34"/>
      <c r="AI557" s="34"/>
      <c r="AJ557" s="34"/>
      <c r="AK557" s="34"/>
      <c r="AL557" s="34"/>
      <c r="AM557" s="34"/>
      <c r="AN557" s="34"/>
      <c r="AO557" s="65"/>
      <c r="AP557" s="69"/>
      <c r="AQ557" s="62"/>
      <c r="AR557" s="34"/>
    </row>
    <row r="558" spans="1:44" customFormat="1">
      <c r="A558" s="39">
        <v>44077</v>
      </c>
      <c r="B558" s="11" t="s">
        <v>49</v>
      </c>
      <c r="C558" s="16" t="s">
        <v>2314</v>
      </c>
      <c r="D558" s="16"/>
      <c r="E558" s="38">
        <v>28171</v>
      </c>
      <c r="F558" s="38"/>
      <c r="G558" s="10" t="s">
        <v>2315</v>
      </c>
      <c r="H558" s="12" t="s">
        <v>2316</v>
      </c>
      <c r="I558" s="13" t="s">
        <v>2317</v>
      </c>
      <c r="J558" s="15" t="s">
        <v>2318</v>
      </c>
      <c r="K558" s="14" t="s">
        <v>2328</v>
      </c>
      <c r="L558" s="11" t="s">
        <v>33</v>
      </c>
      <c r="M558" s="15"/>
      <c r="N558" s="17">
        <v>14850</v>
      </c>
      <c r="O558" s="17"/>
      <c r="P558" s="17"/>
      <c r="Q558" s="48"/>
      <c r="R558" s="11"/>
      <c r="S558" s="48"/>
      <c r="T558" s="85"/>
      <c r="U558" s="88"/>
      <c r="V558" s="32" t="s">
        <v>2267</v>
      </c>
      <c r="W558" s="25" t="s">
        <v>10</v>
      </c>
      <c r="X558" s="11"/>
      <c r="Y558" s="50"/>
      <c r="Z558" s="50"/>
      <c r="AA558" s="50"/>
      <c r="AB558" s="50"/>
      <c r="AC558" s="50"/>
      <c r="AD558" s="50"/>
      <c r="AE558" s="50"/>
      <c r="AF558" s="34"/>
      <c r="AG558" s="34"/>
      <c r="AH558" s="34"/>
      <c r="AI558" s="34"/>
      <c r="AJ558" s="34"/>
      <c r="AK558" s="34"/>
      <c r="AL558" s="34"/>
      <c r="AM558" s="34"/>
      <c r="AN558" s="34"/>
      <c r="AO558" s="65"/>
      <c r="AP558" s="69"/>
      <c r="AQ558" s="62"/>
      <c r="AR558" s="34"/>
    </row>
    <row r="559" spans="1:44" customFormat="1">
      <c r="A559" s="39">
        <v>44077</v>
      </c>
      <c r="B559" s="11" t="s">
        <v>49</v>
      </c>
      <c r="C559" s="16" t="s">
        <v>2319</v>
      </c>
      <c r="D559" s="16"/>
      <c r="E559" s="38" t="s">
        <v>2320</v>
      </c>
      <c r="F559" s="38"/>
      <c r="G559" s="10" t="s">
        <v>2321</v>
      </c>
      <c r="H559" s="12" t="s">
        <v>2322</v>
      </c>
      <c r="I559" s="13" t="s">
        <v>2323</v>
      </c>
      <c r="J559" s="15" t="s">
        <v>2324</v>
      </c>
      <c r="K559" s="12"/>
      <c r="L559" s="11" t="s">
        <v>33</v>
      </c>
      <c r="M559" s="15"/>
      <c r="N559" s="17">
        <v>16500</v>
      </c>
      <c r="O559" s="17"/>
      <c r="P559" s="17"/>
      <c r="Q559" s="48"/>
      <c r="R559" s="11"/>
      <c r="S559" s="48"/>
      <c r="T559" s="85"/>
      <c r="U559" s="88"/>
      <c r="V559" s="32"/>
      <c r="W559" s="25" t="s">
        <v>48</v>
      </c>
      <c r="X559" s="11"/>
      <c r="Y559" s="50" t="s">
        <v>13</v>
      </c>
      <c r="Z559" s="50"/>
      <c r="AA559" s="50"/>
      <c r="AB559" s="50"/>
      <c r="AC559" s="50"/>
      <c r="AD559" s="50"/>
      <c r="AE559" s="50"/>
      <c r="AF559" s="34"/>
      <c r="AG559" s="34"/>
      <c r="AH559" s="34"/>
      <c r="AI559" s="34"/>
      <c r="AJ559" s="34"/>
      <c r="AK559" s="34"/>
      <c r="AL559" s="34"/>
      <c r="AM559" s="34"/>
      <c r="AN559" s="34"/>
      <c r="AO559" s="65"/>
      <c r="AP559" s="69"/>
      <c r="AQ559" s="62"/>
      <c r="AR559" s="34"/>
    </row>
    <row r="560" spans="1:44" customFormat="1">
      <c r="A560" s="39">
        <v>44079</v>
      </c>
      <c r="B560" s="11" t="s">
        <v>49</v>
      </c>
      <c r="C560" s="16" t="s">
        <v>2325</v>
      </c>
      <c r="D560" s="16"/>
      <c r="E560" s="38">
        <v>25588</v>
      </c>
      <c r="F560" s="38"/>
      <c r="G560" s="10" t="s">
        <v>2326</v>
      </c>
      <c r="H560" s="12" t="s">
        <v>2327</v>
      </c>
      <c r="I560" s="13" t="s">
        <v>2331</v>
      </c>
      <c r="J560" s="15" t="s">
        <v>2329</v>
      </c>
      <c r="K560" s="12"/>
      <c r="L560" s="11" t="s">
        <v>34</v>
      </c>
      <c r="M560" s="15"/>
      <c r="N560" s="17">
        <v>16500</v>
      </c>
      <c r="O560" s="17"/>
      <c r="P560" s="17"/>
      <c r="Q560" s="48"/>
      <c r="R560" s="11"/>
      <c r="S560" s="48"/>
      <c r="T560" s="85"/>
      <c r="U560" s="88"/>
      <c r="V560" s="32" t="s">
        <v>2330</v>
      </c>
      <c r="W560" s="25" t="s">
        <v>8</v>
      </c>
      <c r="X560" s="11"/>
      <c r="Y560" s="50" t="s">
        <v>17</v>
      </c>
      <c r="Z560" s="50"/>
      <c r="AA560" s="50"/>
      <c r="AB560" s="50"/>
      <c r="AC560" s="50"/>
      <c r="AD560" s="50"/>
      <c r="AE560" s="50"/>
      <c r="AF560" s="34"/>
      <c r="AG560" s="34"/>
      <c r="AH560" s="34"/>
      <c r="AI560" s="34"/>
      <c r="AJ560" s="34"/>
      <c r="AK560" s="34"/>
      <c r="AL560" s="34"/>
      <c r="AM560" s="34"/>
      <c r="AN560" s="34"/>
      <c r="AO560" s="65"/>
      <c r="AP560" s="69"/>
      <c r="AQ560" s="62"/>
      <c r="AR560" s="34"/>
    </row>
    <row r="561" spans="1:44" customFormat="1">
      <c r="A561" s="39">
        <v>44079</v>
      </c>
      <c r="B561" s="11" t="s">
        <v>22</v>
      </c>
      <c r="C561" s="16" t="s">
        <v>2332</v>
      </c>
      <c r="D561" s="16"/>
      <c r="E561" s="38">
        <v>26904</v>
      </c>
      <c r="F561" s="38"/>
      <c r="G561" s="10" t="s">
        <v>406</v>
      </c>
      <c r="H561" s="12" t="s">
        <v>2333</v>
      </c>
      <c r="I561" s="13" t="s">
        <v>2334</v>
      </c>
      <c r="J561" s="15" t="s">
        <v>2336</v>
      </c>
      <c r="K561" s="14" t="s">
        <v>2335</v>
      </c>
      <c r="L561" s="11" t="s">
        <v>36</v>
      </c>
      <c r="M561" s="15"/>
      <c r="N561" s="17">
        <v>2750</v>
      </c>
      <c r="O561" s="17"/>
      <c r="P561" s="17"/>
      <c r="Q561" s="48"/>
      <c r="R561" s="11"/>
      <c r="S561" s="48"/>
      <c r="T561" s="85"/>
      <c r="U561" s="88"/>
      <c r="V561" s="32" t="s">
        <v>2337</v>
      </c>
      <c r="W561" s="25" t="s">
        <v>48</v>
      </c>
      <c r="X561" s="11"/>
      <c r="Y561" s="50" t="s">
        <v>15</v>
      </c>
      <c r="Z561" s="50"/>
      <c r="AA561" s="50"/>
      <c r="AB561" s="50"/>
      <c r="AC561" s="50"/>
      <c r="AD561" s="50"/>
      <c r="AE561" s="50"/>
      <c r="AF561" s="34"/>
      <c r="AG561" s="34"/>
      <c r="AH561" s="34"/>
      <c r="AI561" s="34"/>
      <c r="AJ561" s="34"/>
      <c r="AK561" s="34"/>
      <c r="AL561" s="34"/>
      <c r="AM561" s="34"/>
      <c r="AN561" s="34"/>
      <c r="AO561" s="65"/>
      <c r="AP561" s="69"/>
      <c r="AQ561" s="62"/>
      <c r="AR561" s="34"/>
    </row>
    <row r="562" spans="1:44" customFormat="1">
      <c r="A562" s="39">
        <v>44080</v>
      </c>
      <c r="B562" s="11" t="s">
        <v>2170</v>
      </c>
      <c r="C562" s="16" t="s">
        <v>2235</v>
      </c>
      <c r="D562" s="16"/>
      <c r="E562" s="38"/>
      <c r="F562" s="38"/>
      <c r="G562" s="10"/>
      <c r="H562" s="12"/>
      <c r="I562" s="13"/>
      <c r="J562" s="15"/>
      <c r="K562" s="12"/>
      <c r="L562" s="11"/>
      <c r="M562" s="15"/>
      <c r="N562" s="17">
        <v>5500</v>
      </c>
      <c r="O562" s="17"/>
      <c r="P562" s="17"/>
      <c r="Q562" s="48"/>
      <c r="R562" s="11"/>
      <c r="S562" s="48"/>
      <c r="T562" s="85"/>
      <c r="U562" s="88"/>
      <c r="V562" s="32"/>
      <c r="W562" s="25"/>
      <c r="X562" s="11"/>
      <c r="Y562" s="50"/>
      <c r="Z562" s="50"/>
      <c r="AA562" s="50"/>
      <c r="AB562" s="50"/>
      <c r="AC562" s="50"/>
      <c r="AD562" s="50"/>
      <c r="AE562" s="50"/>
      <c r="AF562" s="34"/>
      <c r="AG562" s="34"/>
      <c r="AH562" s="34"/>
      <c r="AI562" s="34"/>
      <c r="AJ562" s="34"/>
      <c r="AK562" s="34"/>
      <c r="AL562" s="34"/>
      <c r="AM562" s="34"/>
      <c r="AN562" s="34"/>
      <c r="AO562" s="65"/>
      <c r="AP562" s="69"/>
      <c r="AQ562" s="62"/>
      <c r="AR562" s="34"/>
    </row>
    <row r="563" spans="1:44" customFormat="1">
      <c r="A563" s="39">
        <v>44080</v>
      </c>
      <c r="B563" s="11" t="s">
        <v>49</v>
      </c>
      <c r="C563" s="16" t="s">
        <v>2338</v>
      </c>
      <c r="D563" s="16"/>
      <c r="E563" s="38">
        <v>22817</v>
      </c>
      <c r="F563" s="38"/>
      <c r="G563" s="10" t="s">
        <v>2339</v>
      </c>
      <c r="H563" s="12" t="s">
        <v>2340</v>
      </c>
      <c r="I563" s="13" t="s">
        <v>1946</v>
      </c>
      <c r="J563" s="15" t="s">
        <v>2341</v>
      </c>
      <c r="K563" s="12"/>
      <c r="L563" s="11" t="s">
        <v>33</v>
      </c>
      <c r="M563" s="15"/>
      <c r="N563" s="17">
        <v>14850</v>
      </c>
      <c r="O563" s="17"/>
      <c r="P563" s="17"/>
      <c r="Q563" s="48"/>
      <c r="R563" s="11"/>
      <c r="S563" s="48"/>
      <c r="T563" s="85"/>
      <c r="U563" s="88"/>
      <c r="V563" s="32" t="s">
        <v>2342</v>
      </c>
      <c r="W563" s="25" t="s">
        <v>8</v>
      </c>
      <c r="X563" s="11"/>
      <c r="Y563" s="50"/>
      <c r="Z563" s="50"/>
      <c r="AA563" s="50"/>
      <c r="AB563" s="50"/>
      <c r="AC563" s="50"/>
      <c r="AD563" s="50"/>
      <c r="AE563" s="50"/>
      <c r="AF563" s="34"/>
      <c r="AG563" s="34"/>
      <c r="AH563" s="34"/>
      <c r="AI563" s="34"/>
      <c r="AJ563" s="34"/>
      <c r="AK563" s="34"/>
      <c r="AL563" s="34"/>
      <c r="AM563" s="34"/>
      <c r="AN563" s="34"/>
      <c r="AO563" s="65"/>
      <c r="AP563" s="69"/>
      <c r="AQ563" s="62"/>
      <c r="AR563" s="34"/>
    </row>
    <row r="564" spans="1:44" customFormat="1">
      <c r="A564" s="39">
        <v>44081</v>
      </c>
      <c r="B564" s="11" t="s">
        <v>49</v>
      </c>
      <c r="C564" s="16" t="s">
        <v>2352</v>
      </c>
      <c r="D564" s="16"/>
      <c r="E564" s="38">
        <v>29343</v>
      </c>
      <c r="F564" s="38"/>
      <c r="G564" s="10" t="s">
        <v>2353</v>
      </c>
      <c r="H564" s="12" t="s">
        <v>2354</v>
      </c>
      <c r="I564" s="13" t="s">
        <v>2355</v>
      </c>
      <c r="J564" s="15" t="s">
        <v>2350</v>
      </c>
      <c r="K564" s="14" t="s">
        <v>2351</v>
      </c>
      <c r="L564" s="11" t="s">
        <v>33</v>
      </c>
      <c r="M564" s="15"/>
      <c r="N564" s="17">
        <v>14850</v>
      </c>
      <c r="O564" s="17"/>
      <c r="P564" s="17"/>
      <c r="Q564" s="48"/>
      <c r="R564" s="11"/>
      <c r="S564" s="48"/>
      <c r="T564" s="85"/>
      <c r="U564" s="88"/>
      <c r="V564" s="32" t="s">
        <v>2349</v>
      </c>
      <c r="W564" s="25" t="s">
        <v>8</v>
      </c>
      <c r="X564" s="11"/>
      <c r="Y564" s="50" t="s">
        <v>13</v>
      </c>
      <c r="Z564" s="50"/>
      <c r="AA564" s="50"/>
      <c r="AB564" s="50"/>
      <c r="AC564" s="50"/>
      <c r="AD564" s="50"/>
      <c r="AE564" s="50"/>
      <c r="AF564" s="34"/>
      <c r="AG564" s="34"/>
      <c r="AH564" s="34"/>
      <c r="AI564" s="34"/>
      <c r="AJ564" s="34"/>
      <c r="AK564" s="34"/>
      <c r="AL564" s="34"/>
      <c r="AM564" s="34"/>
      <c r="AN564" s="34"/>
      <c r="AO564" s="65"/>
      <c r="AP564" s="69"/>
      <c r="AQ564" s="62"/>
      <c r="AR564" s="34"/>
    </row>
    <row r="565" spans="1:44" customFormat="1">
      <c r="A565" s="39">
        <v>44081</v>
      </c>
      <c r="B565" s="11" t="s">
        <v>22</v>
      </c>
      <c r="C565" s="16" t="s">
        <v>2356</v>
      </c>
      <c r="D565" s="16"/>
      <c r="E565" s="38">
        <v>25351</v>
      </c>
      <c r="F565" s="38"/>
      <c r="G565" s="10" t="s">
        <v>946</v>
      </c>
      <c r="H565" s="12" t="s">
        <v>2357</v>
      </c>
      <c r="I565" s="13" t="s">
        <v>2358</v>
      </c>
      <c r="J565" s="15" t="s">
        <v>2360</v>
      </c>
      <c r="K565" s="14" t="s">
        <v>2359</v>
      </c>
      <c r="L565" s="11" t="s">
        <v>33</v>
      </c>
      <c r="M565" s="15"/>
      <c r="N565" s="17">
        <v>2750</v>
      </c>
      <c r="O565" s="17"/>
      <c r="P565" s="17"/>
      <c r="Q565" s="48"/>
      <c r="R565" s="11"/>
      <c r="S565" s="48"/>
      <c r="T565" s="85"/>
      <c r="U565" s="88"/>
      <c r="V565" s="32" t="s">
        <v>2361</v>
      </c>
      <c r="W565" s="25" t="s">
        <v>8</v>
      </c>
      <c r="X565" s="11"/>
      <c r="Y565" s="50" t="s">
        <v>17</v>
      </c>
      <c r="Z565" s="50"/>
      <c r="AA565" s="50"/>
      <c r="AB565" s="50"/>
      <c r="AC565" s="50"/>
      <c r="AD565" s="50"/>
      <c r="AE565" s="50"/>
      <c r="AF565" s="34"/>
      <c r="AG565" s="34"/>
      <c r="AH565" s="34"/>
      <c r="AI565" s="34"/>
      <c r="AJ565" s="34"/>
      <c r="AK565" s="34"/>
      <c r="AL565" s="34"/>
      <c r="AM565" s="34"/>
      <c r="AN565" s="34"/>
      <c r="AO565" s="65"/>
      <c r="AP565" s="69"/>
      <c r="AQ565" s="62"/>
      <c r="AR565" s="34"/>
    </row>
    <row r="566" spans="1:44" customFormat="1">
      <c r="A566" s="39">
        <v>44081</v>
      </c>
      <c r="B566" s="11" t="s">
        <v>49</v>
      </c>
      <c r="C566" s="16" t="s">
        <v>2343</v>
      </c>
      <c r="D566" s="16"/>
      <c r="E566" s="38">
        <v>29533</v>
      </c>
      <c r="F566" s="38"/>
      <c r="G566" s="10" t="s">
        <v>2346</v>
      </c>
      <c r="H566" s="12" t="s">
        <v>2344</v>
      </c>
      <c r="I566" s="13" t="s">
        <v>2345</v>
      </c>
      <c r="J566" s="15" t="s">
        <v>2348</v>
      </c>
      <c r="K566" s="14" t="s">
        <v>2347</v>
      </c>
      <c r="L566" s="11" t="s">
        <v>33</v>
      </c>
      <c r="M566" s="15"/>
      <c r="N566" s="17">
        <v>19800</v>
      </c>
      <c r="O566" s="17"/>
      <c r="P566" s="17"/>
      <c r="Q566" s="48"/>
      <c r="R566" s="11"/>
      <c r="S566" s="48"/>
      <c r="T566" s="85"/>
      <c r="U566" s="88"/>
      <c r="V566" s="32" t="s">
        <v>2349</v>
      </c>
      <c r="W566" s="25" t="s">
        <v>8</v>
      </c>
      <c r="X566" s="11"/>
      <c r="Y566" s="50" t="s">
        <v>13</v>
      </c>
      <c r="Z566" s="50"/>
      <c r="AA566" s="50"/>
      <c r="AB566" s="50"/>
      <c r="AC566" s="50"/>
      <c r="AD566" s="50"/>
      <c r="AE566" s="50"/>
      <c r="AF566" s="34"/>
      <c r="AG566" s="34"/>
      <c r="AH566" s="34"/>
      <c r="AI566" s="34"/>
      <c r="AJ566" s="34"/>
      <c r="AK566" s="34"/>
      <c r="AL566" s="34"/>
      <c r="AM566" s="34"/>
      <c r="AN566" s="34"/>
      <c r="AO566" s="65"/>
      <c r="AP566" s="69"/>
      <c r="AQ566" s="62"/>
      <c r="AR566" s="34"/>
    </row>
    <row r="567" spans="1:44" customFormat="1">
      <c r="A567" s="39">
        <v>44083</v>
      </c>
      <c r="B567" s="11" t="s">
        <v>49</v>
      </c>
      <c r="C567" s="16" t="s">
        <v>2362</v>
      </c>
      <c r="D567" s="16"/>
      <c r="E567" s="38">
        <v>23670</v>
      </c>
      <c r="F567" s="38"/>
      <c r="G567" s="10" t="s">
        <v>2363</v>
      </c>
      <c r="H567" s="12" t="s">
        <v>2364</v>
      </c>
      <c r="I567" s="13" t="s">
        <v>2365</v>
      </c>
      <c r="J567" s="15" t="s">
        <v>2367</v>
      </c>
      <c r="K567" s="14" t="s">
        <v>2366</v>
      </c>
      <c r="L567" s="11" t="s">
        <v>33</v>
      </c>
      <c r="M567" s="15"/>
      <c r="N567" s="17">
        <v>16500</v>
      </c>
      <c r="O567" s="17"/>
      <c r="P567" s="17"/>
      <c r="Q567" s="48"/>
      <c r="R567" s="11"/>
      <c r="S567" s="48"/>
      <c r="T567" s="85"/>
      <c r="U567" s="88"/>
      <c r="V567" s="32"/>
      <c r="W567" s="25" t="s">
        <v>48</v>
      </c>
      <c r="X567" s="11"/>
      <c r="Y567" s="50" t="s">
        <v>12</v>
      </c>
      <c r="Z567" s="50"/>
      <c r="AA567" s="50"/>
      <c r="AB567" s="50"/>
      <c r="AC567" s="50"/>
      <c r="AD567" s="50"/>
      <c r="AE567" s="50"/>
      <c r="AF567" s="34"/>
      <c r="AG567" s="34"/>
      <c r="AH567" s="34"/>
      <c r="AI567" s="34"/>
      <c r="AJ567" s="34"/>
      <c r="AK567" s="34"/>
      <c r="AL567" s="34"/>
      <c r="AM567" s="34"/>
      <c r="AN567" s="34"/>
      <c r="AO567" s="65"/>
      <c r="AP567" s="69"/>
      <c r="AQ567" s="62"/>
      <c r="AR567" s="34"/>
    </row>
    <row r="568" spans="1:44" customFormat="1">
      <c r="A568" s="39">
        <v>44083</v>
      </c>
      <c r="B568" s="11" t="s">
        <v>49</v>
      </c>
      <c r="C568" s="16" t="s">
        <v>2368</v>
      </c>
      <c r="D568" s="16"/>
      <c r="E568" s="38">
        <v>21620</v>
      </c>
      <c r="F568" s="38"/>
      <c r="G568" s="10" t="s">
        <v>1020</v>
      </c>
      <c r="H568" s="12" t="s">
        <v>2369</v>
      </c>
      <c r="I568" s="13" t="s">
        <v>2370</v>
      </c>
      <c r="J568" s="15" t="s">
        <v>2371</v>
      </c>
      <c r="K568" s="12"/>
      <c r="L568" s="11" t="s">
        <v>36</v>
      </c>
      <c r="M568" s="15"/>
      <c r="N568" s="17">
        <v>16500</v>
      </c>
      <c r="O568" s="17"/>
      <c r="P568" s="17"/>
      <c r="Q568" s="48"/>
      <c r="R568" s="11"/>
      <c r="S568" s="48"/>
      <c r="T568" s="85"/>
      <c r="U568" s="88"/>
      <c r="V568" s="32" t="s">
        <v>2372</v>
      </c>
      <c r="W568" s="25" t="s">
        <v>48</v>
      </c>
      <c r="X568" s="11"/>
      <c r="Y568" s="50" t="s">
        <v>12</v>
      </c>
      <c r="Z568" s="50"/>
      <c r="AA568" s="50"/>
      <c r="AB568" s="50"/>
      <c r="AC568" s="50"/>
      <c r="AD568" s="50"/>
      <c r="AE568" s="50"/>
      <c r="AF568" s="34"/>
      <c r="AG568" s="34"/>
      <c r="AH568" s="34"/>
      <c r="AI568" s="34"/>
      <c r="AJ568" s="34"/>
      <c r="AK568" s="34"/>
      <c r="AL568" s="34"/>
      <c r="AM568" s="34"/>
      <c r="AN568" s="34"/>
      <c r="AO568" s="65"/>
      <c r="AP568" s="69"/>
      <c r="AQ568" s="62"/>
      <c r="AR568" s="34"/>
    </row>
    <row r="569" spans="1:44" customFormat="1">
      <c r="A569" s="39">
        <v>44083</v>
      </c>
      <c r="B569" s="11" t="s">
        <v>22</v>
      </c>
      <c r="C569" s="16" t="s">
        <v>321</v>
      </c>
      <c r="D569" s="16"/>
      <c r="E569" s="38">
        <v>31149</v>
      </c>
      <c r="F569" s="38"/>
      <c r="G569" s="10" t="s">
        <v>322</v>
      </c>
      <c r="H569" s="12" t="s">
        <v>323</v>
      </c>
      <c r="I569" s="13" t="s">
        <v>1616</v>
      </c>
      <c r="J569" s="15" t="s">
        <v>325</v>
      </c>
      <c r="K569" s="14" t="s">
        <v>324</v>
      </c>
      <c r="L569" s="11" t="s">
        <v>36</v>
      </c>
      <c r="M569" s="15"/>
      <c r="N569" s="17">
        <v>2750</v>
      </c>
      <c r="O569" s="17"/>
      <c r="P569" s="17"/>
      <c r="Q569" s="48"/>
      <c r="R569" s="11"/>
      <c r="S569" s="48"/>
      <c r="T569" s="85"/>
      <c r="U569" s="88"/>
      <c r="V569" s="32" t="s">
        <v>2373</v>
      </c>
      <c r="W569" s="25" t="s">
        <v>8</v>
      </c>
      <c r="X569" s="11"/>
      <c r="Y569" s="50" t="s">
        <v>17</v>
      </c>
      <c r="Z569" s="50"/>
      <c r="AA569" s="50"/>
      <c r="AB569" s="50"/>
      <c r="AC569" s="50"/>
      <c r="AD569" s="50"/>
      <c r="AE569" s="50"/>
      <c r="AF569" s="34"/>
      <c r="AG569" s="34"/>
      <c r="AH569" s="34"/>
      <c r="AI569" s="34"/>
      <c r="AJ569" s="34"/>
      <c r="AK569" s="34"/>
      <c r="AL569" s="34"/>
      <c r="AM569" s="34"/>
      <c r="AN569" s="34"/>
      <c r="AO569" s="65"/>
      <c r="AP569" s="69"/>
      <c r="AQ569" s="62"/>
      <c r="AR569" s="34"/>
    </row>
    <row r="570" spans="1:44" customFormat="1">
      <c r="A570" s="39">
        <v>44087</v>
      </c>
      <c r="B570" s="11" t="s">
        <v>22</v>
      </c>
      <c r="C570" s="16" t="s">
        <v>2374</v>
      </c>
      <c r="D570" s="16"/>
      <c r="E570" s="38">
        <v>25623</v>
      </c>
      <c r="F570" s="38"/>
      <c r="G570" s="10" t="s">
        <v>2183</v>
      </c>
      <c r="H570" s="12" t="s">
        <v>2184</v>
      </c>
      <c r="I570" s="13" t="s">
        <v>2185</v>
      </c>
      <c r="J570" s="15" t="s">
        <v>2376</v>
      </c>
      <c r="K570" s="12"/>
      <c r="L570" s="11" t="s">
        <v>36</v>
      </c>
      <c r="M570" s="15"/>
      <c r="N570" s="17">
        <v>2750</v>
      </c>
      <c r="O570" s="17"/>
      <c r="P570" s="17"/>
      <c r="Q570" s="48"/>
      <c r="R570" s="11"/>
      <c r="S570" s="48"/>
      <c r="T570" s="85"/>
      <c r="U570" s="88"/>
      <c r="V570" s="32" t="s">
        <v>2377</v>
      </c>
      <c r="W570" s="25" t="s">
        <v>8</v>
      </c>
      <c r="X570" s="11"/>
      <c r="Y570" s="50" t="s">
        <v>12</v>
      </c>
      <c r="Z570" s="50"/>
      <c r="AA570" s="50"/>
      <c r="AB570" s="50"/>
      <c r="AC570" s="50"/>
      <c r="AD570" s="50"/>
      <c r="AE570" s="50"/>
      <c r="AF570" s="34"/>
      <c r="AG570" s="34"/>
      <c r="AH570" s="34"/>
      <c r="AI570" s="34"/>
      <c r="AJ570" s="34"/>
      <c r="AK570" s="34"/>
      <c r="AL570" s="34"/>
      <c r="AM570" s="34"/>
      <c r="AN570" s="34"/>
      <c r="AO570" s="65"/>
      <c r="AP570" s="69"/>
      <c r="AQ570" s="62"/>
      <c r="AR570" s="34"/>
    </row>
    <row r="571" spans="1:44" customFormat="1">
      <c r="A571" s="39">
        <v>44087</v>
      </c>
      <c r="B571" s="11" t="s">
        <v>22</v>
      </c>
      <c r="C571" s="16" t="s">
        <v>2375</v>
      </c>
      <c r="D571" s="16"/>
      <c r="E571" s="38">
        <v>36967</v>
      </c>
      <c r="F571" s="38"/>
      <c r="G571" s="10" t="s">
        <v>2183</v>
      </c>
      <c r="H571" s="12" t="s">
        <v>2184</v>
      </c>
      <c r="I571" s="13" t="s">
        <v>2185</v>
      </c>
      <c r="J571" s="15" t="s">
        <v>2376</v>
      </c>
      <c r="K571" s="12"/>
      <c r="L571" s="11" t="s">
        <v>38</v>
      </c>
      <c r="M571" s="15"/>
      <c r="N571" s="17">
        <v>2750</v>
      </c>
      <c r="O571" s="17"/>
      <c r="P571" s="17"/>
      <c r="Q571" s="48"/>
      <c r="R571" s="11"/>
      <c r="S571" s="48"/>
      <c r="T571" s="85"/>
      <c r="U571" s="88"/>
      <c r="V571" s="32" t="s">
        <v>2377</v>
      </c>
      <c r="W571" s="25" t="s">
        <v>8</v>
      </c>
      <c r="X571" s="11"/>
      <c r="Y571" s="50" t="s">
        <v>18</v>
      </c>
      <c r="Z571" s="50"/>
      <c r="AA571" s="50"/>
      <c r="AB571" s="50"/>
      <c r="AC571" s="50"/>
      <c r="AD571" s="50"/>
      <c r="AE571" s="50"/>
      <c r="AF571" s="34"/>
      <c r="AG571" s="34"/>
      <c r="AH571" s="34"/>
      <c r="AI571" s="34"/>
      <c r="AJ571" s="34"/>
      <c r="AK571" s="34"/>
      <c r="AL571" s="34"/>
      <c r="AM571" s="34"/>
      <c r="AN571" s="34"/>
      <c r="AO571" s="65"/>
      <c r="AP571" s="69"/>
      <c r="AQ571" s="62"/>
      <c r="AR571" s="34"/>
    </row>
    <row r="572" spans="1:44" customFormat="1">
      <c r="A572" s="39">
        <v>44088</v>
      </c>
      <c r="B572" s="11" t="s">
        <v>49</v>
      </c>
      <c r="C572" s="16" t="s">
        <v>2378</v>
      </c>
      <c r="D572" s="16"/>
      <c r="E572" s="38">
        <v>26885</v>
      </c>
      <c r="F572" s="38"/>
      <c r="G572" s="10" t="s">
        <v>2379</v>
      </c>
      <c r="H572" s="12" t="s">
        <v>2380</v>
      </c>
      <c r="I572" s="13" t="s">
        <v>2381</v>
      </c>
      <c r="J572" s="15" t="s">
        <v>2383</v>
      </c>
      <c r="K572" s="14" t="s">
        <v>2382</v>
      </c>
      <c r="L572" s="11" t="s">
        <v>33</v>
      </c>
      <c r="M572" s="15"/>
      <c r="N572" s="17">
        <v>14850</v>
      </c>
      <c r="O572" s="17"/>
      <c r="P572" s="17"/>
      <c r="Q572" s="48"/>
      <c r="R572" s="11"/>
      <c r="S572" s="48"/>
      <c r="T572" s="85"/>
      <c r="U572" s="88"/>
      <c r="V572" s="32" t="s">
        <v>2384</v>
      </c>
      <c r="W572" s="25" t="s">
        <v>8</v>
      </c>
      <c r="X572" s="11"/>
      <c r="Y572" s="50" t="s">
        <v>12</v>
      </c>
      <c r="Z572" s="50"/>
      <c r="AA572" s="50"/>
      <c r="AB572" s="50"/>
      <c r="AC572" s="50"/>
      <c r="AD572" s="50"/>
      <c r="AE572" s="50"/>
      <c r="AF572" s="34"/>
      <c r="AG572" s="34"/>
      <c r="AH572" s="34"/>
      <c r="AI572" s="34"/>
      <c r="AJ572" s="34"/>
      <c r="AK572" s="34"/>
      <c r="AL572" s="34"/>
      <c r="AM572" s="34"/>
      <c r="AN572" s="34"/>
      <c r="AO572" s="65"/>
      <c r="AP572" s="69"/>
      <c r="AQ572" s="62"/>
      <c r="AR572" s="34"/>
    </row>
    <row r="573" spans="1:44" customFormat="1">
      <c r="A573" s="39">
        <v>44090</v>
      </c>
      <c r="B573" s="11" t="s">
        <v>22</v>
      </c>
      <c r="C573" s="16" t="s">
        <v>2385</v>
      </c>
      <c r="D573" s="16"/>
      <c r="E573" s="38">
        <v>31723</v>
      </c>
      <c r="F573" s="38"/>
      <c r="G573" s="10" t="s">
        <v>236</v>
      </c>
      <c r="H573" s="12" t="s">
        <v>2386</v>
      </c>
      <c r="I573" s="13" t="s">
        <v>2388</v>
      </c>
      <c r="J573" s="15" t="s">
        <v>2387</v>
      </c>
      <c r="K573" s="12"/>
      <c r="L573" s="11" t="s">
        <v>36</v>
      </c>
      <c r="M573" s="15"/>
      <c r="N573" s="17">
        <v>2750</v>
      </c>
      <c r="O573" s="17"/>
      <c r="P573" s="17"/>
      <c r="Q573" s="48"/>
      <c r="R573" s="11"/>
      <c r="S573" s="48"/>
      <c r="T573" s="85"/>
      <c r="U573" s="88"/>
      <c r="V573" s="32"/>
      <c r="W573" s="25" t="s">
        <v>48</v>
      </c>
      <c r="X573" s="11"/>
      <c r="Y573" s="50" t="s">
        <v>12</v>
      </c>
      <c r="Z573" s="50"/>
      <c r="AA573" s="50"/>
      <c r="AB573" s="50"/>
      <c r="AC573" s="50"/>
      <c r="AD573" s="50"/>
      <c r="AE573" s="50"/>
      <c r="AF573" s="34"/>
      <c r="AG573" s="34"/>
      <c r="AH573" s="34"/>
      <c r="AI573" s="34"/>
      <c r="AJ573" s="34"/>
      <c r="AK573" s="34"/>
      <c r="AL573" s="34"/>
      <c r="AM573" s="34"/>
      <c r="AN573" s="34"/>
      <c r="AO573" s="65"/>
      <c r="AP573" s="69"/>
      <c r="AQ573" s="62"/>
      <c r="AR573" s="34"/>
    </row>
    <row r="574" spans="1:44" customFormat="1">
      <c r="A574" s="39">
        <v>44092</v>
      </c>
      <c r="B574" s="11" t="s">
        <v>2170</v>
      </c>
      <c r="C574" s="16" t="s">
        <v>2235</v>
      </c>
      <c r="D574" s="16"/>
      <c r="E574" s="38">
        <v>25089</v>
      </c>
      <c r="F574" s="38"/>
      <c r="G574" s="10" t="s">
        <v>2237</v>
      </c>
      <c r="H574" s="12" t="s">
        <v>2238</v>
      </c>
      <c r="I574" s="13" t="s">
        <v>2142</v>
      </c>
      <c r="J574" s="15" t="s">
        <v>2236</v>
      </c>
      <c r="K574" s="12"/>
      <c r="L574" s="11" t="s">
        <v>34</v>
      </c>
      <c r="M574" s="15"/>
      <c r="N574" s="17">
        <v>5500</v>
      </c>
      <c r="O574" s="17"/>
      <c r="P574" s="17"/>
      <c r="Q574" s="48"/>
      <c r="R574" s="11"/>
      <c r="S574" s="48"/>
      <c r="T574" s="85"/>
      <c r="U574" s="88"/>
      <c r="V574" s="32" t="s">
        <v>2389</v>
      </c>
      <c r="W574" s="25" t="s">
        <v>8</v>
      </c>
      <c r="X574" s="11"/>
      <c r="Y574" s="50" t="s">
        <v>14</v>
      </c>
      <c r="Z574" s="50"/>
      <c r="AA574" s="50"/>
      <c r="AB574" s="50"/>
      <c r="AC574" s="50"/>
      <c r="AD574" s="50"/>
      <c r="AE574" s="50"/>
      <c r="AF574" s="34"/>
      <c r="AG574" s="34"/>
      <c r="AH574" s="34"/>
      <c r="AI574" s="34"/>
      <c r="AJ574" s="34"/>
      <c r="AK574" s="34"/>
      <c r="AL574" s="34"/>
      <c r="AM574" s="34"/>
      <c r="AN574" s="34"/>
      <c r="AO574" s="65"/>
      <c r="AP574" s="69"/>
      <c r="AQ574" s="62"/>
      <c r="AR574" s="34"/>
    </row>
    <row r="575" spans="1:44" customFormat="1">
      <c r="A575" s="39">
        <v>44093</v>
      </c>
      <c r="B575" s="11" t="s">
        <v>22</v>
      </c>
      <c r="C575" s="16" t="s">
        <v>2390</v>
      </c>
      <c r="D575" s="16"/>
      <c r="E575" s="38">
        <v>24123</v>
      </c>
      <c r="F575" s="38"/>
      <c r="G575" s="10" t="s">
        <v>2391</v>
      </c>
      <c r="H575" s="12" t="s">
        <v>2392</v>
      </c>
      <c r="I575" s="13" t="s">
        <v>2128</v>
      </c>
      <c r="J575" s="15" t="s">
        <v>2393</v>
      </c>
      <c r="K575" s="12"/>
      <c r="L575" s="11" t="s">
        <v>36</v>
      </c>
      <c r="M575" s="15"/>
      <c r="N575" s="17">
        <v>2750</v>
      </c>
      <c r="O575" s="17"/>
      <c r="P575" s="17"/>
      <c r="Q575" s="48"/>
      <c r="R575" s="11"/>
      <c r="S575" s="48"/>
      <c r="T575" s="85"/>
      <c r="U575" s="88"/>
      <c r="V575" s="32" t="s">
        <v>1744</v>
      </c>
      <c r="W575" s="25" t="s">
        <v>48</v>
      </c>
      <c r="X575" s="11"/>
      <c r="Y575" s="50" t="s">
        <v>11</v>
      </c>
      <c r="Z575" s="50"/>
      <c r="AA575" s="50"/>
      <c r="AB575" s="50"/>
      <c r="AC575" s="50"/>
      <c r="AD575" s="50"/>
      <c r="AE575" s="50"/>
      <c r="AF575" s="34"/>
      <c r="AG575" s="34"/>
      <c r="AH575" s="34"/>
      <c r="AI575" s="34"/>
      <c r="AJ575" s="34"/>
      <c r="AK575" s="34"/>
      <c r="AL575" s="34"/>
      <c r="AM575" s="34"/>
      <c r="AN575" s="34"/>
      <c r="AO575" s="65"/>
      <c r="AP575" s="69"/>
      <c r="AQ575" s="62"/>
      <c r="AR575" s="34"/>
    </row>
    <row r="576" spans="1:44" customFormat="1">
      <c r="A576" s="39">
        <v>44093</v>
      </c>
      <c r="B576" s="11" t="s">
        <v>49</v>
      </c>
      <c r="C576" s="16" t="s">
        <v>2394</v>
      </c>
      <c r="D576" s="16"/>
      <c r="E576" s="38">
        <v>31845</v>
      </c>
      <c r="F576" s="38"/>
      <c r="G576" s="10" t="s">
        <v>2395</v>
      </c>
      <c r="H576" s="12" t="s">
        <v>2396</v>
      </c>
      <c r="I576" s="13" t="s">
        <v>2397</v>
      </c>
      <c r="J576" s="15" t="s">
        <v>2398</v>
      </c>
      <c r="K576" s="12"/>
      <c r="L576" s="11" t="s">
        <v>36</v>
      </c>
      <c r="M576" s="15"/>
      <c r="N576" s="17">
        <v>16500</v>
      </c>
      <c r="O576" s="17"/>
      <c r="P576" s="17"/>
      <c r="Q576" s="48"/>
      <c r="R576" s="11"/>
      <c r="S576" s="48"/>
      <c r="T576" s="85"/>
      <c r="U576" s="88"/>
      <c r="V576" s="32"/>
      <c r="W576" s="25" t="s">
        <v>48</v>
      </c>
      <c r="X576" s="11"/>
      <c r="Y576" s="50" t="s">
        <v>13</v>
      </c>
      <c r="Z576" s="50"/>
      <c r="AA576" s="50"/>
      <c r="AB576" s="50"/>
      <c r="AC576" s="50"/>
      <c r="AD576" s="50"/>
      <c r="AE576" s="50"/>
      <c r="AF576" s="34"/>
      <c r="AG576" s="34"/>
      <c r="AH576" s="34"/>
      <c r="AI576" s="34"/>
      <c r="AJ576" s="34"/>
      <c r="AK576" s="34"/>
      <c r="AL576" s="34"/>
      <c r="AM576" s="34"/>
      <c r="AN576" s="34"/>
      <c r="AO576" s="65"/>
      <c r="AP576" s="69"/>
      <c r="AQ576" s="62"/>
      <c r="AR576" s="34"/>
    </row>
    <row r="577" spans="1:44" customFormat="1">
      <c r="A577" s="39">
        <v>44094</v>
      </c>
      <c r="B577" s="11" t="s">
        <v>49</v>
      </c>
      <c r="C577" s="16" t="s">
        <v>2399</v>
      </c>
      <c r="D577" s="16"/>
      <c r="E577" s="38">
        <v>25235</v>
      </c>
      <c r="F577" s="38"/>
      <c r="G577" s="10" t="s">
        <v>2400</v>
      </c>
      <c r="H577" s="12" t="s">
        <v>2401</v>
      </c>
      <c r="I577" s="13" t="s">
        <v>2402</v>
      </c>
      <c r="J577" s="15" t="s">
        <v>2403</v>
      </c>
      <c r="K577" s="12"/>
      <c r="L577" s="11" t="s">
        <v>36</v>
      </c>
      <c r="M577" s="15"/>
      <c r="N577" s="17">
        <v>16500</v>
      </c>
      <c r="O577" s="17"/>
      <c r="P577" s="17"/>
      <c r="Q577" s="48"/>
      <c r="R577" s="11"/>
      <c r="S577" s="48"/>
      <c r="T577" s="85"/>
      <c r="U577" s="88"/>
      <c r="V577" s="32"/>
      <c r="W577" s="25" t="s">
        <v>48</v>
      </c>
      <c r="X577" s="11"/>
      <c r="Y577" s="50" t="s">
        <v>12</v>
      </c>
      <c r="Z577" s="50"/>
      <c r="AA577" s="50"/>
      <c r="AB577" s="50"/>
      <c r="AC577" s="50"/>
      <c r="AD577" s="50"/>
      <c r="AE577" s="50"/>
      <c r="AF577" s="34"/>
      <c r="AG577" s="34"/>
      <c r="AH577" s="34"/>
      <c r="AI577" s="34"/>
      <c r="AJ577" s="34"/>
      <c r="AK577" s="34"/>
      <c r="AL577" s="34"/>
      <c r="AM577" s="34"/>
      <c r="AN577" s="34"/>
      <c r="AO577" s="65"/>
      <c r="AP577" s="69"/>
      <c r="AQ577" s="62"/>
      <c r="AR577" s="34"/>
    </row>
    <row r="578" spans="1:44" customFormat="1">
      <c r="A578" s="39">
        <v>44095</v>
      </c>
      <c r="B578" s="11" t="s">
        <v>22</v>
      </c>
      <c r="C578" s="16" t="s">
        <v>2404</v>
      </c>
      <c r="D578" s="16"/>
      <c r="E578" s="38">
        <v>21259</v>
      </c>
      <c r="F578" s="38"/>
      <c r="G578" s="10" t="s">
        <v>999</v>
      </c>
      <c r="H578" s="12" t="s">
        <v>2406</v>
      </c>
      <c r="I578" s="13" t="s">
        <v>2405</v>
      </c>
      <c r="J578" s="15" t="s">
        <v>2407</v>
      </c>
      <c r="K578" s="14" t="s">
        <v>2408</v>
      </c>
      <c r="L578" s="11" t="s">
        <v>37</v>
      </c>
      <c r="M578" s="15"/>
      <c r="N578" s="17">
        <v>2750</v>
      </c>
      <c r="O578" s="17"/>
      <c r="P578" s="17"/>
      <c r="Q578" s="48"/>
      <c r="R578" s="11"/>
      <c r="S578" s="48"/>
      <c r="T578" s="85"/>
      <c r="U578" s="88"/>
      <c r="V578" s="32" t="s">
        <v>2409</v>
      </c>
      <c r="W578" s="25" t="s">
        <v>10</v>
      </c>
      <c r="X578" s="11"/>
      <c r="Y578" s="50" t="s">
        <v>14</v>
      </c>
      <c r="Z578" s="50"/>
      <c r="AA578" s="50"/>
      <c r="AB578" s="50"/>
      <c r="AC578" s="50"/>
      <c r="AD578" s="50"/>
      <c r="AE578" s="50"/>
      <c r="AF578" s="34"/>
      <c r="AG578" s="34"/>
      <c r="AH578" s="34"/>
      <c r="AI578" s="34"/>
      <c r="AJ578" s="34"/>
      <c r="AK578" s="34"/>
      <c r="AL578" s="34"/>
      <c r="AM578" s="34"/>
      <c r="AN578" s="34"/>
      <c r="AO578" s="65"/>
      <c r="AP578" s="69"/>
      <c r="AQ578" s="62"/>
      <c r="AR578" s="34"/>
    </row>
    <row r="579" spans="1:44" customFormat="1">
      <c r="A579" s="39">
        <v>44097</v>
      </c>
      <c r="B579" s="11" t="s">
        <v>49</v>
      </c>
      <c r="C579" s="16" t="s">
        <v>2410</v>
      </c>
      <c r="D579" s="16"/>
      <c r="E579" s="38">
        <v>24185</v>
      </c>
      <c r="F579" s="38"/>
      <c r="G579" s="10" t="s">
        <v>2411</v>
      </c>
      <c r="H579" s="12" t="s">
        <v>2412</v>
      </c>
      <c r="I579" s="13" t="s">
        <v>2413</v>
      </c>
      <c r="J579" s="15" t="s">
        <v>2415</v>
      </c>
      <c r="K579" s="14" t="s">
        <v>2414</v>
      </c>
      <c r="L579" s="11" t="s">
        <v>33</v>
      </c>
      <c r="M579" s="15"/>
      <c r="N579" s="17">
        <v>16500</v>
      </c>
      <c r="O579" s="17"/>
      <c r="P579" s="17"/>
      <c r="Q579" s="48"/>
      <c r="R579" s="11"/>
      <c r="S579" s="48"/>
      <c r="T579" s="85"/>
      <c r="U579" s="88"/>
      <c r="V579" s="32"/>
      <c r="W579" s="25" t="s">
        <v>8</v>
      </c>
      <c r="X579" s="11"/>
      <c r="Y579" s="50"/>
      <c r="Z579" s="50"/>
      <c r="AA579" s="50"/>
      <c r="AB579" s="50"/>
      <c r="AC579" s="50"/>
      <c r="AD579" s="50"/>
      <c r="AE579" s="50"/>
      <c r="AF579" s="34"/>
      <c r="AG579" s="34"/>
      <c r="AH579" s="34"/>
      <c r="AI579" s="34"/>
      <c r="AJ579" s="34"/>
      <c r="AK579" s="34"/>
      <c r="AL579" s="34"/>
      <c r="AM579" s="34"/>
      <c r="AN579" s="34"/>
      <c r="AO579" s="65"/>
      <c r="AP579" s="69"/>
      <c r="AQ579" s="62"/>
      <c r="AR579" s="34"/>
    </row>
    <row r="580" spans="1:44" customFormat="1">
      <c r="A580" s="39">
        <v>44098</v>
      </c>
      <c r="B580" s="11" t="s">
        <v>22</v>
      </c>
      <c r="C580" s="16" t="s">
        <v>2416</v>
      </c>
      <c r="D580" s="16"/>
      <c r="E580" s="38">
        <v>21548</v>
      </c>
      <c r="F580" s="38"/>
      <c r="G580" s="10" t="s">
        <v>485</v>
      </c>
      <c r="H580" s="12" t="s">
        <v>2417</v>
      </c>
      <c r="I580" s="13" t="s">
        <v>2418</v>
      </c>
      <c r="J580" s="15" t="s">
        <v>2420</v>
      </c>
      <c r="K580" s="14" t="s">
        <v>2419</v>
      </c>
      <c r="L580" s="11" t="s">
        <v>33</v>
      </c>
      <c r="M580" s="15"/>
      <c r="N580" s="17">
        <v>2750</v>
      </c>
      <c r="O580" s="17"/>
      <c r="P580" s="17"/>
      <c r="Q580" s="48"/>
      <c r="R580" s="11"/>
      <c r="S580" s="48"/>
      <c r="T580" s="85"/>
      <c r="U580" s="88"/>
      <c r="V580" s="32" t="s">
        <v>1744</v>
      </c>
      <c r="W580" s="25" t="s">
        <v>8</v>
      </c>
      <c r="X580" s="11"/>
      <c r="Y580" s="50" t="s">
        <v>13</v>
      </c>
      <c r="Z580" s="50"/>
      <c r="AA580" s="50"/>
      <c r="AB580" s="50"/>
      <c r="AC580" s="50"/>
      <c r="AD580" s="50"/>
      <c r="AE580" s="50"/>
      <c r="AF580" s="34"/>
      <c r="AG580" s="34"/>
      <c r="AH580" s="34"/>
      <c r="AI580" s="34"/>
      <c r="AJ580" s="34"/>
      <c r="AK580" s="34"/>
      <c r="AL580" s="34"/>
      <c r="AM580" s="34"/>
      <c r="AN580" s="34"/>
      <c r="AO580" s="65"/>
      <c r="AP580" s="69"/>
      <c r="AQ580" s="62"/>
      <c r="AR580" s="34"/>
    </row>
    <row r="581" spans="1:44" customFormat="1">
      <c r="A581" s="39">
        <v>44098</v>
      </c>
      <c r="B581" s="11" t="s">
        <v>22</v>
      </c>
      <c r="C581" s="16" t="s">
        <v>2421</v>
      </c>
      <c r="D581" s="16"/>
      <c r="E581" s="38">
        <v>28083</v>
      </c>
      <c r="F581" s="38"/>
      <c r="G581" s="10" t="s">
        <v>2422</v>
      </c>
      <c r="H581" s="12" t="s">
        <v>2423</v>
      </c>
      <c r="I581" s="13" t="s">
        <v>2424</v>
      </c>
      <c r="J581" s="15" t="s">
        <v>2425</v>
      </c>
      <c r="K581" s="12"/>
      <c r="L581" s="11" t="s">
        <v>33</v>
      </c>
      <c r="M581" s="15"/>
      <c r="N581" s="17">
        <v>2750</v>
      </c>
      <c r="O581" s="17"/>
      <c r="P581" s="17"/>
      <c r="Q581" s="48"/>
      <c r="R581" s="11"/>
      <c r="S581" s="48"/>
      <c r="T581" s="85"/>
      <c r="U581" s="88"/>
      <c r="V581" s="32" t="s">
        <v>1744</v>
      </c>
      <c r="W581" s="25" t="s">
        <v>8</v>
      </c>
      <c r="X581" s="11"/>
      <c r="Y581" s="50" t="s">
        <v>17</v>
      </c>
      <c r="Z581" s="50"/>
      <c r="AA581" s="50"/>
      <c r="AB581" s="50"/>
      <c r="AC581" s="50"/>
      <c r="AD581" s="50"/>
      <c r="AE581" s="50"/>
      <c r="AF581" s="34"/>
      <c r="AG581" s="34"/>
      <c r="AH581" s="34"/>
      <c r="AI581" s="34"/>
      <c r="AJ581" s="34"/>
      <c r="AK581" s="34"/>
      <c r="AL581" s="34"/>
      <c r="AM581" s="34"/>
      <c r="AN581" s="34"/>
      <c r="AO581" s="65"/>
      <c r="AP581" s="69"/>
      <c r="AQ581" s="62"/>
      <c r="AR581" s="34"/>
    </row>
    <row r="582" spans="1:44" customFormat="1">
      <c r="A582" s="39">
        <v>44099</v>
      </c>
      <c r="B582" s="11" t="s">
        <v>49</v>
      </c>
      <c r="C582" s="16" t="s">
        <v>2431</v>
      </c>
      <c r="D582" s="16"/>
      <c r="E582" s="38">
        <v>30743</v>
      </c>
      <c r="F582" s="38"/>
      <c r="G582" s="10" t="s">
        <v>2426</v>
      </c>
      <c r="H582" s="12" t="s">
        <v>2427</v>
      </c>
      <c r="I582" s="13" t="s">
        <v>2428</v>
      </c>
      <c r="J582" s="15" t="s">
        <v>2430</v>
      </c>
      <c r="K582" s="14" t="s">
        <v>2429</v>
      </c>
      <c r="L582" s="11" t="s">
        <v>36</v>
      </c>
      <c r="M582" s="15"/>
      <c r="N582" s="17">
        <v>11000</v>
      </c>
      <c r="O582" s="17"/>
      <c r="P582" s="17"/>
      <c r="Q582" s="48"/>
      <c r="R582" s="11"/>
      <c r="S582" s="48"/>
      <c r="T582" s="85"/>
      <c r="U582" s="88"/>
      <c r="V582" s="32" t="s">
        <v>2191</v>
      </c>
      <c r="W582" s="25" t="s">
        <v>8</v>
      </c>
      <c r="X582" s="11"/>
      <c r="Y582" s="50" t="s">
        <v>13</v>
      </c>
      <c r="Z582" s="50"/>
      <c r="AA582" s="50"/>
      <c r="AB582" s="50"/>
      <c r="AC582" s="50"/>
      <c r="AD582" s="50"/>
      <c r="AE582" s="50"/>
      <c r="AF582" s="34"/>
      <c r="AG582" s="34"/>
      <c r="AH582" s="34"/>
      <c r="AI582" s="34"/>
      <c r="AJ582" s="34"/>
      <c r="AK582" s="34"/>
      <c r="AL582" s="34"/>
      <c r="AM582" s="34"/>
      <c r="AN582" s="34"/>
      <c r="AO582" s="65"/>
      <c r="AP582" s="69"/>
      <c r="AQ582" s="62"/>
      <c r="AR582" s="34"/>
    </row>
    <row r="583" spans="1:44" customFormat="1">
      <c r="A583" s="39">
        <v>44099</v>
      </c>
      <c r="B583" s="11" t="s">
        <v>49</v>
      </c>
      <c r="C583" s="16" t="s">
        <v>2432</v>
      </c>
      <c r="D583" s="16"/>
      <c r="E583" s="38">
        <v>21283</v>
      </c>
      <c r="F583" s="38"/>
      <c r="G583" s="10" t="s">
        <v>396</v>
      </c>
      <c r="H583" s="12" t="s">
        <v>2433</v>
      </c>
      <c r="I583" s="13" t="s">
        <v>2070</v>
      </c>
      <c r="J583" s="15" t="s">
        <v>2435</v>
      </c>
      <c r="K583" s="14" t="s">
        <v>2434</v>
      </c>
      <c r="L583" s="11" t="s">
        <v>33</v>
      </c>
      <c r="M583" s="15"/>
      <c r="N583" s="17">
        <v>22000</v>
      </c>
      <c r="O583" s="17"/>
      <c r="P583" s="17"/>
      <c r="Q583" s="48"/>
      <c r="R583" s="11"/>
      <c r="S583" s="48"/>
      <c r="T583" s="85"/>
      <c r="U583" s="88"/>
      <c r="V583" s="32"/>
      <c r="W583" s="25" t="s">
        <v>48</v>
      </c>
      <c r="X583" s="11"/>
      <c r="Y583" s="50" t="s">
        <v>12</v>
      </c>
      <c r="Z583" s="50"/>
      <c r="AA583" s="50"/>
      <c r="AB583" s="50"/>
      <c r="AC583" s="50"/>
      <c r="AD583" s="50"/>
      <c r="AE583" s="50"/>
      <c r="AF583" s="34"/>
      <c r="AG583" s="34"/>
      <c r="AH583" s="34"/>
      <c r="AI583" s="34"/>
      <c r="AJ583" s="34"/>
      <c r="AK583" s="34"/>
      <c r="AL583" s="34"/>
      <c r="AM583" s="34"/>
      <c r="AN583" s="34"/>
      <c r="AO583" s="65"/>
      <c r="AP583" s="69"/>
      <c r="AQ583" s="62"/>
      <c r="AR583" s="34"/>
    </row>
    <row r="584" spans="1:44" customFormat="1">
      <c r="A584" s="39">
        <v>44099</v>
      </c>
      <c r="B584" s="11" t="s">
        <v>22</v>
      </c>
      <c r="C584" s="16" t="s">
        <v>2436</v>
      </c>
      <c r="D584" s="16"/>
      <c r="E584" s="38">
        <v>25237</v>
      </c>
      <c r="F584" s="38"/>
      <c r="G584" s="10" t="s">
        <v>252</v>
      </c>
      <c r="H584" s="12" t="s">
        <v>2437</v>
      </c>
      <c r="I584" s="13" t="s">
        <v>2438</v>
      </c>
      <c r="J584" s="15" t="s">
        <v>2439</v>
      </c>
      <c r="K584" s="12"/>
      <c r="L584" s="11" t="s">
        <v>36</v>
      </c>
      <c r="M584" s="15"/>
      <c r="N584" s="17">
        <v>2750</v>
      </c>
      <c r="O584" s="17"/>
      <c r="P584" s="17"/>
      <c r="Q584" s="48"/>
      <c r="R584" s="11"/>
      <c r="S584" s="48"/>
      <c r="T584" s="85"/>
      <c r="U584" s="88"/>
      <c r="V584" s="32" t="s">
        <v>1744</v>
      </c>
      <c r="W584" s="25" t="s">
        <v>8</v>
      </c>
      <c r="X584" s="11"/>
      <c r="Y584" s="50" t="s">
        <v>12</v>
      </c>
      <c r="Z584" s="50"/>
      <c r="AA584" s="50"/>
      <c r="AB584" s="50"/>
      <c r="AC584" s="50"/>
      <c r="AD584" s="50"/>
      <c r="AE584" s="50"/>
      <c r="AF584" s="34"/>
      <c r="AG584" s="34"/>
      <c r="AH584" s="34"/>
      <c r="AI584" s="34"/>
      <c r="AJ584" s="34"/>
      <c r="AK584" s="34"/>
      <c r="AL584" s="34"/>
      <c r="AM584" s="34"/>
      <c r="AN584" s="34"/>
      <c r="AO584" s="65"/>
      <c r="AP584" s="69"/>
      <c r="AQ584" s="62"/>
      <c r="AR584" s="34"/>
    </row>
    <row r="585" spans="1:44" customFormat="1">
      <c r="A585" s="39">
        <v>44100</v>
      </c>
      <c r="B585" s="11" t="s">
        <v>2170</v>
      </c>
      <c r="C585" s="16" t="s">
        <v>1300</v>
      </c>
      <c r="D585" s="16"/>
      <c r="E585" s="38">
        <v>33955</v>
      </c>
      <c r="F585" s="38"/>
      <c r="G585" s="10" t="s">
        <v>78</v>
      </c>
      <c r="H585" s="12" t="s">
        <v>1298</v>
      </c>
      <c r="I585" s="13"/>
      <c r="J585" s="15"/>
      <c r="K585" s="12"/>
      <c r="L585" s="11"/>
      <c r="M585" s="15"/>
      <c r="N585" s="17">
        <v>5500</v>
      </c>
      <c r="O585" s="17"/>
      <c r="P585" s="17"/>
      <c r="Q585" s="48"/>
      <c r="R585" s="11"/>
      <c r="S585" s="48"/>
      <c r="T585" s="85"/>
      <c r="U585" s="88"/>
      <c r="V585" s="32" t="s">
        <v>2440</v>
      </c>
      <c r="W585" s="25"/>
      <c r="X585" s="11"/>
      <c r="Y585" s="50"/>
      <c r="Z585" s="50"/>
      <c r="AA585" s="50"/>
      <c r="AB585" s="50"/>
      <c r="AC585" s="50"/>
      <c r="AD585" s="50"/>
      <c r="AE585" s="50"/>
      <c r="AF585" s="34"/>
      <c r="AG585" s="34"/>
      <c r="AH585" s="34"/>
      <c r="AI585" s="34"/>
      <c r="AJ585" s="34"/>
      <c r="AK585" s="34"/>
      <c r="AL585" s="34"/>
      <c r="AM585" s="34"/>
      <c r="AN585" s="34"/>
      <c r="AO585" s="65"/>
      <c r="AP585" s="69"/>
      <c r="AQ585" s="62"/>
      <c r="AR585" s="34"/>
    </row>
    <row r="586" spans="1:44" customFormat="1">
      <c r="A586" s="39">
        <v>44100</v>
      </c>
      <c r="B586" s="11" t="s">
        <v>49</v>
      </c>
      <c r="C586" s="16" t="s">
        <v>2441</v>
      </c>
      <c r="D586" s="16"/>
      <c r="E586" s="38">
        <v>29703</v>
      </c>
      <c r="F586" s="38"/>
      <c r="G586" s="10" t="s">
        <v>2442</v>
      </c>
      <c r="H586" s="12" t="s">
        <v>2443</v>
      </c>
      <c r="I586" s="13" t="s">
        <v>2444</v>
      </c>
      <c r="J586" s="15" t="s">
        <v>2445</v>
      </c>
      <c r="K586" s="12"/>
      <c r="L586" s="11" t="s">
        <v>36</v>
      </c>
      <c r="M586" s="15"/>
      <c r="N586" s="17">
        <v>11000</v>
      </c>
      <c r="O586" s="17"/>
      <c r="P586" s="17"/>
      <c r="Q586" s="48"/>
      <c r="R586" s="11"/>
      <c r="S586" s="48"/>
      <c r="T586" s="85"/>
      <c r="U586" s="88"/>
      <c r="V586" s="32" t="s">
        <v>2450</v>
      </c>
      <c r="W586" s="25" t="s">
        <v>8</v>
      </c>
      <c r="X586" s="11"/>
      <c r="Y586" s="50"/>
      <c r="Z586" s="50"/>
      <c r="AA586" s="50"/>
      <c r="AB586" s="50"/>
      <c r="AC586" s="50"/>
      <c r="AD586" s="50"/>
      <c r="AE586" s="50"/>
      <c r="AF586" s="34"/>
      <c r="AG586" s="34"/>
      <c r="AH586" s="34"/>
      <c r="AI586" s="34"/>
      <c r="AJ586" s="34"/>
      <c r="AK586" s="34"/>
      <c r="AL586" s="34"/>
      <c r="AM586" s="34"/>
      <c r="AN586" s="34"/>
      <c r="AO586" s="65"/>
      <c r="AP586" s="69"/>
      <c r="AQ586" s="62"/>
      <c r="AR586" s="34"/>
    </row>
    <row r="587" spans="1:44" customFormat="1">
      <c r="A587" s="39">
        <v>44102</v>
      </c>
      <c r="B587" s="11" t="s">
        <v>49</v>
      </c>
      <c r="C587" s="16" t="s">
        <v>2446</v>
      </c>
      <c r="D587" s="16"/>
      <c r="E587" s="38">
        <v>18100</v>
      </c>
      <c r="F587" s="38"/>
      <c r="G587" s="10" t="s">
        <v>2447</v>
      </c>
      <c r="H587" s="12" t="s">
        <v>2448</v>
      </c>
      <c r="I587" s="13"/>
      <c r="J587" s="15" t="s">
        <v>2449</v>
      </c>
      <c r="K587" s="12"/>
      <c r="L587" s="11" t="s">
        <v>39</v>
      </c>
      <c r="M587" s="15"/>
      <c r="N587" s="17">
        <v>16500</v>
      </c>
      <c r="O587" s="17"/>
      <c r="P587" s="17"/>
      <c r="Q587" s="48"/>
      <c r="R587" s="11"/>
      <c r="S587" s="48"/>
      <c r="T587" s="85"/>
      <c r="U587" s="88"/>
      <c r="V587" s="32"/>
      <c r="W587" s="25" t="s">
        <v>48</v>
      </c>
      <c r="X587" s="11"/>
      <c r="Y587" s="50" t="s">
        <v>14</v>
      </c>
      <c r="Z587" s="50"/>
      <c r="AA587" s="50"/>
      <c r="AB587" s="50"/>
      <c r="AC587" s="50"/>
      <c r="AD587" s="50"/>
      <c r="AE587" s="50"/>
      <c r="AF587" s="34"/>
      <c r="AG587" s="34"/>
      <c r="AH587" s="34"/>
      <c r="AI587" s="34"/>
      <c r="AJ587" s="34"/>
      <c r="AK587" s="34"/>
      <c r="AL587" s="34"/>
      <c r="AM587" s="34"/>
      <c r="AN587" s="34"/>
      <c r="AO587" s="65"/>
      <c r="AP587" s="69"/>
      <c r="AQ587" s="62"/>
      <c r="AR587" s="34"/>
    </row>
    <row r="588" spans="1:44" customFormat="1">
      <c r="A588" s="39">
        <v>44102</v>
      </c>
      <c r="B588" s="11" t="s">
        <v>22</v>
      </c>
      <c r="C588" s="16" t="s">
        <v>2451</v>
      </c>
      <c r="D588" s="16"/>
      <c r="E588" s="38">
        <v>22250</v>
      </c>
      <c r="F588" s="38"/>
      <c r="G588" s="10" t="s">
        <v>148</v>
      </c>
      <c r="H588" s="12" t="s">
        <v>2452</v>
      </c>
      <c r="I588" s="13" t="s">
        <v>1784</v>
      </c>
      <c r="J588" s="15" t="s">
        <v>2454</v>
      </c>
      <c r="K588" s="14" t="s">
        <v>2453</v>
      </c>
      <c r="L588" s="11" t="s">
        <v>33</v>
      </c>
      <c r="M588" s="15"/>
      <c r="N588" s="17">
        <v>2750</v>
      </c>
      <c r="O588" s="17"/>
      <c r="P588" s="17"/>
      <c r="Q588" s="48"/>
      <c r="R588" s="11"/>
      <c r="S588" s="48"/>
      <c r="T588" s="85"/>
      <c r="U588" s="88"/>
      <c r="V588" s="32"/>
      <c r="W588" s="25" t="s">
        <v>10</v>
      </c>
      <c r="X588" s="11"/>
      <c r="Y588" s="50" t="s">
        <v>18</v>
      </c>
      <c r="Z588" s="50"/>
      <c r="AA588" s="50"/>
      <c r="AB588" s="50"/>
      <c r="AC588" s="50"/>
      <c r="AD588" s="50"/>
      <c r="AE588" s="50"/>
      <c r="AF588" s="34"/>
      <c r="AG588" s="34"/>
      <c r="AH588" s="34"/>
      <c r="AI588" s="34"/>
      <c r="AJ588" s="34"/>
      <c r="AK588" s="34"/>
      <c r="AL588" s="34"/>
      <c r="AM588" s="34"/>
      <c r="AN588" s="34"/>
      <c r="AO588" s="65"/>
      <c r="AP588" s="69"/>
      <c r="AQ588" s="62"/>
      <c r="AR588" s="34"/>
    </row>
    <row r="589" spans="1:44" customFormat="1">
      <c r="A589" s="39">
        <v>44104</v>
      </c>
      <c r="B589" s="11" t="s">
        <v>22</v>
      </c>
      <c r="C589" s="16" t="s">
        <v>2455</v>
      </c>
      <c r="D589" s="16"/>
      <c r="E589" s="38">
        <v>25695</v>
      </c>
      <c r="F589" s="38"/>
      <c r="G589" s="10" t="s">
        <v>636</v>
      </c>
      <c r="H589" s="12" t="s">
        <v>2456</v>
      </c>
      <c r="I589" s="13" t="s">
        <v>2069</v>
      </c>
      <c r="J589" s="15" t="s">
        <v>2458</v>
      </c>
      <c r="K589" s="14" t="s">
        <v>2457</v>
      </c>
      <c r="L589" s="11" t="s">
        <v>33</v>
      </c>
      <c r="M589" s="15"/>
      <c r="N589" s="17">
        <v>2750</v>
      </c>
      <c r="O589" s="17"/>
      <c r="P589" s="17"/>
      <c r="Q589" s="48"/>
      <c r="R589" s="11"/>
      <c r="S589" s="48"/>
      <c r="T589" s="85"/>
      <c r="U589" s="88"/>
      <c r="V589" s="32" t="s">
        <v>1744</v>
      </c>
      <c r="W589" s="25" t="s">
        <v>10</v>
      </c>
      <c r="X589" s="11"/>
      <c r="Y589" s="50"/>
      <c r="Z589" s="50"/>
      <c r="AA589" s="50"/>
      <c r="AB589" s="50"/>
      <c r="AC589" s="50"/>
      <c r="AD589" s="50"/>
      <c r="AE589" s="50"/>
      <c r="AF589" s="34"/>
      <c r="AG589" s="34"/>
      <c r="AH589" s="34"/>
      <c r="AI589" s="34"/>
      <c r="AJ589" s="34"/>
      <c r="AK589" s="34"/>
      <c r="AL589" s="34"/>
      <c r="AM589" s="34"/>
      <c r="AN589" s="34"/>
      <c r="AO589" s="65"/>
      <c r="AP589" s="69"/>
      <c r="AQ589" s="62"/>
      <c r="AR589" s="34"/>
    </row>
    <row r="590" spans="1:44" customFormat="1">
      <c r="A590" s="39">
        <v>44105</v>
      </c>
      <c r="B590" s="11" t="s">
        <v>49</v>
      </c>
      <c r="C590" s="16" t="s">
        <v>2459</v>
      </c>
      <c r="D590" s="16"/>
      <c r="E590" s="38">
        <v>25837</v>
      </c>
      <c r="F590" s="38"/>
      <c r="G590" s="10" t="s">
        <v>2460</v>
      </c>
      <c r="H590" s="12" t="s">
        <v>2461</v>
      </c>
      <c r="I590" s="13" t="s">
        <v>2462</v>
      </c>
      <c r="J590" s="15" t="s">
        <v>2463</v>
      </c>
      <c r="K590" s="12"/>
      <c r="L590" s="11" t="s">
        <v>33</v>
      </c>
      <c r="M590" s="15"/>
      <c r="N590" s="17">
        <v>16500</v>
      </c>
      <c r="O590" s="17"/>
      <c r="P590" s="17"/>
      <c r="Q590" s="48"/>
      <c r="R590" s="11"/>
      <c r="S590" s="48"/>
      <c r="T590" s="85"/>
      <c r="U590" s="88"/>
      <c r="V590" s="32"/>
      <c r="W590" s="25" t="s">
        <v>8</v>
      </c>
      <c r="X590" s="11"/>
      <c r="Y590" s="50" t="s">
        <v>14</v>
      </c>
      <c r="Z590" s="50"/>
      <c r="AA590" s="50"/>
      <c r="AB590" s="50"/>
      <c r="AC590" s="50"/>
      <c r="AD590" s="50"/>
      <c r="AE590" s="50"/>
      <c r="AF590" s="34"/>
      <c r="AG590" s="34"/>
      <c r="AH590" s="34"/>
      <c r="AI590" s="34"/>
      <c r="AJ590" s="34"/>
      <c r="AK590" s="34"/>
      <c r="AL590" s="34"/>
      <c r="AM590" s="34"/>
      <c r="AN590" s="34"/>
      <c r="AO590" s="65"/>
      <c r="AP590" s="69"/>
      <c r="AQ590" s="62"/>
      <c r="AR590" s="34"/>
    </row>
    <row r="591" spans="1:44" customFormat="1">
      <c r="A591" s="39">
        <v>44107</v>
      </c>
      <c r="B591" s="11" t="s">
        <v>22</v>
      </c>
      <c r="C591" s="16" t="s">
        <v>2464</v>
      </c>
      <c r="D591" s="16"/>
      <c r="E591" s="38">
        <v>24587</v>
      </c>
      <c r="F591" s="38"/>
      <c r="G591" s="10" t="s">
        <v>2465</v>
      </c>
      <c r="H591" s="12" t="s">
        <v>2466</v>
      </c>
      <c r="I591" s="13" t="s">
        <v>1684</v>
      </c>
      <c r="J591" s="15" t="s">
        <v>2468</v>
      </c>
      <c r="K591" s="14" t="s">
        <v>2467</v>
      </c>
      <c r="L591" s="11" t="s">
        <v>36</v>
      </c>
      <c r="M591" s="15"/>
      <c r="N591" s="17">
        <v>2750</v>
      </c>
      <c r="O591" s="17"/>
      <c r="P591" s="17"/>
      <c r="Q591" s="48"/>
      <c r="R591" s="11"/>
      <c r="S591" s="48"/>
      <c r="T591" s="85"/>
      <c r="U591" s="88"/>
      <c r="V591" s="32" t="s">
        <v>1744</v>
      </c>
      <c r="W591" s="25" t="s">
        <v>10</v>
      </c>
      <c r="X591" s="11"/>
      <c r="Y591" s="50" t="s">
        <v>18</v>
      </c>
      <c r="Z591" s="50"/>
      <c r="AA591" s="50"/>
      <c r="AB591" s="50"/>
      <c r="AC591" s="50"/>
      <c r="AD591" s="50"/>
      <c r="AE591" s="50"/>
      <c r="AF591" s="34"/>
      <c r="AG591" s="34"/>
      <c r="AH591" s="34"/>
      <c r="AI591" s="34"/>
      <c r="AJ591" s="34"/>
      <c r="AK591" s="34"/>
      <c r="AL591" s="34"/>
      <c r="AM591" s="34"/>
      <c r="AN591" s="34"/>
      <c r="AO591" s="65"/>
      <c r="AP591" s="69"/>
      <c r="AQ591" s="62"/>
      <c r="AR591" s="34"/>
    </row>
    <row r="592" spans="1:44" customFormat="1">
      <c r="A592" s="39">
        <v>44108</v>
      </c>
      <c r="B592" s="11" t="s">
        <v>2170</v>
      </c>
      <c r="C592" s="16" t="s">
        <v>1968</v>
      </c>
      <c r="D592" s="16"/>
      <c r="E592" s="38"/>
      <c r="F592" s="38"/>
      <c r="G592" s="10"/>
      <c r="H592" s="12"/>
      <c r="I592" s="13"/>
      <c r="J592" s="15"/>
      <c r="K592" s="12"/>
      <c r="L592" s="11"/>
      <c r="M592" s="15"/>
      <c r="N592" s="17">
        <v>3300</v>
      </c>
      <c r="O592" s="17"/>
      <c r="P592" s="17"/>
      <c r="Q592" s="48"/>
      <c r="R592" s="11"/>
      <c r="S592" s="48"/>
      <c r="T592" s="85"/>
      <c r="U592" s="88"/>
      <c r="V592" s="32" t="s">
        <v>1504</v>
      </c>
      <c r="W592" s="25"/>
      <c r="X592" s="11"/>
      <c r="Y592" s="50"/>
      <c r="Z592" s="50"/>
      <c r="AA592" s="50"/>
      <c r="AB592" s="50"/>
      <c r="AC592" s="50"/>
      <c r="AD592" s="50"/>
      <c r="AE592" s="50"/>
      <c r="AF592" s="34"/>
      <c r="AG592" s="34"/>
      <c r="AH592" s="34"/>
      <c r="AI592" s="34"/>
      <c r="AJ592" s="34"/>
      <c r="AK592" s="34"/>
      <c r="AL592" s="34"/>
      <c r="AM592" s="34"/>
      <c r="AN592" s="34"/>
      <c r="AO592" s="65"/>
      <c r="AP592" s="69"/>
      <c r="AQ592" s="62"/>
      <c r="AR592" s="34"/>
    </row>
    <row r="593" spans="1:44" customFormat="1">
      <c r="A593" s="39">
        <v>44111</v>
      </c>
      <c r="B593" s="11" t="s">
        <v>49</v>
      </c>
      <c r="C593" s="16" t="s">
        <v>2469</v>
      </c>
      <c r="D593" s="16"/>
      <c r="E593" s="38">
        <v>32957</v>
      </c>
      <c r="F593" s="38"/>
      <c r="G593" s="10" t="s">
        <v>2400</v>
      </c>
      <c r="H593" s="12" t="s">
        <v>2470</v>
      </c>
      <c r="I593" s="13" t="s">
        <v>2471</v>
      </c>
      <c r="J593" s="15" t="s">
        <v>2473</v>
      </c>
      <c r="K593" s="14" t="s">
        <v>2472</v>
      </c>
      <c r="L593" s="11" t="s">
        <v>34</v>
      </c>
      <c r="M593" s="15"/>
      <c r="N593" s="17">
        <v>11000</v>
      </c>
      <c r="O593" s="17"/>
      <c r="P593" s="17"/>
      <c r="Q593" s="48"/>
      <c r="R593" s="11"/>
      <c r="S593" s="48"/>
      <c r="T593" s="85"/>
      <c r="U593" s="88"/>
      <c r="V593" s="32" t="s">
        <v>2191</v>
      </c>
      <c r="W593" s="25" t="s">
        <v>8</v>
      </c>
      <c r="X593" s="11"/>
      <c r="Y593" s="50" t="s">
        <v>13</v>
      </c>
      <c r="Z593" s="50"/>
      <c r="AA593" s="50"/>
      <c r="AB593" s="50"/>
      <c r="AC593" s="50"/>
      <c r="AD593" s="50"/>
      <c r="AE593" s="50"/>
      <c r="AF593" s="34"/>
      <c r="AG593" s="34"/>
      <c r="AH593" s="34"/>
      <c r="AI593" s="34"/>
      <c r="AJ593" s="34"/>
      <c r="AK593" s="34"/>
      <c r="AL593" s="34"/>
      <c r="AM593" s="34"/>
      <c r="AN593" s="34"/>
      <c r="AO593" s="65"/>
      <c r="AP593" s="69"/>
      <c r="AQ593" s="62"/>
      <c r="AR593" s="34"/>
    </row>
    <row r="594" spans="1:44" customFormat="1">
      <c r="A594" s="39">
        <v>44114</v>
      </c>
      <c r="B594" s="11" t="s">
        <v>24</v>
      </c>
      <c r="C594" s="16" t="s">
        <v>2474</v>
      </c>
      <c r="D594" s="16"/>
      <c r="E594" s="38">
        <v>24267</v>
      </c>
      <c r="F594" s="38"/>
      <c r="G594" s="10" t="s">
        <v>2475</v>
      </c>
      <c r="H594" s="12" t="s">
        <v>2476</v>
      </c>
      <c r="I594" s="13" t="s">
        <v>2477</v>
      </c>
      <c r="J594" s="15" t="s">
        <v>2479</v>
      </c>
      <c r="K594" s="14" t="s">
        <v>2478</v>
      </c>
      <c r="L594" s="11" t="s">
        <v>36</v>
      </c>
      <c r="M594" s="15"/>
      <c r="N594" s="17">
        <v>6050</v>
      </c>
      <c r="O594" s="17"/>
      <c r="P594" s="17"/>
      <c r="Q594" s="48"/>
      <c r="R594" s="11"/>
      <c r="S594" s="48"/>
      <c r="T594" s="85"/>
      <c r="U594" s="88"/>
      <c r="V594" s="32" t="s">
        <v>2480</v>
      </c>
      <c r="W594" s="25" t="s">
        <v>10</v>
      </c>
      <c r="X594" s="11"/>
      <c r="Y594" s="50" t="s">
        <v>13</v>
      </c>
      <c r="Z594" s="50"/>
      <c r="AA594" s="50"/>
      <c r="AB594" s="50"/>
      <c r="AC594" s="50"/>
      <c r="AD594" s="50"/>
      <c r="AE594" s="50"/>
      <c r="AF594" s="34"/>
      <c r="AG594" s="34"/>
      <c r="AH594" s="34"/>
      <c r="AI594" s="34"/>
      <c r="AJ594" s="34"/>
      <c r="AK594" s="34"/>
      <c r="AL594" s="34"/>
      <c r="AM594" s="34"/>
      <c r="AN594" s="34"/>
      <c r="AO594" s="65"/>
      <c r="AP594" s="69"/>
      <c r="AQ594" s="62"/>
      <c r="AR594" s="34"/>
    </row>
    <row r="595" spans="1:44" customFormat="1">
      <c r="A595" s="39">
        <v>44114</v>
      </c>
      <c r="B595" s="11" t="s">
        <v>49</v>
      </c>
      <c r="C595" s="16" t="s">
        <v>2481</v>
      </c>
      <c r="D595" s="16"/>
      <c r="E595" s="38">
        <v>29742</v>
      </c>
      <c r="F595" s="38"/>
      <c r="G595" s="10" t="s">
        <v>2483</v>
      </c>
      <c r="H595" s="12" t="s">
        <v>2485</v>
      </c>
      <c r="I595" s="13" t="s">
        <v>2487</v>
      </c>
      <c r="J595" s="15" t="s">
        <v>2489</v>
      </c>
      <c r="K595" s="12"/>
      <c r="L595" s="11" t="s">
        <v>33</v>
      </c>
      <c r="M595" s="15"/>
      <c r="N595" s="17">
        <v>44000</v>
      </c>
      <c r="O595" s="17"/>
      <c r="P595" s="17"/>
      <c r="Q595" s="48"/>
      <c r="R595" s="11"/>
      <c r="S595" s="48"/>
      <c r="T595" s="85"/>
      <c r="U595" s="88"/>
      <c r="V595" s="32" t="s">
        <v>2518</v>
      </c>
      <c r="W595" s="25" t="s">
        <v>8</v>
      </c>
      <c r="X595" s="11"/>
      <c r="Y595" s="50" t="s">
        <v>13</v>
      </c>
      <c r="Z595" s="50"/>
      <c r="AA595" s="50"/>
      <c r="AB595" s="50"/>
      <c r="AC595" s="50"/>
      <c r="AD595" s="50"/>
      <c r="AE595" s="50"/>
      <c r="AF595" s="34"/>
      <c r="AG595" s="34"/>
      <c r="AH595" s="34"/>
      <c r="AI595" s="34"/>
      <c r="AJ595" s="34"/>
      <c r="AK595" s="34"/>
      <c r="AL595" s="34"/>
      <c r="AM595" s="34"/>
      <c r="AN595" s="34"/>
      <c r="AO595" s="65"/>
      <c r="AP595" s="69"/>
      <c r="AQ595" s="62"/>
      <c r="AR595" s="34"/>
    </row>
    <row r="596" spans="1:44" customFormat="1">
      <c r="A596" s="39">
        <v>44114</v>
      </c>
      <c r="B596" s="11" t="s">
        <v>49</v>
      </c>
      <c r="C596" s="16" t="s">
        <v>2482</v>
      </c>
      <c r="D596" s="16"/>
      <c r="E596" s="38">
        <v>35012</v>
      </c>
      <c r="F596" s="38"/>
      <c r="G596" s="10" t="s">
        <v>2484</v>
      </c>
      <c r="H596" s="12" t="s">
        <v>2486</v>
      </c>
      <c r="I596" s="13" t="s">
        <v>2488</v>
      </c>
      <c r="J596" s="15" t="s">
        <v>2490</v>
      </c>
      <c r="K596" s="12"/>
      <c r="L596" s="11" t="s">
        <v>39</v>
      </c>
      <c r="M596" s="15"/>
      <c r="N596" s="17">
        <v>0</v>
      </c>
      <c r="O596" s="17"/>
      <c r="P596" s="17"/>
      <c r="Q596" s="48"/>
      <c r="R596" s="11"/>
      <c r="S596" s="48"/>
      <c r="T596" s="85"/>
      <c r="U596" s="88"/>
      <c r="V596" s="32" t="s">
        <v>2519</v>
      </c>
      <c r="W596" s="25" t="s">
        <v>48</v>
      </c>
      <c r="X596" s="11"/>
      <c r="Y596" s="50" t="s">
        <v>12</v>
      </c>
      <c r="Z596" s="50"/>
      <c r="AA596" s="50"/>
      <c r="AB596" s="50"/>
      <c r="AC596" s="50"/>
      <c r="AD596" s="50"/>
      <c r="AE596" s="50"/>
      <c r="AF596" s="34"/>
      <c r="AG596" s="34"/>
      <c r="AH596" s="34"/>
      <c r="AI596" s="34"/>
      <c r="AJ596" s="34"/>
      <c r="AK596" s="34"/>
      <c r="AL596" s="34"/>
      <c r="AM596" s="34"/>
      <c r="AN596" s="34"/>
      <c r="AO596" s="65"/>
      <c r="AP596" s="69"/>
      <c r="AQ596" s="62"/>
      <c r="AR596" s="34"/>
    </row>
    <row r="597" spans="1:44" customFormat="1">
      <c r="A597" s="39">
        <v>44114</v>
      </c>
      <c r="B597" s="11" t="s">
        <v>22</v>
      </c>
      <c r="C597" s="16" t="s">
        <v>2491</v>
      </c>
      <c r="D597" s="16"/>
      <c r="E597" s="38">
        <v>26126</v>
      </c>
      <c r="F597" s="38"/>
      <c r="G597" s="10" t="s">
        <v>175</v>
      </c>
      <c r="H597" s="12" t="s">
        <v>2492</v>
      </c>
      <c r="I597" s="13" t="s">
        <v>2493</v>
      </c>
      <c r="J597" s="15" t="s">
        <v>2495</v>
      </c>
      <c r="K597" s="14" t="s">
        <v>2494</v>
      </c>
      <c r="L597" s="11" t="s">
        <v>36</v>
      </c>
      <c r="M597" s="15"/>
      <c r="N597" s="17">
        <v>2750</v>
      </c>
      <c r="O597" s="17"/>
      <c r="P597" s="17"/>
      <c r="Q597" s="48"/>
      <c r="R597" s="11"/>
      <c r="S597" s="48"/>
      <c r="T597" s="85"/>
      <c r="U597" s="88"/>
      <c r="V597" s="32" t="s">
        <v>1744</v>
      </c>
      <c r="W597" s="25" t="s">
        <v>48</v>
      </c>
      <c r="X597" s="11"/>
      <c r="Y597" s="50" t="s">
        <v>11</v>
      </c>
      <c r="Z597" s="50"/>
      <c r="AA597" s="50"/>
      <c r="AB597" s="50"/>
      <c r="AC597" s="50"/>
      <c r="AD597" s="50"/>
      <c r="AE597" s="50"/>
      <c r="AF597" s="34"/>
      <c r="AG597" s="34"/>
      <c r="AH597" s="34"/>
      <c r="AI597" s="34"/>
      <c r="AJ597" s="34"/>
      <c r="AK597" s="34"/>
      <c r="AL597" s="34"/>
      <c r="AM597" s="34"/>
      <c r="AN597" s="34"/>
      <c r="AO597" s="65"/>
      <c r="AP597" s="69"/>
      <c r="AQ597" s="62"/>
      <c r="AR597" s="34"/>
    </row>
    <row r="598" spans="1:44" customFormat="1">
      <c r="A598" s="39">
        <v>44114</v>
      </c>
      <c r="B598" s="11" t="s">
        <v>49</v>
      </c>
      <c r="C598" s="16" t="s">
        <v>1201</v>
      </c>
      <c r="D598" s="16"/>
      <c r="E598" s="38"/>
      <c r="F598" s="38"/>
      <c r="G598" s="10"/>
      <c r="H598" s="12"/>
      <c r="I598" s="13"/>
      <c r="J598" s="15"/>
      <c r="K598" s="12"/>
      <c r="L598" s="11"/>
      <c r="M598" s="15"/>
      <c r="N598" s="17">
        <v>22000</v>
      </c>
      <c r="O598" s="17"/>
      <c r="P598" s="17"/>
      <c r="Q598" s="48"/>
      <c r="R598" s="11"/>
      <c r="S598" s="48"/>
      <c r="T598" s="85"/>
      <c r="U598" s="88"/>
      <c r="V598" s="32" t="s">
        <v>2496</v>
      </c>
      <c r="W598" s="25"/>
      <c r="X598" s="11"/>
      <c r="Y598" s="50"/>
      <c r="Z598" s="50"/>
      <c r="AA598" s="50"/>
      <c r="AB598" s="50"/>
      <c r="AC598" s="50"/>
      <c r="AD598" s="50"/>
      <c r="AE598" s="50"/>
      <c r="AF598" s="34"/>
      <c r="AG598" s="34"/>
      <c r="AH598" s="34"/>
      <c r="AI598" s="34"/>
      <c r="AJ598" s="34"/>
      <c r="AK598" s="34"/>
      <c r="AL598" s="34"/>
      <c r="AM598" s="34"/>
      <c r="AN598" s="34"/>
      <c r="AO598" s="65"/>
      <c r="AP598" s="69"/>
      <c r="AQ598" s="62"/>
      <c r="AR598" s="34"/>
    </row>
    <row r="599" spans="1:44" customFormat="1">
      <c r="A599" s="39">
        <v>44115</v>
      </c>
      <c r="B599" s="11" t="s">
        <v>22</v>
      </c>
      <c r="C599" s="16" t="s">
        <v>2602</v>
      </c>
      <c r="D599" s="16"/>
      <c r="E599" s="38">
        <v>21204</v>
      </c>
      <c r="F599" s="38"/>
      <c r="G599" s="10" t="s">
        <v>2497</v>
      </c>
      <c r="H599" s="12" t="s">
        <v>2498</v>
      </c>
      <c r="I599" s="13" t="s">
        <v>2438</v>
      </c>
      <c r="J599" s="15" t="s">
        <v>2499</v>
      </c>
      <c r="K599" s="12"/>
      <c r="L599" s="11" t="s">
        <v>36</v>
      </c>
      <c r="M599" s="15"/>
      <c r="N599" s="17">
        <v>2750</v>
      </c>
      <c r="O599" s="17"/>
      <c r="P599" s="17"/>
      <c r="Q599" s="48"/>
      <c r="R599" s="11"/>
      <c r="S599" s="48"/>
      <c r="T599" s="85"/>
      <c r="U599" s="88"/>
      <c r="V599" s="32" t="s">
        <v>2500</v>
      </c>
      <c r="W599" s="25" t="s">
        <v>9</v>
      </c>
      <c r="X599" s="11"/>
      <c r="Y599" s="50" t="s">
        <v>15</v>
      </c>
      <c r="Z599" s="50"/>
      <c r="AA599" s="50"/>
      <c r="AB599" s="50"/>
      <c r="AC599" s="50"/>
      <c r="AD599" s="50"/>
      <c r="AE599" s="50"/>
      <c r="AF599" s="34"/>
      <c r="AG599" s="34"/>
      <c r="AH599" s="34"/>
      <c r="AI599" s="34"/>
      <c r="AJ599" s="34"/>
      <c r="AK599" s="34"/>
      <c r="AL599" s="34"/>
      <c r="AM599" s="34"/>
      <c r="AN599" s="34"/>
      <c r="AO599" s="65"/>
      <c r="AP599" s="69"/>
      <c r="AQ599" s="62"/>
      <c r="AR599" s="34"/>
    </row>
    <row r="600" spans="1:44" customFormat="1">
      <c r="A600" s="39">
        <v>44116</v>
      </c>
      <c r="B600" s="11" t="s">
        <v>49</v>
      </c>
      <c r="C600" s="16" t="s">
        <v>2501</v>
      </c>
      <c r="D600" s="16"/>
      <c r="E600" s="38">
        <v>25493</v>
      </c>
      <c r="F600" s="38"/>
      <c r="G600" s="10" t="s">
        <v>2502</v>
      </c>
      <c r="H600" s="12" t="s">
        <v>2503</v>
      </c>
      <c r="I600" s="13" t="s">
        <v>2504</v>
      </c>
      <c r="J600" s="15" t="s">
        <v>2505</v>
      </c>
      <c r="K600" s="12"/>
      <c r="L600" s="11" t="s">
        <v>34</v>
      </c>
      <c r="M600" s="15"/>
      <c r="N600" s="17">
        <v>14850</v>
      </c>
      <c r="O600" s="17"/>
      <c r="P600" s="17"/>
      <c r="Q600" s="48"/>
      <c r="R600" s="11"/>
      <c r="S600" s="48"/>
      <c r="T600" s="85"/>
      <c r="U600" s="88"/>
      <c r="V600" s="32" t="s">
        <v>2506</v>
      </c>
      <c r="W600" s="25" t="s">
        <v>8</v>
      </c>
      <c r="X600" s="11"/>
      <c r="Y600" s="50" t="s">
        <v>13</v>
      </c>
      <c r="Z600" s="50"/>
      <c r="AA600" s="50"/>
      <c r="AB600" s="50"/>
      <c r="AC600" s="50"/>
      <c r="AD600" s="50"/>
      <c r="AE600" s="50"/>
      <c r="AF600" s="34"/>
      <c r="AG600" s="34"/>
      <c r="AH600" s="34"/>
      <c r="AI600" s="34"/>
      <c r="AJ600" s="34"/>
      <c r="AK600" s="34"/>
      <c r="AL600" s="34"/>
      <c r="AM600" s="34"/>
      <c r="AN600" s="34"/>
      <c r="AO600" s="65"/>
      <c r="AP600" s="69"/>
      <c r="AQ600" s="62"/>
      <c r="AR600" s="34"/>
    </row>
    <row r="601" spans="1:44" customFormat="1">
      <c r="A601" s="39">
        <v>44116</v>
      </c>
      <c r="B601" s="11" t="s">
        <v>49</v>
      </c>
      <c r="C601" s="16" t="s">
        <v>2507</v>
      </c>
      <c r="D601" s="16"/>
      <c r="E601" s="38">
        <v>29106</v>
      </c>
      <c r="F601" s="38"/>
      <c r="G601" s="10" t="s">
        <v>2509</v>
      </c>
      <c r="H601" s="12" t="s">
        <v>2510</v>
      </c>
      <c r="I601" s="13" t="s">
        <v>2514</v>
      </c>
      <c r="J601" s="15" t="s">
        <v>2516</v>
      </c>
      <c r="K601" s="12"/>
      <c r="L601" s="11" t="s">
        <v>33</v>
      </c>
      <c r="M601" s="15"/>
      <c r="N601" s="17">
        <v>0</v>
      </c>
      <c r="O601" s="17"/>
      <c r="P601" s="17"/>
      <c r="Q601" s="48"/>
      <c r="R601" s="11"/>
      <c r="S601" s="48"/>
      <c r="T601" s="85"/>
      <c r="U601" s="88"/>
      <c r="V601" s="32" t="s">
        <v>2520</v>
      </c>
      <c r="W601" s="25" t="s">
        <v>8</v>
      </c>
      <c r="X601" s="11"/>
      <c r="Y601" s="50"/>
      <c r="Z601" s="50"/>
      <c r="AA601" s="50"/>
      <c r="AB601" s="50"/>
      <c r="AC601" s="50"/>
      <c r="AD601" s="50"/>
      <c r="AE601" s="50"/>
      <c r="AF601" s="34"/>
      <c r="AG601" s="34"/>
      <c r="AH601" s="34"/>
      <c r="AI601" s="34"/>
      <c r="AJ601" s="34"/>
      <c r="AK601" s="34"/>
      <c r="AL601" s="34"/>
      <c r="AM601" s="34"/>
      <c r="AN601" s="34"/>
      <c r="AO601" s="65"/>
      <c r="AP601" s="69"/>
      <c r="AQ601" s="62"/>
      <c r="AR601" s="34"/>
    </row>
    <row r="602" spans="1:44" customFormat="1">
      <c r="A602" s="39">
        <v>44116</v>
      </c>
      <c r="B602" s="11" t="s">
        <v>49</v>
      </c>
      <c r="C602" s="16" t="s">
        <v>2508</v>
      </c>
      <c r="D602" s="16"/>
      <c r="E602" s="38">
        <v>26360</v>
      </c>
      <c r="F602" s="38"/>
      <c r="G602" s="10" t="s">
        <v>2511</v>
      </c>
      <c r="H602" s="12" t="s">
        <v>2512</v>
      </c>
      <c r="I602" s="13" t="s">
        <v>2513</v>
      </c>
      <c r="J602" s="15" t="s">
        <v>2517</v>
      </c>
      <c r="K602" s="14" t="s">
        <v>2515</v>
      </c>
      <c r="L602" s="11" t="s">
        <v>33</v>
      </c>
      <c r="M602" s="15"/>
      <c r="N602" s="17">
        <v>33000</v>
      </c>
      <c r="O602" s="17"/>
      <c r="P602" s="17"/>
      <c r="Q602" s="48"/>
      <c r="R602" s="11"/>
      <c r="S602" s="48"/>
      <c r="T602" s="85"/>
      <c r="U602" s="88"/>
      <c r="V602" s="32" t="s">
        <v>2521</v>
      </c>
      <c r="W602" s="25" t="s">
        <v>8</v>
      </c>
      <c r="X602" s="11"/>
      <c r="Y602" s="50"/>
      <c r="Z602" s="50"/>
      <c r="AA602" s="50"/>
      <c r="AB602" s="50"/>
      <c r="AC602" s="50"/>
      <c r="AD602" s="50"/>
      <c r="AE602" s="50"/>
      <c r="AF602" s="34"/>
      <c r="AG602" s="34"/>
      <c r="AH602" s="34"/>
      <c r="AI602" s="34"/>
      <c r="AJ602" s="34"/>
      <c r="AK602" s="34"/>
      <c r="AL602" s="34"/>
      <c r="AM602" s="34"/>
      <c r="AN602" s="34"/>
      <c r="AO602" s="65"/>
      <c r="AP602" s="69"/>
      <c r="AQ602" s="62"/>
      <c r="AR602" s="34"/>
    </row>
    <row r="603" spans="1:44" customFormat="1">
      <c r="A603" s="39">
        <v>44116</v>
      </c>
      <c r="B603" s="11" t="s">
        <v>49</v>
      </c>
      <c r="C603" s="16" t="s">
        <v>2522</v>
      </c>
      <c r="D603" s="16"/>
      <c r="E603" s="38">
        <v>28112</v>
      </c>
      <c r="F603" s="38"/>
      <c r="G603" s="10" t="s">
        <v>2034</v>
      </c>
      <c r="H603" s="12" t="s">
        <v>2523</v>
      </c>
      <c r="I603" s="13" t="s">
        <v>2189</v>
      </c>
      <c r="J603" s="15" t="s">
        <v>2524</v>
      </c>
      <c r="K603" s="12"/>
      <c r="L603" s="11" t="s">
        <v>33</v>
      </c>
      <c r="M603" s="15"/>
      <c r="N603" s="17">
        <v>16500</v>
      </c>
      <c r="O603" s="17"/>
      <c r="P603" s="17"/>
      <c r="Q603" s="48"/>
      <c r="R603" s="11"/>
      <c r="S603" s="48"/>
      <c r="T603" s="85"/>
      <c r="U603" s="88"/>
      <c r="V603" s="32"/>
      <c r="W603" s="25" t="s">
        <v>10</v>
      </c>
      <c r="X603" s="11"/>
      <c r="Y603" s="50" t="s">
        <v>13</v>
      </c>
      <c r="Z603" s="50"/>
      <c r="AA603" s="50"/>
      <c r="AB603" s="50"/>
      <c r="AC603" s="50"/>
      <c r="AD603" s="50"/>
      <c r="AE603" s="50"/>
      <c r="AF603" s="34"/>
      <c r="AG603" s="34"/>
      <c r="AH603" s="34"/>
      <c r="AI603" s="34"/>
      <c r="AJ603" s="34"/>
      <c r="AK603" s="34"/>
      <c r="AL603" s="34"/>
      <c r="AM603" s="34"/>
      <c r="AN603" s="34"/>
      <c r="AO603" s="65"/>
      <c r="AP603" s="69"/>
      <c r="AQ603" s="62"/>
      <c r="AR603" s="34"/>
    </row>
    <row r="604" spans="1:44" customFormat="1">
      <c r="A604" s="39">
        <v>44116</v>
      </c>
      <c r="B604" s="11" t="s">
        <v>22</v>
      </c>
      <c r="C604" s="16" t="s">
        <v>2525</v>
      </c>
      <c r="D604" s="16"/>
      <c r="E604" s="38">
        <v>28509</v>
      </c>
      <c r="F604" s="38"/>
      <c r="G604" s="10" t="s">
        <v>617</v>
      </c>
      <c r="H604" s="12" t="s">
        <v>2526</v>
      </c>
      <c r="I604" s="13" t="s">
        <v>2527</v>
      </c>
      <c r="J604" s="15" t="s">
        <v>2528</v>
      </c>
      <c r="K604" s="12"/>
      <c r="L604" s="11" t="s">
        <v>33</v>
      </c>
      <c r="M604" s="15"/>
      <c r="N604" s="17">
        <v>2750</v>
      </c>
      <c r="O604" s="17"/>
      <c r="P604" s="17"/>
      <c r="Q604" s="48"/>
      <c r="R604" s="11"/>
      <c r="S604" s="48"/>
      <c r="T604" s="85"/>
      <c r="U604" s="88"/>
      <c r="V604" s="32" t="s">
        <v>1744</v>
      </c>
      <c r="W604" s="25" t="s">
        <v>9</v>
      </c>
      <c r="X604" s="11"/>
      <c r="Y604" s="50" t="s">
        <v>15</v>
      </c>
      <c r="Z604" s="50"/>
      <c r="AA604" s="50"/>
      <c r="AB604" s="50"/>
      <c r="AC604" s="50"/>
      <c r="AD604" s="50"/>
      <c r="AE604" s="50"/>
      <c r="AF604" s="34"/>
      <c r="AG604" s="34"/>
      <c r="AH604" s="34"/>
      <c r="AI604" s="34"/>
      <c r="AJ604" s="34"/>
      <c r="AK604" s="34"/>
      <c r="AL604" s="34"/>
      <c r="AM604" s="34"/>
      <c r="AN604" s="34"/>
      <c r="AO604" s="65"/>
      <c r="AP604" s="69"/>
      <c r="AQ604" s="62"/>
      <c r="AR604" s="34"/>
    </row>
    <row r="605" spans="1:44" customFormat="1">
      <c r="A605" s="39">
        <v>44119</v>
      </c>
      <c r="B605" s="11" t="s">
        <v>22</v>
      </c>
      <c r="C605" s="16" t="s">
        <v>2529</v>
      </c>
      <c r="D605" s="16"/>
      <c r="E605" s="38">
        <v>32412</v>
      </c>
      <c r="F605" s="38"/>
      <c r="G605" s="10" t="s">
        <v>460</v>
      </c>
      <c r="H605" s="12" t="s">
        <v>2530</v>
      </c>
      <c r="I605" s="13" t="s">
        <v>2025</v>
      </c>
      <c r="J605" s="15" t="s">
        <v>2531</v>
      </c>
      <c r="K605" s="12"/>
      <c r="L605" s="11" t="s">
        <v>34</v>
      </c>
      <c r="M605" s="15"/>
      <c r="N605" s="17">
        <v>2750</v>
      </c>
      <c r="O605" s="17"/>
      <c r="P605" s="17"/>
      <c r="Q605" s="48"/>
      <c r="R605" s="11"/>
      <c r="S605" s="48"/>
      <c r="T605" s="85"/>
      <c r="U605" s="88"/>
      <c r="V605" s="32" t="s">
        <v>1744</v>
      </c>
      <c r="W605" s="25" t="s">
        <v>48</v>
      </c>
      <c r="X605" s="11"/>
      <c r="Y605" s="50" t="s">
        <v>18</v>
      </c>
      <c r="Z605" s="50"/>
      <c r="AA605" s="50"/>
      <c r="AB605" s="50"/>
      <c r="AC605" s="50"/>
      <c r="AD605" s="50"/>
      <c r="AE605" s="50"/>
      <c r="AF605" s="34"/>
      <c r="AG605" s="34"/>
      <c r="AH605" s="34"/>
      <c r="AI605" s="34"/>
      <c r="AJ605" s="34"/>
      <c r="AK605" s="34"/>
      <c r="AL605" s="34"/>
      <c r="AM605" s="34"/>
      <c r="AN605" s="34"/>
      <c r="AO605" s="65"/>
      <c r="AP605" s="69"/>
      <c r="AQ605" s="62"/>
      <c r="AR605" s="34"/>
    </row>
    <row r="606" spans="1:44" customFormat="1">
      <c r="A606" s="39">
        <v>44119</v>
      </c>
      <c r="B606" s="11" t="s">
        <v>49</v>
      </c>
      <c r="C606" s="16" t="s">
        <v>2532</v>
      </c>
      <c r="D606" s="16"/>
      <c r="E606" s="38">
        <v>26150</v>
      </c>
      <c r="F606" s="38"/>
      <c r="G606" s="10" t="s">
        <v>2533</v>
      </c>
      <c r="H606" s="12" t="s">
        <v>2534</v>
      </c>
      <c r="I606" s="13" t="s">
        <v>2345</v>
      </c>
      <c r="J606" s="15" t="s">
        <v>2536</v>
      </c>
      <c r="K606" s="14" t="s">
        <v>2535</v>
      </c>
      <c r="L606" s="11" t="s">
        <v>33</v>
      </c>
      <c r="M606" s="15"/>
      <c r="N606" s="17">
        <v>19800</v>
      </c>
      <c r="O606" s="17"/>
      <c r="P606" s="17"/>
      <c r="Q606" s="48"/>
      <c r="R606" s="11"/>
      <c r="S606" s="48"/>
      <c r="T606" s="85"/>
      <c r="U606" s="88"/>
      <c r="V606" s="32" t="s">
        <v>2230</v>
      </c>
      <c r="W606" s="25" t="s">
        <v>8</v>
      </c>
      <c r="X606" s="11"/>
      <c r="Y606" s="50" t="s">
        <v>14</v>
      </c>
      <c r="Z606" s="50"/>
      <c r="AA606" s="50"/>
      <c r="AB606" s="50"/>
      <c r="AC606" s="50"/>
      <c r="AD606" s="50"/>
      <c r="AE606" s="50"/>
      <c r="AF606" s="34"/>
      <c r="AG606" s="34"/>
      <c r="AH606" s="34"/>
      <c r="AI606" s="34"/>
      <c r="AJ606" s="34"/>
      <c r="AK606" s="34"/>
      <c r="AL606" s="34"/>
      <c r="AM606" s="34"/>
      <c r="AN606" s="34"/>
      <c r="AO606" s="65"/>
      <c r="AP606" s="69"/>
      <c r="AQ606" s="62"/>
      <c r="AR606" s="34"/>
    </row>
    <row r="607" spans="1:44" customFormat="1">
      <c r="A607" s="39">
        <v>44119</v>
      </c>
      <c r="B607" s="11" t="s">
        <v>22</v>
      </c>
      <c r="C607" s="16" t="s">
        <v>2537</v>
      </c>
      <c r="D607" s="16"/>
      <c r="E607" s="38">
        <v>17859</v>
      </c>
      <c r="F607" s="38"/>
      <c r="G607" s="10" t="s">
        <v>406</v>
      </c>
      <c r="H607" s="12" t="s">
        <v>2538</v>
      </c>
      <c r="I607" s="13" t="s">
        <v>2175</v>
      </c>
      <c r="J607" s="15" t="s">
        <v>2539</v>
      </c>
      <c r="K607" s="12"/>
      <c r="L607" s="11" t="s">
        <v>34</v>
      </c>
      <c r="M607" s="15"/>
      <c r="N607" s="17">
        <v>2750</v>
      </c>
      <c r="O607" s="17"/>
      <c r="P607" s="17"/>
      <c r="Q607" s="48"/>
      <c r="R607" s="11"/>
      <c r="S607" s="48"/>
      <c r="T607" s="85"/>
      <c r="U607" s="88"/>
      <c r="V607" s="32" t="s">
        <v>1744</v>
      </c>
      <c r="W607" s="25" t="s">
        <v>10</v>
      </c>
      <c r="X607" s="11"/>
      <c r="Y607" s="50" t="s">
        <v>14</v>
      </c>
      <c r="Z607" s="50"/>
      <c r="AA607" s="50"/>
      <c r="AB607" s="50"/>
      <c r="AC607" s="50"/>
      <c r="AD607" s="50"/>
      <c r="AE607" s="50"/>
      <c r="AF607" s="34"/>
      <c r="AG607" s="34"/>
      <c r="AH607" s="34"/>
      <c r="AI607" s="34"/>
      <c r="AJ607" s="34"/>
      <c r="AK607" s="34"/>
      <c r="AL607" s="34"/>
      <c r="AM607" s="34"/>
      <c r="AN607" s="34"/>
      <c r="AO607" s="65"/>
      <c r="AP607" s="69"/>
      <c r="AQ607" s="62"/>
      <c r="AR607" s="34"/>
    </row>
    <row r="608" spans="1:44" customFormat="1">
      <c r="A608" s="39">
        <v>44119</v>
      </c>
      <c r="B608" s="11" t="s">
        <v>22</v>
      </c>
      <c r="C608" s="16" t="s">
        <v>2540</v>
      </c>
      <c r="D608" s="16"/>
      <c r="E608" s="38">
        <v>24032</v>
      </c>
      <c r="F608" s="38"/>
      <c r="G608" s="10" t="s">
        <v>2541</v>
      </c>
      <c r="H608" s="12" t="s">
        <v>2542</v>
      </c>
      <c r="I608" s="13" t="s">
        <v>2070</v>
      </c>
      <c r="J608" s="15" t="s">
        <v>2544</v>
      </c>
      <c r="K608" s="14" t="s">
        <v>2543</v>
      </c>
      <c r="L608" s="11" t="s">
        <v>33</v>
      </c>
      <c r="M608" s="15"/>
      <c r="N608" s="17">
        <v>2750</v>
      </c>
      <c r="O608" s="17"/>
      <c r="P608" s="17"/>
      <c r="Q608" s="48"/>
      <c r="R608" s="11"/>
      <c r="S608" s="48"/>
      <c r="T608" s="85"/>
      <c r="U608" s="88"/>
      <c r="V608" s="32" t="s">
        <v>1744</v>
      </c>
      <c r="W608" s="25" t="s">
        <v>48</v>
      </c>
      <c r="X608" s="11"/>
      <c r="Y608" s="50" t="s">
        <v>14</v>
      </c>
      <c r="Z608" s="50"/>
      <c r="AA608" s="50"/>
      <c r="AB608" s="50"/>
      <c r="AC608" s="50"/>
      <c r="AD608" s="50"/>
      <c r="AE608" s="50"/>
      <c r="AF608" s="34"/>
      <c r="AG608" s="34"/>
      <c r="AH608" s="34"/>
      <c r="AI608" s="34"/>
      <c r="AJ608" s="34"/>
      <c r="AK608" s="34"/>
      <c r="AL608" s="34"/>
      <c r="AM608" s="34"/>
      <c r="AN608" s="34"/>
      <c r="AO608" s="65"/>
      <c r="AP608" s="69"/>
      <c r="AQ608" s="62"/>
      <c r="AR608" s="34"/>
    </row>
    <row r="609" spans="1:44" customFormat="1">
      <c r="A609" s="39">
        <v>44119</v>
      </c>
      <c r="B609" s="11" t="s">
        <v>49</v>
      </c>
      <c r="C609" s="16" t="s">
        <v>2545</v>
      </c>
      <c r="D609" s="16"/>
      <c r="E609" s="38">
        <v>27065</v>
      </c>
      <c r="F609" s="38"/>
      <c r="G609" s="10" t="s">
        <v>2547</v>
      </c>
      <c r="H609" s="12" t="s">
        <v>2546</v>
      </c>
      <c r="I609" s="13" t="s">
        <v>2438</v>
      </c>
      <c r="J609" s="15" t="s">
        <v>2548</v>
      </c>
      <c r="K609" s="12"/>
      <c r="L609" s="11" t="s">
        <v>33</v>
      </c>
      <c r="M609" s="15"/>
      <c r="N609" s="17">
        <v>16500</v>
      </c>
      <c r="O609" s="17"/>
      <c r="P609" s="17"/>
      <c r="Q609" s="48"/>
      <c r="R609" s="11"/>
      <c r="S609" s="48"/>
      <c r="T609" s="85"/>
      <c r="U609" s="88"/>
      <c r="V609" s="32"/>
      <c r="W609" s="25" t="s">
        <v>48</v>
      </c>
      <c r="X609" s="11"/>
      <c r="Y609" s="50"/>
      <c r="Z609" s="50"/>
      <c r="AA609" s="50"/>
      <c r="AB609" s="50"/>
      <c r="AC609" s="50"/>
      <c r="AD609" s="50"/>
      <c r="AE609" s="50"/>
      <c r="AF609" s="34"/>
      <c r="AG609" s="34"/>
      <c r="AH609" s="34"/>
      <c r="AI609" s="34"/>
      <c r="AJ609" s="34"/>
      <c r="AK609" s="34"/>
      <c r="AL609" s="34"/>
      <c r="AM609" s="34"/>
      <c r="AN609" s="34"/>
      <c r="AO609" s="65"/>
      <c r="AP609" s="69"/>
      <c r="AQ609" s="62"/>
      <c r="AR609" s="34"/>
    </row>
    <row r="610" spans="1:44" customFormat="1">
      <c r="A610" s="39">
        <v>44121</v>
      </c>
      <c r="B610" s="11" t="s">
        <v>49</v>
      </c>
      <c r="C610" s="16" t="s">
        <v>2549</v>
      </c>
      <c r="D610" s="16"/>
      <c r="E610" s="38">
        <v>21488</v>
      </c>
      <c r="F610" s="38"/>
      <c r="G610" s="10" t="s">
        <v>2551</v>
      </c>
      <c r="H610" s="12" t="s">
        <v>2552</v>
      </c>
      <c r="I610" s="13" t="s">
        <v>2553</v>
      </c>
      <c r="J610" s="15" t="s">
        <v>2556</v>
      </c>
      <c r="K610" s="14" t="s">
        <v>2554</v>
      </c>
      <c r="L610" s="11" t="s">
        <v>33</v>
      </c>
      <c r="M610" s="15"/>
      <c r="N610" s="17">
        <v>14850</v>
      </c>
      <c r="O610" s="17"/>
      <c r="P610" s="17"/>
      <c r="Q610" s="48"/>
      <c r="R610" s="11"/>
      <c r="S610" s="48"/>
      <c r="T610" s="85"/>
      <c r="U610" s="88"/>
      <c r="V610" s="32" t="s">
        <v>2558</v>
      </c>
      <c r="W610" s="25" t="s">
        <v>8</v>
      </c>
      <c r="X610" s="11"/>
      <c r="Y610" s="50" t="s">
        <v>14</v>
      </c>
      <c r="Z610" s="50"/>
      <c r="AA610" s="50"/>
      <c r="AB610" s="50"/>
      <c r="AC610" s="50"/>
      <c r="AD610" s="50"/>
      <c r="AE610" s="50"/>
      <c r="AF610" s="34"/>
      <c r="AG610" s="34"/>
      <c r="AH610" s="34"/>
      <c r="AI610" s="34"/>
      <c r="AJ610" s="34"/>
      <c r="AK610" s="34"/>
      <c r="AL610" s="34"/>
      <c r="AM610" s="34"/>
      <c r="AN610" s="34"/>
      <c r="AO610" s="65"/>
      <c r="AP610" s="69"/>
      <c r="AQ610" s="62"/>
      <c r="AR610" s="34"/>
    </row>
    <row r="611" spans="1:44" customFormat="1">
      <c r="A611" s="39">
        <v>44121</v>
      </c>
      <c r="B611" s="11" t="s">
        <v>49</v>
      </c>
      <c r="C611" s="16" t="s">
        <v>2550</v>
      </c>
      <c r="D611" s="16"/>
      <c r="E611" s="38">
        <v>29042</v>
      </c>
      <c r="F611" s="38"/>
      <c r="G611" s="10" t="s">
        <v>2551</v>
      </c>
      <c r="H611" s="12" t="s">
        <v>2552</v>
      </c>
      <c r="I611" s="13" t="s">
        <v>2553</v>
      </c>
      <c r="J611" s="15" t="s">
        <v>2557</v>
      </c>
      <c r="K611" s="14" t="s">
        <v>2555</v>
      </c>
      <c r="L611" s="11" t="s">
        <v>33</v>
      </c>
      <c r="M611" s="15"/>
      <c r="N611" s="17">
        <v>14850</v>
      </c>
      <c r="O611" s="17"/>
      <c r="P611" s="17"/>
      <c r="Q611" s="48"/>
      <c r="R611" s="11"/>
      <c r="S611" s="48"/>
      <c r="T611" s="85"/>
      <c r="U611" s="88"/>
      <c r="V611" s="32" t="s">
        <v>2558</v>
      </c>
      <c r="W611" s="25" t="s">
        <v>8</v>
      </c>
      <c r="X611" s="11"/>
      <c r="Y611" s="50" t="s">
        <v>14</v>
      </c>
      <c r="Z611" s="50"/>
      <c r="AA611" s="50"/>
      <c r="AB611" s="50"/>
      <c r="AC611" s="50"/>
      <c r="AD611" s="50"/>
      <c r="AE611" s="50"/>
      <c r="AF611" s="34"/>
      <c r="AG611" s="34"/>
      <c r="AH611" s="34"/>
      <c r="AI611" s="34"/>
      <c r="AJ611" s="34"/>
      <c r="AK611" s="34"/>
      <c r="AL611" s="34"/>
      <c r="AM611" s="34"/>
      <c r="AN611" s="34"/>
      <c r="AO611" s="65"/>
      <c r="AP611" s="69"/>
      <c r="AQ611" s="62"/>
      <c r="AR611" s="34"/>
    </row>
    <row r="612" spans="1:44" customFormat="1">
      <c r="A612" s="39">
        <v>44125</v>
      </c>
      <c r="B612" s="11" t="s">
        <v>22</v>
      </c>
      <c r="C612" s="16" t="s">
        <v>2559</v>
      </c>
      <c r="D612" s="16"/>
      <c r="E612" s="38">
        <v>22715</v>
      </c>
      <c r="F612" s="38"/>
      <c r="G612" s="10" t="s">
        <v>2560</v>
      </c>
      <c r="H612" s="12" t="s">
        <v>2561</v>
      </c>
      <c r="I612" s="13" t="s">
        <v>2562</v>
      </c>
      <c r="J612" s="15" t="s">
        <v>2563</v>
      </c>
      <c r="K612" s="12"/>
      <c r="L612" s="11" t="s">
        <v>33</v>
      </c>
      <c r="M612" s="15"/>
      <c r="N612" s="17">
        <v>2750</v>
      </c>
      <c r="O612" s="17"/>
      <c r="P612" s="17"/>
      <c r="Q612" s="48"/>
      <c r="R612" s="11"/>
      <c r="S612" s="48"/>
      <c r="T612" s="85"/>
      <c r="U612" s="88"/>
      <c r="V612" s="32"/>
      <c r="W612" s="25" t="s">
        <v>48</v>
      </c>
      <c r="X612" s="11"/>
      <c r="Y612" s="50" t="s">
        <v>19</v>
      </c>
      <c r="Z612" s="50"/>
      <c r="AA612" s="50"/>
      <c r="AB612" s="50"/>
      <c r="AC612" s="50"/>
      <c r="AD612" s="50"/>
      <c r="AE612" s="50"/>
      <c r="AF612" s="34"/>
      <c r="AG612" s="34"/>
      <c r="AH612" s="34"/>
      <c r="AI612" s="34"/>
      <c r="AJ612" s="34"/>
      <c r="AK612" s="34"/>
      <c r="AL612" s="34"/>
      <c r="AM612" s="34"/>
      <c r="AN612" s="34"/>
      <c r="AO612" s="65"/>
      <c r="AP612" s="69"/>
      <c r="AQ612" s="62"/>
      <c r="AR612" s="34"/>
    </row>
    <row r="613" spans="1:44" customFormat="1">
      <c r="A613" s="39">
        <v>44125</v>
      </c>
      <c r="B613" s="11" t="s">
        <v>49</v>
      </c>
      <c r="C613" s="16" t="s">
        <v>2564</v>
      </c>
      <c r="D613" s="16"/>
      <c r="E613" s="38">
        <v>25744</v>
      </c>
      <c r="F613" s="38"/>
      <c r="G613" s="10" t="s">
        <v>636</v>
      </c>
      <c r="H613" s="12" t="s">
        <v>2565</v>
      </c>
      <c r="I613" s="13" t="s">
        <v>2566</v>
      </c>
      <c r="J613" s="15" t="s">
        <v>2567</v>
      </c>
      <c r="K613" s="12"/>
      <c r="L613" s="11" t="s">
        <v>34</v>
      </c>
      <c r="M613" s="15"/>
      <c r="N613" s="17">
        <v>14850</v>
      </c>
      <c r="O613" s="17"/>
      <c r="P613" s="17"/>
      <c r="Q613" s="48"/>
      <c r="R613" s="11"/>
      <c r="S613" s="48"/>
      <c r="T613" s="85"/>
      <c r="U613" s="88"/>
      <c r="V613" s="32" t="s">
        <v>2568</v>
      </c>
      <c r="W613" s="25" t="s">
        <v>10</v>
      </c>
      <c r="X613" s="11"/>
      <c r="Y613" s="50" t="s">
        <v>14</v>
      </c>
      <c r="Z613" s="50"/>
      <c r="AA613" s="50"/>
      <c r="AB613" s="50"/>
      <c r="AC613" s="50"/>
      <c r="AD613" s="50"/>
      <c r="AE613" s="50"/>
      <c r="AF613" s="34"/>
      <c r="AG613" s="34"/>
      <c r="AH613" s="34"/>
      <c r="AI613" s="34"/>
      <c r="AJ613" s="34"/>
      <c r="AK613" s="34"/>
      <c r="AL613" s="34"/>
      <c r="AM613" s="34"/>
      <c r="AN613" s="34"/>
      <c r="AO613" s="65"/>
      <c r="AP613" s="69"/>
      <c r="AQ613" s="62"/>
      <c r="AR613" s="34"/>
    </row>
    <row r="614" spans="1:44" customFormat="1">
      <c r="A614" s="39">
        <v>44125</v>
      </c>
      <c r="B614" s="11" t="s">
        <v>22</v>
      </c>
      <c r="C614" s="16" t="s">
        <v>2569</v>
      </c>
      <c r="D614" s="16"/>
      <c r="E614" s="38">
        <v>36197</v>
      </c>
      <c r="F614" s="38"/>
      <c r="G614" s="10" t="s">
        <v>1805</v>
      </c>
      <c r="H614" s="12" t="s">
        <v>2570</v>
      </c>
      <c r="I614" s="13" t="s">
        <v>2571</v>
      </c>
      <c r="J614" s="15" t="s">
        <v>2572</v>
      </c>
      <c r="K614" s="12"/>
      <c r="L614" s="11" t="s">
        <v>36</v>
      </c>
      <c r="M614" s="15"/>
      <c r="N614" s="17">
        <v>2750</v>
      </c>
      <c r="O614" s="17"/>
      <c r="P614" s="17"/>
      <c r="Q614" s="48"/>
      <c r="R614" s="11"/>
      <c r="S614" s="48"/>
      <c r="T614" s="85"/>
      <c r="U614" s="88"/>
      <c r="V614" s="32"/>
      <c r="W614" s="25" t="s">
        <v>48</v>
      </c>
      <c r="X614" s="11"/>
      <c r="Y614" s="50" t="s">
        <v>18</v>
      </c>
      <c r="Z614" s="50"/>
      <c r="AA614" s="50"/>
      <c r="AB614" s="50"/>
      <c r="AC614" s="50"/>
      <c r="AD614" s="50"/>
      <c r="AE614" s="50"/>
      <c r="AF614" s="34"/>
      <c r="AG614" s="34"/>
      <c r="AH614" s="34"/>
      <c r="AI614" s="34"/>
      <c r="AJ614" s="34"/>
      <c r="AK614" s="34"/>
      <c r="AL614" s="34"/>
      <c r="AM614" s="34"/>
      <c r="AN614" s="34"/>
      <c r="AO614" s="65"/>
      <c r="AP614" s="69"/>
      <c r="AQ614" s="62"/>
      <c r="AR614" s="34"/>
    </row>
    <row r="615" spans="1:44" customFormat="1">
      <c r="A615" s="39">
        <v>44125</v>
      </c>
      <c r="B615" s="11" t="s">
        <v>2170</v>
      </c>
      <c r="C615" s="16" t="s">
        <v>2235</v>
      </c>
      <c r="D615" s="16"/>
      <c r="E615" s="38"/>
      <c r="F615" s="38"/>
      <c r="G615" s="10"/>
      <c r="H615" s="12"/>
      <c r="I615" s="13"/>
      <c r="J615" s="15"/>
      <c r="K615" s="12"/>
      <c r="L615" s="11"/>
      <c r="M615" s="15"/>
      <c r="N615" s="17">
        <v>5500</v>
      </c>
      <c r="O615" s="17"/>
      <c r="P615" s="17"/>
      <c r="Q615" s="48"/>
      <c r="R615" s="11"/>
      <c r="S615" s="48"/>
      <c r="T615" s="85"/>
      <c r="U615" s="88"/>
      <c r="V615" s="32" t="s">
        <v>2389</v>
      </c>
      <c r="W615" s="25"/>
      <c r="X615" s="11"/>
      <c r="Y615" s="50"/>
      <c r="Z615" s="50"/>
      <c r="AA615" s="50"/>
      <c r="AB615" s="50"/>
      <c r="AC615" s="50"/>
      <c r="AD615" s="50"/>
      <c r="AE615" s="50"/>
      <c r="AF615" s="34"/>
      <c r="AG615" s="34"/>
      <c r="AH615" s="34"/>
      <c r="AI615" s="34"/>
      <c r="AJ615" s="34"/>
      <c r="AK615" s="34"/>
      <c r="AL615" s="34"/>
      <c r="AM615" s="34"/>
      <c r="AN615" s="34"/>
      <c r="AO615" s="65"/>
      <c r="AP615" s="69"/>
      <c r="AQ615" s="62"/>
      <c r="AR615" s="34"/>
    </row>
    <row r="616" spans="1:44" customFormat="1">
      <c r="A616" s="39">
        <v>44126</v>
      </c>
      <c r="B616" s="11" t="s">
        <v>49</v>
      </c>
      <c r="C616" s="16" t="s">
        <v>2573</v>
      </c>
      <c r="D616" s="16"/>
      <c r="E616" s="38">
        <v>25021</v>
      </c>
      <c r="F616" s="38"/>
      <c r="G616" s="10" t="s">
        <v>2574</v>
      </c>
      <c r="H616" s="12" t="s">
        <v>2575</v>
      </c>
      <c r="I616" s="13" t="s">
        <v>2576</v>
      </c>
      <c r="J616" s="15" t="s">
        <v>2577</v>
      </c>
      <c r="K616" s="12"/>
      <c r="L616" s="11" t="s">
        <v>33</v>
      </c>
      <c r="M616" s="15"/>
      <c r="N616" s="17">
        <v>14850</v>
      </c>
      <c r="O616" s="17"/>
      <c r="P616" s="17"/>
      <c r="Q616" s="48"/>
      <c r="R616" s="11"/>
      <c r="S616" s="48"/>
      <c r="T616" s="85"/>
      <c r="U616" s="88"/>
      <c r="V616" s="32" t="s">
        <v>2219</v>
      </c>
      <c r="W616" s="25" t="s">
        <v>8</v>
      </c>
      <c r="X616" s="11"/>
      <c r="Y616" s="50" t="s">
        <v>12</v>
      </c>
      <c r="Z616" s="50"/>
      <c r="AA616" s="50"/>
      <c r="AB616" s="50"/>
      <c r="AC616" s="50"/>
      <c r="AD616" s="50"/>
      <c r="AE616" s="50"/>
      <c r="AF616" s="34"/>
      <c r="AG616" s="34"/>
      <c r="AH616" s="34"/>
      <c r="AI616" s="34"/>
      <c r="AJ616" s="34"/>
      <c r="AK616" s="34"/>
      <c r="AL616" s="34"/>
      <c r="AM616" s="34"/>
      <c r="AN616" s="34"/>
      <c r="AO616" s="65"/>
      <c r="AP616" s="69"/>
      <c r="AQ616" s="62"/>
      <c r="AR616" s="34"/>
    </row>
    <row r="617" spans="1:44" customFormat="1">
      <c r="A617" s="39">
        <v>44126</v>
      </c>
      <c r="B617" s="11" t="s">
        <v>49</v>
      </c>
      <c r="C617" s="16" t="s">
        <v>2578</v>
      </c>
      <c r="D617" s="16"/>
      <c r="E617" s="38">
        <v>17429</v>
      </c>
      <c r="F617" s="38"/>
      <c r="G617" s="10" t="s">
        <v>130</v>
      </c>
      <c r="H617" s="12" t="s">
        <v>2579</v>
      </c>
      <c r="I617" s="13" t="s">
        <v>2580</v>
      </c>
      <c r="J617" s="15" t="s">
        <v>2582</v>
      </c>
      <c r="K617" s="14" t="s">
        <v>2581</v>
      </c>
      <c r="L617" s="11" t="s">
        <v>39</v>
      </c>
      <c r="M617" s="15"/>
      <c r="N617" s="17">
        <v>16500</v>
      </c>
      <c r="O617" s="17"/>
      <c r="P617" s="17"/>
      <c r="Q617" s="48"/>
      <c r="R617" s="11"/>
      <c r="S617" s="48"/>
      <c r="T617" s="85"/>
      <c r="U617" s="88"/>
      <c r="V617" s="32"/>
      <c r="W617" s="25" t="s">
        <v>10</v>
      </c>
      <c r="X617" s="11"/>
      <c r="Y617" s="50" t="s">
        <v>13</v>
      </c>
      <c r="Z617" s="50"/>
      <c r="AA617" s="50"/>
      <c r="AB617" s="50"/>
      <c r="AC617" s="50"/>
      <c r="AD617" s="50"/>
      <c r="AE617" s="50"/>
      <c r="AF617" s="34"/>
      <c r="AG617" s="34"/>
      <c r="AH617" s="34"/>
      <c r="AI617" s="34"/>
      <c r="AJ617" s="34"/>
      <c r="AK617" s="34"/>
      <c r="AL617" s="34"/>
      <c r="AM617" s="34"/>
      <c r="AN617" s="34"/>
      <c r="AO617" s="65"/>
      <c r="AP617" s="69"/>
      <c r="AQ617" s="62"/>
      <c r="AR617" s="34"/>
    </row>
    <row r="618" spans="1:44" customFormat="1">
      <c r="A618" s="39">
        <v>44128</v>
      </c>
      <c r="B618" s="11" t="s">
        <v>22</v>
      </c>
      <c r="C618" s="16" t="s">
        <v>2583</v>
      </c>
      <c r="D618" s="16"/>
      <c r="E618" s="38">
        <v>26270</v>
      </c>
      <c r="F618" s="38"/>
      <c r="G618" s="10" t="s">
        <v>617</v>
      </c>
      <c r="H618" s="12" t="s">
        <v>2584</v>
      </c>
      <c r="I618" s="13" t="s">
        <v>2070</v>
      </c>
      <c r="J618" s="15" t="s">
        <v>2585</v>
      </c>
      <c r="K618" s="12"/>
      <c r="L618" s="11" t="s">
        <v>33</v>
      </c>
      <c r="M618" s="15"/>
      <c r="N618" s="17">
        <v>2750</v>
      </c>
      <c r="O618" s="17"/>
      <c r="P618" s="17"/>
      <c r="Q618" s="48"/>
      <c r="R618" s="11"/>
      <c r="S618" s="48"/>
      <c r="T618" s="85"/>
      <c r="U618" s="88"/>
      <c r="V618" s="32" t="s">
        <v>1744</v>
      </c>
      <c r="W618" s="25" t="s">
        <v>8</v>
      </c>
      <c r="X618" s="11"/>
      <c r="Y618" s="50" t="s">
        <v>18</v>
      </c>
      <c r="Z618" s="50"/>
      <c r="AA618" s="50"/>
      <c r="AB618" s="50"/>
      <c r="AC618" s="50"/>
      <c r="AD618" s="50"/>
      <c r="AE618" s="50"/>
      <c r="AF618" s="34"/>
      <c r="AG618" s="34"/>
      <c r="AH618" s="34"/>
      <c r="AI618" s="34"/>
      <c r="AJ618" s="34"/>
      <c r="AK618" s="34"/>
      <c r="AL618" s="34"/>
      <c r="AM618" s="34"/>
      <c r="AN618" s="34"/>
      <c r="AO618" s="65"/>
      <c r="AP618" s="69"/>
      <c r="AQ618" s="62"/>
      <c r="AR618" s="34"/>
    </row>
    <row r="619" spans="1:44" customFormat="1">
      <c r="A619" s="39">
        <v>44129</v>
      </c>
      <c r="B619" s="11" t="s">
        <v>49</v>
      </c>
      <c r="C619" s="16" t="s">
        <v>2590</v>
      </c>
      <c r="D619" s="16"/>
      <c r="E619" s="38">
        <v>31562</v>
      </c>
      <c r="F619" s="38"/>
      <c r="G619" s="10" t="s">
        <v>1203</v>
      </c>
      <c r="H619" s="12" t="s">
        <v>2591</v>
      </c>
      <c r="I619" s="13" t="s">
        <v>2592</v>
      </c>
      <c r="J619" s="15" t="s">
        <v>2593</v>
      </c>
      <c r="K619" s="12"/>
      <c r="L619" s="11" t="s">
        <v>36</v>
      </c>
      <c r="M619" s="15"/>
      <c r="N619" s="17">
        <v>22000</v>
      </c>
      <c r="O619" s="17"/>
      <c r="P619" s="17"/>
      <c r="Q619" s="48"/>
      <c r="R619" s="11"/>
      <c r="S619" s="48"/>
      <c r="T619" s="85"/>
      <c r="U619" s="88"/>
      <c r="V619" s="32"/>
      <c r="W619" s="25" t="s">
        <v>8</v>
      </c>
      <c r="X619" s="11"/>
      <c r="Y619" s="50" t="s">
        <v>13</v>
      </c>
      <c r="Z619" s="50"/>
      <c r="AA619" s="50"/>
      <c r="AB619" s="50"/>
      <c r="AC619" s="50"/>
      <c r="AD619" s="50"/>
      <c r="AE619" s="50"/>
      <c r="AF619" s="34"/>
      <c r="AG619" s="34"/>
      <c r="AH619" s="34"/>
      <c r="AI619" s="34"/>
      <c r="AJ619" s="34"/>
      <c r="AK619" s="34"/>
      <c r="AL619" s="34"/>
      <c r="AM619" s="34"/>
      <c r="AN619" s="34"/>
      <c r="AO619" s="65"/>
      <c r="AP619" s="69"/>
      <c r="AQ619" s="62"/>
      <c r="AR619" s="34"/>
    </row>
    <row r="620" spans="1:44" customFormat="1">
      <c r="A620" s="39">
        <v>44129</v>
      </c>
      <c r="B620" s="11" t="s">
        <v>22</v>
      </c>
      <c r="C620" s="16" t="s">
        <v>2586</v>
      </c>
      <c r="D620" s="16"/>
      <c r="E620" s="38">
        <v>31708</v>
      </c>
      <c r="F620" s="38"/>
      <c r="G620" s="10" t="s">
        <v>617</v>
      </c>
      <c r="H620" s="12" t="s">
        <v>2587</v>
      </c>
      <c r="I620" s="13" t="s">
        <v>1911</v>
      </c>
      <c r="J620" s="15" t="s">
        <v>2589</v>
      </c>
      <c r="K620" s="14" t="s">
        <v>2588</v>
      </c>
      <c r="L620" s="11" t="s">
        <v>33</v>
      </c>
      <c r="M620" s="15"/>
      <c r="N620" s="17">
        <v>2750</v>
      </c>
      <c r="O620" s="17"/>
      <c r="P620" s="17"/>
      <c r="Q620" s="48"/>
      <c r="R620" s="11"/>
      <c r="S620" s="48"/>
      <c r="T620" s="85" t="s">
        <v>8079</v>
      </c>
      <c r="U620" s="88"/>
      <c r="V620" s="32" t="s">
        <v>1744</v>
      </c>
      <c r="W620" s="25" t="s">
        <v>10</v>
      </c>
      <c r="X620" s="11"/>
      <c r="Y620" s="50" t="s">
        <v>12</v>
      </c>
      <c r="Z620" s="50"/>
      <c r="AA620" s="50"/>
      <c r="AB620" s="50"/>
      <c r="AC620" s="50"/>
      <c r="AD620" s="50"/>
      <c r="AE620" s="50"/>
      <c r="AF620" s="34"/>
      <c r="AG620" s="34"/>
      <c r="AH620" s="34"/>
      <c r="AI620" s="34"/>
      <c r="AJ620" s="34"/>
      <c r="AK620" s="34"/>
      <c r="AL620" s="34"/>
      <c r="AM620" s="34"/>
      <c r="AN620" s="34"/>
      <c r="AO620" s="65"/>
      <c r="AP620" s="69"/>
      <c r="AQ620" s="62" t="s">
        <v>8079</v>
      </c>
      <c r="AR620" s="34"/>
    </row>
    <row r="621" spans="1:44" customFormat="1">
      <c r="A621" s="39">
        <v>44135</v>
      </c>
      <c r="B621" s="11" t="s">
        <v>2170</v>
      </c>
      <c r="C621" s="16" t="s">
        <v>2182</v>
      </c>
      <c r="D621" s="16"/>
      <c r="E621" s="38"/>
      <c r="F621" s="38"/>
      <c r="G621" s="10"/>
      <c r="H621" s="12"/>
      <c r="I621" s="13"/>
      <c r="J621" s="15" t="s">
        <v>2186</v>
      </c>
      <c r="K621" s="12"/>
      <c r="L621" s="11"/>
      <c r="M621" s="15"/>
      <c r="N621" s="17">
        <v>5500</v>
      </c>
      <c r="O621" s="17"/>
      <c r="P621" s="17"/>
      <c r="Q621" s="48"/>
      <c r="R621" s="11"/>
      <c r="S621" s="48"/>
      <c r="T621" s="85"/>
      <c r="U621" s="88"/>
      <c r="V621" s="32"/>
      <c r="W621" s="25"/>
      <c r="X621" s="11"/>
      <c r="Y621" s="50"/>
      <c r="Z621" s="50"/>
      <c r="AA621" s="50"/>
      <c r="AB621" s="50"/>
      <c r="AC621" s="50"/>
      <c r="AD621" s="50"/>
      <c r="AE621" s="50"/>
      <c r="AF621" s="34"/>
      <c r="AG621" s="34"/>
      <c r="AH621" s="34"/>
      <c r="AI621" s="34"/>
      <c r="AJ621" s="34"/>
      <c r="AK621" s="34"/>
      <c r="AL621" s="34"/>
      <c r="AM621" s="34"/>
      <c r="AN621" s="34"/>
      <c r="AO621" s="65"/>
      <c r="AP621" s="69"/>
      <c r="AQ621" s="62"/>
      <c r="AR621" s="34"/>
    </row>
    <row r="622" spans="1:44" customFormat="1">
      <c r="A622" s="39">
        <v>44135</v>
      </c>
      <c r="B622" s="11" t="s">
        <v>22</v>
      </c>
      <c r="C622" s="16" t="s">
        <v>2594</v>
      </c>
      <c r="D622" s="16"/>
      <c r="E622" s="38"/>
      <c r="F622" s="38"/>
      <c r="G622" s="10" t="s">
        <v>2497</v>
      </c>
      <c r="H622" s="12" t="s">
        <v>2595</v>
      </c>
      <c r="I622" s="13" t="s">
        <v>2596</v>
      </c>
      <c r="J622" s="15" t="s">
        <v>2597</v>
      </c>
      <c r="K622" s="12"/>
      <c r="L622" s="11" t="s">
        <v>33</v>
      </c>
      <c r="M622" s="15"/>
      <c r="N622" s="17">
        <v>2750</v>
      </c>
      <c r="O622" s="17"/>
      <c r="P622" s="17"/>
      <c r="Q622" s="48"/>
      <c r="R622" s="11"/>
      <c r="S622" s="48"/>
      <c r="T622" s="85"/>
      <c r="U622" s="88"/>
      <c r="V622" s="32" t="s">
        <v>1744</v>
      </c>
      <c r="W622" s="25" t="s">
        <v>8</v>
      </c>
      <c r="X622" s="11"/>
      <c r="Y622" s="50" t="s">
        <v>14</v>
      </c>
      <c r="Z622" s="50"/>
      <c r="AA622" s="50"/>
      <c r="AB622" s="50"/>
      <c r="AC622" s="50"/>
      <c r="AD622" s="50"/>
      <c r="AE622" s="50"/>
      <c r="AF622" s="34"/>
      <c r="AG622" s="34"/>
      <c r="AH622" s="34"/>
      <c r="AI622" s="34"/>
      <c r="AJ622" s="34"/>
      <c r="AK622" s="34"/>
      <c r="AL622" s="34"/>
      <c r="AM622" s="34"/>
      <c r="AN622" s="34"/>
      <c r="AO622" s="65"/>
      <c r="AP622" s="69"/>
      <c r="AQ622" s="62"/>
      <c r="AR622" s="34"/>
    </row>
    <row r="623" spans="1:44" customFormat="1">
      <c r="A623" s="39">
        <v>44136</v>
      </c>
      <c r="B623" s="11" t="s">
        <v>49</v>
      </c>
      <c r="C623" s="16" t="s">
        <v>2598</v>
      </c>
      <c r="D623" s="16"/>
      <c r="E623" s="38">
        <v>35732</v>
      </c>
      <c r="F623" s="38"/>
      <c r="G623" s="10" t="s">
        <v>2447</v>
      </c>
      <c r="H623" s="12" t="s">
        <v>2599</v>
      </c>
      <c r="I623" s="13" t="s">
        <v>2600</v>
      </c>
      <c r="J623" s="15" t="s">
        <v>2601</v>
      </c>
      <c r="K623" s="12"/>
      <c r="L623" s="11" t="s">
        <v>39</v>
      </c>
      <c r="M623" s="15"/>
      <c r="N623" s="17">
        <v>16500</v>
      </c>
      <c r="O623" s="17"/>
      <c r="P623" s="17"/>
      <c r="Q623" s="48"/>
      <c r="R623" s="11"/>
      <c r="S623" s="48"/>
      <c r="T623" s="85"/>
      <c r="U623" s="88"/>
      <c r="V623" s="32"/>
      <c r="W623" s="25" t="s">
        <v>48</v>
      </c>
      <c r="X623" s="11"/>
      <c r="Y623" s="50" t="s">
        <v>13</v>
      </c>
      <c r="Z623" s="50"/>
      <c r="AA623" s="50"/>
      <c r="AB623" s="50"/>
      <c r="AC623" s="50"/>
      <c r="AD623" s="50"/>
      <c r="AE623" s="50"/>
      <c r="AF623" s="34"/>
      <c r="AG623" s="34"/>
      <c r="AH623" s="34"/>
      <c r="AI623" s="34"/>
      <c r="AJ623" s="34"/>
      <c r="AK623" s="34"/>
      <c r="AL623" s="34"/>
      <c r="AM623" s="34"/>
      <c r="AN623" s="34"/>
      <c r="AO623" s="65"/>
      <c r="AP623" s="69"/>
      <c r="AQ623" s="62"/>
      <c r="AR623" s="34"/>
    </row>
    <row r="624" spans="1:44" customFormat="1">
      <c r="A624" s="39">
        <v>44136</v>
      </c>
      <c r="B624" s="11" t="s">
        <v>49</v>
      </c>
      <c r="C624" s="16" t="s">
        <v>2603</v>
      </c>
      <c r="D624" s="16"/>
      <c r="E624" s="38">
        <v>27026</v>
      </c>
      <c r="F624" s="38"/>
      <c r="G624" s="10" t="s">
        <v>2604</v>
      </c>
      <c r="H624" s="12" t="s">
        <v>2605</v>
      </c>
      <c r="I624" s="13" t="s">
        <v>2606</v>
      </c>
      <c r="J624" s="15" t="s">
        <v>2607</v>
      </c>
      <c r="K624" s="12"/>
      <c r="L624" s="11" t="s">
        <v>33</v>
      </c>
      <c r="M624" s="15"/>
      <c r="N624" s="17">
        <v>16500</v>
      </c>
      <c r="O624" s="17"/>
      <c r="P624" s="17"/>
      <c r="Q624" s="48"/>
      <c r="R624" s="11"/>
      <c r="S624" s="48"/>
      <c r="T624" s="85"/>
      <c r="U624" s="88"/>
      <c r="V624" s="32"/>
      <c r="W624" s="25" t="s">
        <v>48</v>
      </c>
      <c r="X624" s="11"/>
      <c r="Y624" s="50" t="s">
        <v>13</v>
      </c>
      <c r="Z624" s="50"/>
      <c r="AA624" s="50"/>
      <c r="AB624" s="50"/>
      <c r="AC624" s="50"/>
      <c r="AD624" s="50"/>
      <c r="AE624" s="50"/>
      <c r="AF624" s="34"/>
      <c r="AG624" s="34"/>
      <c r="AH624" s="34"/>
      <c r="AI624" s="34"/>
      <c r="AJ624" s="34"/>
      <c r="AK624" s="34"/>
      <c r="AL624" s="34"/>
      <c r="AM624" s="34"/>
      <c r="AN624" s="34"/>
      <c r="AO624" s="65"/>
      <c r="AP624" s="69"/>
      <c r="AQ624" s="62"/>
      <c r="AR624" s="34"/>
    </row>
    <row r="625" spans="1:44" customFormat="1">
      <c r="A625" s="39">
        <v>44137</v>
      </c>
      <c r="B625" s="11" t="s">
        <v>22</v>
      </c>
      <c r="C625" s="16" t="s">
        <v>2608</v>
      </c>
      <c r="D625" s="16"/>
      <c r="E625" s="38">
        <v>28902</v>
      </c>
      <c r="F625" s="38"/>
      <c r="G625" s="10" t="s">
        <v>2609</v>
      </c>
      <c r="H625" s="12" t="s">
        <v>2610</v>
      </c>
      <c r="I625" s="13" t="s">
        <v>2611</v>
      </c>
      <c r="J625" s="15" t="s">
        <v>2612</v>
      </c>
      <c r="K625" s="12"/>
      <c r="L625" s="11" t="s">
        <v>36</v>
      </c>
      <c r="M625" s="15"/>
      <c r="N625" s="17">
        <v>2750</v>
      </c>
      <c r="O625" s="17"/>
      <c r="P625" s="17"/>
      <c r="Q625" s="48"/>
      <c r="R625" s="11"/>
      <c r="S625" s="48"/>
      <c r="T625" s="85"/>
      <c r="U625" s="88"/>
      <c r="V625" s="32" t="s">
        <v>2613</v>
      </c>
      <c r="W625" s="25" t="s">
        <v>8</v>
      </c>
      <c r="X625" s="11"/>
      <c r="Y625" s="50" t="s">
        <v>14</v>
      </c>
      <c r="Z625" s="50"/>
      <c r="AA625" s="50"/>
      <c r="AB625" s="50"/>
      <c r="AC625" s="50"/>
      <c r="AD625" s="50"/>
      <c r="AE625" s="50"/>
      <c r="AF625" s="34"/>
      <c r="AG625" s="34"/>
      <c r="AH625" s="34"/>
      <c r="AI625" s="34"/>
      <c r="AJ625" s="34"/>
      <c r="AK625" s="34"/>
      <c r="AL625" s="34"/>
      <c r="AM625" s="34"/>
      <c r="AN625" s="34"/>
      <c r="AO625" s="65"/>
      <c r="AP625" s="69"/>
      <c r="AQ625" s="62"/>
      <c r="AR625" s="34"/>
    </row>
    <row r="626" spans="1:44" customFormat="1">
      <c r="A626" s="39">
        <v>44138</v>
      </c>
      <c r="B626" s="11" t="s">
        <v>22</v>
      </c>
      <c r="C626" s="16" t="s">
        <v>2614</v>
      </c>
      <c r="D626" s="16"/>
      <c r="E626" s="38">
        <v>25182</v>
      </c>
      <c r="F626" s="38"/>
      <c r="G626" s="10" t="s">
        <v>2615</v>
      </c>
      <c r="H626" s="12" t="s">
        <v>2616</v>
      </c>
      <c r="I626" s="13" t="s">
        <v>2617</v>
      </c>
      <c r="J626" s="15" t="s">
        <v>2618</v>
      </c>
      <c r="K626" s="12"/>
      <c r="L626" s="11" t="s">
        <v>36</v>
      </c>
      <c r="M626" s="15"/>
      <c r="N626" s="17">
        <v>2750</v>
      </c>
      <c r="O626" s="17"/>
      <c r="P626" s="17"/>
      <c r="Q626" s="48"/>
      <c r="R626" s="11"/>
      <c r="S626" s="48"/>
      <c r="T626" s="85"/>
      <c r="U626" s="88"/>
      <c r="V626" s="32" t="s">
        <v>1744</v>
      </c>
      <c r="W626" s="25" t="s">
        <v>48</v>
      </c>
      <c r="X626" s="11"/>
      <c r="Y626" s="50" t="s">
        <v>12</v>
      </c>
      <c r="Z626" s="50"/>
      <c r="AA626" s="50"/>
      <c r="AB626" s="50"/>
      <c r="AC626" s="50"/>
      <c r="AD626" s="50"/>
      <c r="AE626" s="50"/>
      <c r="AF626" s="34"/>
      <c r="AG626" s="34"/>
      <c r="AH626" s="34"/>
      <c r="AI626" s="34"/>
      <c r="AJ626" s="34"/>
      <c r="AK626" s="34"/>
      <c r="AL626" s="34"/>
      <c r="AM626" s="34"/>
      <c r="AN626" s="34"/>
      <c r="AO626" s="65"/>
      <c r="AP626" s="69"/>
      <c r="AQ626" s="62"/>
      <c r="AR626" s="34"/>
    </row>
    <row r="627" spans="1:44" customFormat="1">
      <c r="A627" s="39">
        <v>44138</v>
      </c>
      <c r="B627" s="11" t="s">
        <v>49</v>
      </c>
      <c r="C627" s="16" t="s">
        <v>2619</v>
      </c>
      <c r="D627" s="16"/>
      <c r="E627" s="38">
        <v>26586</v>
      </c>
      <c r="F627" s="38"/>
      <c r="G627" s="10" t="s">
        <v>2620</v>
      </c>
      <c r="H627" s="12" t="s">
        <v>2621</v>
      </c>
      <c r="I627" s="13" t="s">
        <v>2623</v>
      </c>
      <c r="J627" s="15" t="s">
        <v>2626</v>
      </c>
      <c r="K627" s="12"/>
      <c r="L627" s="11" t="s">
        <v>36</v>
      </c>
      <c r="M627" s="15"/>
      <c r="N627" s="17">
        <v>11000</v>
      </c>
      <c r="O627" s="17"/>
      <c r="P627" s="17"/>
      <c r="Q627" s="48"/>
      <c r="R627" s="11"/>
      <c r="S627" s="48"/>
      <c r="T627" s="85"/>
      <c r="U627" s="88"/>
      <c r="V627" s="32" t="s">
        <v>2191</v>
      </c>
      <c r="W627" s="25" t="s">
        <v>8</v>
      </c>
      <c r="X627" s="11"/>
      <c r="Y627" s="50"/>
      <c r="Z627" s="50"/>
      <c r="AA627" s="50"/>
      <c r="AB627" s="50"/>
      <c r="AC627" s="50"/>
      <c r="AD627" s="50"/>
      <c r="AE627" s="50"/>
      <c r="AF627" s="34"/>
      <c r="AG627" s="34"/>
      <c r="AH627" s="34"/>
      <c r="AI627" s="34"/>
      <c r="AJ627" s="34"/>
      <c r="AK627" s="34"/>
      <c r="AL627" s="34"/>
      <c r="AM627" s="34"/>
      <c r="AN627" s="34"/>
      <c r="AO627" s="65"/>
      <c r="AP627" s="69"/>
      <c r="AQ627" s="62"/>
      <c r="AR627" s="34"/>
    </row>
    <row r="628" spans="1:44" customFormat="1">
      <c r="A628" s="39">
        <v>44138</v>
      </c>
      <c r="B628" s="11" t="s">
        <v>49</v>
      </c>
      <c r="C628" s="16" t="s">
        <v>3354</v>
      </c>
      <c r="D628" s="16"/>
      <c r="E628" s="38">
        <v>21571</v>
      </c>
      <c r="F628" s="38"/>
      <c r="G628" s="10" t="s">
        <v>2625</v>
      </c>
      <c r="H628" s="12" t="s">
        <v>2622</v>
      </c>
      <c r="I628" s="13" t="s">
        <v>2624</v>
      </c>
      <c r="J628" s="15" t="s">
        <v>2627</v>
      </c>
      <c r="K628" s="12"/>
      <c r="L628" s="11" t="s">
        <v>34</v>
      </c>
      <c r="M628" s="15"/>
      <c r="N628" s="17">
        <v>11000</v>
      </c>
      <c r="O628" s="17"/>
      <c r="P628" s="17"/>
      <c r="Q628" s="48"/>
      <c r="R628" s="11"/>
      <c r="S628" s="48"/>
      <c r="T628" s="85"/>
      <c r="U628" s="88"/>
      <c r="V628" s="32" t="s">
        <v>2191</v>
      </c>
      <c r="W628" s="25" t="s">
        <v>8</v>
      </c>
      <c r="X628" s="11"/>
      <c r="Y628" s="50"/>
      <c r="Z628" s="50"/>
      <c r="AA628" s="50"/>
      <c r="AB628" s="50"/>
      <c r="AC628" s="50"/>
      <c r="AD628" s="50"/>
      <c r="AE628" s="50"/>
      <c r="AF628" s="34"/>
      <c r="AG628" s="34"/>
      <c r="AH628" s="34"/>
      <c r="AI628" s="34"/>
      <c r="AJ628" s="34"/>
      <c r="AK628" s="34"/>
      <c r="AL628" s="34"/>
      <c r="AM628" s="34"/>
      <c r="AN628" s="34"/>
      <c r="AO628" s="65"/>
      <c r="AP628" s="69"/>
      <c r="AQ628" s="62"/>
      <c r="AR628" s="34"/>
    </row>
    <row r="629" spans="1:44" customFormat="1">
      <c r="A629" s="39">
        <v>44139</v>
      </c>
      <c r="B629" s="11" t="s">
        <v>49</v>
      </c>
      <c r="C629" s="16" t="s">
        <v>2628</v>
      </c>
      <c r="D629" s="16"/>
      <c r="E629" s="38">
        <v>32008</v>
      </c>
      <c r="F629" s="38"/>
      <c r="G629" s="10" t="s">
        <v>2629</v>
      </c>
      <c r="H629" s="12" t="s">
        <v>2630</v>
      </c>
      <c r="I629" s="13" t="s">
        <v>2631</v>
      </c>
      <c r="J629" s="15" t="s">
        <v>2632</v>
      </c>
      <c r="K629" s="12"/>
      <c r="L629" s="11" t="s">
        <v>36</v>
      </c>
      <c r="M629" s="15"/>
      <c r="N629" s="17">
        <v>22000</v>
      </c>
      <c r="O629" s="17"/>
      <c r="P629" s="17"/>
      <c r="Q629" s="48"/>
      <c r="R629" s="11"/>
      <c r="S629" s="48"/>
      <c r="T629" s="85"/>
      <c r="U629" s="88"/>
      <c r="V629" s="32"/>
      <c r="W629" s="25" t="s">
        <v>48</v>
      </c>
      <c r="X629" s="11"/>
      <c r="Y629" s="50" t="s">
        <v>12</v>
      </c>
      <c r="Z629" s="50"/>
      <c r="AA629" s="50"/>
      <c r="AB629" s="50"/>
      <c r="AC629" s="50"/>
      <c r="AD629" s="50"/>
      <c r="AE629" s="50"/>
      <c r="AF629" s="34"/>
      <c r="AG629" s="34"/>
      <c r="AH629" s="34"/>
      <c r="AI629" s="34"/>
      <c r="AJ629" s="34"/>
      <c r="AK629" s="34"/>
      <c r="AL629" s="34"/>
      <c r="AM629" s="34"/>
      <c r="AN629" s="34"/>
      <c r="AO629" s="65"/>
      <c r="AP629" s="69"/>
      <c r="AQ629" s="62"/>
      <c r="AR629" s="34"/>
    </row>
    <row r="630" spans="1:44" customFormat="1">
      <c r="A630" s="39">
        <v>44140</v>
      </c>
      <c r="B630" s="11" t="s">
        <v>49</v>
      </c>
      <c r="C630" s="16" t="s">
        <v>2633</v>
      </c>
      <c r="D630" s="16"/>
      <c r="E630" s="38">
        <v>27051</v>
      </c>
      <c r="F630" s="38"/>
      <c r="G630" s="10" t="s">
        <v>2634</v>
      </c>
      <c r="H630" s="12" t="s">
        <v>2635</v>
      </c>
      <c r="I630" s="13" t="s">
        <v>2636</v>
      </c>
      <c r="J630" s="15" t="s">
        <v>2637</v>
      </c>
      <c r="K630" s="12"/>
      <c r="L630" s="11" t="s">
        <v>33</v>
      </c>
      <c r="M630" s="15"/>
      <c r="N630" s="17">
        <v>22000</v>
      </c>
      <c r="O630" s="17"/>
      <c r="P630" s="17"/>
      <c r="Q630" s="48"/>
      <c r="R630" s="11"/>
      <c r="S630" s="48"/>
      <c r="T630" s="85"/>
      <c r="U630" s="88"/>
      <c r="V630" s="32"/>
      <c r="W630" s="25" t="s">
        <v>48</v>
      </c>
      <c r="X630" s="11"/>
      <c r="Y630" s="50" t="s">
        <v>12</v>
      </c>
      <c r="Z630" s="50"/>
      <c r="AA630" s="50"/>
      <c r="AB630" s="50"/>
      <c r="AC630" s="50"/>
      <c r="AD630" s="50"/>
      <c r="AE630" s="50"/>
      <c r="AF630" s="34"/>
      <c r="AG630" s="34"/>
      <c r="AH630" s="34"/>
      <c r="AI630" s="34"/>
      <c r="AJ630" s="34"/>
      <c r="AK630" s="34"/>
      <c r="AL630" s="34"/>
      <c r="AM630" s="34"/>
      <c r="AN630" s="34"/>
      <c r="AO630" s="65"/>
      <c r="AP630" s="69"/>
      <c r="AQ630" s="62"/>
      <c r="AR630" s="34"/>
    </row>
    <row r="631" spans="1:44" customFormat="1">
      <c r="A631" s="39">
        <v>44142</v>
      </c>
      <c r="B631" s="11" t="s">
        <v>49</v>
      </c>
      <c r="C631" s="16" t="s">
        <v>2638</v>
      </c>
      <c r="D631" s="16"/>
      <c r="E631" s="38">
        <v>32486</v>
      </c>
      <c r="F631" s="38"/>
      <c r="G631" s="10" t="s">
        <v>2639</v>
      </c>
      <c r="H631" s="12" t="s">
        <v>2640</v>
      </c>
      <c r="I631" s="13" t="s">
        <v>2641</v>
      </c>
      <c r="J631" s="15" t="s">
        <v>2642</v>
      </c>
      <c r="K631" s="12"/>
      <c r="L631" s="11" t="s">
        <v>36</v>
      </c>
      <c r="M631" s="15"/>
      <c r="N631" s="17">
        <v>16500</v>
      </c>
      <c r="O631" s="17"/>
      <c r="P631" s="17"/>
      <c r="Q631" s="48"/>
      <c r="R631" s="11"/>
      <c r="S631" s="48"/>
      <c r="T631" s="85"/>
      <c r="U631" s="88"/>
      <c r="V631" s="32" t="s">
        <v>2372</v>
      </c>
      <c r="W631" s="25" t="s">
        <v>10</v>
      </c>
      <c r="X631" s="11"/>
      <c r="Y631" s="50" t="s">
        <v>12</v>
      </c>
      <c r="Z631" s="50"/>
      <c r="AA631" s="50"/>
      <c r="AB631" s="50"/>
      <c r="AC631" s="50"/>
      <c r="AD631" s="50"/>
      <c r="AE631" s="50"/>
      <c r="AF631" s="34"/>
      <c r="AG631" s="34"/>
      <c r="AH631" s="34"/>
      <c r="AI631" s="34"/>
      <c r="AJ631" s="34"/>
      <c r="AK631" s="34"/>
      <c r="AL631" s="34"/>
      <c r="AM631" s="34"/>
      <c r="AN631" s="34"/>
      <c r="AO631" s="65"/>
      <c r="AP631" s="69"/>
      <c r="AQ631" s="62"/>
      <c r="AR631" s="34"/>
    </row>
    <row r="632" spans="1:44" customFormat="1">
      <c r="A632" s="39">
        <v>44142</v>
      </c>
      <c r="B632" s="11" t="s">
        <v>49</v>
      </c>
      <c r="C632" s="16" t="s">
        <v>2643</v>
      </c>
      <c r="D632" s="16"/>
      <c r="E632" s="38">
        <v>28256</v>
      </c>
      <c r="F632" s="38"/>
      <c r="G632" s="10" t="s">
        <v>2644</v>
      </c>
      <c r="H632" s="12" t="s">
        <v>2645</v>
      </c>
      <c r="I632" s="13" t="s">
        <v>2646</v>
      </c>
      <c r="J632" s="15" t="s">
        <v>2647</v>
      </c>
      <c r="K632" s="12"/>
      <c r="L632" s="11" t="s">
        <v>33</v>
      </c>
      <c r="M632" s="15"/>
      <c r="N632" s="17">
        <v>16500</v>
      </c>
      <c r="O632" s="17"/>
      <c r="P632" s="17"/>
      <c r="Q632" s="48"/>
      <c r="R632" s="11"/>
      <c r="S632" s="48"/>
      <c r="T632" s="85"/>
      <c r="U632" s="88"/>
      <c r="V632" s="32"/>
      <c r="W632" s="25" t="s">
        <v>48</v>
      </c>
      <c r="X632" s="11"/>
      <c r="Y632" s="50" t="s">
        <v>13</v>
      </c>
      <c r="Z632" s="50"/>
      <c r="AA632" s="50"/>
      <c r="AB632" s="50"/>
      <c r="AC632" s="50"/>
      <c r="AD632" s="50"/>
      <c r="AE632" s="50"/>
      <c r="AF632" s="34"/>
      <c r="AG632" s="34"/>
      <c r="AH632" s="34"/>
      <c r="AI632" s="34"/>
      <c r="AJ632" s="34"/>
      <c r="AK632" s="34"/>
      <c r="AL632" s="34"/>
      <c r="AM632" s="34"/>
      <c r="AN632" s="34"/>
      <c r="AO632" s="65"/>
      <c r="AP632" s="69"/>
      <c r="AQ632" s="62"/>
      <c r="AR632" s="34"/>
    </row>
    <row r="633" spans="1:44" customFormat="1">
      <c r="A633" s="39">
        <v>44142</v>
      </c>
      <c r="B633" s="11" t="s">
        <v>22</v>
      </c>
      <c r="C633" s="16" t="s">
        <v>374</v>
      </c>
      <c r="D633" s="16"/>
      <c r="E633" s="38">
        <v>27891</v>
      </c>
      <c r="F633" s="38"/>
      <c r="G633" s="10" t="s">
        <v>618</v>
      </c>
      <c r="H633" s="12" t="s">
        <v>2648</v>
      </c>
      <c r="I633" s="13" t="s">
        <v>2209</v>
      </c>
      <c r="J633" s="15" t="s">
        <v>376</v>
      </c>
      <c r="K633" s="12"/>
      <c r="L633" s="11" t="s">
        <v>34</v>
      </c>
      <c r="M633" s="15"/>
      <c r="N633" s="17">
        <v>2750</v>
      </c>
      <c r="O633" s="17"/>
      <c r="P633" s="17"/>
      <c r="Q633" s="48"/>
      <c r="R633" s="11"/>
      <c r="S633" s="48"/>
      <c r="T633" s="85"/>
      <c r="U633" s="88"/>
      <c r="V633" s="32" t="s">
        <v>2649</v>
      </c>
      <c r="W633" s="25" t="s">
        <v>48</v>
      </c>
      <c r="X633" s="11"/>
      <c r="Y633" s="50" t="s">
        <v>12</v>
      </c>
      <c r="Z633" s="50"/>
      <c r="AA633" s="50"/>
      <c r="AB633" s="50"/>
      <c r="AC633" s="50"/>
      <c r="AD633" s="50"/>
      <c r="AE633" s="50"/>
      <c r="AF633" s="34"/>
      <c r="AG633" s="34"/>
      <c r="AH633" s="34"/>
      <c r="AI633" s="34"/>
      <c r="AJ633" s="34"/>
      <c r="AK633" s="34"/>
      <c r="AL633" s="34"/>
      <c r="AM633" s="34"/>
      <c r="AN633" s="34"/>
      <c r="AO633" s="65"/>
      <c r="AP633" s="69"/>
      <c r="AQ633" s="62"/>
      <c r="AR633" s="34"/>
    </row>
    <row r="634" spans="1:44" customFormat="1">
      <c r="A634" s="39">
        <v>44144</v>
      </c>
      <c r="B634" s="11" t="s">
        <v>49</v>
      </c>
      <c r="C634" s="16" t="s">
        <v>2650</v>
      </c>
      <c r="D634" s="16"/>
      <c r="E634" s="38">
        <v>35827</v>
      </c>
      <c r="F634" s="38"/>
      <c r="G634" s="10" t="s">
        <v>2651</v>
      </c>
      <c r="H634" s="12" t="s">
        <v>2652</v>
      </c>
      <c r="I634" s="13" t="s">
        <v>2653</v>
      </c>
      <c r="J634" s="15" t="s">
        <v>2654</v>
      </c>
      <c r="K634" s="12"/>
      <c r="L634" s="11" t="s">
        <v>39</v>
      </c>
      <c r="M634" s="15"/>
      <c r="N634" s="17">
        <v>8250</v>
      </c>
      <c r="O634" s="17"/>
      <c r="P634" s="17"/>
      <c r="Q634" s="48"/>
      <c r="R634" s="11"/>
      <c r="S634" s="48"/>
      <c r="T634" s="85"/>
      <c r="U634" s="88"/>
      <c r="V634" s="32" t="s">
        <v>2655</v>
      </c>
      <c r="W634" s="25" t="s">
        <v>8</v>
      </c>
      <c r="X634" s="11"/>
      <c r="Y634" s="50" t="s">
        <v>13</v>
      </c>
      <c r="Z634" s="50"/>
      <c r="AA634" s="50"/>
      <c r="AB634" s="50"/>
      <c r="AC634" s="50"/>
      <c r="AD634" s="50"/>
      <c r="AE634" s="50"/>
      <c r="AF634" s="34"/>
      <c r="AG634" s="34"/>
      <c r="AH634" s="34"/>
      <c r="AI634" s="34"/>
      <c r="AJ634" s="34"/>
      <c r="AK634" s="34"/>
      <c r="AL634" s="34"/>
      <c r="AM634" s="34"/>
      <c r="AN634" s="34"/>
      <c r="AO634" s="65"/>
      <c r="AP634" s="69"/>
      <c r="AQ634" s="62"/>
      <c r="AR634" s="34"/>
    </row>
    <row r="635" spans="1:44" customFormat="1">
      <c r="A635" s="39">
        <v>44144</v>
      </c>
      <c r="B635" s="11" t="s">
        <v>22</v>
      </c>
      <c r="C635" s="16" t="s">
        <v>2656</v>
      </c>
      <c r="D635" s="16"/>
      <c r="E635" s="38">
        <v>25579</v>
      </c>
      <c r="F635" s="38"/>
      <c r="G635" s="10" t="s">
        <v>2657</v>
      </c>
      <c r="H635" s="12" t="s">
        <v>2658</v>
      </c>
      <c r="I635" s="13" t="s">
        <v>2659</v>
      </c>
      <c r="J635" s="15" t="s">
        <v>2660</v>
      </c>
      <c r="K635" s="12"/>
      <c r="L635" s="11" t="s">
        <v>36</v>
      </c>
      <c r="M635" s="15"/>
      <c r="N635" s="17">
        <v>2750</v>
      </c>
      <c r="O635" s="17"/>
      <c r="P635" s="17"/>
      <c r="Q635" s="48"/>
      <c r="R635" s="11"/>
      <c r="S635" s="48"/>
      <c r="T635" s="85"/>
      <c r="U635" s="88"/>
      <c r="V635" s="32"/>
      <c r="W635" s="25" t="s">
        <v>48</v>
      </c>
      <c r="X635" s="11"/>
      <c r="Y635" s="50" t="s">
        <v>12</v>
      </c>
      <c r="Z635" s="50"/>
      <c r="AA635" s="50"/>
      <c r="AB635" s="50"/>
      <c r="AC635" s="50"/>
      <c r="AD635" s="50"/>
      <c r="AE635" s="50"/>
      <c r="AF635" s="34"/>
      <c r="AG635" s="34"/>
      <c r="AH635" s="34"/>
      <c r="AI635" s="34"/>
      <c r="AJ635" s="34"/>
      <c r="AK635" s="34"/>
      <c r="AL635" s="34"/>
      <c r="AM635" s="34"/>
      <c r="AN635" s="34"/>
      <c r="AO635" s="65"/>
      <c r="AP635" s="69"/>
      <c r="AQ635" s="62"/>
      <c r="AR635" s="34"/>
    </row>
    <row r="636" spans="1:44" customFormat="1">
      <c r="A636" s="39">
        <v>44146</v>
      </c>
      <c r="B636" s="11" t="s">
        <v>22</v>
      </c>
      <c r="C636" s="16" t="s">
        <v>2661</v>
      </c>
      <c r="D636" s="16"/>
      <c r="E636" s="38"/>
      <c r="F636" s="38"/>
      <c r="G636" s="10" t="s">
        <v>1245</v>
      </c>
      <c r="H636" s="12" t="s">
        <v>2662</v>
      </c>
      <c r="I636" s="13" t="s">
        <v>1745</v>
      </c>
      <c r="J636" s="15" t="s">
        <v>2663</v>
      </c>
      <c r="K636" s="12"/>
      <c r="L636" s="11"/>
      <c r="M636" s="15"/>
      <c r="N636" s="17">
        <v>2750</v>
      </c>
      <c r="O636" s="17"/>
      <c r="P636" s="17"/>
      <c r="Q636" s="48"/>
      <c r="R636" s="11"/>
      <c r="S636" s="48"/>
      <c r="T636" s="85"/>
      <c r="U636" s="88"/>
      <c r="V636" s="32" t="s">
        <v>1744</v>
      </c>
      <c r="W636" s="25" t="s">
        <v>10</v>
      </c>
      <c r="X636" s="11"/>
      <c r="Y636" s="50" t="s">
        <v>18</v>
      </c>
      <c r="Z636" s="50"/>
      <c r="AA636" s="50"/>
      <c r="AB636" s="50"/>
      <c r="AC636" s="50"/>
      <c r="AD636" s="50"/>
      <c r="AE636" s="50"/>
      <c r="AF636" s="34"/>
      <c r="AG636" s="34"/>
      <c r="AH636" s="34"/>
      <c r="AI636" s="34"/>
      <c r="AJ636" s="34"/>
      <c r="AK636" s="34"/>
      <c r="AL636" s="34"/>
      <c r="AM636" s="34"/>
      <c r="AN636" s="34"/>
      <c r="AO636" s="65"/>
      <c r="AP636" s="69"/>
      <c r="AQ636" s="62"/>
      <c r="AR636" s="34"/>
    </row>
    <row r="637" spans="1:44" customFormat="1">
      <c r="A637" s="39">
        <v>44146</v>
      </c>
      <c r="B637" s="11" t="s">
        <v>49</v>
      </c>
      <c r="C637" s="16" t="s">
        <v>2664</v>
      </c>
      <c r="D637" s="16"/>
      <c r="E637" s="38"/>
      <c r="F637" s="38"/>
      <c r="G637" s="10" t="s">
        <v>2665</v>
      </c>
      <c r="H637" s="12" t="s">
        <v>2666</v>
      </c>
      <c r="I637" s="13" t="s">
        <v>2667</v>
      </c>
      <c r="J637" s="15" t="s">
        <v>2668</v>
      </c>
      <c r="K637" s="12"/>
      <c r="L637" s="11" t="s">
        <v>33</v>
      </c>
      <c r="M637" s="15"/>
      <c r="N637" s="17">
        <v>22000</v>
      </c>
      <c r="O637" s="17"/>
      <c r="P637" s="17"/>
      <c r="Q637" s="48"/>
      <c r="R637" s="11"/>
      <c r="S637" s="48"/>
      <c r="T637" s="85"/>
      <c r="U637" s="88"/>
      <c r="V637" s="32"/>
      <c r="W637" s="25" t="s">
        <v>48</v>
      </c>
      <c r="X637" s="11"/>
      <c r="Y637" s="50" t="s">
        <v>12</v>
      </c>
      <c r="Z637" s="50"/>
      <c r="AA637" s="50"/>
      <c r="AB637" s="50"/>
      <c r="AC637" s="50"/>
      <c r="AD637" s="50"/>
      <c r="AE637" s="50"/>
      <c r="AF637" s="34"/>
      <c r="AG637" s="34"/>
      <c r="AH637" s="34"/>
      <c r="AI637" s="34"/>
      <c r="AJ637" s="34"/>
      <c r="AK637" s="34"/>
      <c r="AL637" s="34"/>
      <c r="AM637" s="34"/>
      <c r="AN637" s="34"/>
      <c r="AO637" s="65"/>
      <c r="AP637" s="69"/>
      <c r="AQ637" s="62"/>
      <c r="AR637" s="34"/>
    </row>
    <row r="638" spans="1:44" customFormat="1">
      <c r="A638" s="39">
        <v>44146</v>
      </c>
      <c r="B638" s="11" t="s">
        <v>22</v>
      </c>
      <c r="C638" s="16" t="s">
        <v>2669</v>
      </c>
      <c r="D638" s="16"/>
      <c r="E638" s="38">
        <v>34507</v>
      </c>
      <c r="F638" s="38"/>
      <c r="G638" s="10" t="s">
        <v>2670</v>
      </c>
      <c r="H638" s="12" t="s">
        <v>2671</v>
      </c>
      <c r="I638" s="13" t="s">
        <v>2672</v>
      </c>
      <c r="J638" s="15" t="s">
        <v>2673</v>
      </c>
      <c r="K638" s="12"/>
      <c r="L638" s="11" t="s">
        <v>36</v>
      </c>
      <c r="M638" s="15"/>
      <c r="N638" s="17">
        <v>2750</v>
      </c>
      <c r="O638" s="17"/>
      <c r="P638" s="17"/>
      <c r="Q638" s="48"/>
      <c r="R638" s="11"/>
      <c r="S638" s="48"/>
      <c r="T638" s="85"/>
      <c r="U638" s="88"/>
      <c r="V638" s="32" t="s">
        <v>1744</v>
      </c>
      <c r="W638" s="25" t="s">
        <v>48</v>
      </c>
      <c r="X638" s="11"/>
      <c r="Y638" s="50" t="s">
        <v>19</v>
      </c>
      <c r="Z638" s="50"/>
      <c r="AA638" s="50"/>
      <c r="AB638" s="50"/>
      <c r="AC638" s="50"/>
      <c r="AD638" s="50"/>
      <c r="AE638" s="50"/>
      <c r="AF638" s="34"/>
      <c r="AG638" s="34"/>
      <c r="AH638" s="34"/>
      <c r="AI638" s="34"/>
      <c r="AJ638" s="34"/>
      <c r="AK638" s="34"/>
      <c r="AL638" s="34"/>
      <c r="AM638" s="34"/>
      <c r="AN638" s="34"/>
      <c r="AO638" s="65"/>
      <c r="AP638" s="69"/>
      <c r="AQ638" s="62"/>
      <c r="AR638" s="34"/>
    </row>
    <row r="639" spans="1:44" customFormat="1">
      <c r="A639" s="39">
        <v>44147</v>
      </c>
      <c r="B639" s="11" t="s">
        <v>22</v>
      </c>
      <c r="C639" s="16" t="s">
        <v>2046</v>
      </c>
      <c r="D639" s="16"/>
      <c r="E639" s="38"/>
      <c r="F639" s="38"/>
      <c r="G639" s="10"/>
      <c r="H639" s="12"/>
      <c r="I639" s="13"/>
      <c r="J639" s="15"/>
      <c r="K639" s="12"/>
      <c r="L639" s="11"/>
      <c r="M639" s="15"/>
      <c r="N639" s="17">
        <v>2750</v>
      </c>
      <c r="O639" s="17"/>
      <c r="P639" s="17"/>
      <c r="Q639" s="48"/>
      <c r="R639" s="11"/>
      <c r="S639" s="48"/>
      <c r="T639" s="85"/>
      <c r="U639" s="88"/>
      <c r="V639" s="32" t="s">
        <v>2678</v>
      </c>
      <c r="W639" s="25"/>
      <c r="X639" s="11"/>
      <c r="Y639" s="50"/>
      <c r="Z639" s="50"/>
      <c r="AA639" s="50"/>
      <c r="AB639" s="50"/>
      <c r="AC639" s="50"/>
      <c r="AD639" s="50"/>
      <c r="AE639" s="50"/>
      <c r="AF639" s="34"/>
      <c r="AG639" s="34"/>
      <c r="AH639" s="34"/>
      <c r="AI639" s="34"/>
      <c r="AJ639" s="34"/>
      <c r="AK639" s="34"/>
      <c r="AL639" s="34"/>
      <c r="AM639" s="34"/>
      <c r="AN639" s="34"/>
      <c r="AO639" s="65"/>
      <c r="AP639" s="69"/>
      <c r="AQ639" s="62"/>
      <c r="AR639" s="34"/>
    </row>
    <row r="640" spans="1:44" customFormat="1">
      <c r="A640" s="39">
        <v>44147</v>
      </c>
      <c r="B640" s="11" t="s">
        <v>22</v>
      </c>
      <c r="C640" s="16" t="s">
        <v>2674</v>
      </c>
      <c r="D640" s="16"/>
      <c r="E640" s="38">
        <v>33666</v>
      </c>
      <c r="F640" s="38"/>
      <c r="G640" s="10" t="s">
        <v>328</v>
      </c>
      <c r="H640" s="12" t="s">
        <v>2675</v>
      </c>
      <c r="I640" s="13" t="s">
        <v>2676</v>
      </c>
      <c r="J640" s="15" t="s">
        <v>2677</v>
      </c>
      <c r="K640" s="12"/>
      <c r="L640" s="11" t="s">
        <v>36</v>
      </c>
      <c r="M640" s="15"/>
      <c r="N640" s="17">
        <v>2750</v>
      </c>
      <c r="O640" s="17"/>
      <c r="P640" s="17"/>
      <c r="Q640" s="48"/>
      <c r="R640" s="11"/>
      <c r="S640" s="48"/>
      <c r="T640" s="85"/>
      <c r="U640" s="88"/>
      <c r="V640" s="32" t="s">
        <v>1744</v>
      </c>
      <c r="W640" s="25" t="s">
        <v>48</v>
      </c>
      <c r="X640" s="11"/>
      <c r="Y640" s="50" t="s">
        <v>12</v>
      </c>
      <c r="Z640" s="50"/>
      <c r="AA640" s="50"/>
      <c r="AB640" s="50"/>
      <c r="AC640" s="50"/>
      <c r="AD640" s="50"/>
      <c r="AE640" s="50"/>
      <c r="AF640" s="34"/>
      <c r="AG640" s="34"/>
      <c r="AH640" s="34"/>
      <c r="AI640" s="34"/>
      <c r="AJ640" s="34"/>
      <c r="AK640" s="34"/>
      <c r="AL640" s="34"/>
      <c r="AM640" s="34"/>
      <c r="AN640" s="34"/>
      <c r="AO640" s="65"/>
      <c r="AP640" s="69"/>
      <c r="AQ640" s="62"/>
      <c r="AR640" s="34"/>
    </row>
    <row r="641" spans="1:44" customFormat="1">
      <c r="A641" s="39">
        <v>44149</v>
      </c>
      <c r="B641" s="11" t="s">
        <v>22</v>
      </c>
      <c r="C641" s="16" t="s">
        <v>2679</v>
      </c>
      <c r="D641" s="16"/>
      <c r="E641" s="38">
        <v>21090</v>
      </c>
      <c r="F641" s="38"/>
      <c r="G641" s="10" t="s">
        <v>2680</v>
      </c>
      <c r="H641" s="12" t="s">
        <v>2681</v>
      </c>
      <c r="I641" s="13" t="s">
        <v>2682</v>
      </c>
      <c r="J641" s="15" t="s">
        <v>2683</v>
      </c>
      <c r="K641" s="12"/>
      <c r="L641" s="11" t="s">
        <v>34</v>
      </c>
      <c r="M641" s="15"/>
      <c r="N641" s="17">
        <v>2750</v>
      </c>
      <c r="O641" s="17"/>
      <c r="P641" s="17"/>
      <c r="Q641" s="48"/>
      <c r="R641" s="11"/>
      <c r="S641" s="48"/>
      <c r="T641" s="85"/>
      <c r="U641" s="88"/>
      <c r="V641" s="32"/>
      <c r="W641" s="25" t="s">
        <v>48</v>
      </c>
      <c r="X641" s="11"/>
      <c r="Y641" s="50" t="s">
        <v>20</v>
      </c>
      <c r="Z641" s="50"/>
      <c r="AA641" s="50"/>
      <c r="AB641" s="50"/>
      <c r="AC641" s="50"/>
      <c r="AD641" s="50"/>
      <c r="AE641" s="50"/>
      <c r="AF641" s="34"/>
      <c r="AG641" s="34"/>
      <c r="AH641" s="34"/>
      <c r="AI641" s="34"/>
      <c r="AJ641" s="34"/>
      <c r="AK641" s="34"/>
      <c r="AL641" s="34"/>
      <c r="AM641" s="34"/>
      <c r="AN641" s="34"/>
      <c r="AO641" s="65"/>
      <c r="AP641" s="69"/>
      <c r="AQ641" s="62"/>
      <c r="AR641" s="34"/>
    </row>
    <row r="642" spans="1:44" customFormat="1">
      <c r="A642" s="39">
        <v>44149</v>
      </c>
      <c r="B642" s="11" t="s">
        <v>49</v>
      </c>
      <c r="C642" s="16" t="s">
        <v>2684</v>
      </c>
      <c r="D642" s="16"/>
      <c r="E642" s="38">
        <v>25151</v>
      </c>
      <c r="F642" s="38"/>
      <c r="G642" s="10" t="s">
        <v>2013</v>
      </c>
      <c r="H642" s="12" t="s">
        <v>2685</v>
      </c>
      <c r="I642" s="13" t="s">
        <v>2686</v>
      </c>
      <c r="J642" s="15" t="s">
        <v>2687</v>
      </c>
      <c r="K642" s="12"/>
      <c r="L642" s="11" t="s">
        <v>36</v>
      </c>
      <c r="M642" s="15"/>
      <c r="N642" s="17">
        <v>22000</v>
      </c>
      <c r="O642" s="17"/>
      <c r="P642" s="17"/>
      <c r="Q642" s="48"/>
      <c r="R642" s="11"/>
      <c r="S642" s="48"/>
      <c r="T642" s="85"/>
      <c r="U642" s="88"/>
      <c r="V642" s="32"/>
      <c r="W642" s="25" t="s">
        <v>48</v>
      </c>
      <c r="X642" s="11"/>
      <c r="Y642" s="50" t="s">
        <v>13</v>
      </c>
      <c r="Z642" s="50"/>
      <c r="AA642" s="50"/>
      <c r="AB642" s="50"/>
      <c r="AC642" s="50"/>
      <c r="AD642" s="50"/>
      <c r="AE642" s="50"/>
      <c r="AF642" s="34"/>
      <c r="AG642" s="34"/>
      <c r="AH642" s="34"/>
      <c r="AI642" s="34"/>
      <c r="AJ642" s="34"/>
      <c r="AK642" s="34"/>
      <c r="AL642" s="34"/>
      <c r="AM642" s="34"/>
      <c r="AN642" s="34"/>
      <c r="AO642" s="65"/>
      <c r="AP642" s="69"/>
      <c r="AQ642" s="62"/>
      <c r="AR642" s="34"/>
    </row>
    <row r="643" spans="1:44" customFormat="1">
      <c r="A643" s="39">
        <v>44149</v>
      </c>
      <c r="B643" s="11" t="s">
        <v>22</v>
      </c>
      <c r="C643" s="16" t="s">
        <v>2688</v>
      </c>
      <c r="D643" s="16"/>
      <c r="E643" s="38">
        <v>30440</v>
      </c>
      <c r="F643" s="38"/>
      <c r="G643" s="10" t="s">
        <v>1191</v>
      </c>
      <c r="H643" s="12" t="s">
        <v>2689</v>
      </c>
      <c r="I643" s="13" t="s">
        <v>2690</v>
      </c>
      <c r="J643" s="15" t="s">
        <v>2691</v>
      </c>
      <c r="K643" s="12"/>
      <c r="L643" s="11" t="s">
        <v>35</v>
      </c>
      <c r="M643" s="15"/>
      <c r="N643" s="17">
        <v>2750</v>
      </c>
      <c r="O643" s="17"/>
      <c r="P643" s="17"/>
      <c r="Q643" s="48"/>
      <c r="R643" s="11"/>
      <c r="S643" s="48"/>
      <c r="T643" s="85"/>
      <c r="U643" s="88"/>
      <c r="V643" s="32" t="s">
        <v>1744</v>
      </c>
      <c r="W643" s="25" t="s">
        <v>48</v>
      </c>
      <c r="X643" s="11"/>
      <c r="Y643" s="50" t="s">
        <v>12</v>
      </c>
      <c r="Z643" s="50"/>
      <c r="AA643" s="50"/>
      <c r="AB643" s="50"/>
      <c r="AC643" s="50"/>
      <c r="AD643" s="50"/>
      <c r="AE643" s="50"/>
      <c r="AF643" s="34"/>
      <c r="AG643" s="34"/>
      <c r="AH643" s="34"/>
      <c r="AI643" s="34"/>
      <c r="AJ643" s="34"/>
      <c r="AK643" s="34"/>
      <c r="AL643" s="34"/>
      <c r="AM643" s="34"/>
      <c r="AN643" s="34"/>
      <c r="AO643" s="65"/>
      <c r="AP643" s="69"/>
      <c r="AQ643" s="62"/>
      <c r="AR643" s="34"/>
    </row>
    <row r="644" spans="1:44" customFormat="1">
      <c r="A644" s="39">
        <v>44150</v>
      </c>
      <c r="B644" s="11" t="s">
        <v>49</v>
      </c>
      <c r="C644" s="16" t="s">
        <v>2692</v>
      </c>
      <c r="D644" s="16"/>
      <c r="E644" s="38">
        <v>29784</v>
      </c>
      <c r="F644" s="38"/>
      <c r="G644" s="10" t="s">
        <v>2693</v>
      </c>
      <c r="H644" s="12" t="s">
        <v>2694</v>
      </c>
      <c r="I644" s="13" t="s">
        <v>2695</v>
      </c>
      <c r="J644" s="15" t="s">
        <v>2696</v>
      </c>
      <c r="K644" s="12"/>
      <c r="L644" s="11" t="s">
        <v>33</v>
      </c>
      <c r="M644" s="15"/>
      <c r="N644" s="17">
        <v>16500</v>
      </c>
      <c r="O644" s="17"/>
      <c r="P644" s="17"/>
      <c r="Q644" s="48"/>
      <c r="R644" s="11"/>
      <c r="S644" s="48"/>
      <c r="T644" s="85"/>
      <c r="U644" s="88"/>
      <c r="V644" s="32"/>
      <c r="W644" s="25" t="s">
        <v>48</v>
      </c>
      <c r="X644" s="11"/>
      <c r="Y644" s="50" t="s">
        <v>13</v>
      </c>
      <c r="Z644" s="50"/>
      <c r="AA644" s="50"/>
      <c r="AB644" s="50"/>
      <c r="AC644" s="50"/>
      <c r="AD644" s="50"/>
      <c r="AE644" s="50"/>
      <c r="AF644" s="34"/>
      <c r="AG644" s="34"/>
      <c r="AH644" s="34"/>
      <c r="AI644" s="34"/>
      <c r="AJ644" s="34"/>
      <c r="AK644" s="34"/>
      <c r="AL644" s="34"/>
      <c r="AM644" s="34"/>
      <c r="AN644" s="34"/>
      <c r="AO644" s="65"/>
      <c r="AP644" s="69"/>
      <c r="AQ644" s="62"/>
      <c r="AR644" s="34"/>
    </row>
    <row r="645" spans="1:44" customFormat="1">
      <c r="A645" s="39">
        <v>44150</v>
      </c>
      <c r="B645" s="11" t="s">
        <v>49</v>
      </c>
      <c r="C645" s="16" t="s">
        <v>2697</v>
      </c>
      <c r="D645" s="16"/>
      <c r="E645" s="38">
        <v>29794</v>
      </c>
      <c r="F645" s="38"/>
      <c r="G645" s="10" t="s">
        <v>2700</v>
      </c>
      <c r="H645" s="12" t="s">
        <v>2698</v>
      </c>
      <c r="I645" s="13" t="s">
        <v>2699</v>
      </c>
      <c r="J645" s="15" t="s">
        <v>2701</v>
      </c>
      <c r="K645" s="12"/>
      <c r="L645" s="11" t="s">
        <v>34</v>
      </c>
      <c r="M645" s="15"/>
      <c r="N645" s="17">
        <v>16500</v>
      </c>
      <c r="O645" s="17"/>
      <c r="P645" s="17"/>
      <c r="Q645" s="48"/>
      <c r="R645" s="11"/>
      <c r="S645" s="48"/>
      <c r="T645" s="85"/>
      <c r="U645" s="88"/>
      <c r="V645" s="32"/>
      <c r="W645" s="25" t="s">
        <v>8</v>
      </c>
      <c r="X645" s="11"/>
      <c r="Y645" s="50" t="s">
        <v>13</v>
      </c>
      <c r="Z645" s="50"/>
      <c r="AA645" s="50"/>
      <c r="AB645" s="50"/>
      <c r="AC645" s="50"/>
      <c r="AD645" s="50"/>
      <c r="AE645" s="50"/>
      <c r="AF645" s="34"/>
      <c r="AG645" s="34"/>
      <c r="AH645" s="34"/>
      <c r="AI645" s="34"/>
      <c r="AJ645" s="34"/>
      <c r="AK645" s="34"/>
      <c r="AL645" s="34"/>
      <c r="AM645" s="34"/>
      <c r="AN645" s="34"/>
      <c r="AO645" s="65"/>
      <c r="AP645" s="69"/>
      <c r="AQ645" s="62"/>
      <c r="AR645" s="34"/>
    </row>
    <row r="646" spans="1:44" customFormat="1">
      <c r="A646" s="39">
        <v>44150</v>
      </c>
      <c r="B646" s="11" t="s">
        <v>49</v>
      </c>
      <c r="C646" s="16" t="s">
        <v>2702</v>
      </c>
      <c r="D646" s="16"/>
      <c r="E646" s="38">
        <v>29900</v>
      </c>
      <c r="F646" s="38"/>
      <c r="G646" s="10" t="s">
        <v>2703</v>
      </c>
      <c r="H646" s="12" t="s">
        <v>2704</v>
      </c>
      <c r="I646" s="13" t="s">
        <v>2705</v>
      </c>
      <c r="J646" s="15" t="s">
        <v>2706</v>
      </c>
      <c r="K646" s="12"/>
      <c r="L646" s="11" t="s">
        <v>33</v>
      </c>
      <c r="M646" s="15"/>
      <c r="N646" s="17">
        <v>16500</v>
      </c>
      <c r="O646" s="17"/>
      <c r="P646" s="17"/>
      <c r="Q646" s="48"/>
      <c r="R646" s="11"/>
      <c r="S646" s="48"/>
      <c r="T646" s="85"/>
      <c r="U646" s="88"/>
      <c r="V646" s="32"/>
      <c r="W646" s="25" t="s">
        <v>8</v>
      </c>
      <c r="X646" s="11"/>
      <c r="Y646" s="50"/>
      <c r="Z646" s="50"/>
      <c r="AA646" s="50"/>
      <c r="AB646" s="50"/>
      <c r="AC646" s="50"/>
      <c r="AD646" s="50"/>
      <c r="AE646" s="50"/>
      <c r="AF646" s="34"/>
      <c r="AG646" s="34"/>
      <c r="AH646" s="34"/>
      <c r="AI646" s="34"/>
      <c r="AJ646" s="34"/>
      <c r="AK646" s="34"/>
      <c r="AL646" s="34"/>
      <c r="AM646" s="34"/>
      <c r="AN646" s="34"/>
      <c r="AO646" s="65"/>
      <c r="AP646" s="69"/>
      <c r="AQ646" s="62"/>
      <c r="AR646" s="34"/>
    </row>
    <row r="647" spans="1:44" customFormat="1">
      <c r="A647" s="39">
        <v>44153</v>
      </c>
      <c r="B647" s="11" t="s">
        <v>22</v>
      </c>
      <c r="C647" s="16" t="s">
        <v>2707</v>
      </c>
      <c r="D647" s="16"/>
      <c r="E647" s="38">
        <v>26507</v>
      </c>
      <c r="F647" s="38"/>
      <c r="G647" s="10" t="s">
        <v>2708</v>
      </c>
      <c r="H647" s="12" t="s">
        <v>2709</v>
      </c>
      <c r="I647" s="13" t="s">
        <v>2710</v>
      </c>
      <c r="J647" s="15" t="s">
        <v>2711</v>
      </c>
      <c r="K647" s="12"/>
      <c r="L647" s="11" t="s">
        <v>36</v>
      </c>
      <c r="M647" s="15"/>
      <c r="N647" s="17">
        <v>2750</v>
      </c>
      <c r="O647" s="17"/>
      <c r="P647" s="17"/>
      <c r="Q647" s="48"/>
      <c r="R647" s="11"/>
      <c r="S647" s="48"/>
      <c r="T647" s="85"/>
      <c r="U647" s="88"/>
      <c r="V647" s="32" t="s">
        <v>2712</v>
      </c>
      <c r="W647" s="25" t="s">
        <v>10</v>
      </c>
      <c r="X647" s="11"/>
      <c r="Y647" s="50" t="s">
        <v>12</v>
      </c>
      <c r="Z647" s="50"/>
      <c r="AA647" s="50"/>
      <c r="AB647" s="50"/>
      <c r="AC647" s="50"/>
      <c r="AD647" s="50"/>
      <c r="AE647" s="50"/>
      <c r="AF647" s="34"/>
      <c r="AG647" s="34"/>
      <c r="AH647" s="34"/>
      <c r="AI647" s="34"/>
      <c r="AJ647" s="34"/>
      <c r="AK647" s="34"/>
      <c r="AL647" s="34"/>
      <c r="AM647" s="34"/>
      <c r="AN647" s="34"/>
      <c r="AO647" s="65"/>
      <c r="AP647" s="69"/>
      <c r="AQ647" s="62"/>
      <c r="AR647" s="34"/>
    </row>
    <row r="648" spans="1:44" customFormat="1">
      <c r="A648" s="39">
        <v>44153</v>
      </c>
      <c r="B648" s="11" t="s">
        <v>22</v>
      </c>
      <c r="C648" s="16" t="s">
        <v>1543</v>
      </c>
      <c r="D648" s="16"/>
      <c r="E648" s="38">
        <v>38860</v>
      </c>
      <c r="F648" s="38"/>
      <c r="G648" s="10" t="s">
        <v>1544</v>
      </c>
      <c r="H648" s="12" t="s">
        <v>2713</v>
      </c>
      <c r="I648" s="13">
        <v>28.4</v>
      </c>
      <c r="J648" s="15" t="s">
        <v>1546</v>
      </c>
      <c r="K648" s="12"/>
      <c r="L648" s="11" t="s">
        <v>38</v>
      </c>
      <c r="M648" s="15"/>
      <c r="N648" s="17">
        <v>2750</v>
      </c>
      <c r="O648" s="17"/>
      <c r="P648" s="17"/>
      <c r="Q648" s="48"/>
      <c r="R648" s="11"/>
      <c r="S648" s="48"/>
      <c r="T648" s="85"/>
      <c r="U648" s="88"/>
      <c r="V648" s="32" t="s">
        <v>2714</v>
      </c>
      <c r="W648" s="25" t="s">
        <v>8</v>
      </c>
      <c r="X648" s="11"/>
      <c r="Y648" s="50" t="s">
        <v>13</v>
      </c>
      <c r="Z648" s="50"/>
      <c r="AA648" s="50"/>
      <c r="AB648" s="50"/>
      <c r="AC648" s="50"/>
      <c r="AD648" s="50"/>
      <c r="AE648" s="50"/>
      <c r="AF648" s="34"/>
      <c r="AG648" s="34"/>
      <c r="AH648" s="34"/>
      <c r="AI648" s="34"/>
      <c r="AJ648" s="34"/>
      <c r="AK648" s="34"/>
      <c r="AL648" s="34"/>
      <c r="AM648" s="34"/>
      <c r="AN648" s="34"/>
      <c r="AO648" s="65"/>
      <c r="AP648" s="69"/>
      <c r="AQ648" s="62"/>
      <c r="AR648" s="34"/>
    </row>
    <row r="649" spans="1:44" customFormat="1">
      <c r="A649" s="39">
        <v>44154</v>
      </c>
      <c r="B649" s="11" t="s">
        <v>22</v>
      </c>
      <c r="C649" s="16" t="s">
        <v>2715</v>
      </c>
      <c r="D649" s="16"/>
      <c r="E649" s="38">
        <v>27054</v>
      </c>
      <c r="F649" s="38"/>
      <c r="G649" s="10" t="s">
        <v>2716</v>
      </c>
      <c r="H649" s="12" t="s">
        <v>2717</v>
      </c>
      <c r="I649" s="13" t="s">
        <v>2718</v>
      </c>
      <c r="J649" s="15" t="s">
        <v>2719</v>
      </c>
      <c r="K649" s="12"/>
      <c r="L649" s="11"/>
      <c r="M649" s="15"/>
      <c r="N649" s="17">
        <v>2750</v>
      </c>
      <c r="O649" s="17"/>
      <c r="P649" s="17"/>
      <c r="Q649" s="48"/>
      <c r="R649" s="11"/>
      <c r="S649" s="48"/>
      <c r="T649" s="85"/>
      <c r="U649" s="88"/>
      <c r="V649" s="32" t="s">
        <v>1744</v>
      </c>
      <c r="W649" s="25" t="s">
        <v>8</v>
      </c>
      <c r="X649" s="11"/>
      <c r="Y649" s="50" t="s">
        <v>15</v>
      </c>
      <c r="Z649" s="50"/>
      <c r="AA649" s="50"/>
      <c r="AB649" s="50"/>
      <c r="AC649" s="50"/>
      <c r="AD649" s="50"/>
      <c r="AE649" s="50"/>
      <c r="AF649" s="34"/>
      <c r="AG649" s="34"/>
      <c r="AH649" s="34"/>
      <c r="AI649" s="34"/>
      <c r="AJ649" s="34"/>
      <c r="AK649" s="34"/>
      <c r="AL649" s="34"/>
      <c r="AM649" s="34"/>
      <c r="AN649" s="34"/>
      <c r="AO649" s="65"/>
      <c r="AP649" s="69"/>
      <c r="AQ649" s="62"/>
      <c r="AR649" s="34"/>
    </row>
    <row r="650" spans="1:44" customFormat="1">
      <c r="A650" s="39">
        <v>44154</v>
      </c>
      <c r="B650" s="11" t="s">
        <v>22</v>
      </c>
      <c r="C650" s="16" t="s">
        <v>2720</v>
      </c>
      <c r="D650" s="16"/>
      <c r="E650" s="38">
        <v>31979</v>
      </c>
      <c r="F650" s="38"/>
      <c r="G650" s="10" t="s">
        <v>2722</v>
      </c>
      <c r="H650" s="12" t="s">
        <v>2723</v>
      </c>
      <c r="I650" s="13" t="s">
        <v>2724</v>
      </c>
      <c r="J650" s="10" t="s">
        <v>2721</v>
      </c>
      <c r="K650" s="12"/>
      <c r="L650" s="11" t="s">
        <v>36</v>
      </c>
      <c r="M650" s="10"/>
      <c r="N650" s="17">
        <v>2750</v>
      </c>
      <c r="O650" s="17"/>
      <c r="P650" s="17"/>
      <c r="Q650" s="48"/>
      <c r="R650" s="11"/>
      <c r="S650" s="48"/>
      <c r="T650" s="85"/>
      <c r="U650" s="88"/>
      <c r="V650" s="32" t="s">
        <v>1744</v>
      </c>
      <c r="W650" s="25" t="s">
        <v>8</v>
      </c>
      <c r="X650" s="11"/>
      <c r="Y650" s="50" t="s">
        <v>14</v>
      </c>
      <c r="Z650" s="50"/>
      <c r="AA650" s="50"/>
      <c r="AB650" s="50"/>
      <c r="AC650" s="50"/>
      <c r="AD650" s="50"/>
      <c r="AE650" s="50"/>
      <c r="AF650" s="34"/>
      <c r="AG650" s="34"/>
      <c r="AH650" s="34"/>
      <c r="AI650" s="34"/>
      <c r="AJ650" s="34"/>
      <c r="AK650" s="34"/>
      <c r="AL650" s="34"/>
      <c r="AM650" s="34"/>
      <c r="AN650" s="34"/>
      <c r="AO650" s="65"/>
      <c r="AP650" s="69"/>
      <c r="AQ650" s="62"/>
      <c r="AR650" s="34"/>
    </row>
    <row r="651" spans="1:44" customFormat="1">
      <c r="A651" s="39">
        <v>44154</v>
      </c>
      <c r="B651" s="11" t="s">
        <v>22</v>
      </c>
      <c r="C651" s="16" t="s">
        <v>2725</v>
      </c>
      <c r="D651" s="16"/>
      <c r="E651" s="38">
        <v>21996</v>
      </c>
      <c r="F651" s="38"/>
      <c r="G651" s="10" t="s">
        <v>2726</v>
      </c>
      <c r="H651" s="12" t="s">
        <v>2727</v>
      </c>
      <c r="I651" s="13" t="s">
        <v>2424</v>
      </c>
      <c r="J651" s="15" t="s">
        <v>2728</v>
      </c>
      <c r="K651" s="12"/>
      <c r="L651" s="11" t="s">
        <v>34</v>
      </c>
      <c r="M651" s="15"/>
      <c r="N651" s="17">
        <v>5500</v>
      </c>
      <c r="O651" s="17"/>
      <c r="P651" s="17"/>
      <c r="Q651" s="48"/>
      <c r="R651" s="11"/>
      <c r="S651" s="48"/>
      <c r="T651" s="85"/>
      <c r="U651" s="88"/>
      <c r="V651" s="32" t="s">
        <v>2729</v>
      </c>
      <c r="W651" s="25" t="s">
        <v>10</v>
      </c>
      <c r="X651" s="11"/>
      <c r="Y651" s="50" t="s">
        <v>12</v>
      </c>
      <c r="Z651" s="50"/>
      <c r="AA651" s="50"/>
      <c r="AB651" s="50"/>
      <c r="AC651" s="50"/>
      <c r="AD651" s="50"/>
      <c r="AE651" s="50"/>
      <c r="AF651" s="34"/>
      <c r="AG651" s="34"/>
      <c r="AH651" s="34"/>
      <c r="AI651" s="34"/>
      <c r="AJ651" s="34"/>
      <c r="AK651" s="34"/>
      <c r="AL651" s="34"/>
      <c r="AM651" s="34"/>
      <c r="AN651" s="34"/>
      <c r="AO651" s="65"/>
      <c r="AP651" s="69"/>
      <c r="AQ651" s="62"/>
      <c r="AR651" s="34"/>
    </row>
    <row r="652" spans="1:44" customFormat="1">
      <c r="A652" s="39">
        <v>44154</v>
      </c>
      <c r="B652" s="11" t="s">
        <v>22</v>
      </c>
      <c r="C652" s="16" t="s">
        <v>2730</v>
      </c>
      <c r="D652" s="16"/>
      <c r="E652" s="38">
        <v>25988</v>
      </c>
      <c r="F652" s="38"/>
      <c r="G652" s="10" t="s">
        <v>2731</v>
      </c>
      <c r="H652" s="12" t="s">
        <v>2732</v>
      </c>
      <c r="I652" s="13" t="s">
        <v>2733</v>
      </c>
      <c r="J652" s="15" t="s">
        <v>2734</v>
      </c>
      <c r="K652" s="12"/>
      <c r="L652" s="11" t="s">
        <v>39</v>
      </c>
      <c r="M652" s="15"/>
      <c r="N652" s="17">
        <v>0</v>
      </c>
      <c r="O652" s="17"/>
      <c r="P652" s="17"/>
      <c r="Q652" s="48"/>
      <c r="R652" s="11"/>
      <c r="S652" s="48"/>
      <c r="T652" s="85"/>
      <c r="U652" s="88"/>
      <c r="V652" s="32" t="s">
        <v>2735</v>
      </c>
      <c r="W652" s="25" t="s">
        <v>10</v>
      </c>
      <c r="X652" s="11"/>
      <c r="Y652" s="50" t="s">
        <v>11</v>
      </c>
      <c r="Z652" s="50"/>
      <c r="AA652" s="50"/>
      <c r="AB652" s="50"/>
      <c r="AC652" s="50"/>
      <c r="AD652" s="50"/>
      <c r="AE652" s="50"/>
      <c r="AF652" s="34"/>
      <c r="AG652" s="34"/>
      <c r="AH652" s="34"/>
      <c r="AI652" s="34"/>
      <c r="AJ652" s="34"/>
      <c r="AK652" s="34"/>
      <c r="AL652" s="34"/>
      <c r="AM652" s="34"/>
      <c r="AN652" s="34"/>
      <c r="AO652" s="65"/>
      <c r="AP652" s="69"/>
      <c r="AQ652" s="62"/>
      <c r="AR652" s="34"/>
    </row>
    <row r="653" spans="1:44" customFormat="1">
      <c r="A653" s="39">
        <v>44155</v>
      </c>
      <c r="B653" s="11" t="s">
        <v>22</v>
      </c>
      <c r="C653" s="16" t="s">
        <v>2736</v>
      </c>
      <c r="D653" s="16"/>
      <c r="E653" s="38">
        <v>23581</v>
      </c>
      <c r="F653" s="38"/>
      <c r="G653" s="10"/>
      <c r="H653" s="12"/>
      <c r="I653" s="13"/>
      <c r="J653" s="15" t="s">
        <v>2737</v>
      </c>
      <c r="K653" s="12"/>
      <c r="L653" s="11"/>
      <c r="M653" s="15"/>
      <c r="N653" s="17">
        <v>2750</v>
      </c>
      <c r="O653" s="17"/>
      <c r="P653" s="17"/>
      <c r="Q653" s="48"/>
      <c r="R653" s="11"/>
      <c r="S653" s="48"/>
      <c r="T653" s="85"/>
      <c r="U653" s="88"/>
      <c r="V653" s="32" t="s">
        <v>1744</v>
      </c>
      <c r="W653" s="25"/>
      <c r="X653" s="11"/>
      <c r="Y653" s="50"/>
      <c r="Z653" s="50"/>
      <c r="AA653" s="50"/>
      <c r="AB653" s="50"/>
      <c r="AC653" s="50"/>
      <c r="AD653" s="50"/>
      <c r="AE653" s="50"/>
      <c r="AF653" s="34"/>
      <c r="AG653" s="34"/>
      <c r="AH653" s="34"/>
      <c r="AI653" s="34"/>
      <c r="AJ653" s="34"/>
      <c r="AK653" s="34"/>
      <c r="AL653" s="34"/>
      <c r="AM653" s="34"/>
      <c r="AN653" s="34"/>
      <c r="AO653" s="65"/>
      <c r="AP653" s="69"/>
      <c r="AQ653" s="62"/>
      <c r="AR653" s="34"/>
    </row>
    <row r="654" spans="1:44" customFormat="1">
      <c r="A654" s="39">
        <v>44155</v>
      </c>
      <c r="B654" s="11" t="s">
        <v>22</v>
      </c>
      <c r="C654" s="16" t="s">
        <v>2738</v>
      </c>
      <c r="D654" s="16"/>
      <c r="E654" s="38">
        <v>36158</v>
      </c>
      <c r="F654" s="38"/>
      <c r="G654" s="10" t="s">
        <v>2740</v>
      </c>
      <c r="H654" s="12" t="s">
        <v>2741</v>
      </c>
      <c r="I654" s="13" t="s">
        <v>2596</v>
      </c>
      <c r="J654" s="15" t="s">
        <v>2739</v>
      </c>
      <c r="K654" s="12"/>
      <c r="L654" s="11" t="s">
        <v>38</v>
      </c>
      <c r="M654" s="15"/>
      <c r="N654" s="17">
        <v>2750</v>
      </c>
      <c r="O654" s="17"/>
      <c r="P654" s="17"/>
      <c r="Q654" s="48"/>
      <c r="R654" s="11"/>
      <c r="S654" s="48"/>
      <c r="T654" s="85"/>
      <c r="U654" s="88"/>
      <c r="V654" s="32" t="s">
        <v>2742</v>
      </c>
      <c r="W654" s="25" t="s">
        <v>8</v>
      </c>
      <c r="X654" s="11"/>
      <c r="Y654" s="50" t="s">
        <v>17</v>
      </c>
      <c r="Z654" s="50"/>
      <c r="AA654" s="50"/>
      <c r="AB654" s="50"/>
      <c r="AC654" s="50"/>
      <c r="AD654" s="50"/>
      <c r="AE654" s="50"/>
      <c r="AF654" s="34"/>
      <c r="AG654" s="34"/>
      <c r="AH654" s="34"/>
      <c r="AI654" s="34"/>
      <c r="AJ654" s="34"/>
      <c r="AK654" s="34"/>
      <c r="AL654" s="34"/>
      <c r="AM654" s="34"/>
      <c r="AN654" s="34"/>
      <c r="AO654" s="65"/>
      <c r="AP654" s="69"/>
      <c r="AQ654" s="62"/>
      <c r="AR654" s="34"/>
    </row>
    <row r="655" spans="1:44" customFormat="1">
      <c r="A655" s="39">
        <v>44156</v>
      </c>
      <c r="B655" s="11" t="s">
        <v>22</v>
      </c>
      <c r="C655" s="16" t="s">
        <v>2743</v>
      </c>
      <c r="D655" s="16"/>
      <c r="E655" s="38">
        <v>35379</v>
      </c>
      <c r="F655" s="38"/>
      <c r="G655" s="10" t="s">
        <v>2744</v>
      </c>
      <c r="H655" s="12" t="s">
        <v>2745</v>
      </c>
      <c r="I655" s="13" t="s">
        <v>2746</v>
      </c>
      <c r="J655" s="15" t="s">
        <v>2747</v>
      </c>
      <c r="K655" s="12"/>
      <c r="L655" s="11" t="s">
        <v>36</v>
      </c>
      <c r="M655" s="15"/>
      <c r="N655" s="17">
        <v>2750</v>
      </c>
      <c r="O655" s="17"/>
      <c r="P655" s="17"/>
      <c r="Q655" s="48"/>
      <c r="R655" s="11"/>
      <c r="S655" s="48"/>
      <c r="T655" s="85"/>
      <c r="U655" s="88"/>
      <c r="V655" s="32" t="s">
        <v>2748</v>
      </c>
      <c r="W655" s="25" t="s">
        <v>8</v>
      </c>
      <c r="X655" s="11"/>
      <c r="Y655" s="50" t="s">
        <v>12</v>
      </c>
      <c r="Z655" s="50"/>
      <c r="AA655" s="50"/>
      <c r="AB655" s="50"/>
      <c r="AC655" s="50"/>
      <c r="AD655" s="50"/>
      <c r="AE655" s="50"/>
      <c r="AF655" s="34"/>
      <c r="AG655" s="34"/>
      <c r="AH655" s="34"/>
      <c r="AI655" s="34"/>
      <c r="AJ655" s="34"/>
      <c r="AK655" s="34"/>
      <c r="AL655" s="34"/>
      <c r="AM655" s="34"/>
      <c r="AN655" s="34"/>
      <c r="AO655" s="65"/>
      <c r="AP655" s="69"/>
      <c r="AQ655" s="62"/>
      <c r="AR655" s="34"/>
    </row>
    <row r="656" spans="1:44" customFormat="1">
      <c r="A656" s="39">
        <v>44158</v>
      </c>
      <c r="B656" s="11" t="s">
        <v>49</v>
      </c>
      <c r="C656" s="16" t="s">
        <v>2749</v>
      </c>
      <c r="D656" s="16"/>
      <c r="E656" s="38">
        <v>18855</v>
      </c>
      <c r="F656" s="38"/>
      <c r="G656" s="10" t="s">
        <v>2751</v>
      </c>
      <c r="H656" s="12" t="s">
        <v>2752</v>
      </c>
      <c r="I656" s="13" t="s">
        <v>2753</v>
      </c>
      <c r="J656" s="15" t="s">
        <v>2754</v>
      </c>
      <c r="K656" s="12"/>
      <c r="L656" s="11" t="s">
        <v>33</v>
      </c>
      <c r="M656" s="15"/>
      <c r="N656" s="17">
        <v>14850</v>
      </c>
      <c r="O656" s="17"/>
      <c r="P656" s="17"/>
      <c r="Q656" s="48"/>
      <c r="R656" s="11"/>
      <c r="S656" s="48"/>
      <c r="T656" s="85"/>
      <c r="U656" s="88"/>
      <c r="V656" s="32" t="s">
        <v>2759</v>
      </c>
      <c r="W656" s="25" t="s">
        <v>8</v>
      </c>
      <c r="X656" s="11"/>
      <c r="Y656" s="50" t="s">
        <v>14</v>
      </c>
      <c r="Z656" s="50"/>
      <c r="AA656" s="50"/>
      <c r="AB656" s="50"/>
      <c r="AC656" s="50"/>
      <c r="AD656" s="50"/>
      <c r="AE656" s="50"/>
      <c r="AF656" s="34"/>
      <c r="AG656" s="34"/>
      <c r="AH656" s="34"/>
      <c r="AI656" s="34"/>
      <c r="AJ656" s="34"/>
      <c r="AK656" s="34"/>
      <c r="AL656" s="34"/>
      <c r="AM656" s="34"/>
      <c r="AN656" s="34"/>
      <c r="AO656" s="65"/>
      <c r="AP656" s="69"/>
      <c r="AQ656" s="62"/>
      <c r="AR656" s="34"/>
    </row>
    <row r="657" spans="1:44" customFormat="1">
      <c r="A657" s="39">
        <v>44158</v>
      </c>
      <c r="B657" s="11" t="s">
        <v>49</v>
      </c>
      <c r="C657" s="16" t="s">
        <v>2750</v>
      </c>
      <c r="D657" s="16"/>
      <c r="E657" s="38">
        <v>18194</v>
      </c>
      <c r="F657" s="38"/>
      <c r="G657" s="10" t="s">
        <v>2757</v>
      </c>
      <c r="H657" s="12" t="s">
        <v>2755</v>
      </c>
      <c r="I657" s="13" t="s">
        <v>2756</v>
      </c>
      <c r="J657" s="15" t="s">
        <v>2758</v>
      </c>
      <c r="K657" s="12"/>
      <c r="L657" s="11" t="s">
        <v>33</v>
      </c>
      <c r="M657" s="15"/>
      <c r="N657" s="17">
        <v>14850</v>
      </c>
      <c r="O657" s="17"/>
      <c r="P657" s="17"/>
      <c r="Q657" s="48"/>
      <c r="R657" s="11"/>
      <c r="S657" s="48"/>
      <c r="T657" s="85"/>
      <c r="U657" s="88"/>
      <c r="V657" s="32" t="s">
        <v>2760</v>
      </c>
      <c r="W657" s="25"/>
      <c r="X657" s="11"/>
      <c r="Y657" s="50"/>
      <c r="Z657" s="50"/>
      <c r="AA657" s="50"/>
      <c r="AB657" s="50"/>
      <c r="AC657" s="50"/>
      <c r="AD657" s="50"/>
      <c r="AE657" s="50"/>
      <c r="AF657" s="34"/>
      <c r="AG657" s="34"/>
      <c r="AH657" s="34"/>
      <c r="AI657" s="34"/>
      <c r="AJ657" s="34"/>
      <c r="AK657" s="34"/>
      <c r="AL657" s="34"/>
      <c r="AM657" s="34"/>
      <c r="AN657" s="34"/>
      <c r="AO657" s="65"/>
      <c r="AP657" s="69"/>
      <c r="AQ657" s="62"/>
      <c r="AR657" s="34"/>
    </row>
    <row r="658" spans="1:44" customFormat="1">
      <c r="A658" s="39">
        <v>44158</v>
      </c>
      <c r="B658" s="11" t="s">
        <v>22</v>
      </c>
      <c r="C658" s="16" t="s">
        <v>2761</v>
      </c>
      <c r="D658" s="16"/>
      <c r="E658" s="38">
        <v>26121</v>
      </c>
      <c r="F658" s="38"/>
      <c r="G658" s="10" t="s">
        <v>2560</v>
      </c>
      <c r="H658" s="12" t="s">
        <v>2762</v>
      </c>
      <c r="I658" s="13" t="s">
        <v>2163</v>
      </c>
      <c r="J658" s="15" t="s">
        <v>2763</v>
      </c>
      <c r="K658" s="12"/>
      <c r="L658" s="11" t="s">
        <v>36</v>
      </c>
      <c r="M658" s="15"/>
      <c r="N658" s="17">
        <v>2750</v>
      </c>
      <c r="O658" s="17"/>
      <c r="P658" s="17"/>
      <c r="Q658" s="48"/>
      <c r="R658" s="11"/>
      <c r="S658" s="48"/>
      <c r="T658" s="85"/>
      <c r="U658" s="88"/>
      <c r="V658" s="32" t="s">
        <v>1744</v>
      </c>
      <c r="W658" s="25" t="s">
        <v>10</v>
      </c>
      <c r="X658" s="11"/>
      <c r="Y658" s="50" t="s">
        <v>14</v>
      </c>
      <c r="Z658" s="50"/>
      <c r="AA658" s="50"/>
      <c r="AB658" s="50"/>
      <c r="AC658" s="50"/>
      <c r="AD658" s="50"/>
      <c r="AE658" s="50"/>
      <c r="AF658" s="34"/>
      <c r="AG658" s="34"/>
      <c r="AH658" s="34"/>
      <c r="AI658" s="34"/>
      <c r="AJ658" s="34"/>
      <c r="AK658" s="34"/>
      <c r="AL658" s="34"/>
      <c r="AM658" s="34"/>
      <c r="AN658" s="34"/>
      <c r="AO658" s="65"/>
      <c r="AP658" s="69"/>
      <c r="AQ658" s="62"/>
      <c r="AR658" s="34"/>
    </row>
    <row r="659" spans="1:44" customFormat="1">
      <c r="A659" s="39">
        <v>44158</v>
      </c>
      <c r="B659" s="11" t="s">
        <v>22</v>
      </c>
      <c r="C659" s="16" t="s">
        <v>2764</v>
      </c>
      <c r="D659" s="16"/>
      <c r="E659" s="38">
        <v>25868</v>
      </c>
      <c r="F659" s="38"/>
      <c r="G659" s="10" t="s">
        <v>2765</v>
      </c>
      <c r="H659" s="12" t="s">
        <v>2766</v>
      </c>
      <c r="I659" s="13" t="s">
        <v>2767</v>
      </c>
      <c r="J659" s="15" t="s">
        <v>2768</v>
      </c>
      <c r="K659" s="12"/>
      <c r="L659" s="11" t="s">
        <v>36</v>
      </c>
      <c r="M659" s="15"/>
      <c r="N659" s="17">
        <v>2750</v>
      </c>
      <c r="O659" s="17"/>
      <c r="P659" s="17"/>
      <c r="Q659" s="48"/>
      <c r="R659" s="11"/>
      <c r="S659" s="48"/>
      <c r="T659" s="85"/>
      <c r="U659" s="88"/>
      <c r="V659" s="32" t="s">
        <v>1744</v>
      </c>
      <c r="W659" s="25" t="s">
        <v>8</v>
      </c>
      <c r="X659" s="11"/>
      <c r="Y659" s="50" t="s">
        <v>12</v>
      </c>
      <c r="Z659" s="50"/>
      <c r="AA659" s="50"/>
      <c r="AB659" s="50"/>
      <c r="AC659" s="50"/>
      <c r="AD659" s="50"/>
      <c r="AE659" s="50"/>
      <c r="AF659" s="34"/>
      <c r="AG659" s="34"/>
      <c r="AH659" s="34"/>
      <c r="AI659" s="34"/>
      <c r="AJ659" s="34"/>
      <c r="AK659" s="34"/>
      <c r="AL659" s="34"/>
      <c r="AM659" s="34"/>
      <c r="AN659" s="34"/>
      <c r="AO659" s="65"/>
      <c r="AP659" s="69"/>
      <c r="AQ659" s="62"/>
      <c r="AR659" s="34"/>
    </row>
    <row r="660" spans="1:44" customFormat="1">
      <c r="A660" s="39">
        <v>44158</v>
      </c>
      <c r="B660" s="11" t="s">
        <v>22</v>
      </c>
      <c r="C660" s="16" t="s">
        <v>2769</v>
      </c>
      <c r="D660" s="16"/>
      <c r="E660" s="38">
        <v>35853</v>
      </c>
      <c r="F660" s="38"/>
      <c r="G660" s="10" t="s">
        <v>2770</v>
      </c>
      <c r="H660" s="12" t="s">
        <v>2771</v>
      </c>
      <c r="I660" s="13" t="s">
        <v>2772</v>
      </c>
      <c r="J660" s="15" t="s">
        <v>2773</v>
      </c>
      <c r="K660" s="12"/>
      <c r="L660" s="11" t="s">
        <v>36</v>
      </c>
      <c r="M660" s="15"/>
      <c r="N660" s="17">
        <v>2750</v>
      </c>
      <c r="O660" s="17"/>
      <c r="P660" s="17"/>
      <c r="Q660" s="48"/>
      <c r="R660" s="11"/>
      <c r="S660" s="48"/>
      <c r="T660" s="85"/>
      <c r="U660" s="88"/>
      <c r="V660" s="32" t="s">
        <v>1744</v>
      </c>
      <c r="W660" s="25" t="s">
        <v>8</v>
      </c>
      <c r="X660" s="11"/>
      <c r="Y660" s="50"/>
      <c r="Z660" s="50"/>
      <c r="AA660" s="50"/>
      <c r="AB660" s="50"/>
      <c r="AC660" s="50"/>
      <c r="AD660" s="50"/>
      <c r="AE660" s="50"/>
      <c r="AF660" s="34"/>
      <c r="AG660" s="34"/>
      <c r="AH660" s="34"/>
      <c r="AI660" s="34"/>
      <c r="AJ660" s="34"/>
      <c r="AK660" s="34"/>
      <c r="AL660" s="34"/>
      <c r="AM660" s="34"/>
      <c r="AN660" s="34"/>
      <c r="AO660" s="65"/>
      <c r="AP660" s="69"/>
      <c r="AQ660" s="62"/>
      <c r="AR660" s="34"/>
    </row>
    <row r="661" spans="1:44" customFormat="1">
      <c r="A661" s="39">
        <v>44160</v>
      </c>
      <c r="B661" s="11" t="s">
        <v>22</v>
      </c>
      <c r="C661" s="16" t="s">
        <v>2774</v>
      </c>
      <c r="D661" s="16"/>
      <c r="E661" s="38">
        <v>29935</v>
      </c>
      <c r="F661" s="38"/>
      <c r="G661" s="10" t="s">
        <v>2775</v>
      </c>
      <c r="H661" s="12" t="s">
        <v>2776</v>
      </c>
      <c r="I661" s="13" t="s">
        <v>2592</v>
      </c>
      <c r="J661" s="15" t="s">
        <v>2777</v>
      </c>
      <c r="K661" s="12"/>
      <c r="L661" s="11" t="s">
        <v>36</v>
      </c>
      <c r="M661" s="15"/>
      <c r="N661" s="17">
        <v>2750</v>
      </c>
      <c r="O661" s="17"/>
      <c r="P661" s="17"/>
      <c r="Q661" s="48"/>
      <c r="R661" s="11"/>
      <c r="S661" s="48"/>
      <c r="T661" s="85"/>
      <c r="U661" s="88"/>
      <c r="V661" s="32" t="s">
        <v>2712</v>
      </c>
      <c r="W661" s="25" t="s">
        <v>10</v>
      </c>
      <c r="X661" s="11"/>
      <c r="Y661" s="50" t="s">
        <v>18</v>
      </c>
      <c r="Z661" s="50"/>
      <c r="AA661" s="50"/>
      <c r="AB661" s="50"/>
      <c r="AC661" s="50"/>
      <c r="AD661" s="50"/>
      <c r="AE661" s="50"/>
      <c r="AF661" s="34"/>
      <c r="AG661" s="34"/>
      <c r="AH661" s="34"/>
      <c r="AI661" s="34"/>
      <c r="AJ661" s="34"/>
      <c r="AK661" s="34"/>
      <c r="AL661" s="34"/>
      <c r="AM661" s="34"/>
      <c r="AN661" s="34"/>
      <c r="AO661" s="65"/>
      <c r="AP661" s="69"/>
      <c r="AQ661" s="62"/>
      <c r="AR661" s="34"/>
    </row>
    <row r="662" spans="1:44" customFormat="1">
      <c r="A662" s="39">
        <v>44160</v>
      </c>
      <c r="B662" s="11" t="s">
        <v>49</v>
      </c>
      <c r="C662" s="16" t="s">
        <v>2778</v>
      </c>
      <c r="D662" s="16"/>
      <c r="E662" s="38">
        <v>31182</v>
      </c>
      <c r="F662" s="38"/>
      <c r="G662" s="10" t="s">
        <v>2780</v>
      </c>
      <c r="H662" s="12" t="s">
        <v>2781</v>
      </c>
      <c r="I662" s="13" t="s">
        <v>2784</v>
      </c>
      <c r="J662" s="15" t="s">
        <v>2786</v>
      </c>
      <c r="K662" s="12"/>
      <c r="L662" s="11" t="s">
        <v>33</v>
      </c>
      <c r="M662" s="15"/>
      <c r="N662" s="17">
        <v>22000</v>
      </c>
      <c r="O662" s="17"/>
      <c r="P662" s="17"/>
      <c r="Q662" s="48"/>
      <c r="R662" s="11"/>
      <c r="S662" s="48"/>
      <c r="T662" s="85"/>
      <c r="U662" s="88"/>
      <c r="V662" s="32"/>
      <c r="W662" s="25" t="s">
        <v>8</v>
      </c>
      <c r="X662" s="11"/>
      <c r="Y662" s="50" t="s">
        <v>13</v>
      </c>
      <c r="Z662" s="50"/>
      <c r="AA662" s="50"/>
      <c r="AB662" s="50"/>
      <c r="AC662" s="50"/>
      <c r="AD662" s="50"/>
      <c r="AE662" s="50"/>
      <c r="AF662" s="34"/>
      <c r="AG662" s="34"/>
      <c r="AH662" s="34"/>
      <c r="AI662" s="34"/>
      <c r="AJ662" s="34"/>
      <c r="AK662" s="34"/>
      <c r="AL662" s="34"/>
      <c r="AM662" s="34"/>
      <c r="AN662" s="34"/>
      <c r="AO662" s="65"/>
      <c r="AP662" s="69"/>
      <c r="AQ662" s="62"/>
      <c r="AR662" s="34"/>
    </row>
    <row r="663" spans="1:44" customFormat="1">
      <c r="A663" s="39">
        <v>44160</v>
      </c>
      <c r="B663" s="11" t="s">
        <v>49</v>
      </c>
      <c r="C663" s="16" t="s">
        <v>2779</v>
      </c>
      <c r="D663" s="16"/>
      <c r="E663" s="38">
        <v>31230</v>
      </c>
      <c r="F663" s="38"/>
      <c r="G663" s="10" t="s">
        <v>2782</v>
      </c>
      <c r="H663" s="12" t="s">
        <v>2783</v>
      </c>
      <c r="I663" s="13" t="s">
        <v>2785</v>
      </c>
      <c r="J663" s="15" t="s">
        <v>2787</v>
      </c>
      <c r="K663" s="12"/>
      <c r="L663" s="11" t="s">
        <v>36</v>
      </c>
      <c r="M663" s="15"/>
      <c r="N663" s="17">
        <v>22000</v>
      </c>
      <c r="O663" s="17"/>
      <c r="P663" s="17"/>
      <c r="Q663" s="48"/>
      <c r="R663" s="11"/>
      <c r="S663" s="48"/>
      <c r="T663" s="85"/>
      <c r="U663" s="88"/>
      <c r="V663" s="32"/>
      <c r="W663" s="25" t="s">
        <v>8</v>
      </c>
      <c r="X663" s="11"/>
      <c r="Y663" s="50" t="s">
        <v>12</v>
      </c>
      <c r="Z663" s="50"/>
      <c r="AA663" s="50"/>
      <c r="AB663" s="50"/>
      <c r="AC663" s="50"/>
      <c r="AD663" s="50"/>
      <c r="AE663" s="50"/>
      <c r="AF663" s="34"/>
      <c r="AG663" s="34"/>
      <c r="AH663" s="34"/>
      <c r="AI663" s="34"/>
      <c r="AJ663" s="34"/>
      <c r="AK663" s="34"/>
      <c r="AL663" s="34"/>
      <c r="AM663" s="34"/>
      <c r="AN663" s="34"/>
      <c r="AO663" s="65"/>
      <c r="AP663" s="69"/>
      <c r="AQ663" s="62"/>
      <c r="AR663" s="34"/>
    </row>
    <row r="664" spans="1:44" customFormat="1">
      <c r="A664" s="39">
        <v>44161</v>
      </c>
      <c r="B664" s="11" t="s">
        <v>22</v>
      </c>
      <c r="C664" s="16" t="s">
        <v>2788</v>
      </c>
      <c r="D664" s="16"/>
      <c r="E664" s="38">
        <v>25845</v>
      </c>
      <c r="F664" s="38"/>
      <c r="G664" s="10" t="s">
        <v>2789</v>
      </c>
      <c r="H664" s="12" t="s">
        <v>2790</v>
      </c>
      <c r="I664" s="13" t="s">
        <v>2566</v>
      </c>
      <c r="J664" s="15" t="s">
        <v>2791</v>
      </c>
      <c r="K664" s="14" t="s">
        <v>2792</v>
      </c>
      <c r="L664" s="11"/>
      <c r="M664" s="15"/>
      <c r="N664" s="17">
        <v>2750</v>
      </c>
      <c r="O664" s="17"/>
      <c r="P664" s="17"/>
      <c r="Q664" s="48"/>
      <c r="R664" s="11"/>
      <c r="S664" s="48"/>
      <c r="T664" s="85"/>
      <c r="U664" s="88"/>
      <c r="V664" s="32" t="s">
        <v>1744</v>
      </c>
      <c r="W664" s="25" t="s">
        <v>48</v>
      </c>
      <c r="X664" s="11"/>
      <c r="Y664" s="50" t="s">
        <v>11</v>
      </c>
      <c r="Z664" s="50"/>
      <c r="AA664" s="50"/>
      <c r="AB664" s="50"/>
      <c r="AC664" s="50"/>
      <c r="AD664" s="50"/>
      <c r="AE664" s="50"/>
      <c r="AF664" s="34"/>
      <c r="AG664" s="34"/>
      <c r="AH664" s="34"/>
      <c r="AI664" s="34"/>
      <c r="AJ664" s="34"/>
      <c r="AK664" s="34"/>
      <c r="AL664" s="34"/>
      <c r="AM664" s="34"/>
      <c r="AN664" s="34"/>
      <c r="AO664" s="65"/>
      <c r="AP664" s="69"/>
      <c r="AQ664" s="62"/>
      <c r="AR664" s="34"/>
    </row>
    <row r="665" spans="1:44" customFormat="1">
      <c r="A665" s="39">
        <v>44161</v>
      </c>
      <c r="B665" s="11" t="s">
        <v>22</v>
      </c>
      <c r="C665" s="16" t="s">
        <v>2793</v>
      </c>
      <c r="D665" s="16"/>
      <c r="E665" s="38">
        <v>28486</v>
      </c>
      <c r="F665" s="38"/>
      <c r="G665" s="10" t="s">
        <v>2794</v>
      </c>
      <c r="H665" s="12" t="s">
        <v>2795</v>
      </c>
      <c r="I665" s="13" t="s">
        <v>2142</v>
      </c>
      <c r="J665" s="15" t="s">
        <v>2797</v>
      </c>
      <c r="K665" s="14" t="s">
        <v>2796</v>
      </c>
      <c r="L665" s="11" t="s">
        <v>33</v>
      </c>
      <c r="M665" s="15"/>
      <c r="N665" s="17">
        <v>2750</v>
      </c>
      <c r="O665" s="17"/>
      <c r="P665" s="17"/>
      <c r="Q665" s="48"/>
      <c r="R665" s="11"/>
      <c r="S665" s="48"/>
      <c r="T665" s="85"/>
      <c r="U665" s="88"/>
      <c r="V665" s="32" t="s">
        <v>1744</v>
      </c>
      <c r="W665" s="25" t="s">
        <v>48</v>
      </c>
      <c r="X665" s="11"/>
      <c r="Y665" s="50" t="s">
        <v>11</v>
      </c>
      <c r="Z665" s="50"/>
      <c r="AA665" s="50"/>
      <c r="AB665" s="50"/>
      <c r="AC665" s="50"/>
      <c r="AD665" s="50"/>
      <c r="AE665" s="50"/>
      <c r="AF665" s="34"/>
      <c r="AG665" s="34"/>
      <c r="AH665" s="34"/>
      <c r="AI665" s="34"/>
      <c r="AJ665" s="34"/>
      <c r="AK665" s="34"/>
      <c r="AL665" s="34"/>
      <c r="AM665" s="34"/>
      <c r="AN665" s="34"/>
      <c r="AO665" s="65"/>
      <c r="AP665" s="69"/>
      <c r="AQ665" s="62"/>
      <c r="AR665" s="34"/>
    </row>
    <row r="666" spans="1:44" customFormat="1">
      <c r="A666" s="39">
        <v>44162</v>
      </c>
      <c r="B666" s="11" t="s">
        <v>49</v>
      </c>
      <c r="C666" s="16" t="s">
        <v>2798</v>
      </c>
      <c r="D666" s="16"/>
      <c r="E666" s="38">
        <v>36911</v>
      </c>
      <c r="F666" s="38"/>
      <c r="G666" s="10" t="s">
        <v>2799</v>
      </c>
      <c r="H666" s="12" t="s">
        <v>2800</v>
      </c>
      <c r="I666" s="13" t="s">
        <v>2801</v>
      </c>
      <c r="J666" s="15" t="s">
        <v>2802</v>
      </c>
      <c r="K666" s="12"/>
      <c r="L666" s="11" t="s">
        <v>38</v>
      </c>
      <c r="M666" s="15"/>
      <c r="N666" s="17">
        <v>16500</v>
      </c>
      <c r="O666" s="17"/>
      <c r="P666" s="17"/>
      <c r="Q666" s="48"/>
      <c r="R666" s="11"/>
      <c r="S666" s="48"/>
      <c r="T666" s="85"/>
      <c r="U666" s="88"/>
      <c r="V666" s="32"/>
      <c r="W666" s="25" t="s">
        <v>8</v>
      </c>
      <c r="X666" s="11"/>
      <c r="Y666" s="50" t="s">
        <v>14</v>
      </c>
      <c r="Z666" s="50"/>
      <c r="AA666" s="50"/>
      <c r="AB666" s="50"/>
      <c r="AC666" s="50"/>
      <c r="AD666" s="50"/>
      <c r="AE666" s="50"/>
      <c r="AF666" s="34"/>
      <c r="AG666" s="34"/>
      <c r="AH666" s="34"/>
      <c r="AI666" s="34"/>
      <c r="AJ666" s="34"/>
      <c r="AK666" s="34"/>
      <c r="AL666" s="34"/>
      <c r="AM666" s="34"/>
      <c r="AN666" s="34"/>
      <c r="AO666" s="65"/>
      <c r="AP666" s="69"/>
      <c r="AQ666" s="62"/>
      <c r="AR666" s="34"/>
    </row>
    <row r="667" spans="1:44" customFormat="1">
      <c r="A667" s="39">
        <v>44162</v>
      </c>
      <c r="B667" s="11" t="s">
        <v>49</v>
      </c>
      <c r="C667" s="16" t="s">
        <v>2803</v>
      </c>
      <c r="D667" s="16"/>
      <c r="E667" s="38">
        <v>36306</v>
      </c>
      <c r="F667" s="38"/>
      <c r="G667" s="10" t="s">
        <v>358</v>
      </c>
      <c r="H667" s="12" t="s">
        <v>2804</v>
      </c>
      <c r="I667" s="13" t="s">
        <v>2805</v>
      </c>
      <c r="J667" s="15" t="s">
        <v>2806</v>
      </c>
      <c r="K667" s="12"/>
      <c r="L667" s="11" t="s">
        <v>38</v>
      </c>
      <c r="M667" s="15"/>
      <c r="N667" s="17">
        <v>16500</v>
      </c>
      <c r="O667" s="17"/>
      <c r="P667" s="17"/>
      <c r="Q667" s="48"/>
      <c r="R667" s="11"/>
      <c r="S667" s="48"/>
      <c r="T667" s="85"/>
      <c r="U667" s="88"/>
      <c r="V667" s="32"/>
      <c r="W667" s="25" t="s">
        <v>8</v>
      </c>
      <c r="X667" s="11"/>
      <c r="Y667" s="50" t="s">
        <v>13</v>
      </c>
      <c r="Z667" s="50"/>
      <c r="AA667" s="50"/>
      <c r="AB667" s="50"/>
      <c r="AC667" s="50"/>
      <c r="AD667" s="50"/>
      <c r="AE667" s="50"/>
      <c r="AF667" s="34"/>
      <c r="AG667" s="34"/>
      <c r="AH667" s="34"/>
      <c r="AI667" s="34"/>
      <c r="AJ667" s="34"/>
      <c r="AK667" s="34"/>
      <c r="AL667" s="34"/>
      <c r="AM667" s="34"/>
      <c r="AN667" s="34"/>
      <c r="AO667" s="65"/>
      <c r="AP667" s="69"/>
      <c r="AQ667" s="62"/>
      <c r="AR667" s="34"/>
    </row>
    <row r="668" spans="1:44" customFormat="1">
      <c r="A668" s="39">
        <v>44163</v>
      </c>
      <c r="B668" s="11" t="s">
        <v>2170</v>
      </c>
      <c r="C668" s="16" t="s">
        <v>1836</v>
      </c>
      <c r="D668" s="16"/>
      <c r="E668" s="38"/>
      <c r="F668" s="38"/>
      <c r="G668" s="10"/>
      <c r="H668" s="12"/>
      <c r="I668" s="13"/>
      <c r="J668" s="15"/>
      <c r="K668" s="12"/>
      <c r="L668" s="11"/>
      <c r="M668" s="15"/>
      <c r="N668" s="17">
        <v>5500</v>
      </c>
      <c r="O668" s="17"/>
      <c r="P668" s="17"/>
      <c r="Q668" s="48"/>
      <c r="R668" s="11"/>
      <c r="S668" s="48"/>
      <c r="T668" s="85"/>
      <c r="U668" s="88"/>
      <c r="V668" s="32" t="s">
        <v>915</v>
      </c>
      <c r="W668" s="25"/>
      <c r="X668" s="11"/>
      <c r="Y668" s="50"/>
      <c r="Z668" s="50"/>
      <c r="AA668" s="50"/>
      <c r="AB668" s="50"/>
      <c r="AC668" s="50"/>
      <c r="AD668" s="50"/>
      <c r="AE668" s="50"/>
      <c r="AF668" s="34"/>
      <c r="AG668" s="34"/>
      <c r="AH668" s="34"/>
      <c r="AI668" s="34"/>
      <c r="AJ668" s="34"/>
      <c r="AK668" s="34"/>
      <c r="AL668" s="34"/>
      <c r="AM668" s="34"/>
      <c r="AN668" s="34"/>
      <c r="AO668" s="65"/>
      <c r="AP668" s="69"/>
      <c r="AQ668" s="62"/>
      <c r="AR668" s="34"/>
    </row>
    <row r="669" spans="1:44" customFormat="1">
      <c r="A669" s="39">
        <v>44164</v>
      </c>
      <c r="B669" s="11" t="s">
        <v>49</v>
      </c>
      <c r="C669" s="16" t="s">
        <v>2807</v>
      </c>
      <c r="D669" s="16"/>
      <c r="E669" s="38">
        <v>24380</v>
      </c>
      <c r="F669" s="38"/>
      <c r="G669" s="11" t="s">
        <v>2808</v>
      </c>
      <c r="H669" s="12" t="s">
        <v>2809</v>
      </c>
      <c r="I669" s="13" t="s">
        <v>2810</v>
      </c>
      <c r="J669" s="15" t="s">
        <v>2811</v>
      </c>
      <c r="K669" s="12"/>
      <c r="L669" s="11" t="s">
        <v>33</v>
      </c>
      <c r="M669" s="15"/>
      <c r="N669" s="17">
        <v>16500</v>
      </c>
      <c r="O669" s="17"/>
      <c r="P669" s="17"/>
      <c r="Q669" s="48"/>
      <c r="R669" s="11"/>
      <c r="S669" s="48"/>
      <c r="T669" s="85"/>
      <c r="U669" s="88"/>
      <c r="V669" s="32"/>
      <c r="W669" s="25" t="s">
        <v>48</v>
      </c>
      <c r="X669" s="11"/>
      <c r="Y669" s="50" t="s">
        <v>13</v>
      </c>
      <c r="Z669" s="50"/>
      <c r="AA669" s="50"/>
      <c r="AB669" s="50"/>
      <c r="AC669" s="50"/>
      <c r="AD669" s="50"/>
      <c r="AE669" s="50"/>
      <c r="AF669" s="34"/>
      <c r="AG669" s="34"/>
      <c r="AH669" s="34"/>
      <c r="AI669" s="34"/>
      <c r="AJ669" s="34"/>
      <c r="AK669" s="34"/>
      <c r="AL669" s="34"/>
      <c r="AM669" s="34"/>
      <c r="AN669" s="34"/>
      <c r="AO669" s="65"/>
      <c r="AP669" s="69"/>
      <c r="AQ669" s="62"/>
      <c r="AR669" s="34"/>
    </row>
    <row r="670" spans="1:44" customFormat="1">
      <c r="A670" s="39">
        <v>44164</v>
      </c>
      <c r="B670" s="11" t="s">
        <v>22</v>
      </c>
      <c r="C670" s="16" t="s">
        <v>2812</v>
      </c>
      <c r="D670" s="16"/>
      <c r="E670" s="38">
        <v>40136</v>
      </c>
      <c r="F670" s="101"/>
      <c r="G670" s="102" t="s">
        <v>2794</v>
      </c>
      <c r="H670" s="12" t="s">
        <v>2795</v>
      </c>
      <c r="I670" s="13" t="s">
        <v>2142</v>
      </c>
      <c r="J670" s="15"/>
      <c r="K670" s="12"/>
      <c r="L670" s="11"/>
      <c r="M670" s="15"/>
      <c r="N670" s="17">
        <v>2750</v>
      </c>
      <c r="O670" s="17"/>
      <c r="P670" s="17"/>
      <c r="Q670" s="48"/>
      <c r="R670" s="11"/>
      <c r="S670" s="48"/>
      <c r="T670" s="85"/>
      <c r="U670" s="88"/>
      <c r="V670" s="32" t="s">
        <v>2813</v>
      </c>
      <c r="W670" s="25" t="s">
        <v>48</v>
      </c>
      <c r="X670" s="11"/>
      <c r="Y670" s="50" t="s">
        <v>11</v>
      </c>
      <c r="Z670" s="50"/>
      <c r="AA670" s="50"/>
      <c r="AB670" s="50"/>
      <c r="AC670" s="50"/>
      <c r="AD670" s="50"/>
      <c r="AE670" s="50"/>
      <c r="AF670" s="34"/>
      <c r="AG670" s="34"/>
      <c r="AH670" s="34"/>
      <c r="AI670" s="34"/>
      <c r="AJ670" s="34"/>
      <c r="AK670" s="34"/>
      <c r="AL670" s="34"/>
      <c r="AM670" s="34"/>
      <c r="AN670" s="34"/>
      <c r="AO670" s="65"/>
      <c r="AP670" s="69"/>
      <c r="AQ670" s="62"/>
      <c r="AR670" s="34"/>
    </row>
    <row r="671" spans="1:44" customFormat="1">
      <c r="A671" s="39">
        <v>44164</v>
      </c>
      <c r="B671" s="11" t="s">
        <v>22</v>
      </c>
      <c r="C671" s="16" t="s">
        <v>2814</v>
      </c>
      <c r="D671" s="16"/>
      <c r="E671" s="38">
        <v>25189</v>
      </c>
      <c r="F671" s="38"/>
      <c r="G671" s="10" t="s">
        <v>2816</v>
      </c>
      <c r="H671" s="12" t="s">
        <v>2817</v>
      </c>
      <c r="I671" s="13" t="s">
        <v>2818</v>
      </c>
      <c r="J671" s="15" t="s">
        <v>2819</v>
      </c>
      <c r="K671" s="12"/>
      <c r="L671" s="11" t="s">
        <v>33</v>
      </c>
      <c r="M671" s="15"/>
      <c r="N671" s="17">
        <v>2750</v>
      </c>
      <c r="O671" s="17"/>
      <c r="P671" s="17"/>
      <c r="Q671" s="48"/>
      <c r="R671" s="11"/>
      <c r="S671" s="48"/>
      <c r="T671" s="85"/>
      <c r="U671" s="88"/>
      <c r="V671" s="32" t="s">
        <v>1744</v>
      </c>
      <c r="W671" s="25" t="s">
        <v>8</v>
      </c>
      <c r="X671" s="11"/>
      <c r="Y671" s="50"/>
      <c r="Z671" s="50"/>
      <c r="AA671" s="50"/>
      <c r="AB671" s="50"/>
      <c r="AC671" s="50"/>
      <c r="AD671" s="50"/>
      <c r="AE671" s="50"/>
      <c r="AF671" s="34"/>
      <c r="AG671" s="34"/>
      <c r="AH671" s="34"/>
      <c r="AI671" s="34"/>
      <c r="AJ671" s="34"/>
      <c r="AK671" s="34"/>
      <c r="AL671" s="34"/>
      <c r="AM671" s="34"/>
      <c r="AN671" s="34"/>
      <c r="AO671" s="65"/>
      <c r="AP671" s="69"/>
      <c r="AQ671" s="62"/>
      <c r="AR671" s="34"/>
    </row>
    <row r="672" spans="1:44" customFormat="1">
      <c r="A672" s="39">
        <v>44164</v>
      </c>
      <c r="B672" s="11" t="s">
        <v>22</v>
      </c>
      <c r="C672" s="16" t="s">
        <v>2815</v>
      </c>
      <c r="D672" s="16"/>
      <c r="E672" s="38">
        <v>26684</v>
      </c>
      <c r="F672" s="38"/>
      <c r="G672" s="10" t="s">
        <v>2816</v>
      </c>
      <c r="H672" s="12" t="s">
        <v>2817</v>
      </c>
      <c r="I672" s="13" t="s">
        <v>2818</v>
      </c>
      <c r="J672" s="15" t="s">
        <v>2820</v>
      </c>
      <c r="K672" s="12"/>
      <c r="L672" s="11" t="s">
        <v>39</v>
      </c>
      <c r="M672" s="15"/>
      <c r="N672" s="17">
        <v>2750</v>
      </c>
      <c r="O672" s="17"/>
      <c r="P672" s="17"/>
      <c r="Q672" s="48"/>
      <c r="R672" s="11"/>
      <c r="S672" s="48"/>
      <c r="T672" s="85"/>
      <c r="U672" s="88"/>
      <c r="V672" s="32" t="s">
        <v>1744</v>
      </c>
      <c r="W672" s="25" t="s">
        <v>10</v>
      </c>
      <c r="X672" s="11"/>
      <c r="Y672" s="50" t="s">
        <v>15</v>
      </c>
      <c r="Z672" s="50"/>
      <c r="AA672" s="50"/>
      <c r="AB672" s="50"/>
      <c r="AC672" s="50"/>
      <c r="AD672" s="50"/>
      <c r="AE672" s="50"/>
      <c r="AF672" s="34"/>
      <c r="AG672" s="34"/>
      <c r="AH672" s="34"/>
      <c r="AI672" s="34"/>
      <c r="AJ672" s="34"/>
      <c r="AK672" s="34"/>
      <c r="AL672" s="34"/>
      <c r="AM672" s="34"/>
      <c r="AN672" s="34"/>
      <c r="AO672" s="65"/>
      <c r="AP672" s="69"/>
      <c r="AQ672" s="62"/>
      <c r="AR672" s="34"/>
    </row>
    <row r="673" spans="1:44" customFormat="1">
      <c r="A673" s="39">
        <v>44167</v>
      </c>
      <c r="B673" s="11" t="s">
        <v>49</v>
      </c>
      <c r="C673" s="16" t="s">
        <v>2821</v>
      </c>
      <c r="D673" s="16"/>
      <c r="E673" s="38">
        <v>38720</v>
      </c>
      <c r="F673" s="38"/>
      <c r="G673" s="10" t="s">
        <v>2824</v>
      </c>
      <c r="H673" s="12" t="s">
        <v>2825</v>
      </c>
      <c r="I673" s="13" t="s">
        <v>2826</v>
      </c>
      <c r="J673" s="15" t="s">
        <v>2827</v>
      </c>
      <c r="K673" s="12"/>
      <c r="L673" s="11" t="s">
        <v>38</v>
      </c>
      <c r="M673" s="15"/>
      <c r="N673" s="17">
        <v>22000</v>
      </c>
      <c r="O673" s="17"/>
      <c r="P673" s="17"/>
      <c r="Q673" s="48"/>
      <c r="R673" s="11"/>
      <c r="S673" s="48"/>
      <c r="T673" s="85"/>
      <c r="U673" s="88"/>
      <c r="V673" s="32" t="s">
        <v>2832</v>
      </c>
      <c r="W673" s="25"/>
      <c r="X673" s="11"/>
      <c r="Y673" s="50"/>
      <c r="Z673" s="50"/>
      <c r="AA673" s="50"/>
      <c r="AB673" s="50"/>
      <c r="AC673" s="50"/>
      <c r="AD673" s="50"/>
      <c r="AE673" s="50"/>
      <c r="AF673" s="34"/>
      <c r="AG673" s="34"/>
      <c r="AH673" s="34"/>
      <c r="AI673" s="34"/>
      <c r="AJ673" s="34"/>
      <c r="AK673" s="34"/>
      <c r="AL673" s="34"/>
      <c r="AM673" s="34"/>
      <c r="AN673" s="34"/>
      <c r="AO673" s="65"/>
      <c r="AP673" s="69"/>
      <c r="AQ673" s="62"/>
      <c r="AR673" s="34"/>
    </row>
    <row r="674" spans="1:44" customFormat="1">
      <c r="A674" s="39">
        <v>44167</v>
      </c>
      <c r="B674" s="11" t="s">
        <v>49</v>
      </c>
      <c r="C674" s="16" t="s">
        <v>2822</v>
      </c>
      <c r="D674" s="16"/>
      <c r="E674" s="38">
        <v>39081</v>
      </c>
      <c r="F674" s="38"/>
      <c r="G674" s="10" t="s">
        <v>2824</v>
      </c>
      <c r="H674" s="12" t="s">
        <v>2825</v>
      </c>
      <c r="I674" s="13" t="s">
        <v>2826</v>
      </c>
      <c r="J674" s="15" t="s">
        <v>2828</v>
      </c>
      <c r="K674" s="12"/>
      <c r="L674" s="11" t="s">
        <v>38</v>
      </c>
      <c r="M674" s="15"/>
      <c r="N674" s="17">
        <v>22000</v>
      </c>
      <c r="O674" s="17"/>
      <c r="P674" s="17"/>
      <c r="Q674" s="48"/>
      <c r="R674" s="11"/>
      <c r="S674" s="48"/>
      <c r="T674" s="85"/>
      <c r="U674" s="88"/>
      <c r="V674" s="32" t="s">
        <v>2830</v>
      </c>
      <c r="W674" s="25" t="s">
        <v>8</v>
      </c>
      <c r="X674" s="11"/>
      <c r="Y674" s="50" t="s">
        <v>13</v>
      </c>
      <c r="Z674" s="50"/>
      <c r="AA674" s="50"/>
      <c r="AB674" s="50"/>
      <c r="AC674" s="50"/>
      <c r="AD674" s="50"/>
      <c r="AE674" s="50"/>
      <c r="AF674" s="34"/>
      <c r="AG674" s="34"/>
      <c r="AH674" s="34"/>
      <c r="AI674" s="34"/>
      <c r="AJ674" s="34"/>
      <c r="AK674" s="34"/>
      <c r="AL674" s="34"/>
      <c r="AM674" s="34"/>
      <c r="AN674" s="34"/>
      <c r="AO674" s="65"/>
      <c r="AP674" s="69"/>
      <c r="AQ674" s="62"/>
      <c r="AR674" s="34"/>
    </row>
    <row r="675" spans="1:44" customFormat="1">
      <c r="A675" s="39">
        <v>44167</v>
      </c>
      <c r="B675" s="11" t="s">
        <v>49</v>
      </c>
      <c r="C675" s="16" t="s">
        <v>2823</v>
      </c>
      <c r="D675" s="16"/>
      <c r="E675" s="38">
        <v>39659</v>
      </c>
      <c r="F675" s="38"/>
      <c r="G675" s="10" t="s">
        <v>2824</v>
      </c>
      <c r="H675" s="12" t="s">
        <v>2825</v>
      </c>
      <c r="I675" s="13" t="s">
        <v>2826</v>
      </c>
      <c r="J675" s="15" t="s">
        <v>2829</v>
      </c>
      <c r="K675" s="12"/>
      <c r="L675" s="11" t="s">
        <v>38</v>
      </c>
      <c r="M675" s="15"/>
      <c r="N675" s="17">
        <v>22000</v>
      </c>
      <c r="O675" s="17"/>
      <c r="P675" s="17"/>
      <c r="Q675" s="48"/>
      <c r="R675" s="11"/>
      <c r="S675" s="48"/>
      <c r="T675" s="85"/>
      <c r="U675" s="88"/>
      <c r="V675" s="32" t="s">
        <v>2831</v>
      </c>
      <c r="W675" s="25"/>
      <c r="X675" s="11"/>
      <c r="Y675" s="50"/>
      <c r="Z675" s="50"/>
      <c r="AA675" s="50"/>
      <c r="AB675" s="50"/>
      <c r="AC675" s="50"/>
      <c r="AD675" s="50"/>
      <c r="AE675" s="50"/>
      <c r="AF675" s="34"/>
      <c r="AG675" s="34"/>
      <c r="AH675" s="34"/>
      <c r="AI675" s="34"/>
      <c r="AJ675" s="34"/>
      <c r="AK675" s="34"/>
      <c r="AL675" s="34"/>
      <c r="AM675" s="34"/>
      <c r="AN675" s="34"/>
      <c r="AO675" s="65"/>
      <c r="AP675" s="69"/>
      <c r="AQ675" s="62"/>
      <c r="AR675" s="34"/>
    </row>
    <row r="676" spans="1:44" customFormat="1">
      <c r="A676" s="39">
        <v>44169</v>
      </c>
      <c r="B676" s="11" t="s">
        <v>22</v>
      </c>
      <c r="C676" s="16" t="s">
        <v>2833</v>
      </c>
      <c r="D676" s="16"/>
      <c r="E676" s="38">
        <v>20704</v>
      </c>
      <c r="F676" s="38"/>
      <c r="G676" s="10" t="s">
        <v>2834</v>
      </c>
      <c r="H676" s="12" t="s">
        <v>2835</v>
      </c>
      <c r="I676" s="13" t="s">
        <v>2836</v>
      </c>
      <c r="J676" s="15" t="s">
        <v>2837</v>
      </c>
      <c r="K676" s="12"/>
      <c r="L676" s="11" t="s">
        <v>33</v>
      </c>
      <c r="M676" s="15"/>
      <c r="N676" s="17">
        <v>2750</v>
      </c>
      <c r="O676" s="17"/>
      <c r="P676" s="17"/>
      <c r="Q676" s="48"/>
      <c r="R676" s="11"/>
      <c r="S676" s="48"/>
      <c r="T676" s="85"/>
      <c r="U676" s="88"/>
      <c r="V676" s="32" t="s">
        <v>2838</v>
      </c>
      <c r="W676" s="25" t="s">
        <v>8</v>
      </c>
      <c r="X676" s="11"/>
      <c r="Y676" s="50" t="s">
        <v>14</v>
      </c>
      <c r="Z676" s="50"/>
      <c r="AA676" s="50"/>
      <c r="AB676" s="50"/>
      <c r="AC676" s="50"/>
      <c r="AD676" s="50"/>
      <c r="AE676" s="50"/>
      <c r="AF676" s="34"/>
      <c r="AG676" s="34"/>
      <c r="AH676" s="34"/>
      <c r="AI676" s="34"/>
      <c r="AJ676" s="34"/>
      <c r="AK676" s="34"/>
      <c r="AL676" s="34"/>
      <c r="AM676" s="34"/>
      <c r="AN676" s="34"/>
      <c r="AO676" s="65"/>
      <c r="AP676" s="69"/>
      <c r="AQ676" s="62"/>
      <c r="AR676" s="34"/>
    </row>
    <row r="677" spans="1:44" customFormat="1">
      <c r="A677" s="39">
        <v>44169</v>
      </c>
      <c r="B677" s="11" t="s">
        <v>22</v>
      </c>
      <c r="C677" s="16" t="s">
        <v>2545</v>
      </c>
      <c r="D677" s="16"/>
      <c r="E677" s="38">
        <v>27065</v>
      </c>
      <c r="F677" s="38"/>
      <c r="G677" s="10" t="s">
        <v>1805</v>
      </c>
      <c r="H677" s="12" t="s">
        <v>2839</v>
      </c>
      <c r="I677" s="13" t="s">
        <v>2571</v>
      </c>
      <c r="J677" s="15" t="s">
        <v>2548</v>
      </c>
      <c r="K677" s="12"/>
      <c r="L677" s="11" t="s">
        <v>33</v>
      </c>
      <c r="M677" s="15"/>
      <c r="N677" s="17">
        <v>2750</v>
      </c>
      <c r="O677" s="17"/>
      <c r="P677" s="17"/>
      <c r="Q677" s="48"/>
      <c r="R677" s="11"/>
      <c r="S677" s="48"/>
      <c r="T677" s="85" t="s">
        <v>8079</v>
      </c>
      <c r="U677" s="88"/>
      <c r="V677" s="32" t="s">
        <v>1744</v>
      </c>
      <c r="W677" s="25" t="s">
        <v>48</v>
      </c>
      <c r="X677" s="11"/>
      <c r="Y677" s="50" t="s">
        <v>12</v>
      </c>
      <c r="Z677" s="50"/>
      <c r="AA677" s="50"/>
      <c r="AB677" s="50"/>
      <c r="AC677" s="50"/>
      <c r="AD677" s="50"/>
      <c r="AE677" s="50"/>
      <c r="AF677" s="34"/>
      <c r="AG677" s="34"/>
      <c r="AH677" s="34"/>
      <c r="AI677" s="34"/>
      <c r="AJ677" s="34"/>
      <c r="AK677" s="34"/>
      <c r="AL677" s="34"/>
      <c r="AM677" s="34"/>
      <c r="AN677" s="34"/>
      <c r="AO677" s="65"/>
      <c r="AP677" s="69"/>
      <c r="AQ677" s="62"/>
      <c r="AR677" s="34"/>
    </row>
    <row r="678" spans="1:44" customFormat="1">
      <c r="A678" s="39">
        <v>44170</v>
      </c>
      <c r="B678" s="11" t="s">
        <v>22</v>
      </c>
      <c r="C678" s="16" t="s">
        <v>2846</v>
      </c>
      <c r="D678" s="16"/>
      <c r="E678" s="38">
        <v>22619</v>
      </c>
      <c r="F678" s="38"/>
      <c r="G678" s="10" t="s">
        <v>44</v>
      </c>
      <c r="H678" s="12" t="s">
        <v>2851</v>
      </c>
      <c r="I678" s="13" t="s">
        <v>2438</v>
      </c>
      <c r="J678" s="15" t="s">
        <v>2848</v>
      </c>
      <c r="K678" s="14" t="s">
        <v>2847</v>
      </c>
      <c r="L678" s="11" t="s">
        <v>39</v>
      </c>
      <c r="M678" s="15"/>
      <c r="N678" s="17">
        <v>2750</v>
      </c>
      <c r="O678" s="17"/>
      <c r="P678" s="17"/>
      <c r="Q678" s="48"/>
      <c r="R678" s="11"/>
      <c r="S678" s="48"/>
      <c r="T678" s="85"/>
      <c r="U678" s="88"/>
      <c r="V678" s="32" t="s">
        <v>1744</v>
      </c>
      <c r="W678" s="25" t="s">
        <v>48</v>
      </c>
      <c r="X678" s="11"/>
      <c r="Y678" s="50" t="s">
        <v>18</v>
      </c>
      <c r="Z678" s="50"/>
      <c r="AA678" s="50"/>
      <c r="AB678" s="50"/>
      <c r="AC678" s="50"/>
      <c r="AD678" s="50"/>
      <c r="AE678" s="50"/>
      <c r="AF678" s="34"/>
      <c r="AG678" s="34"/>
      <c r="AH678" s="34"/>
      <c r="AI678" s="34"/>
      <c r="AJ678" s="34"/>
      <c r="AK678" s="34"/>
      <c r="AL678" s="34"/>
      <c r="AM678" s="34"/>
      <c r="AN678" s="34"/>
      <c r="AO678" s="65"/>
      <c r="AP678" s="69"/>
      <c r="AQ678" s="62" t="s">
        <v>8079</v>
      </c>
      <c r="AR678" s="34"/>
    </row>
    <row r="679" spans="1:44" customFormat="1">
      <c r="A679" s="39">
        <v>44170</v>
      </c>
      <c r="B679" s="11" t="s">
        <v>22</v>
      </c>
      <c r="C679" s="16" t="s">
        <v>2840</v>
      </c>
      <c r="D679" s="16"/>
      <c r="E679" s="38">
        <v>23131</v>
      </c>
      <c r="F679" s="38"/>
      <c r="G679" s="10" t="s">
        <v>2841</v>
      </c>
      <c r="H679" s="12" t="s">
        <v>2842</v>
      </c>
      <c r="I679" s="13" t="s">
        <v>2843</v>
      </c>
      <c r="J679" s="15" t="s">
        <v>2844</v>
      </c>
      <c r="K679" s="14" t="s">
        <v>2845</v>
      </c>
      <c r="L679" s="11" t="s">
        <v>36</v>
      </c>
      <c r="M679" s="15"/>
      <c r="N679" s="17">
        <v>2750</v>
      </c>
      <c r="O679" s="17"/>
      <c r="P679" s="17"/>
      <c r="Q679" s="48"/>
      <c r="R679" s="11"/>
      <c r="S679" s="48"/>
      <c r="T679" s="85" t="s">
        <v>8079</v>
      </c>
      <c r="U679" s="88"/>
      <c r="V679" s="32" t="s">
        <v>1744</v>
      </c>
      <c r="W679" s="25" t="s">
        <v>48</v>
      </c>
      <c r="X679" s="11"/>
      <c r="Y679" s="50" t="s">
        <v>14</v>
      </c>
      <c r="Z679" s="50"/>
      <c r="AA679" s="50"/>
      <c r="AB679" s="50"/>
      <c r="AC679" s="50"/>
      <c r="AD679" s="50"/>
      <c r="AE679" s="50"/>
      <c r="AF679" s="34"/>
      <c r="AG679" s="34"/>
      <c r="AH679" s="34"/>
      <c r="AI679" s="34"/>
      <c r="AJ679" s="34"/>
      <c r="AK679" s="34"/>
      <c r="AL679" s="34"/>
      <c r="AM679" s="34"/>
      <c r="AN679" s="34"/>
      <c r="AO679" s="65"/>
      <c r="AP679" s="69"/>
      <c r="AQ679" s="62" t="s">
        <v>8079</v>
      </c>
      <c r="AR679" s="34"/>
    </row>
    <row r="680" spans="1:44" customFormat="1">
      <c r="A680" s="39">
        <v>44171</v>
      </c>
      <c r="B680" s="11" t="s">
        <v>22</v>
      </c>
      <c r="C680" s="16" t="s">
        <v>2849</v>
      </c>
      <c r="D680" s="16"/>
      <c r="E680" s="38" t="s">
        <v>2850</v>
      </c>
      <c r="F680" s="38"/>
      <c r="G680" s="10" t="s">
        <v>551</v>
      </c>
      <c r="H680" s="12" t="s">
        <v>2852</v>
      </c>
      <c r="I680" s="13" t="s">
        <v>2805</v>
      </c>
      <c r="J680" s="15" t="s">
        <v>2854</v>
      </c>
      <c r="K680" s="14" t="s">
        <v>2853</v>
      </c>
      <c r="L680" s="11" t="s">
        <v>39</v>
      </c>
      <c r="M680" s="15"/>
      <c r="N680" s="17">
        <v>2750</v>
      </c>
      <c r="O680" s="17"/>
      <c r="P680" s="17"/>
      <c r="Q680" s="48"/>
      <c r="R680" s="11"/>
      <c r="S680" s="48"/>
      <c r="T680" s="85"/>
      <c r="U680" s="88"/>
      <c r="V680" s="32" t="s">
        <v>1744</v>
      </c>
      <c r="W680" s="25" t="s">
        <v>10</v>
      </c>
      <c r="X680" s="11"/>
      <c r="Y680" s="50" t="s">
        <v>11</v>
      </c>
      <c r="Z680" s="50"/>
      <c r="AA680" s="50"/>
      <c r="AB680" s="50"/>
      <c r="AC680" s="50"/>
      <c r="AD680" s="50"/>
      <c r="AE680" s="50"/>
      <c r="AF680" s="34"/>
      <c r="AG680" s="34"/>
      <c r="AH680" s="34"/>
      <c r="AI680" s="34"/>
      <c r="AJ680" s="34"/>
      <c r="AK680" s="34"/>
      <c r="AL680" s="34"/>
      <c r="AM680" s="34"/>
      <c r="AN680" s="34"/>
      <c r="AO680" s="65"/>
      <c r="AP680" s="69"/>
      <c r="AQ680" s="62"/>
      <c r="AR680" s="34"/>
    </row>
    <row r="681" spans="1:44" customFormat="1">
      <c r="A681" s="39">
        <v>44174</v>
      </c>
      <c r="B681" s="11" t="s">
        <v>49</v>
      </c>
      <c r="C681" s="16" t="s">
        <v>2833</v>
      </c>
      <c r="D681" s="16"/>
      <c r="E681" s="38">
        <v>20704</v>
      </c>
      <c r="F681" s="38"/>
      <c r="G681" s="10" t="s">
        <v>2834</v>
      </c>
      <c r="H681" s="12" t="s">
        <v>2835</v>
      </c>
      <c r="I681" s="13" t="s">
        <v>2836</v>
      </c>
      <c r="J681" s="15" t="s">
        <v>2837</v>
      </c>
      <c r="K681" s="12"/>
      <c r="L681" s="11" t="s">
        <v>33</v>
      </c>
      <c r="M681" s="15"/>
      <c r="N681" s="17">
        <v>14850</v>
      </c>
      <c r="O681" s="17"/>
      <c r="P681" s="17"/>
      <c r="Q681" s="48"/>
      <c r="R681" s="11"/>
      <c r="S681" s="48"/>
      <c r="T681" s="85" t="s">
        <v>2857</v>
      </c>
      <c r="U681" s="88"/>
      <c r="V681" s="32" t="s">
        <v>2855</v>
      </c>
      <c r="W681" s="25" t="s">
        <v>10</v>
      </c>
      <c r="X681" s="11"/>
      <c r="Y681" s="50"/>
      <c r="Z681" s="50"/>
      <c r="AA681" s="50"/>
      <c r="AB681" s="50"/>
      <c r="AC681" s="50"/>
      <c r="AD681" s="50"/>
      <c r="AE681" s="50"/>
      <c r="AF681" s="34"/>
      <c r="AG681" s="34"/>
      <c r="AH681" s="34"/>
      <c r="AI681" s="34"/>
      <c r="AJ681" s="34"/>
      <c r="AK681" s="34"/>
      <c r="AL681" s="34"/>
      <c r="AM681" s="34"/>
      <c r="AN681" s="34"/>
      <c r="AO681" s="65"/>
      <c r="AP681" s="69"/>
      <c r="AQ681" s="62"/>
      <c r="AR681" s="34"/>
    </row>
    <row r="682" spans="1:44" customFormat="1">
      <c r="A682" s="39">
        <v>44174</v>
      </c>
      <c r="B682" s="11" t="s">
        <v>22</v>
      </c>
      <c r="C682" s="16" t="s">
        <v>2664</v>
      </c>
      <c r="D682" s="16"/>
      <c r="E682" s="38">
        <v>29769</v>
      </c>
      <c r="F682" s="38"/>
      <c r="G682" s="10" t="s">
        <v>2665</v>
      </c>
      <c r="H682" s="12" t="s">
        <v>2666</v>
      </c>
      <c r="I682" s="13" t="s">
        <v>2667</v>
      </c>
      <c r="J682" s="15" t="s">
        <v>2668</v>
      </c>
      <c r="K682" s="14" t="s">
        <v>2858</v>
      </c>
      <c r="L682" s="11" t="s">
        <v>33</v>
      </c>
      <c r="M682" s="15"/>
      <c r="N682" s="17">
        <v>2750</v>
      </c>
      <c r="O682" s="17"/>
      <c r="P682" s="17"/>
      <c r="Q682" s="48"/>
      <c r="R682" s="11"/>
      <c r="S682" s="48"/>
      <c r="T682" s="85"/>
      <c r="U682" s="88"/>
      <c r="V682" s="32" t="s">
        <v>2856</v>
      </c>
      <c r="W682" s="25" t="s">
        <v>9</v>
      </c>
      <c r="X682" s="11"/>
      <c r="Y682" s="50" t="s">
        <v>11</v>
      </c>
      <c r="Z682" s="50"/>
      <c r="AA682" s="50"/>
      <c r="AB682" s="50"/>
      <c r="AC682" s="50"/>
      <c r="AD682" s="50"/>
      <c r="AE682" s="50"/>
      <c r="AF682" s="34"/>
      <c r="AG682" s="34"/>
      <c r="AH682" s="34"/>
      <c r="AI682" s="34"/>
      <c r="AJ682" s="34"/>
      <c r="AK682" s="34"/>
      <c r="AL682" s="34"/>
      <c r="AM682" s="34"/>
      <c r="AN682" s="34"/>
      <c r="AO682" s="65"/>
      <c r="AP682" s="69"/>
      <c r="AQ682" s="62" t="s">
        <v>2857</v>
      </c>
      <c r="AR682" s="34"/>
    </row>
    <row r="683" spans="1:44" customFormat="1">
      <c r="A683" s="39">
        <v>44174</v>
      </c>
      <c r="B683" s="11" t="s">
        <v>22</v>
      </c>
      <c r="C683" s="16" t="s">
        <v>2859</v>
      </c>
      <c r="D683" s="16"/>
      <c r="E683" s="38">
        <v>25278</v>
      </c>
      <c r="F683" s="38"/>
      <c r="G683" s="10" t="s">
        <v>2958</v>
      </c>
      <c r="H683" s="12" t="s">
        <v>2957</v>
      </c>
      <c r="I683" s="13">
        <v>27.2</v>
      </c>
      <c r="J683" s="15" t="s">
        <v>2860</v>
      </c>
      <c r="K683" s="12"/>
      <c r="L683" s="11" t="s">
        <v>33</v>
      </c>
      <c r="M683" s="15"/>
      <c r="N683" s="17">
        <v>2750</v>
      </c>
      <c r="O683" s="17"/>
      <c r="P683" s="17"/>
      <c r="Q683" s="48"/>
      <c r="R683" s="11"/>
      <c r="S683" s="48"/>
      <c r="T683" s="85"/>
      <c r="U683" s="88"/>
      <c r="V683" s="32" t="s">
        <v>2861</v>
      </c>
      <c r="W683" s="25" t="s">
        <v>8</v>
      </c>
      <c r="X683" s="11"/>
      <c r="Y683" s="50" t="s">
        <v>12</v>
      </c>
      <c r="Z683" s="50"/>
      <c r="AA683" s="50"/>
      <c r="AB683" s="50"/>
      <c r="AC683" s="50"/>
      <c r="AD683" s="50"/>
      <c r="AE683" s="50"/>
      <c r="AF683" s="34"/>
      <c r="AG683" s="34"/>
      <c r="AH683" s="34"/>
      <c r="AI683" s="34"/>
      <c r="AJ683" s="34"/>
      <c r="AK683" s="34"/>
      <c r="AL683" s="34"/>
      <c r="AM683" s="34"/>
      <c r="AN683" s="34"/>
      <c r="AO683" s="65"/>
      <c r="AP683" s="69"/>
      <c r="AQ683" s="62"/>
      <c r="AR683" s="34"/>
    </row>
    <row r="684" spans="1:44" customFormat="1">
      <c r="A684" s="39">
        <v>44175</v>
      </c>
      <c r="B684" s="11" t="s">
        <v>49</v>
      </c>
      <c r="C684" s="16" t="s">
        <v>2862</v>
      </c>
      <c r="D684" s="16"/>
      <c r="E684" s="38">
        <v>23712</v>
      </c>
      <c r="F684" s="38"/>
      <c r="G684" s="10" t="s">
        <v>2863</v>
      </c>
      <c r="H684" s="12" t="s">
        <v>2864</v>
      </c>
      <c r="I684" s="13" t="s">
        <v>2865</v>
      </c>
      <c r="J684" s="15" t="s">
        <v>2867</v>
      </c>
      <c r="K684" s="14" t="s">
        <v>2866</v>
      </c>
      <c r="L684" s="11" t="s">
        <v>34</v>
      </c>
      <c r="M684" s="15"/>
      <c r="N684" s="17">
        <v>0</v>
      </c>
      <c r="O684" s="17"/>
      <c r="P684" s="17"/>
      <c r="Q684" s="48"/>
      <c r="R684" s="11"/>
      <c r="S684" s="48"/>
      <c r="T684" s="85"/>
      <c r="U684" s="88"/>
      <c r="V684" s="32" t="s">
        <v>2868</v>
      </c>
      <c r="W684" s="25" t="s">
        <v>8</v>
      </c>
      <c r="X684" s="11"/>
      <c r="Y684" s="50" t="s">
        <v>12</v>
      </c>
      <c r="Z684" s="50"/>
      <c r="AA684" s="50"/>
      <c r="AB684" s="50"/>
      <c r="AC684" s="50"/>
      <c r="AD684" s="50"/>
      <c r="AE684" s="50"/>
      <c r="AF684" s="34"/>
      <c r="AG684" s="34"/>
      <c r="AH684" s="34"/>
      <c r="AI684" s="34"/>
      <c r="AJ684" s="34"/>
      <c r="AK684" s="34"/>
      <c r="AL684" s="34"/>
      <c r="AM684" s="34"/>
      <c r="AN684" s="34"/>
      <c r="AO684" s="65"/>
      <c r="AP684" s="69"/>
      <c r="AQ684" s="62"/>
      <c r="AR684" s="34"/>
    </row>
    <row r="685" spans="1:44" customFormat="1">
      <c r="A685" s="39">
        <v>44176</v>
      </c>
      <c r="B685" s="11" t="s">
        <v>49</v>
      </c>
      <c r="C685" s="16" t="s">
        <v>2869</v>
      </c>
      <c r="D685" s="16"/>
      <c r="E685" s="38">
        <v>35244</v>
      </c>
      <c r="F685" s="38"/>
      <c r="G685" s="10" t="s">
        <v>2870</v>
      </c>
      <c r="H685" s="12" t="s">
        <v>2871</v>
      </c>
      <c r="I685" s="13" t="s">
        <v>2872</v>
      </c>
      <c r="J685" s="15" t="s">
        <v>2873</v>
      </c>
      <c r="K685" s="12"/>
      <c r="L685" s="11" t="s">
        <v>34</v>
      </c>
      <c r="M685" s="15"/>
      <c r="N685" s="17">
        <v>16500</v>
      </c>
      <c r="O685" s="17"/>
      <c r="P685" s="17"/>
      <c r="Q685" s="48"/>
      <c r="R685" s="11"/>
      <c r="S685" s="48"/>
      <c r="T685" s="85"/>
      <c r="U685" s="88"/>
      <c r="V685" s="32"/>
      <c r="W685" s="25"/>
      <c r="X685" s="11"/>
      <c r="Y685" s="50" t="s">
        <v>14</v>
      </c>
      <c r="Z685" s="50"/>
      <c r="AA685" s="50"/>
      <c r="AB685" s="50"/>
      <c r="AC685" s="50"/>
      <c r="AD685" s="50"/>
      <c r="AE685" s="50"/>
      <c r="AF685" s="34"/>
      <c r="AG685" s="34"/>
      <c r="AH685" s="34"/>
      <c r="AI685" s="34"/>
      <c r="AJ685" s="34"/>
      <c r="AK685" s="34"/>
      <c r="AL685" s="34"/>
      <c r="AM685" s="34"/>
      <c r="AN685" s="34"/>
      <c r="AO685" s="65"/>
      <c r="AP685" s="69"/>
      <c r="AQ685" s="62"/>
      <c r="AR685" s="34"/>
    </row>
    <row r="686" spans="1:44" customFormat="1">
      <c r="A686" s="39">
        <v>44176</v>
      </c>
      <c r="B686" s="11" t="s">
        <v>49</v>
      </c>
      <c r="C686" s="16" t="s">
        <v>2874</v>
      </c>
      <c r="D686" s="16"/>
      <c r="E686" s="38">
        <v>31470</v>
      </c>
      <c r="F686" s="38"/>
      <c r="G686" s="10" t="s">
        <v>2875</v>
      </c>
      <c r="H686" s="12" t="s">
        <v>2876</v>
      </c>
      <c r="I686" s="13" t="s">
        <v>2877</v>
      </c>
      <c r="J686" s="15" t="s">
        <v>2878</v>
      </c>
      <c r="K686" s="12"/>
      <c r="L686" s="11" t="s">
        <v>34</v>
      </c>
      <c r="M686" s="15"/>
      <c r="N686" s="17">
        <v>22000</v>
      </c>
      <c r="O686" s="17"/>
      <c r="P686" s="17"/>
      <c r="Q686" s="48"/>
      <c r="R686" s="11"/>
      <c r="S686" s="48"/>
      <c r="T686" s="85"/>
      <c r="U686" s="88"/>
      <c r="V686" s="32" t="s">
        <v>2372</v>
      </c>
      <c r="W686" s="25" t="s">
        <v>10</v>
      </c>
      <c r="X686" s="11"/>
      <c r="Y686" s="50" t="s">
        <v>13</v>
      </c>
      <c r="Z686" s="50"/>
      <c r="AA686" s="50"/>
      <c r="AB686" s="50"/>
      <c r="AC686" s="50"/>
      <c r="AD686" s="50"/>
      <c r="AE686" s="50"/>
      <c r="AF686" s="34"/>
      <c r="AG686" s="34"/>
      <c r="AH686" s="34"/>
      <c r="AI686" s="34"/>
      <c r="AJ686" s="34"/>
      <c r="AK686" s="34"/>
      <c r="AL686" s="34"/>
      <c r="AM686" s="34"/>
      <c r="AN686" s="34"/>
      <c r="AO686" s="65"/>
      <c r="AP686" s="69"/>
      <c r="AQ686" s="62"/>
      <c r="AR686" s="34"/>
    </row>
    <row r="687" spans="1:44" customFormat="1">
      <c r="A687" s="39">
        <v>44177</v>
      </c>
      <c r="B687" s="11" t="s">
        <v>49</v>
      </c>
      <c r="C687" s="16" t="s">
        <v>2859</v>
      </c>
      <c r="D687" s="16"/>
      <c r="E687" s="38">
        <v>25278</v>
      </c>
      <c r="F687" s="38"/>
      <c r="G687" s="10" t="s">
        <v>2958</v>
      </c>
      <c r="H687" s="12" t="s">
        <v>2957</v>
      </c>
      <c r="I687" s="13">
        <v>27.2</v>
      </c>
      <c r="J687" s="15" t="s">
        <v>2860</v>
      </c>
      <c r="K687" s="12"/>
      <c r="L687" s="11" t="s">
        <v>33</v>
      </c>
      <c r="M687" s="15"/>
      <c r="N687" s="17">
        <v>16500</v>
      </c>
      <c r="O687" s="17"/>
      <c r="P687" s="17"/>
      <c r="Q687" s="48"/>
      <c r="R687" s="11"/>
      <c r="S687" s="48"/>
      <c r="T687" s="85"/>
      <c r="U687" s="88"/>
      <c r="V687" s="32" t="s">
        <v>2881</v>
      </c>
      <c r="W687" s="25" t="s">
        <v>8</v>
      </c>
      <c r="X687" s="11"/>
      <c r="Y687" s="50" t="s">
        <v>17</v>
      </c>
      <c r="Z687" s="50"/>
      <c r="AA687" s="50"/>
      <c r="AB687" s="50"/>
      <c r="AC687" s="50"/>
      <c r="AD687" s="50"/>
      <c r="AE687" s="50"/>
      <c r="AF687" s="34"/>
      <c r="AG687" s="34"/>
      <c r="AH687" s="34"/>
      <c r="AI687" s="34"/>
      <c r="AJ687" s="34"/>
      <c r="AK687" s="34"/>
      <c r="AL687" s="34"/>
      <c r="AM687" s="34"/>
      <c r="AN687" s="34"/>
      <c r="AO687" s="65"/>
      <c r="AP687" s="69"/>
      <c r="AQ687" s="62"/>
      <c r="AR687" s="34"/>
    </row>
    <row r="688" spans="1:44" customFormat="1">
      <c r="A688" s="39">
        <v>44177</v>
      </c>
      <c r="B688" s="11" t="s">
        <v>22</v>
      </c>
      <c r="C688" s="16" t="s">
        <v>2879</v>
      </c>
      <c r="D688" s="16"/>
      <c r="E688" s="38">
        <v>24997</v>
      </c>
      <c r="F688" s="38"/>
      <c r="G688" s="10" t="s">
        <v>2958</v>
      </c>
      <c r="H688" s="12" t="s">
        <v>2957</v>
      </c>
      <c r="I688" s="13">
        <v>27.2</v>
      </c>
      <c r="J688" s="15" t="s">
        <v>2880</v>
      </c>
      <c r="K688" s="12"/>
      <c r="L688" s="11" t="s">
        <v>37</v>
      </c>
      <c r="M688" s="15"/>
      <c r="N688" s="17">
        <v>2750</v>
      </c>
      <c r="O688" s="17"/>
      <c r="P688" s="17"/>
      <c r="Q688" s="48"/>
      <c r="R688" s="11"/>
      <c r="S688" s="48"/>
      <c r="T688" s="85"/>
      <c r="U688" s="88"/>
      <c r="V688" s="32" t="s">
        <v>2882</v>
      </c>
      <c r="W688" s="25" t="s">
        <v>8</v>
      </c>
      <c r="X688" s="11"/>
      <c r="Y688" s="50" t="s">
        <v>17</v>
      </c>
      <c r="Z688" s="50"/>
      <c r="AA688" s="50"/>
      <c r="AB688" s="50"/>
      <c r="AC688" s="50"/>
      <c r="AD688" s="50"/>
      <c r="AE688" s="50"/>
      <c r="AF688" s="34"/>
      <c r="AG688" s="34"/>
      <c r="AH688" s="34"/>
      <c r="AI688" s="34"/>
      <c r="AJ688" s="34"/>
      <c r="AK688" s="34"/>
      <c r="AL688" s="34"/>
      <c r="AM688" s="34"/>
      <c r="AN688" s="34"/>
      <c r="AO688" s="65"/>
      <c r="AP688" s="69"/>
      <c r="AQ688" s="62"/>
      <c r="AR688" s="34"/>
    </row>
    <row r="689" spans="1:48">
      <c r="A689" s="39">
        <v>44179</v>
      </c>
      <c r="B689" s="11" t="s">
        <v>49</v>
      </c>
      <c r="C689" s="16" t="s">
        <v>2883</v>
      </c>
      <c r="D689" s="16"/>
      <c r="E689" s="38">
        <v>26572</v>
      </c>
      <c r="F689" s="38"/>
      <c r="G689" s="10" t="s">
        <v>2884</v>
      </c>
      <c r="H689" s="12" t="s">
        <v>2885</v>
      </c>
      <c r="I689" s="13" t="s">
        <v>2893</v>
      </c>
      <c r="J689" s="15" t="s">
        <v>2886</v>
      </c>
      <c r="K689" s="14" t="s">
        <v>2895</v>
      </c>
      <c r="L689" s="11" t="s">
        <v>36</v>
      </c>
      <c r="M689" s="15"/>
      <c r="N689" s="17">
        <v>14850</v>
      </c>
      <c r="O689" s="17"/>
      <c r="P689" s="17"/>
      <c r="Q689" s="48"/>
      <c r="R689" s="11"/>
      <c r="S689" s="48"/>
      <c r="T689" s="85"/>
      <c r="U689" s="88"/>
      <c r="V689" s="32" t="s">
        <v>2887</v>
      </c>
      <c r="W689" s="25" t="s">
        <v>8</v>
      </c>
      <c r="X689" s="11"/>
      <c r="Y689" s="50"/>
      <c r="Z689" s="50"/>
      <c r="AA689" s="50"/>
      <c r="AB689" s="50"/>
      <c r="AC689" s="50"/>
      <c r="AD689" s="50"/>
      <c r="AE689" s="50"/>
      <c r="AF689" s="34"/>
      <c r="AG689" s="34"/>
      <c r="AH689" s="34"/>
      <c r="AI689" s="34"/>
      <c r="AJ689" s="34"/>
      <c r="AK689" s="34"/>
      <c r="AL689" s="34"/>
      <c r="AM689" s="34"/>
      <c r="AN689" s="34"/>
      <c r="AO689" s="65"/>
      <c r="AP689" s="69"/>
      <c r="AQ689" s="62"/>
      <c r="AR689" s="34"/>
    </row>
    <row r="690" spans="1:48">
      <c r="A690" s="39">
        <v>44179</v>
      </c>
      <c r="B690" s="11" t="s">
        <v>22</v>
      </c>
      <c r="C690" s="16" t="s">
        <v>2888</v>
      </c>
      <c r="D690" s="16"/>
      <c r="E690" s="38" t="s">
        <v>2889</v>
      </c>
      <c r="F690" s="38"/>
      <c r="G690" s="10" t="s">
        <v>2890</v>
      </c>
      <c r="H690" s="12" t="s">
        <v>2891</v>
      </c>
      <c r="I690" s="13" t="s">
        <v>2894</v>
      </c>
      <c r="J690" s="15" t="s">
        <v>2892</v>
      </c>
      <c r="K690" s="12"/>
      <c r="L690" s="11" t="s">
        <v>37</v>
      </c>
      <c r="M690" s="15"/>
      <c r="N690" s="17">
        <v>2750</v>
      </c>
      <c r="O690" s="17"/>
      <c r="P690" s="17"/>
      <c r="Q690" s="48"/>
      <c r="R690" s="11"/>
      <c r="S690" s="48"/>
      <c r="T690" s="85"/>
      <c r="U690" s="88"/>
      <c r="V690" s="32"/>
      <c r="W690" s="25" t="s">
        <v>8</v>
      </c>
      <c r="X690" s="11"/>
      <c r="Y690" s="50"/>
      <c r="Z690" s="50"/>
      <c r="AA690" s="50"/>
      <c r="AB690" s="50"/>
      <c r="AC690" s="50"/>
      <c r="AD690" s="50"/>
      <c r="AE690" s="50"/>
      <c r="AF690" s="34"/>
      <c r="AG690" s="34"/>
      <c r="AH690" s="34"/>
      <c r="AI690" s="34"/>
      <c r="AJ690" s="34"/>
      <c r="AK690" s="34"/>
      <c r="AL690" s="34"/>
      <c r="AM690" s="34"/>
      <c r="AN690" s="34"/>
      <c r="AO690" s="65"/>
      <c r="AP690" s="69"/>
      <c r="AQ690" s="62"/>
      <c r="AR690" s="34"/>
    </row>
    <row r="691" spans="1:48">
      <c r="A691" s="39">
        <v>44181</v>
      </c>
      <c r="B691" s="11" t="s">
        <v>24</v>
      </c>
      <c r="C691" s="16" t="s">
        <v>2410</v>
      </c>
      <c r="D691" s="16"/>
      <c r="E691" s="38">
        <v>24185</v>
      </c>
      <c r="F691" s="38"/>
      <c r="G691" s="10" t="s">
        <v>2411</v>
      </c>
      <c r="H691" s="12" t="s">
        <v>2412</v>
      </c>
      <c r="I691" s="13" t="s">
        <v>2413</v>
      </c>
      <c r="J691" s="15" t="s">
        <v>2415</v>
      </c>
      <c r="K691" s="14" t="s">
        <v>2414</v>
      </c>
      <c r="L691" s="11" t="s">
        <v>33</v>
      </c>
      <c r="M691" s="15"/>
      <c r="N691" s="17">
        <v>4950</v>
      </c>
      <c r="O691" s="17"/>
      <c r="P691" s="17"/>
      <c r="Q691" s="48"/>
      <c r="R691" s="11"/>
      <c r="S691" s="48"/>
      <c r="T691" s="85"/>
      <c r="U691" s="88"/>
      <c r="V691" s="32" t="s">
        <v>2896</v>
      </c>
      <c r="W691" s="25" t="s">
        <v>8</v>
      </c>
      <c r="X691" s="11"/>
      <c r="Y691" s="50"/>
      <c r="Z691" s="50"/>
      <c r="AA691" s="50"/>
      <c r="AB691" s="50"/>
      <c r="AC691" s="50"/>
      <c r="AD691" s="50"/>
      <c r="AE691" s="50"/>
      <c r="AF691" s="34"/>
      <c r="AG691" s="34"/>
      <c r="AH691" s="34"/>
      <c r="AI691" s="34"/>
      <c r="AJ691" s="34"/>
      <c r="AK691" s="34"/>
      <c r="AL691" s="34"/>
      <c r="AM691" s="34"/>
      <c r="AN691" s="34"/>
      <c r="AO691" s="65"/>
      <c r="AP691" s="69"/>
      <c r="AQ691" s="62"/>
      <c r="AR691" s="34"/>
    </row>
    <row r="692" spans="1:48">
      <c r="A692" s="39">
        <v>44182</v>
      </c>
      <c r="B692" s="11" t="s">
        <v>22</v>
      </c>
      <c r="C692" s="16" t="s">
        <v>2897</v>
      </c>
      <c r="D692" s="16"/>
      <c r="E692" s="38">
        <v>24778</v>
      </c>
      <c r="F692" s="38"/>
      <c r="G692" s="10" t="s">
        <v>44</v>
      </c>
      <c r="H692" s="12" t="s">
        <v>2898</v>
      </c>
      <c r="I692" s="13" t="s">
        <v>2899</v>
      </c>
      <c r="J692" s="15" t="s">
        <v>2901</v>
      </c>
      <c r="K692" s="14" t="s">
        <v>2900</v>
      </c>
      <c r="L692" s="11" t="s">
        <v>36</v>
      </c>
      <c r="M692" s="15"/>
      <c r="N692" s="17">
        <v>2750</v>
      </c>
      <c r="O692" s="17"/>
      <c r="P692" s="17"/>
      <c r="Q692" s="48"/>
      <c r="R692" s="11"/>
      <c r="S692" s="48"/>
      <c r="T692" s="85"/>
      <c r="U692" s="88"/>
      <c r="V692" s="32" t="s">
        <v>1744</v>
      </c>
      <c r="W692" s="25" t="s">
        <v>10</v>
      </c>
      <c r="X692" s="11"/>
      <c r="Y692" s="50" t="s">
        <v>11</v>
      </c>
      <c r="Z692" s="50"/>
      <c r="AA692" s="50"/>
      <c r="AB692" s="50"/>
      <c r="AC692" s="50"/>
      <c r="AD692" s="50"/>
      <c r="AE692" s="50"/>
      <c r="AF692" s="34"/>
      <c r="AG692" s="34"/>
      <c r="AH692" s="34"/>
      <c r="AI692" s="34"/>
      <c r="AJ692" s="34"/>
      <c r="AK692" s="34"/>
      <c r="AL692" s="34"/>
      <c r="AM692" s="34"/>
      <c r="AN692" s="34"/>
      <c r="AO692" s="65"/>
      <c r="AP692" s="69"/>
      <c r="AQ692" s="62"/>
      <c r="AR692" s="34"/>
    </row>
    <row r="693" spans="1:48">
      <c r="A693" s="39">
        <v>44184</v>
      </c>
      <c r="B693" s="11" t="s">
        <v>22</v>
      </c>
      <c r="C693" s="16" t="s">
        <v>2902</v>
      </c>
      <c r="D693" s="16"/>
      <c r="E693" s="38">
        <v>19177</v>
      </c>
      <c r="F693" s="38"/>
      <c r="G693" s="10" t="s">
        <v>2903</v>
      </c>
      <c r="H693" s="12" t="s">
        <v>2904</v>
      </c>
      <c r="I693" s="13" t="s">
        <v>2358</v>
      </c>
      <c r="J693" s="15" t="s">
        <v>2906</v>
      </c>
      <c r="K693" s="14" t="s">
        <v>2905</v>
      </c>
      <c r="L693" s="11" t="s">
        <v>36</v>
      </c>
      <c r="M693" s="15"/>
      <c r="N693" s="17">
        <v>2750</v>
      </c>
      <c r="O693" s="17"/>
      <c r="P693" s="17"/>
      <c r="Q693" s="48"/>
      <c r="R693" s="11"/>
      <c r="S693" s="48"/>
      <c r="T693" s="85"/>
      <c r="U693" s="88"/>
      <c r="V693" s="32" t="s">
        <v>1744</v>
      </c>
      <c r="W693" s="25" t="s">
        <v>48</v>
      </c>
      <c r="X693" s="11"/>
      <c r="Y693" s="50" t="s">
        <v>12</v>
      </c>
      <c r="Z693" s="50"/>
      <c r="AA693" s="50"/>
      <c r="AB693" s="50"/>
      <c r="AC693" s="50"/>
      <c r="AD693" s="50"/>
      <c r="AE693" s="50"/>
      <c r="AF693" s="34"/>
      <c r="AG693" s="34"/>
      <c r="AH693" s="34"/>
      <c r="AI693" s="34"/>
      <c r="AJ693" s="34"/>
      <c r="AK693" s="34"/>
      <c r="AL693" s="34"/>
      <c r="AM693" s="34"/>
      <c r="AN693" s="34"/>
      <c r="AO693" s="65"/>
      <c r="AP693" s="69"/>
      <c r="AQ693" s="62"/>
      <c r="AR693" s="34"/>
    </row>
    <row r="694" spans="1:48">
      <c r="A694" s="39">
        <v>44184</v>
      </c>
      <c r="B694" s="11" t="s">
        <v>22</v>
      </c>
      <c r="C694" s="16" t="s">
        <v>2913</v>
      </c>
      <c r="D694" s="16"/>
      <c r="E694" s="38">
        <v>23481</v>
      </c>
      <c r="F694" s="38"/>
      <c r="G694" s="10" t="s">
        <v>618</v>
      </c>
      <c r="H694" s="12" t="s">
        <v>2914</v>
      </c>
      <c r="I694" s="13" t="s">
        <v>1819</v>
      </c>
      <c r="J694" s="15" t="s">
        <v>2915</v>
      </c>
      <c r="K694" s="12"/>
      <c r="L694" s="11" t="s">
        <v>34</v>
      </c>
      <c r="M694" s="15"/>
      <c r="N694" s="17">
        <v>2750</v>
      </c>
      <c r="O694" s="17"/>
      <c r="P694" s="17"/>
      <c r="Q694" s="48"/>
      <c r="R694" s="11"/>
      <c r="S694" s="48"/>
      <c r="T694" s="85"/>
      <c r="U694" s="88"/>
      <c r="V694" s="32" t="s">
        <v>2916</v>
      </c>
      <c r="W694" s="25" t="s">
        <v>8</v>
      </c>
      <c r="X694" s="11"/>
      <c r="Y694" s="50" t="s">
        <v>17</v>
      </c>
      <c r="Z694" s="50"/>
      <c r="AA694" s="50"/>
      <c r="AB694" s="50"/>
      <c r="AC694" s="50"/>
      <c r="AD694" s="50"/>
      <c r="AE694" s="50"/>
      <c r="AF694" s="34"/>
      <c r="AG694" s="34"/>
      <c r="AH694" s="34"/>
      <c r="AI694" s="34"/>
      <c r="AJ694" s="34"/>
      <c r="AK694" s="34"/>
      <c r="AL694" s="34"/>
      <c r="AM694" s="34"/>
      <c r="AN694" s="34"/>
      <c r="AO694" s="65"/>
      <c r="AP694" s="69"/>
      <c r="AQ694" s="62"/>
      <c r="AR694" s="34"/>
    </row>
    <row r="695" spans="1:48">
      <c r="A695" s="39">
        <v>44184</v>
      </c>
      <c r="B695" s="11" t="s">
        <v>22</v>
      </c>
      <c r="C695" s="16" t="s">
        <v>2917</v>
      </c>
      <c r="D695" s="16"/>
      <c r="E695" s="38">
        <v>23412</v>
      </c>
      <c r="F695" s="38"/>
      <c r="G695" s="10" t="s">
        <v>2799</v>
      </c>
      <c r="H695" s="12" t="s">
        <v>2918</v>
      </c>
      <c r="I695" s="13" t="s">
        <v>2919</v>
      </c>
      <c r="J695" s="15" t="s">
        <v>2921</v>
      </c>
      <c r="K695" s="14" t="s">
        <v>2920</v>
      </c>
      <c r="L695" s="11" t="s">
        <v>36</v>
      </c>
      <c r="M695" s="15"/>
      <c r="N695" s="17">
        <v>2750</v>
      </c>
      <c r="O695" s="17"/>
      <c r="P695" s="17"/>
      <c r="Q695" s="48"/>
      <c r="R695" s="11"/>
      <c r="S695" s="48"/>
      <c r="T695" s="85"/>
      <c r="U695" s="88"/>
      <c r="V695" s="32" t="s">
        <v>1744</v>
      </c>
      <c r="W695" s="25" t="s">
        <v>48</v>
      </c>
      <c r="X695" s="11"/>
      <c r="Y695" s="50" t="s">
        <v>11</v>
      </c>
      <c r="Z695" s="50"/>
      <c r="AA695" s="50"/>
      <c r="AB695" s="50"/>
      <c r="AC695" s="50"/>
      <c r="AD695" s="50"/>
      <c r="AE695" s="50"/>
      <c r="AF695" s="34"/>
      <c r="AG695" s="34"/>
      <c r="AH695" s="34"/>
      <c r="AI695" s="34"/>
      <c r="AJ695" s="34"/>
      <c r="AK695" s="34"/>
      <c r="AL695" s="34"/>
      <c r="AM695" s="34"/>
      <c r="AN695" s="34"/>
      <c r="AO695" s="65"/>
      <c r="AP695" s="69"/>
      <c r="AQ695" s="62" t="s">
        <v>8079</v>
      </c>
      <c r="AR695" s="34"/>
    </row>
    <row r="696" spans="1:48">
      <c r="A696" s="39">
        <v>44184</v>
      </c>
      <c r="B696" s="11" t="s">
        <v>23</v>
      </c>
      <c r="C696" s="16" t="s">
        <v>2922</v>
      </c>
      <c r="D696" s="16"/>
      <c r="E696" s="38">
        <v>26142</v>
      </c>
      <c r="F696" s="38"/>
      <c r="G696" s="10" t="s">
        <v>2923</v>
      </c>
      <c r="H696" s="12" t="s">
        <v>2924</v>
      </c>
      <c r="I696" s="13" t="s">
        <v>2925</v>
      </c>
      <c r="J696" s="15" t="s">
        <v>2926</v>
      </c>
      <c r="K696" s="12"/>
      <c r="L696" s="11" t="s">
        <v>33</v>
      </c>
      <c r="M696" s="15"/>
      <c r="N696" s="17">
        <v>22000</v>
      </c>
      <c r="O696" s="17"/>
      <c r="P696" s="17"/>
      <c r="Q696" s="48"/>
      <c r="R696" s="11"/>
      <c r="S696" s="48"/>
      <c r="T696" s="85"/>
      <c r="U696" s="88"/>
      <c r="V696" s="32" t="s">
        <v>2927</v>
      </c>
      <c r="W696" s="25" t="s">
        <v>48</v>
      </c>
      <c r="X696" s="11"/>
      <c r="Y696" s="50" t="s">
        <v>12</v>
      </c>
      <c r="Z696" s="50"/>
      <c r="AA696" s="50"/>
      <c r="AB696" s="50"/>
      <c r="AC696" s="50"/>
      <c r="AD696" s="50"/>
      <c r="AE696" s="50"/>
      <c r="AF696" s="34"/>
      <c r="AG696" s="34"/>
      <c r="AH696" s="34"/>
      <c r="AI696" s="34"/>
      <c r="AJ696" s="34"/>
      <c r="AK696" s="34"/>
      <c r="AL696" s="34"/>
      <c r="AM696" s="34"/>
      <c r="AN696" s="34"/>
      <c r="AO696" s="65"/>
      <c r="AP696" s="69"/>
      <c r="AQ696" s="62"/>
      <c r="AR696" s="34"/>
    </row>
    <row r="697" spans="1:48">
      <c r="A697" s="39">
        <v>44184</v>
      </c>
      <c r="B697" s="11" t="s">
        <v>23</v>
      </c>
      <c r="C697" s="16" t="s">
        <v>2928</v>
      </c>
      <c r="D697" s="16"/>
      <c r="E697" s="38">
        <v>24522</v>
      </c>
      <c r="F697" s="38"/>
      <c r="G697" s="10" t="s">
        <v>2929</v>
      </c>
      <c r="H697" s="12" t="s">
        <v>2930</v>
      </c>
      <c r="I697" s="13" t="s">
        <v>2931</v>
      </c>
      <c r="J697" s="15" t="s">
        <v>2932</v>
      </c>
      <c r="K697" s="12"/>
      <c r="L697" s="11" t="s">
        <v>36</v>
      </c>
      <c r="M697" s="15"/>
      <c r="N697" s="17">
        <v>16500</v>
      </c>
      <c r="O697" s="17"/>
      <c r="P697" s="17"/>
      <c r="Q697" s="48"/>
      <c r="R697" s="11"/>
      <c r="S697" s="48"/>
      <c r="T697" s="85"/>
      <c r="U697" s="88"/>
      <c r="V697" s="32" t="s">
        <v>2933</v>
      </c>
      <c r="W697" s="25" t="s">
        <v>48</v>
      </c>
      <c r="X697" s="11"/>
      <c r="Y697" s="50" t="s">
        <v>13</v>
      </c>
      <c r="Z697" s="50"/>
      <c r="AA697" s="50"/>
      <c r="AB697" s="50"/>
      <c r="AC697" s="50"/>
      <c r="AD697" s="50"/>
      <c r="AE697" s="50"/>
      <c r="AF697" s="34"/>
      <c r="AG697" s="34"/>
      <c r="AH697" s="34"/>
      <c r="AI697" s="34"/>
      <c r="AJ697" s="34"/>
      <c r="AK697" s="34"/>
      <c r="AL697" s="34"/>
      <c r="AM697" s="34"/>
      <c r="AN697" s="34"/>
      <c r="AO697" s="65"/>
      <c r="AP697" s="69"/>
      <c r="AQ697" s="62"/>
      <c r="AR697" s="34"/>
    </row>
    <row r="698" spans="1:48">
      <c r="A698" s="39">
        <v>44184</v>
      </c>
      <c r="B698" s="11" t="s">
        <v>22</v>
      </c>
      <c r="C698" s="16" t="s">
        <v>2909</v>
      </c>
      <c r="D698" s="16"/>
      <c r="E698" s="38">
        <v>27119</v>
      </c>
      <c r="F698" s="38"/>
      <c r="G698" s="10" t="s">
        <v>2910</v>
      </c>
      <c r="H698" s="12" t="s">
        <v>2911</v>
      </c>
      <c r="I698" s="13" t="s">
        <v>2818</v>
      </c>
      <c r="J698" s="15" t="s">
        <v>2908</v>
      </c>
      <c r="K698" s="14" t="s">
        <v>2907</v>
      </c>
      <c r="L698" s="11" t="s">
        <v>36</v>
      </c>
      <c r="M698" s="15"/>
      <c r="N698" s="17">
        <v>2750</v>
      </c>
      <c r="O698" s="17"/>
      <c r="P698" s="17"/>
      <c r="Q698" s="48"/>
      <c r="R698" s="11"/>
      <c r="S698" s="48"/>
      <c r="T698" s="85" t="s">
        <v>8079</v>
      </c>
      <c r="U698" s="88"/>
      <c r="V698" s="32" t="s">
        <v>2912</v>
      </c>
      <c r="W698" s="25" t="s">
        <v>8</v>
      </c>
      <c r="X698" s="11"/>
      <c r="Y698" s="50" t="s">
        <v>11</v>
      </c>
      <c r="Z698" s="50"/>
      <c r="AA698" s="50"/>
      <c r="AB698" s="50"/>
      <c r="AC698" s="50"/>
      <c r="AD698" s="50"/>
      <c r="AE698" s="50"/>
      <c r="AF698" s="34"/>
      <c r="AG698" s="34"/>
      <c r="AH698" s="34"/>
      <c r="AI698" s="34"/>
      <c r="AJ698" s="34"/>
      <c r="AK698" s="34"/>
      <c r="AL698" s="34"/>
      <c r="AM698" s="34"/>
      <c r="AN698" s="34"/>
      <c r="AO698" s="65"/>
      <c r="AP698" s="69"/>
      <c r="AQ698" s="62"/>
      <c r="AR698" s="34"/>
    </row>
    <row r="699" spans="1:48">
      <c r="A699" s="39">
        <v>44188</v>
      </c>
      <c r="B699" s="11" t="s">
        <v>49</v>
      </c>
      <c r="C699" s="16" t="s">
        <v>2046</v>
      </c>
      <c r="D699" s="16"/>
      <c r="E699" s="38"/>
      <c r="F699" s="38"/>
      <c r="G699" s="10"/>
      <c r="H699" s="12"/>
      <c r="I699" s="13"/>
      <c r="J699" s="15"/>
      <c r="K699" s="12"/>
      <c r="L699" s="11"/>
      <c r="M699" s="15"/>
      <c r="N699" s="17">
        <v>16500</v>
      </c>
      <c r="O699" s="17"/>
      <c r="P699" s="17"/>
      <c r="Q699" s="48"/>
      <c r="R699" s="11"/>
      <c r="S699" s="48"/>
      <c r="T699" s="85"/>
      <c r="U699" s="88"/>
      <c r="V699" s="32" t="s">
        <v>2936</v>
      </c>
      <c r="W699" s="25"/>
      <c r="X699" s="11"/>
      <c r="Y699" s="50"/>
      <c r="Z699" s="50"/>
      <c r="AA699" s="50"/>
      <c r="AB699" s="50"/>
      <c r="AC699" s="50"/>
      <c r="AD699" s="50"/>
      <c r="AE699" s="50"/>
      <c r="AF699" s="34"/>
      <c r="AG699" s="34"/>
      <c r="AH699" s="34"/>
      <c r="AI699" s="34"/>
      <c r="AJ699" s="34"/>
      <c r="AK699" s="34"/>
      <c r="AL699" s="34"/>
      <c r="AM699" s="34"/>
      <c r="AN699" s="34"/>
      <c r="AO699" s="65"/>
      <c r="AP699" s="69"/>
      <c r="AQ699" s="62"/>
      <c r="AR699" s="34"/>
    </row>
    <row r="700" spans="1:48">
      <c r="A700" s="39">
        <v>44188</v>
      </c>
      <c r="B700" s="11" t="s">
        <v>24</v>
      </c>
      <c r="C700" s="16" t="s">
        <v>2934</v>
      </c>
      <c r="D700" s="16"/>
      <c r="E700" s="38">
        <v>35140</v>
      </c>
      <c r="F700" s="38"/>
      <c r="G700" s="10"/>
      <c r="H700" s="12"/>
      <c r="I700" s="13"/>
      <c r="J700" s="15"/>
      <c r="K700" s="12"/>
      <c r="L700" s="11"/>
      <c r="M700" s="15"/>
      <c r="N700" s="17">
        <v>7700</v>
      </c>
      <c r="O700" s="17"/>
      <c r="P700" s="17"/>
      <c r="Q700" s="48"/>
      <c r="R700" s="11"/>
      <c r="S700" s="48"/>
      <c r="T700" s="85"/>
      <c r="U700" s="88"/>
      <c r="V700" s="32" t="s">
        <v>2935</v>
      </c>
      <c r="W700" s="25"/>
      <c r="X700" s="11"/>
      <c r="Y700" s="50"/>
      <c r="Z700" s="50"/>
      <c r="AA700" s="50"/>
      <c r="AB700" s="50"/>
      <c r="AC700" s="50"/>
      <c r="AD700" s="50"/>
      <c r="AE700" s="50"/>
      <c r="AF700" s="34"/>
      <c r="AG700" s="34"/>
      <c r="AH700" s="34"/>
      <c r="AI700" s="34"/>
      <c r="AJ700" s="34"/>
      <c r="AK700" s="34"/>
      <c r="AL700" s="34"/>
      <c r="AM700" s="34"/>
      <c r="AN700" s="34"/>
      <c r="AO700" s="65"/>
      <c r="AP700" s="69"/>
      <c r="AQ700" s="62"/>
      <c r="AR700" s="34"/>
    </row>
    <row r="701" spans="1:48" s="214" customFormat="1">
      <c r="A701" s="226">
        <v>44189</v>
      </c>
      <c r="B701" s="216" t="s">
        <v>49</v>
      </c>
      <c r="C701" s="56" t="s">
        <v>2941</v>
      </c>
      <c r="D701" s="56"/>
      <c r="E701" s="225">
        <v>26501</v>
      </c>
      <c r="F701" s="225"/>
      <c r="G701" s="224" t="s">
        <v>2942</v>
      </c>
      <c r="H701" s="217" t="s">
        <v>2943</v>
      </c>
      <c r="I701" s="223" t="s">
        <v>2944</v>
      </c>
      <c r="J701" s="222" t="s">
        <v>2945</v>
      </c>
      <c r="K701" s="217"/>
      <c r="L701" s="216" t="s">
        <v>34</v>
      </c>
      <c r="M701" s="222"/>
      <c r="N701" s="221">
        <v>14850</v>
      </c>
      <c r="O701" s="221"/>
      <c r="P701" s="221"/>
      <c r="Q701" s="218"/>
      <c r="R701" s="216"/>
      <c r="S701" s="218"/>
      <c r="T701" s="216"/>
      <c r="U701" s="56"/>
      <c r="V701" s="220" t="s">
        <v>2946</v>
      </c>
      <c r="W701" s="219" t="s">
        <v>8</v>
      </c>
      <c r="X701" s="216"/>
      <c r="Y701" s="56" t="s">
        <v>13</v>
      </c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218"/>
      <c r="AP701" s="217"/>
      <c r="AQ701" s="216"/>
      <c r="AR701" s="56"/>
      <c r="AS701" s="215"/>
      <c r="AT701" s="215"/>
      <c r="AU701" s="215"/>
      <c r="AV701" s="215"/>
    </row>
    <row r="702" spans="1:48">
      <c r="A702" s="39">
        <v>44189</v>
      </c>
      <c r="B702" s="11" t="s">
        <v>2170</v>
      </c>
      <c r="C702" s="16" t="s">
        <v>1836</v>
      </c>
      <c r="D702" s="16"/>
      <c r="E702" s="38"/>
      <c r="F702" s="38"/>
      <c r="G702" s="10"/>
      <c r="H702" s="12"/>
      <c r="I702" s="13"/>
      <c r="J702" s="15"/>
      <c r="K702" s="12"/>
      <c r="L702" s="11"/>
      <c r="M702" s="15"/>
      <c r="N702" s="17">
        <v>5000</v>
      </c>
      <c r="O702" s="17"/>
      <c r="P702" s="17"/>
      <c r="Q702" s="48"/>
      <c r="R702" s="11"/>
      <c r="S702" s="48"/>
      <c r="T702" s="85"/>
      <c r="U702" s="88"/>
      <c r="V702" s="32"/>
      <c r="W702" s="25"/>
      <c r="X702" s="11"/>
      <c r="Y702" s="50"/>
      <c r="Z702" s="50"/>
      <c r="AA702" s="50"/>
      <c r="AB702" s="50"/>
      <c r="AC702" s="50"/>
      <c r="AD702" s="50"/>
      <c r="AE702" s="50"/>
      <c r="AF702" s="34"/>
      <c r="AG702" s="34"/>
      <c r="AH702" s="34"/>
      <c r="AI702" s="34"/>
      <c r="AJ702" s="34"/>
      <c r="AK702" s="34"/>
      <c r="AL702" s="34"/>
      <c r="AM702" s="34"/>
      <c r="AN702" s="34"/>
      <c r="AO702" s="65"/>
      <c r="AP702" s="69"/>
      <c r="AQ702" s="62" t="s">
        <v>8079</v>
      </c>
      <c r="AR702" s="34"/>
    </row>
    <row r="703" spans="1:48">
      <c r="A703" s="39">
        <v>44189</v>
      </c>
      <c r="B703" s="11" t="s">
        <v>22</v>
      </c>
      <c r="C703" s="16" t="s">
        <v>2937</v>
      </c>
      <c r="D703" s="16"/>
      <c r="E703" s="38">
        <v>24172</v>
      </c>
      <c r="F703" s="38"/>
      <c r="G703" s="10" t="s">
        <v>280</v>
      </c>
      <c r="H703" s="12" t="s">
        <v>2938</v>
      </c>
      <c r="I703" s="13" t="s">
        <v>2939</v>
      </c>
      <c r="J703" s="15" t="s">
        <v>2940</v>
      </c>
      <c r="K703" s="12"/>
      <c r="L703" s="11" t="s">
        <v>36</v>
      </c>
      <c r="M703" s="15"/>
      <c r="N703" s="17">
        <v>2750</v>
      </c>
      <c r="O703" s="17"/>
      <c r="P703" s="17"/>
      <c r="Q703" s="48"/>
      <c r="R703" s="11"/>
      <c r="S703" s="48"/>
      <c r="T703" s="85" t="s">
        <v>8079</v>
      </c>
      <c r="U703" s="88"/>
      <c r="V703" s="32"/>
      <c r="W703" s="25" t="s">
        <v>48</v>
      </c>
      <c r="X703" s="11"/>
      <c r="Y703" s="50" t="s">
        <v>11</v>
      </c>
      <c r="Z703" s="50"/>
      <c r="AA703" s="50"/>
      <c r="AB703" s="50"/>
      <c r="AC703" s="50"/>
      <c r="AD703" s="50"/>
      <c r="AE703" s="50"/>
      <c r="AF703" s="34"/>
      <c r="AG703" s="34"/>
      <c r="AH703" s="34"/>
      <c r="AI703" s="34"/>
      <c r="AJ703" s="34"/>
      <c r="AK703" s="34"/>
      <c r="AL703" s="34"/>
      <c r="AM703" s="34"/>
      <c r="AN703" s="34"/>
      <c r="AO703" s="65"/>
      <c r="AP703" s="69"/>
      <c r="AQ703" s="62"/>
      <c r="AR703" s="34"/>
    </row>
    <row r="704" spans="1:48">
      <c r="A704" s="39">
        <v>44193</v>
      </c>
      <c r="B704" s="11" t="s">
        <v>49</v>
      </c>
      <c r="C704" s="16" t="s">
        <v>2947</v>
      </c>
      <c r="D704" s="16"/>
      <c r="E704" s="38">
        <v>24503</v>
      </c>
      <c r="F704" s="38"/>
      <c r="G704" s="10" t="s">
        <v>2948</v>
      </c>
      <c r="H704" s="12" t="s">
        <v>2949</v>
      </c>
      <c r="I704" s="13" t="s">
        <v>2950</v>
      </c>
      <c r="J704" s="15" t="s">
        <v>2951</v>
      </c>
      <c r="K704" s="12"/>
      <c r="L704" s="11" t="s">
        <v>33</v>
      </c>
      <c r="M704" s="15"/>
      <c r="N704" s="17">
        <v>16500</v>
      </c>
      <c r="O704" s="17"/>
      <c r="P704" s="17"/>
      <c r="Q704" s="48"/>
      <c r="R704" s="11"/>
      <c r="S704" s="48"/>
      <c r="T704" s="85"/>
      <c r="U704" s="88"/>
      <c r="V704" s="32"/>
      <c r="W704" s="25"/>
      <c r="X704" s="11"/>
      <c r="Y704" s="50"/>
      <c r="Z704" s="50"/>
      <c r="AA704" s="50"/>
      <c r="AB704" s="50"/>
      <c r="AC704" s="50"/>
      <c r="AD704" s="50"/>
      <c r="AE704" s="50"/>
      <c r="AF704" s="34"/>
      <c r="AG704" s="34"/>
      <c r="AH704" s="34"/>
      <c r="AI704" s="34"/>
      <c r="AJ704" s="34"/>
      <c r="AK704" s="34"/>
      <c r="AL704" s="34"/>
      <c r="AM704" s="34"/>
      <c r="AN704" s="34"/>
      <c r="AO704" s="65"/>
      <c r="AP704" s="69"/>
      <c r="AQ704" s="62"/>
      <c r="AR704" s="34"/>
    </row>
    <row r="705" spans="1:44" customFormat="1">
      <c r="A705" s="39">
        <v>44193</v>
      </c>
      <c r="B705" s="11" t="s">
        <v>49</v>
      </c>
      <c r="C705" s="16" t="s">
        <v>2952</v>
      </c>
      <c r="D705" s="16"/>
      <c r="E705" s="38">
        <v>43900</v>
      </c>
      <c r="F705" s="38"/>
      <c r="G705" s="10" t="s">
        <v>2953</v>
      </c>
      <c r="H705" s="12" t="s">
        <v>2954</v>
      </c>
      <c r="I705" s="13" t="s">
        <v>2955</v>
      </c>
      <c r="J705" s="15" t="s">
        <v>2956</v>
      </c>
      <c r="K705" s="12"/>
      <c r="L705" s="11"/>
      <c r="M705" s="15"/>
      <c r="N705" s="17">
        <v>16500</v>
      </c>
      <c r="O705" s="17"/>
      <c r="P705" s="17"/>
      <c r="Q705" s="48"/>
      <c r="R705" s="11"/>
      <c r="S705" s="48"/>
      <c r="T705" s="85"/>
      <c r="U705" s="88"/>
      <c r="V705" s="32"/>
      <c r="W705" s="25" t="s">
        <v>48</v>
      </c>
      <c r="X705" s="11"/>
      <c r="Y705" s="50" t="s">
        <v>13</v>
      </c>
      <c r="Z705" s="50"/>
      <c r="AA705" s="50"/>
      <c r="AB705" s="50"/>
      <c r="AC705" s="50"/>
      <c r="AD705" s="50"/>
      <c r="AE705" s="50"/>
      <c r="AF705" s="34"/>
      <c r="AG705" s="34"/>
      <c r="AH705" s="34"/>
      <c r="AI705" s="34"/>
      <c r="AJ705" s="34"/>
      <c r="AK705" s="34"/>
      <c r="AL705" s="34"/>
      <c r="AM705" s="34"/>
      <c r="AN705" s="34"/>
      <c r="AO705" s="65"/>
      <c r="AP705" s="69"/>
      <c r="AQ705" s="62"/>
      <c r="AR705" s="34"/>
    </row>
    <row r="706" spans="1:44" customFormat="1">
      <c r="A706" s="39">
        <v>44200</v>
      </c>
      <c r="B706" s="11" t="s">
        <v>22</v>
      </c>
      <c r="C706" s="16" t="s">
        <v>2959</v>
      </c>
      <c r="D706" s="16"/>
      <c r="E706" s="38">
        <v>25582</v>
      </c>
      <c r="F706" s="38"/>
      <c r="G706" s="10" t="s">
        <v>78</v>
      </c>
      <c r="H706" s="12" t="s">
        <v>2960</v>
      </c>
      <c r="I706" s="13" t="s">
        <v>2580</v>
      </c>
      <c r="J706" s="15" t="s">
        <v>2961</v>
      </c>
      <c r="K706" s="12"/>
      <c r="L706" s="11" t="s">
        <v>34</v>
      </c>
      <c r="M706" s="15"/>
      <c r="N706" s="17">
        <v>2750</v>
      </c>
      <c r="O706" s="17"/>
      <c r="P706" s="17"/>
      <c r="Q706" s="48"/>
      <c r="R706" s="11"/>
      <c r="S706" s="48"/>
      <c r="T706" s="85"/>
      <c r="U706" s="90">
        <v>44374</v>
      </c>
      <c r="V706" s="32"/>
      <c r="W706" s="25" t="s">
        <v>10</v>
      </c>
      <c r="X706" s="11"/>
      <c r="Y706" s="50" t="s">
        <v>21</v>
      </c>
      <c r="Z706" s="50"/>
      <c r="AA706" s="50"/>
      <c r="AB706" s="50"/>
      <c r="AC706" s="50"/>
      <c r="AD706" s="50"/>
      <c r="AE706" s="50"/>
      <c r="AF706" s="34"/>
      <c r="AG706" s="34"/>
      <c r="AH706" s="34"/>
      <c r="AI706" s="34"/>
      <c r="AJ706" s="34"/>
      <c r="AK706" s="34"/>
      <c r="AL706" s="34"/>
      <c r="AM706" s="34"/>
      <c r="AN706" s="34"/>
      <c r="AO706" s="65"/>
      <c r="AP706" s="69"/>
      <c r="AQ706" s="62"/>
      <c r="AR706" s="34"/>
    </row>
    <row r="707" spans="1:44" customFormat="1">
      <c r="A707" s="39">
        <v>44200</v>
      </c>
      <c r="B707" s="11" t="s">
        <v>22</v>
      </c>
      <c r="C707" s="16" t="s">
        <v>2962</v>
      </c>
      <c r="D707" s="16"/>
      <c r="E707" s="38">
        <v>34490</v>
      </c>
      <c r="F707" s="82"/>
      <c r="G707" s="23" t="s">
        <v>2965</v>
      </c>
      <c r="H707" s="12" t="s">
        <v>2963</v>
      </c>
      <c r="I707" s="13" t="s">
        <v>2964</v>
      </c>
      <c r="J707" s="15" t="s">
        <v>2966</v>
      </c>
      <c r="K707" s="12"/>
      <c r="L707" s="11" t="s">
        <v>35</v>
      </c>
      <c r="M707" s="15"/>
      <c r="N707" s="17">
        <v>2750</v>
      </c>
      <c r="O707" s="17"/>
      <c r="P707" s="17"/>
      <c r="Q707" s="48"/>
      <c r="R707" s="11"/>
      <c r="S707" s="48"/>
      <c r="T707" s="85"/>
      <c r="U707" s="90">
        <v>44374</v>
      </c>
      <c r="V707" s="32" t="s">
        <v>2967</v>
      </c>
      <c r="W707" s="25" t="s">
        <v>8</v>
      </c>
      <c r="X707" s="11"/>
      <c r="Y707" s="50" t="s">
        <v>17</v>
      </c>
      <c r="Z707" s="50"/>
      <c r="AA707" s="50"/>
      <c r="AB707" s="50"/>
      <c r="AC707" s="50"/>
      <c r="AD707" s="50"/>
      <c r="AE707" s="50"/>
      <c r="AF707" s="34"/>
      <c r="AG707" s="34"/>
      <c r="AH707" s="34"/>
      <c r="AI707" s="34"/>
      <c r="AJ707" s="34"/>
      <c r="AK707" s="34"/>
      <c r="AL707" s="34"/>
      <c r="AM707" s="34"/>
      <c r="AN707" s="34"/>
      <c r="AO707" s="65"/>
      <c r="AP707" s="69"/>
      <c r="AQ707" s="62"/>
      <c r="AR707" s="79">
        <v>44374</v>
      </c>
    </row>
    <row r="708" spans="1:44" customFormat="1">
      <c r="A708" s="39">
        <v>44200</v>
      </c>
      <c r="B708" s="11" t="s">
        <v>22</v>
      </c>
      <c r="C708" s="16" t="s">
        <v>2968</v>
      </c>
      <c r="D708" s="16"/>
      <c r="E708" s="38">
        <v>31990</v>
      </c>
      <c r="F708" s="38"/>
      <c r="G708" s="10" t="s">
        <v>155</v>
      </c>
      <c r="H708" s="12" t="s">
        <v>2969</v>
      </c>
      <c r="I708" s="13" t="s">
        <v>2801</v>
      </c>
      <c r="J708" s="15" t="s">
        <v>2970</v>
      </c>
      <c r="K708" s="12"/>
      <c r="L708" s="11" t="s">
        <v>35</v>
      </c>
      <c r="M708" s="15"/>
      <c r="N708" s="17">
        <v>2750</v>
      </c>
      <c r="O708" s="17"/>
      <c r="P708" s="17"/>
      <c r="Q708" s="48"/>
      <c r="R708" s="11"/>
      <c r="S708" s="48"/>
      <c r="T708" s="85"/>
      <c r="U708" s="90">
        <v>44374</v>
      </c>
      <c r="V708" s="32" t="s">
        <v>2967</v>
      </c>
      <c r="W708" s="25" t="s">
        <v>8</v>
      </c>
      <c r="X708" s="11"/>
      <c r="Y708" s="50" t="s">
        <v>17</v>
      </c>
      <c r="Z708" s="50"/>
      <c r="AA708" s="50"/>
      <c r="AB708" s="50"/>
      <c r="AC708" s="50"/>
      <c r="AD708" s="50"/>
      <c r="AE708" s="50"/>
      <c r="AF708" s="34"/>
      <c r="AG708" s="34"/>
      <c r="AH708" s="34"/>
      <c r="AI708" s="34"/>
      <c r="AJ708" s="34"/>
      <c r="AK708" s="34"/>
      <c r="AL708" s="34"/>
      <c r="AM708" s="34"/>
      <c r="AN708" s="34"/>
      <c r="AO708" s="65"/>
      <c r="AP708" s="69"/>
      <c r="AQ708" s="62"/>
      <c r="AR708" s="79">
        <v>44374</v>
      </c>
    </row>
    <row r="709" spans="1:44" customFormat="1">
      <c r="A709" s="39">
        <v>44203</v>
      </c>
      <c r="B709" s="11" t="s">
        <v>22</v>
      </c>
      <c r="C709" s="16" t="s">
        <v>2971</v>
      </c>
      <c r="D709" s="16"/>
      <c r="E709" s="38">
        <v>27285</v>
      </c>
      <c r="F709" s="38"/>
      <c r="G709" s="10" t="s">
        <v>2972</v>
      </c>
      <c r="H709" s="12" t="s">
        <v>2973</v>
      </c>
      <c r="I709" s="13" t="s">
        <v>2974</v>
      </c>
      <c r="J709" s="15" t="s">
        <v>2975</v>
      </c>
      <c r="K709" s="12"/>
      <c r="L709" s="11" t="s">
        <v>34</v>
      </c>
      <c r="M709" s="15"/>
      <c r="N709" s="17">
        <v>2750</v>
      </c>
      <c r="O709" s="17"/>
      <c r="P709" s="17"/>
      <c r="Q709" s="48"/>
      <c r="R709" s="11"/>
      <c r="S709" s="48"/>
      <c r="T709" s="85"/>
      <c r="U709" s="90">
        <v>44374</v>
      </c>
      <c r="V709" s="32"/>
      <c r="W709" s="25"/>
      <c r="X709" s="11"/>
      <c r="Y709" s="50"/>
      <c r="Z709" s="50"/>
      <c r="AA709" s="50"/>
      <c r="AB709" s="50"/>
      <c r="AC709" s="50"/>
      <c r="AD709" s="50"/>
      <c r="AE709" s="50"/>
      <c r="AF709" s="34"/>
      <c r="AG709" s="34"/>
      <c r="AH709" s="34"/>
      <c r="AI709" s="34"/>
      <c r="AJ709" s="34"/>
      <c r="AK709" s="34"/>
      <c r="AL709" s="34"/>
      <c r="AM709" s="34"/>
      <c r="AN709" s="34"/>
      <c r="AO709" s="65"/>
      <c r="AP709" s="69"/>
      <c r="AQ709" s="62"/>
      <c r="AR709" s="79">
        <v>44374</v>
      </c>
    </row>
    <row r="710" spans="1:44" customFormat="1">
      <c r="A710" s="39">
        <v>44205</v>
      </c>
      <c r="B710" s="11" t="s">
        <v>22</v>
      </c>
      <c r="C710" s="16" t="s">
        <v>2976</v>
      </c>
      <c r="D710" s="16"/>
      <c r="E710" s="38">
        <v>22416</v>
      </c>
      <c r="F710" s="38"/>
      <c r="G710" s="10" t="s">
        <v>551</v>
      </c>
      <c r="H710" s="12" t="s">
        <v>2977</v>
      </c>
      <c r="I710" s="13" t="s">
        <v>2025</v>
      </c>
      <c r="J710" s="15" t="s">
        <v>2978</v>
      </c>
      <c r="K710" s="12"/>
      <c r="L710" s="11" t="s">
        <v>36</v>
      </c>
      <c r="M710" s="15"/>
      <c r="N710" s="17">
        <v>2750</v>
      </c>
      <c r="O710" s="17"/>
      <c r="P710" s="17"/>
      <c r="Q710" s="48"/>
      <c r="R710" s="11"/>
      <c r="S710" s="48"/>
      <c r="T710" s="85"/>
      <c r="U710" s="90">
        <v>44374</v>
      </c>
      <c r="V710" s="32"/>
      <c r="W710" s="25" t="s">
        <v>48</v>
      </c>
      <c r="X710" s="11"/>
      <c r="Y710" s="50" t="s">
        <v>15</v>
      </c>
      <c r="Z710" s="50"/>
      <c r="AA710" s="50"/>
      <c r="AB710" s="50"/>
      <c r="AC710" s="50"/>
      <c r="AD710" s="50"/>
      <c r="AE710" s="50"/>
      <c r="AF710" s="34"/>
      <c r="AG710" s="34"/>
      <c r="AH710" s="34"/>
      <c r="AI710" s="34"/>
      <c r="AJ710" s="34"/>
      <c r="AK710" s="34"/>
      <c r="AL710" s="34"/>
      <c r="AM710" s="34"/>
      <c r="AN710" s="34"/>
      <c r="AO710" s="65"/>
      <c r="AP710" s="69"/>
      <c r="AQ710" s="62"/>
      <c r="AR710" s="79">
        <v>44374</v>
      </c>
    </row>
    <row r="711" spans="1:44" customFormat="1">
      <c r="A711" s="39">
        <v>44209</v>
      </c>
      <c r="B711" s="11" t="s">
        <v>22</v>
      </c>
      <c r="C711" s="16" t="s">
        <v>2979</v>
      </c>
      <c r="D711" s="16"/>
      <c r="E711" s="38">
        <v>25590</v>
      </c>
      <c r="F711" s="38"/>
      <c r="G711" s="10" t="s">
        <v>1413</v>
      </c>
      <c r="H711" s="12" t="s">
        <v>2981</v>
      </c>
      <c r="I711" s="13" t="s">
        <v>2571</v>
      </c>
      <c r="J711" s="15" t="s">
        <v>2983</v>
      </c>
      <c r="K711" s="14" t="s">
        <v>2982</v>
      </c>
      <c r="L711" s="11" t="s">
        <v>36</v>
      </c>
      <c r="M711" s="15"/>
      <c r="N711" s="17">
        <v>2750</v>
      </c>
      <c r="O711" s="17"/>
      <c r="P711" s="17"/>
      <c r="Q711" s="48"/>
      <c r="R711" s="11"/>
      <c r="S711" s="48"/>
      <c r="T711" s="85"/>
      <c r="U711" s="90">
        <v>44374</v>
      </c>
      <c r="V711" s="32"/>
      <c r="W711" s="25" t="s">
        <v>48</v>
      </c>
      <c r="X711" s="11"/>
      <c r="Y711" s="50" t="s">
        <v>11</v>
      </c>
      <c r="Z711" s="50"/>
      <c r="AA711" s="50"/>
      <c r="AB711" s="50"/>
      <c r="AC711" s="50"/>
      <c r="AD711" s="50"/>
      <c r="AE711" s="50"/>
      <c r="AF711" s="34"/>
      <c r="AG711" s="34"/>
      <c r="AH711" s="34"/>
      <c r="AI711" s="34"/>
      <c r="AJ711" s="34"/>
      <c r="AK711" s="34"/>
      <c r="AL711" s="34"/>
      <c r="AM711" s="34"/>
      <c r="AN711" s="34"/>
      <c r="AO711" s="65"/>
      <c r="AP711" s="69"/>
      <c r="AQ711" s="62"/>
      <c r="AR711" s="79">
        <v>44374</v>
      </c>
    </row>
    <row r="712" spans="1:44" customFormat="1">
      <c r="A712" s="39">
        <v>44209</v>
      </c>
      <c r="B712" s="11" t="s">
        <v>22</v>
      </c>
      <c r="C712" s="16" t="s">
        <v>2980</v>
      </c>
      <c r="D712" s="16"/>
      <c r="E712" s="38">
        <v>27629</v>
      </c>
      <c r="F712" s="38"/>
      <c r="G712" s="10" t="s">
        <v>2984</v>
      </c>
      <c r="H712" s="12" t="s">
        <v>2985</v>
      </c>
      <c r="I712" s="13" t="s">
        <v>2069</v>
      </c>
      <c r="J712" s="15" t="s">
        <v>2986</v>
      </c>
      <c r="K712" s="12"/>
      <c r="L712" s="11" t="s">
        <v>36</v>
      </c>
      <c r="M712" s="15"/>
      <c r="N712" s="17">
        <v>2750</v>
      </c>
      <c r="O712" s="17"/>
      <c r="P712" s="17"/>
      <c r="Q712" s="48"/>
      <c r="R712" s="11"/>
      <c r="S712" s="48"/>
      <c r="T712" s="85"/>
      <c r="U712" s="90">
        <v>44374</v>
      </c>
      <c r="V712" s="32"/>
      <c r="W712" s="25" t="s">
        <v>10</v>
      </c>
      <c r="X712" s="11"/>
      <c r="Y712" s="50" t="s">
        <v>13</v>
      </c>
      <c r="Z712" s="50"/>
      <c r="AA712" s="50"/>
      <c r="AB712" s="50"/>
      <c r="AC712" s="50"/>
      <c r="AD712" s="50"/>
      <c r="AE712" s="50"/>
      <c r="AF712" s="34"/>
      <c r="AG712" s="34"/>
      <c r="AH712" s="34"/>
      <c r="AI712" s="34"/>
      <c r="AJ712" s="34"/>
      <c r="AK712" s="34"/>
      <c r="AL712" s="34"/>
      <c r="AM712" s="34"/>
      <c r="AN712" s="34"/>
      <c r="AO712" s="65"/>
      <c r="AP712" s="69"/>
      <c r="AQ712" s="62"/>
      <c r="AR712" s="79">
        <v>44374</v>
      </c>
    </row>
    <row r="713" spans="1:44" customFormat="1">
      <c r="A713" s="39">
        <v>44212</v>
      </c>
      <c r="B713" s="11" t="s">
        <v>22</v>
      </c>
      <c r="C713" s="16" t="s">
        <v>2987</v>
      </c>
      <c r="D713" s="16"/>
      <c r="E713" s="38">
        <v>26438</v>
      </c>
      <c r="F713" s="38"/>
      <c r="G713" s="10" t="s">
        <v>426</v>
      </c>
      <c r="H713" s="12" t="s">
        <v>2989</v>
      </c>
      <c r="I713" s="13" t="s">
        <v>2990</v>
      </c>
      <c r="J713" s="15" t="s">
        <v>2992</v>
      </c>
      <c r="K713" s="12"/>
      <c r="L713" s="11" t="s">
        <v>33</v>
      </c>
      <c r="M713" s="15"/>
      <c r="N713" s="17">
        <v>2750</v>
      </c>
      <c r="O713" s="17"/>
      <c r="P713" s="17"/>
      <c r="Q713" s="48"/>
      <c r="R713" s="11"/>
      <c r="S713" s="48"/>
      <c r="T713" s="85"/>
      <c r="U713" s="90">
        <v>44389</v>
      </c>
      <c r="V713" s="32"/>
      <c r="W713" s="25" t="s">
        <v>10</v>
      </c>
      <c r="X713" s="11"/>
      <c r="Y713" s="50" t="s">
        <v>11</v>
      </c>
      <c r="Z713" s="50"/>
      <c r="AA713" s="50"/>
      <c r="AB713" s="50"/>
      <c r="AC713" s="50"/>
      <c r="AD713" s="50"/>
      <c r="AE713" s="50"/>
      <c r="AF713" s="34"/>
      <c r="AG713" s="34"/>
      <c r="AH713" s="34"/>
      <c r="AI713" s="34"/>
      <c r="AJ713" s="34"/>
      <c r="AK713" s="34"/>
      <c r="AL713" s="34"/>
      <c r="AM713" s="34"/>
      <c r="AN713" s="34"/>
      <c r="AO713" s="65"/>
      <c r="AP713" s="69"/>
      <c r="AQ713" s="62"/>
      <c r="AR713" s="79">
        <v>44374</v>
      </c>
    </row>
    <row r="714" spans="1:44" customFormat="1">
      <c r="A714" s="39">
        <v>44212</v>
      </c>
      <c r="B714" s="11" t="s">
        <v>22</v>
      </c>
      <c r="C714" s="16" t="s">
        <v>2988</v>
      </c>
      <c r="D714" s="16"/>
      <c r="E714" s="38">
        <v>27212</v>
      </c>
      <c r="F714" s="38"/>
      <c r="G714" s="10" t="s">
        <v>426</v>
      </c>
      <c r="H714" s="12" t="s">
        <v>2989</v>
      </c>
      <c r="I714" s="13" t="s">
        <v>2990</v>
      </c>
      <c r="J714" s="15" t="s">
        <v>2993</v>
      </c>
      <c r="K714" s="14" t="s">
        <v>2991</v>
      </c>
      <c r="L714" s="11" t="s">
        <v>36</v>
      </c>
      <c r="M714" s="15"/>
      <c r="N714" s="17">
        <v>2750</v>
      </c>
      <c r="O714" s="17"/>
      <c r="P714" s="17"/>
      <c r="Q714" s="48"/>
      <c r="R714" s="11"/>
      <c r="S714" s="48"/>
      <c r="T714" s="85"/>
      <c r="U714" s="90">
        <v>44389</v>
      </c>
      <c r="V714" s="32"/>
      <c r="W714" s="25" t="s">
        <v>48</v>
      </c>
      <c r="X714" s="11"/>
      <c r="Y714" s="50" t="s">
        <v>12</v>
      </c>
      <c r="Z714" s="50"/>
      <c r="AA714" s="50"/>
      <c r="AB714" s="50"/>
      <c r="AC714" s="50"/>
      <c r="AD714" s="50"/>
      <c r="AE714" s="50"/>
      <c r="AF714" s="34"/>
      <c r="AG714" s="34"/>
      <c r="AH714" s="34"/>
      <c r="AI714" s="34"/>
      <c r="AJ714" s="34"/>
      <c r="AK714" s="34"/>
      <c r="AL714" s="34"/>
      <c r="AM714" s="34"/>
      <c r="AN714" s="34"/>
      <c r="AO714" s="65"/>
      <c r="AP714" s="69"/>
      <c r="AQ714" s="62"/>
      <c r="AR714" s="79">
        <v>44389</v>
      </c>
    </row>
    <row r="715" spans="1:44" customFormat="1">
      <c r="A715" s="39">
        <v>44212</v>
      </c>
      <c r="B715" s="11" t="s">
        <v>22</v>
      </c>
      <c r="C715" s="16" t="s">
        <v>2994</v>
      </c>
      <c r="D715" s="16"/>
      <c r="E715" s="38">
        <v>40907</v>
      </c>
      <c r="F715" s="38"/>
      <c r="G715" s="10" t="s">
        <v>636</v>
      </c>
      <c r="H715" s="12" t="s">
        <v>2456</v>
      </c>
      <c r="I715" s="13" t="s">
        <v>2069</v>
      </c>
      <c r="J715" s="15" t="s">
        <v>2458</v>
      </c>
      <c r="K715" s="12"/>
      <c r="L715" s="11" t="s">
        <v>38</v>
      </c>
      <c r="M715" s="15"/>
      <c r="N715" s="17">
        <v>2750</v>
      </c>
      <c r="O715" s="17"/>
      <c r="P715" s="17"/>
      <c r="Q715" s="48"/>
      <c r="R715" s="11"/>
      <c r="S715" s="48"/>
      <c r="T715" s="85"/>
      <c r="U715" s="88"/>
      <c r="V715" s="32" t="s">
        <v>2995</v>
      </c>
      <c r="W715" s="25"/>
      <c r="X715" s="11"/>
      <c r="Y715" s="50"/>
      <c r="Z715" s="50"/>
      <c r="AA715" s="50"/>
      <c r="AB715" s="50"/>
      <c r="AC715" s="50"/>
      <c r="AD715" s="50"/>
      <c r="AE715" s="50"/>
      <c r="AF715" s="34"/>
      <c r="AG715" s="34"/>
      <c r="AH715" s="34"/>
      <c r="AI715" s="34"/>
      <c r="AJ715" s="34"/>
      <c r="AK715" s="34"/>
      <c r="AL715" s="34"/>
      <c r="AM715" s="34"/>
      <c r="AN715" s="34"/>
      <c r="AO715" s="65"/>
      <c r="AP715" s="69"/>
      <c r="AQ715" s="62"/>
      <c r="AR715" s="79">
        <v>44389</v>
      </c>
    </row>
    <row r="716" spans="1:44" customFormat="1">
      <c r="A716" s="39">
        <v>44213</v>
      </c>
      <c r="B716" s="11" t="s">
        <v>2170</v>
      </c>
      <c r="C716" s="16" t="s">
        <v>2994</v>
      </c>
      <c r="D716" s="16"/>
      <c r="E716" s="38"/>
      <c r="F716" s="38"/>
      <c r="G716" s="10"/>
      <c r="H716" s="12"/>
      <c r="I716" s="13"/>
      <c r="J716" s="15"/>
      <c r="K716" s="12"/>
      <c r="L716" s="11"/>
      <c r="M716" s="15"/>
      <c r="N716" s="17">
        <v>3300</v>
      </c>
      <c r="O716" s="17"/>
      <c r="P716" s="17"/>
      <c r="Q716" s="48"/>
      <c r="R716" s="11"/>
      <c r="S716" s="48"/>
      <c r="T716" s="85"/>
      <c r="U716" s="88"/>
      <c r="V716" s="32" t="s">
        <v>2995</v>
      </c>
      <c r="W716" s="25"/>
      <c r="X716" s="11"/>
      <c r="Y716" s="50"/>
      <c r="Z716" s="50"/>
      <c r="AA716" s="50"/>
      <c r="AB716" s="50"/>
      <c r="AC716" s="50"/>
      <c r="AD716" s="50"/>
      <c r="AE716" s="50"/>
      <c r="AF716" s="34"/>
      <c r="AG716" s="34"/>
      <c r="AH716" s="34"/>
      <c r="AI716" s="34"/>
      <c r="AJ716" s="34"/>
      <c r="AK716" s="34"/>
      <c r="AL716" s="34"/>
      <c r="AM716" s="34"/>
      <c r="AN716" s="34"/>
      <c r="AO716" s="65"/>
      <c r="AP716" s="69"/>
      <c r="AQ716" s="62"/>
      <c r="AR716" s="34"/>
    </row>
    <row r="717" spans="1:44" customFormat="1">
      <c r="A717" s="39">
        <v>44213</v>
      </c>
      <c r="B717" s="11" t="s">
        <v>22</v>
      </c>
      <c r="C717" s="16" t="s">
        <v>2996</v>
      </c>
      <c r="D717" s="16"/>
      <c r="E717" s="38">
        <v>26458</v>
      </c>
      <c r="F717" s="38"/>
      <c r="G717" s="10" t="s">
        <v>636</v>
      </c>
      <c r="H717" s="12" t="s">
        <v>2456</v>
      </c>
      <c r="I717" s="13" t="s">
        <v>2069</v>
      </c>
      <c r="J717" s="15" t="s">
        <v>2997</v>
      </c>
      <c r="K717" s="12"/>
      <c r="L717" s="11" t="s">
        <v>33</v>
      </c>
      <c r="M717" s="15"/>
      <c r="N717" s="17">
        <v>2750</v>
      </c>
      <c r="O717" s="17"/>
      <c r="P717" s="17"/>
      <c r="Q717" s="48"/>
      <c r="R717" s="11"/>
      <c r="S717" s="48"/>
      <c r="T717" s="85"/>
      <c r="U717" s="88"/>
      <c r="V717" s="32" t="s">
        <v>3002</v>
      </c>
      <c r="W717" s="25" t="s">
        <v>8</v>
      </c>
      <c r="X717" s="11"/>
      <c r="Y717" s="50" t="s">
        <v>17</v>
      </c>
      <c r="Z717" s="50"/>
      <c r="AA717" s="50"/>
      <c r="AB717" s="50"/>
      <c r="AC717" s="50"/>
      <c r="AD717" s="50"/>
      <c r="AE717" s="50"/>
      <c r="AF717" s="34"/>
      <c r="AG717" s="34"/>
      <c r="AH717" s="34"/>
      <c r="AI717" s="34"/>
      <c r="AJ717" s="34"/>
      <c r="AK717" s="34"/>
      <c r="AL717" s="34"/>
      <c r="AM717" s="34"/>
      <c r="AN717" s="34"/>
      <c r="AO717" s="65"/>
      <c r="AP717" s="69"/>
      <c r="AQ717" s="62"/>
      <c r="AR717" s="34"/>
    </row>
    <row r="718" spans="1:44" customFormat="1">
      <c r="A718" s="39">
        <v>44213</v>
      </c>
      <c r="B718" s="11" t="s">
        <v>22</v>
      </c>
      <c r="C718" s="16" t="s">
        <v>2998</v>
      </c>
      <c r="D718" s="16"/>
      <c r="E718" s="38">
        <v>34009</v>
      </c>
      <c r="F718" s="38"/>
      <c r="G718" s="10" t="s">
        <v>1781</v>
      </c>
      <c r="H718" s="12" t="s">
        <v>2999</v>
      </c>
      <c r="I718" s="13" t="s">
        <v>3000</v>
      </c>
      <c r="J718" s="15" t="s">
        <v>3001</v>
      </c>
      <c r="K718" s="12"/>
      <c r="L718" s="11" t="s">
        <v>36</v>
      </c>
      <c r="M718" s="15"/>
      <c r="N718" s="17">
        <v>2750</v>
      </c>
      <c r="O718" s="17"/>
      <c r="P718" s="17"/>
      <c r="Q718" s="48"/>
      <c r="R718" s="11"/>
      <c r="S718" s="48"/>
      <c r="T718" s="85"/>
      <c r="U718" s="90">
        <v>44389</v>
      </c>
      <c r="V718" s="32"/>
      <c r="W718" s="25" t="s">
        <v>10</v>
      </c>
      <c r="X718" s="11"/>
      <c r="Y718" s="50" t="s">
        <v>18</v>
      </c>
      <c r="Z718" s="50"/>
      <c r="AA718" s="50"/>
      <c r="AB718" s="50"/>
      <c r="AC718" s="50"/>
      <c r="AD718" s="50"/>
      <c r="AE718" s="50"/>
      <c r="AF718" s="34"/>
      <c r="AG718" s="34"/>
      <c r="AH718" s="34"/>
      <c r="AI718" s="34"/>
      <c r="AJ718" s="34"/>
      <c r="AK718" s="34"/>
      <c r="AL718" s="34"/>
      <c r="AM718" s="34"/>
      <c r="AN718" s="34"/>
      <c r="AO718" s="65"/>
      <c r="AP718" s="69"/>
      <c r="AQ718" s="62"/>
      <c r="AR718" s="34"/>
    </row>
    <row r="719" spans="1:44" customFormat="1">
      <c r="A719" s="39">
        <v>44213</v>
      </c>
      <c r="B719" s="11" t="s">
        <v>49</v>
      </c>
      <c r="C719" s="16" t="s">
        <v>3003</v>
      </c>
      <c r="D719" s="16"/>
      <c r="E719" s="38">
        <v>30273</v>
      </c>
      <c r="F719" s="38"/>
      <c r="G719" s="10" t="s">
        <v>3004</v>
      </c>
      <c r="H719" s="12" t="s">
        <v>3005</v>
      </c>
      <c r="I719" s="13" t="s">
        <v>3006</v>
      </c>
      <c r="J719" s="15" t="s">
        <v>3007</v>
      </c>
      <c r="K719" s="14" t="s">
        <v>3008</v>
      </c>
      <c r="L719" s="11" t="s">
        <v>33</v>
      </c>
      <c r="M719" s="15"/>
      <c r="N719" s="17">
        <v>22000</v>
      </c>
      <c r="O719" s="17"/>
      <c r="P719" s="17"/>
      <c r="Q719" s="48"/>
      <c r="R719" s="11"/>
      <c r="S719" s="48"/>
      <c r="T719" s="85"/>
      <c r="U719" s="88"/>
      <c r="V719" s="32"/>
      <c r="W719" s="25" t="s">
        <v>48</v>
      </c>
      <c r="X719" s="11"/>
      <c r="Y719" s="50" t="s">
        <v>13</v>
      </c>
      <c r="Z719" s="50"/>
      <c r="AA719" s="50"/>
      <c r="AB719" s="50"/>
      <c r="AC719" s="50"/>
      <c r="AD719" s="50"/>
      <c r="AE719" s="50"/>
      <c r="AF719" s="34"/>
      <c r="AG719" s="34"/>
      <c r="AH719" s="34"/>
      <c r="AI719" s="34"/>
      <c r="AJ719" s="34"/>
      <c r="AK719" s="34"/>
      <c r="AL719" s="34"/>
      <c r="AM719" s="34"/>
      <c r="AN719" s="34"/>
      <c r="AO719" s="65"/>
      <c r="AP719" s="69"/>
      <c r="AQ719" s="62"/>
      <c r="AR719" s="79">
        <v>44389</v>
      </c>
    </row>
    <row r="720" spans="1:44" customFormat="1">
      <c r="A720" s="39">
        <v>44216</v>
      </c>
      <c r="B720" s="11" t="s">
        <v>2170</v>
      </c>
      <c r="C720" s="16" t="s">
        <v>2994</v>
      </c>
      <c r="D720" s="16"/>
      <c r="E720" s="38"/>
      <c r="F720" s="38"/>
      <c r="G720" s="10"/>
      <c r="H720" s="12"/>
      <c r="I720" s="13"/>
      <c r="J720" s="15"/>
      <c r="K720" s="12"/>
      <c r="L720" s="11"/>
      <c r="M720" s="15"/>
      <c r="N720" s="17">
        <v>3300</v>
      </c>
      <c r="O720" s="17"/>
      <c r="P720" s="17"/>
      <c r="Q720" s="48"/>
      <c r="R720" s="11"/>
      <c r="S720" s="48"/>
      <c r="T720" s="85"/>
      <c r="U720" s="88"/>
      <c r="V720" s="32" t="s">
        <v>2995</v>
      </c>
      <c r="W720" s="25"/>
      <c r="X720" s="11"/>
      <c r="Y720" s="50"/>
      <c r="Z720" s="50"/>
      <c r="AA720" s="50"/>
      <c r="AB720" s="50"/>
      <c r="AC720" s="50"/>
      <c r="AD720" s="50"/>
      <c r="AE720" s="50"/>
      <c r="AF720" s="34"/>
      <c r="AG720" s="34"/>
      <c r="AH720" s="34"/>
      <c r="AI720" s="34"/>
      <c r="AJ720" s="34"/>
      <c r="AK720" s="34"/>
      <c r="AL720" s="34"/>
      <c r="AM720" s="34"/>
      <c r="AN720" s="34"/>
      <c r="AO720" s="65"/>
      <c r="AP720" s="69"/>
      <c r="AQ720" s="62"/>
      <c r="AR720" s="34"/>
    </row>
    <row r="721" spans="1:44" customFormat="1">
      <c r="A721" s="39">
        <v>44216</v>
      </c>
      <c r="B721" s="11" t="s">
        <v>22</v>
      </c>
      <c r="C721" s="16" t="s">
        <v>3009</v>
      </c>
      <c r="D721" s="16"/>
      <c r="E721" s="38">
        <v>20606</v>
      </c>
      <c r="F721" s="38"/>
      <c r="G721" s="10" t="s">
        <v>3010</v>
      </c>
      <c r="H721" s="12" t="s">
        <v>3011</v>
      </c>
      <c r="I721" s="13" t="s">
        <v>1911</v>
      </c>
      <c r="J721" s="15" t="s">
        <v>3012</v>
      </c>
      <c r="K721" s="12"/>
      <c r="L721" s="11" t="s">
        <v>33</v>
      </c>
      <c r="M721" s="15"/>
      <c r="N721" s="17">
        <v>2750</v>
      </c>
      <c r="O721" s="17"/>
      <c r="P721" s="17"/>
      <c r="Q721" s="48"/>
      <c r="R721" s="11"/>
      <c r="S721" s="48"/>
      <c r="T721" s="85"/>
      <c r="U721" s="88"/>
      <c r="V721" s="32"/>
      <c r="W721" s="25" t="s">
        <v>10</v>
      </c>
      <c r="X721" s="11"/>
      <c r="Y721" s="50" t="s">
        <v>12</v>
      </c>
      <c r="Z721" s="50"/>
      <c r="AA721" s="50"/>
      <c r="AB721" s="50"/>
      <c r="AC721" s="50"/>
      <c r="AD721" s="50"/>
      <c r="AE721" s="50"/>
      <c r="AF721" s="34"/>
      <c r="AG721" s="34"/>
      <c r="AH721" s="34"/>
      <c r="AI721" s="34"/>
      <c r="AJ721" s="34"/>
      <c r="AK721" s="34"/>
      <c r="AL721" s="34"/>
      <c r="AM721" s="34"/>
      <c r="AN721" s="34"/>
      <c r="AO721" s="65"/>
      <c r="AP721" s="69"/>
      <c r="AQ721" s="62"/>
      <c r="AR721" s="34"/>
    </row>
    <row r="722" spans="1:44" customFormat="1">
      <c r="A722" s="39">
        <v>44216</v>
      </c>
      <c r="B722" s="11" t="s">
        <v>22</v>
      </c>
      <c r="C722" s="16" t="s">
        <v>3013</v>
      </c>
      <c r="D722" s="16"/>
      <c r="E722" s="38">
        <v>34159</v>
      </c>
      <c r="F722" s="38"/>
      <c r="G722" s="10" t="s">
        <v>3014</v>
      </c>
      <c r="H722" s="12" t="s">
        <v>3015</v>
      </c>
      <c r="I722" s="13" t="s">
        <v>2025</v>
      </c>
      <c r="J722" s="15" t="s">
        <v>3016</v>
      </c>
      <c r="K722" s="12"/>
      <c r="L722" s="11"/>
      <c r="M722" s="15"/>
      <c r="N722" s="17">
        <v>6050</v>
      </c>
      <c r="O722" s="17"/>
      <c r="P722" s="17"/>
      <c r="Q722" s="48"/>
      <c r="R722" s="11"/>
      <c r="S722" s="48"/>
      <c r="T722" s="85"/>
      <c r="U722" s="90">
        <v>44389</v>
      </c>
      <c r="V722" s="32" t="s">
        <v>3017</v>
      </c>
      <c r="W722" s="25" t="s">
        <v>48</v>
      </c>
      <c r="X722" s="11"/>
      <c r="Y722" s="50" t="s">
        <v>12</v>
      </c>
      <c r="Z722" s="50"/>
      <c r="AA722" s="50"/>
      <c r="AB722" s="50"/>
      <c r="AC722" s="50"/>
      <c r="AD722" s="50"/>
      <c r="AE722" s="50"/>
      <c r="AF722" s="34"/>
      <c r="AG722" s="34"/>
      <c r="AH722" s="34"/>
      <c r="AI722" s="34"/>
      <c r="AJ722" s="34"/>
      <c r="AK722" s="34"/>
      <c r="AL722" s="34"/>
      <c r="AM722" s="34"/>
      <c r="AN722" s="34"/>
      <c r="AO722" s="65"/>
      <c r="AP722" s="69"/>
      <c r="AQ722" s="62"/>
      <c r="AR722" s="34"/>
    </row>
    <row r="723" spans="1:44" customFormat="1">
      <c r="A723" s="39">
        <v>44217</v>
      </c>
      <c r="B723" s="11" t="s">
        <v>49</v>
      </c>
      <c r="C723" s="16" t="s">
        <v>3018</v>
      </c>
      <c r="D723" s="16"/>
      <c r="E723" s="38">
        <v>32514</v>
      </c>
      <c r="F723" s="38"/>
      <c r="G723" s="10" t="s">
        <v>3019</v>
      </c>
      <c r="H723" s="12" t="s">
        <v>3020</v>
      </c>
      <c r="I723" s="13" t="s">
        <v>3021</v>
      </c>
      <c r="J723" s="15" t="s">
        <v>3022</v>
      </c>
      <c r="K723" s="12"/>
      <c r="L723" s="11" t="s">
        <v>33</v>
      </c>
      <c r="M723" s="15"/>
      <c r="N723" s="17">
        <v>19800</v>
      </c>
      <c r="O723" s="17"/>
      <c r="P723" s="17"/>
      <c r="Q723" s="48"/>
      <c r="R723" s="11"/>
      <c r="S723" s="48"/>
      <c r="T723" s="85"/>
      <c r="U723" s="88"/>
      <c r="V723" s="32" t="s">
        <v>3023</v>
      </c>
      <c r="W723" s="25" t="s">
        <v>8</v>
      </c>
      <c r="X723" s="11"/>
      <c r="Y723" s="50" t="s">
        <v>13</v>
      </c>
      <c r="Z723" s="50"/>
      <c r="AA723" s="50"/>
      <c r="AB723" s="50"/>
      <c r="AC723" s="50"/>
      <c r="AD723" s="50"/>
      <c r="AE723" s="50"/>
      <c r="AF723" s="34"/>
      <c r="AG723" s="34"/>
      <c r="AH723" s="34"/>
      <c r="AI723" s="34"/>
      <c r="AJ723" s="34"/>
      <c r="AK723" s="34"/>
      <c r="AL723" s="34"/>
      <c r="AM723" s="34"/>
      <c r="AN723" s="34"/>
      <c r="AO723" s="65"/>
      <c r="AP723" s="69"/>
      <c r="AQ723" s="62"/>
      <c r="AR723" s="79">
        <v>44389</v>
      </c>
    </row>
    <row r="724" spans="1:44" customFormat="1">
      <c r="A724" s="39">
        <v>44217</v>
      </c>
      <c r="B724" s="11" t="s">
        <v>49</v>
      </c>
      <c r="C724" s="16" t="s">
        <v>3024</v>
      </c>
      <c r="D724" s="16"/>
      <c r="E724" s="38">
        <v>26661</v>
      </c>
      <c r="F724" s="38"/>
      <c r="G724" s="10" t="s">
        <v>3030</v>
      </c>
      <c r="H724" s="12" t="s">
        <v>3031</v>
      </c>
      <c r="I724" s="13" t="s">
        <v>3032</v>
      </c>
      <c r="J724" s="15" t="s">
        <v>3033</v>
      </c>
      <c r="K724" s="12"/>
      <c r="L724" s="11"/>
      <c r="M724" s="15"/>
      <c r="N724" s="17">
        <v>16500</v>
      </c>
      <c r="O724" s="17"/>
      <c r="P724" s="17"/>
      <c r="Q724" s="48"/>
      <c r="R724" s="11"/>
      <c r="S724" s="48"/>
      <c r="T724" s="85"/>
      <c r="U724" s="88"/>
      <c r="V724" s="32" t="s">
        <v>3034</v>
      </c>
      <c r="W724" s="25" t="s">
        <v>8</v>
      </c>
      <c r="X724" s="11"/>
      <c r="Y724" s="50" t="s">
        <v>17</v>
      </c>
      <c r="Z724" s="50"/>
      <c r="AA724" s="50"/>
      <c r="AB724" s="50"/>
      <c r="AC724" s="50"/>
      <c r="AD724" s="50"/>
      <c r="AE724" s="50"/>
      <c r="AF724" s="34"/>
      <c r="AG724" s="34"/>
      <c r="AH724" s="34"/>
      <c r="AI724" s="34"/>
      <c r="AJ724" s="34"/>
      <c r="AK724" s="34"/>
      <c r="AL724" s="34"/>
      <c r="AM724" s="34"/>
      <c r="AN724" s="34"/>
      <c r="AO724" s="65"/>
      <c r="AP724" s="69"/>
      <c r="AQ724" s="62"/>
      <c r="AR724" s="34"/>
    </row>
    <row r="725" spans="1:44" customFormat="1">
      <c r="A725" s="39">
        <v>44217</v>
      </c>
      <c r="B725" s="11" t="s">
        <v>22</v>
      </c>
      <c r="C725" s="16" t="s">
        <v>3025</v>
      </c>
      <c r="D725" s="16"/>
      <c r="E725" s="38">
        <v>31996</v>
      </c>
      <c r="F725" s="38"/>
      <c r="G725" s="10" t="s">
        <v>3026</v>
      </c>
      <c r="H725" s="12" t="s">
        <v>3027</v>
      </c>
      <c r="I725" s="13" t="s">
        <v>1911</v>
      </c>
      <c r="J725" s="15" t="s">
        <v>3029</v>
      </c>
      <c r="K725" s="14" t="s">
        <v>3028</v>
      </c>
      <c r="L725" s="11" t="s">
        <v>36</v>
      </c>
      <c r="M725" s="15"/>
      <c r="N725" s="17">
        <v>2750</v>
      </c>
      <c r="O725" s="17"/>
      <c r="P725" s="17"/>
      <c r="Q725" s="48"/>
      <c r="R725" s="11"/>
      <c r="S725" s="48"/>
      <c r="T725" s="85"/>
      <c r="U725" s="88"/>
      <c r="V725" s="32" t="s">
        <v>1744</v>
      </c>
      <c r="W725" s="25" t="s">
        <v>48</v>
      </c>
      <c r="X725" s="11"/>
      <c r="Y725" s="50" t="s">
        <v>19</v>
      </c>
      <c r="Z725" s="50"/>
      <c r="AA725" s="50"/>
      <c r="AB725" s="50"/>
      <c r="AC725" s="50"/>
      <c r="AD725" s="50"/>
      <c r="AE725" s="50"/>
      <c r="AF725" s="34"/>
      <c r="AG725" s="34"/>
      <c r="AH725" s="34"/>
      <c r="AI725" s="34"/>
      <c r="AJ725" s="34"/>
      <c r="AK725" s="34"/>
      <c r="AL725" s="34"/>
      <c r="AM725" s="34"/>
      <c r="AN725" s="34"/>
      <c r="AO725" s="65"/>
      <c r="AP725" s="69"/>
      <c r="AQ725" s="62"/>
      <c r="AR725" s="34"/>
    </row>
    <row r="726" spans="1:44" customFormat="1">
      <c r="A726" s="39">
        <v>44217</v>
      </c>
      <c r="B726" s="11" t="s">
        <v>22</v>
      </c>
      <c r="C726" s="16" t="s">
        <v>3035</v>
      </c>
      <c r="D726" s="16"/>
      <c r="E726" s="38">
        <v>34044</v>
      </c>
      <c r="F726" s="38"/>
      <c r="G726" s="10" t="s">
        <v>396</v>
      </c>
      <c r="H726" s="12" t="s">
        <v>3036</v>
      </c>
      <c r="I726" s="13" t="s">
        <v>1911</v>
      </c>
      <c r="J726" s="15" t="s">
        <v>3037</v>
      </c>
      <c r="K726" s="12"/>
      <c r="L726" s="11" t="s">
        <v>36</v>
      </c>
      <c r="M726" s="15"/>
      <c r="N726" s="17">
        <v>2750</v>
      </c>
      <c r="O726" s="17"/>
      <c r="P726" s="17"/>
      <c r="Q726" s="48"/>
      <c r="R726" s="11"/>
      <c r="S726" s="48"/>
      <c r="T726" s="85" t="s">
        <v>8079</v>
      </c>
      <c r="U726" s="88"/>
      <c r="V726" s="32" t="s">
        <v>1744</v>
      </c>
      <c r="W726" s="25" t="s">
        <v>48</v>
      </c>
      <c r="X726" s="11"/>
      <c r="Y726" s="50" t="s">
        <v>11</v>
      </c>
      <c r="Z726" s="50"/>
      <c r="AA726" s="50"/>
      <c r="AB726" s="50"/>
      <c r="AC726" s="50"/>
      <c r="AD726" s="50"/>
      <c r="AE726" s="50"/>
      <c r="AF726" s="34"/>
      <c r="AG726" s="34"/>
      <c r="AH726" s="34"/>
      <c r="AI726" s="34"/>
      <c r="AJ726" s="34"/>
      <c r="AK726" s="34"/>
      <c r="AL726" s="34"/>
      <c r="AM726" s="34"/>
      <c r="AN726" s="34"/>
      <c r="AO726" s="65"/>
      <c r="AP726" s="69"/>
      <c r="AQ726" s="62"/>
      <c r="AR726" s="34"/>
    </row>
    <row r="727" spans="1:44" customFormat="1">
      <c r="A727" s="39">
        <v>44219</v>
      </c>
      <c r="B727" s="11" t="s">
        <v>22</v>
      </c>
      <c r="C727" s="16" t="s">
        <v>3038</v>
      </c>
      <c r="D727" s="16"/>
      <c r="E727" s="38">
        <v>23386</v>
      </c>
      <c r="F727" s="38"/>
      <c r="G727" s="10" t="s">
        <v>3040</v>
      </c>
      <c r="H727" s="12" t="s">
        <v>3039</v>
      </c>
      <c r="I727" s="13" t="s">
        <v>2142</v>
      </c>
      <c r="J727" s="15" t="s">
        <v>3041</v>
      </c>
      <c r="K727" s="14" t="s">
        <v>3042</v>
      </c>
      <c r="L727" s="11" t="s">
        <v>35</v>
      </c>
      <c r="M727" s="15"/>
      <c r="N727" s="17">
        <v>2750</v>
      </c>
      <c r="O727" s="17"/>
      <c r="P727" s="17"/>
      <c r="Q727" s="48"/>
      <c r="R727" s="11"/>
      <c r="S727" s="48"/>
      <c r="T727" s="85"/>
      <c r="U727" s="88"/>
      <c r="V727" s="32" t="s">
        <v>1744</v>
      </c>
      <c r="W727" s="25" t="s">
        <v>48</v>
      </c>
      <c r="X727" s="11"/>
      <c r="Y727" s="50" t="s">
        <v>12</v>
      </c>
      <c r="Z727" s="50"/>
      <c r="AA727" s="50"/>
      <c r="AB727" s="50"/>
      <c r="AC727" s="50"/>
      <c r="AD727" s="50"/>
      <c r="AE727" s="50"/>
      <c r="AF727" s="34"/>
      <c r="AG727" s="34"/>
      <c r="AH727" s="34"/>
      <c r="AI727" s="34"/>
      <c r="AJ727" s="34"/>
      <c r="AK727" s="34"/>
      <c r="AL727" s="34"/>
      <c r="AM727" s="34"/>
      <c r="AN727" s="34"/>
      <c r="AO727" s="65"/>
      <c r="AP727" s="69"/>
      <c r="AQ727" s="62" t="s">
        <v>8079</v>
      </c>
      <c r="AR727" s="34"/>
    </row>
    <row r="728" spans="1:44" customFormat="1">
      <c r="A728" s="39">
        <v>44220</v>
      </c>
      <c r="B728" s="11" t="s">
        <v>22</v>
      </c>
      <c r="C728" s="16" t="s">
        <v>3043</v>
      </c>
      <c r="D728" s="16"/>
      <c r="E728" s="38">
        <v>30340</v>
      </c>
      <c r="F728" s="38"/>
      <c r="G728" s="10" t="s">
        <v>3044</v>
      </c>
      <c r="H728" s="12" t="s">
        <v>3045</v>
      </c>
      <c r="I728" s="13" t="s">
        <v>3046</v>
      </c>
      <c r="J728" s="15" t="s">
        <v>3047</v>
      </c>
      <c r="K728" s="12"/>
      <c r="L728" s="11" t="s">
        <v>33</v>
      </c>
      <c r="M728" s="15"/>
      <c r="N728" s="17">
        <v>2750</v>
      </c>
      <c r="O728" s="17"/>
      <c r="P728" s="17"/>
      <c r="Q728" s="48"/>
      <c r="R728" s="11"/>
      <c r="S728" s="48"/>
      <c r="T728" s="85"/>
      <c r="U728" s="90">
        <v>44389</v>
      </c>
      <c r="V728" s="32" t="s">
        <v>1744</v>
      </c>
      <c r="W728" s="25" t="s">
        <v>48</v>
      </c>
      <c r="X728" s="11"/>
      <c r="Y728" s="50" t="s">
        <v>13</v>
      </c>
      <c r="Z728" s="50"/>
      <c r="AA728" s="50"/>
      <c r="AB728" s="50"/>
      <c r="AC728" s="50"/>
      <c r="AD728" s="50"/>
      <c r="AE728" s="50"/>
      <c r="AF728" s="34"/>
      <c r="AG728" s="34"/>
      <c r="AH728" s="34"/>
      <c r="AI728" s="34"/>
      <c r="AJ728" s="34"/>
      <c r="AK728" s="34"/>
      <c r="AL728" s="34"/>
      <c r="AM728" s="34"/>
      <c r="AN728" s="34"/>
      <c r="AO728" s="65"/>
      <c r="AP728" s="69"/>
      <c r="AQ728" s="62"/>
      <c r="AR728" s="34"/>
    </row>
    <row r="729" spans="1:44" customFormat="1">
      <c r="A729" s="39">
        <v>44220</v>
      </c>
      <c r="B729" s="11" t="s">
        <v>22</v>
      </c>
      <c r="C729" s="16" t="s">
        <v>3048</v>
      </c>
      <c r="D729" s="16"/>
      <c r="E729" s="38">
        <v>31072</v>
      </c>
      <c r="F729" s="38"/>
      <c r="G729" s="10" t="s">
        <v>3050</v>
      </c>
      <c r="H729" s="12" t="s">
        <v>3049</v>
      </c>
      <c r="I729" s="13" t="s">
        <v>3051</v>
      </c>
      <c r="J729" s="15" t="s">
        <v>3052</v>
      </c>
      <c r="K729" s="12"/>
      <c r="L729" s="11" t="s">
        <v>36</v>
      </c>
      <c r="M729" s="15"/>
      <c r="N729" s="17">
        <v>2750</v>
      </c>
      <c r="O729" s="17"/>
      <c r="P729" s="17"/>
      <c r="Q729" s="48"/>
      <c r="R729" s="11"/>
      <c r="S729" s="48"/>
      <c r="T729" s="85"/>
      <c r="U729" s="90">
        <v>44389</v>
      </c>
      <c r="V729" s="32" t="s">
        <v>1744</v>
      </c>
      <c r="W729" s="25" t="s">
        <v>48</v>
      </c>
      <c r="X729" s="11"/>
      <c r="Y729" s="50" t="s">
        <v>12</v>
      </c>
      <c r="Z729" s="50"/>
      <c r="AA729" s="50"/>
      <c r="AB729" s="50"/>
      <c r="AC729" s="50"/>
      <c r="AD729" s="50"/>
      <c r="AE729" s="50"/>
      <c r="AF729" s="34"/>
      <c r="AG729" s="34"/>
      <c r="AH729" s="34"/>
      <c r="AI729" s="34"/>
      <c r="AJ729" s="34"/>
      <c r="AK729" s="34"/>
      <c r="AL729" s="34"/>
      <c r="AM729" s="34"/>
      <c r="AN729" s="34"/>
      <c r="AO729" s="65"/>
      <c r="AP729" s="69"/>
      <c r="AQ729" s="62"/>
      <c r="AR729" s="79">
        <v>44389</v>
      </c>
    </row>
    <row r="730" spans="1:44" customFormat="1">
      <c r="A730" s="39">
        <v>44220</v>
      </c>
      <c r="B730" s="11" t="s">
        <v>22</v>
      </c>
      <c r="C730" s="16" t="s">
        <v>3095</v>
      </c>
      <c r="D730" s="16"/>
      <c r="E730" s="38">
        <v>29916</v>
      </c>
      <c r="F730" s="38"/>
      <c r="G730" s="10" t="s">
        <v>3053</v>
      </c>
      <c r="H730" s="12" t="s">
        <v>3054</v>
      </c>
      <c r="I730" s="13" t="s">
        <v>3055</v>
      </c>
      <c r="J730" s="15" t="s">
        <v>3056</v>
      </c>
      <c r="K730" s="12"/>
      <c r="L730" s="11" t="s">
        <v>34</v>
      </c>
      <c r="M730" s="15"/>
      <c r="N730" s="17">
        <v>2750</v>
      </c>
      <c r="O730" s="17"/>
      <c r="P730" s="17"/>
      <c r="Q730" s="48"/>
      <c r="R730" s="11"/>
      <c r="S730" s="48"/>
      <c r="T730" s="85"/>
      <c r="U730" s="90">
        <v>44389</v>
      </c>
      <c r="V730" s="32" t="s">
        <v>1744</v>
      </c>
      <c r="W730" s="25" t="s">
        <v>8</v>
      </c>
      <c r="X730" s="11"/>
      <c r="Y730" s="50" t="s">
        <v>17</v>
      </c>
      <c r="Z730" s="50"/>
      <c r="AA730" s="50"/>
      <c r="AB730" s="50"/>
      <c r="AC730" s="50"/>
      <c r="AD730" s="50"/>
      <c r="AE730" s="50"/>
      <c r="AF730" s="34"/>
      <c r="AG730" s="34"/>
      <c r="AH730" s="34"/>
      <c r="AI730" s="34"/>
      <c r="AJ730" s="34"/>
      <c r="AK730" s="34"/>
      <c r="AL730" s="34"/>
      <c r="AM730" s="34"/>
      <c r="AN730" s="34"/>
      <c r="AO730" s="65"/>
      <c r="AP730" s="69"/>
      <c r="AQ730" s="62"/>
      <c r="AR730" s="79">
        <v>44389</v>
      </c>
    </row>
    <row r="731" spans="1:44" customFormat="1">
      <c r="A731" s="39">
        <v>44221</v>
      </c>
      <c r="B731" s="11" t="s">
        <v>22</v>
      </c>
      <c r="C731" s="16" t="s">
        <v>3057</v>
      </c>
      <c r="D731" s="16"/>
      <c r="E731" s="38">
        <v>20275</v>
      </c>
      <c r="F731" s="38"/>
      <c r="G731" s="10" t="s">
        <v>636</v>
      </c>
      <c r="H731" s="12" t="s">
        <v>3058</v>
      </c>
      <c r="I731" s="13" t="s">
        <v>3059</v>
      </c>
      <c r="J731" s="15" t="s">
        <v>3060</v>
      </c>
      <c r="K731" s="12"/>
      <c r="L731" s="11" t="s">
        <v>37</v>
      </c>
      <c r="M731" s="15"/>
      <c r="N731" s="17">
        <v>2750</v>
      </c>
      <c r="O731" s="17"/>
      <c r="P731" s="17"/>
      <c r="Q731" s="48"/>
      <c r="R731" s="11"/>
      <c r="S731" s="48"/>
      <c r="T731" s="85"/>
      <c r="U731" s="88"/>
      <c r="V731" s="32" t="s">
        <v>1744</v>
      </c>
      <c r="W731" s="25" t="s">
        <v>8</v>
      </c>
      <c r="X731" s="11"/>
      <c r="Y731" s="50" t="s">
        <v>18</v>
      </c>
      <c r="Z731" s="50"/>
      <c r="AA731" s="50"/>
      <c r="AB731" s="50"/>
      <c r="AC731" s="50"/>
      <c r="AD731" s="50"/>
      <c r="AE731" s="50"/>
      <c r="AF731" s="34"/>
      <c r="AG731" s="34"/>
      <c r="AH731" s="34"/>
      <c r="AI731" s="34"/>
      <c r="AJ731" s="34"/>
      <c r="AK731" s="34"/>
      <c r="AL731" s="34"/>
      <c r="AM731" s="34"/>
      <c r="AN731" s="34"/>
      <c r="AO731" s="65"/>
      <c r="AP731" s="69"/>
      <c r="AQ731" s="62"/>
      <c r="AR731" s="79">
        <v>44389</v>
      </c>
    </row>
    <row r="732" spans="1:44" customFormat="1">
      <c r="A732" s="39">
        <v>44223</v>
      </c>
      <c r="B732" s="11" t="s">
        <v>22</v>
      </c>
      <c r="C732" s="16" t="s">
        <v>3061</v>
      </c>
      <c r="D732" s="16"/>
      <c r="E732" s="38">
        <v>25886</v>
      </c>
      <c r="F732" s="38"/>
      <c r="G732" s="10" t="s">
        <v>901</v>
      </c>
      <c r="H732" s="12" t="s">
        <v>3069</v>
      </c>
      <c r="I732" s="13" t="s">
        <v>3067</v>
      </c>
      <c r="J732" s="15" t="s">
        <v>3063</v>
      </c>
      <c r="K732" s="14" t="s">
        <v>3062</v>
      </c>
      <c r="L732" s="11" t="s">
        <v>34</v>
      </c>
      <c r="M732" s="15"/>
      <c r="N732" s="17">
        <v>2750</v>
      </c>
      <c r="O732" s="17"/>
      <c r="P732" s="17"/>
      <c r="Q732" s="48"/>
      <c r="R732" s="11"/>
      <c r="S732" s="48"/>
      <c r="T732" s="85" t="s">
        <v>81</v>
      </c>
      <c r="U732" s="88"/>
      <c r="V732" s="32" t="s">
        <v>1744</v>
      </c>
      <c r="W732" s="25" t="s">
        <v>48</v>
      </c>
      <c r="X732" s="11"/>
      <c r="Y732" s="50" t="s">
        <v>18</v>
      </c>
      <c r="Z732" s="50"/>
      <c r="AA732" s="50"/>
      <c r="AB732" s="50"/>
      <c r="AC732" s="50"/>
      <c r="AD732" s="50"/>
      <c r="AE732" s="50"/>
      <c r="AF732" s="34"/>
      <c r="AG732" s="34"/>
      <c r="AH732" s="34"/>
      <c r="AI732" s="34"/>
      <c r="AJ732" s="34"/>
      <c r="AK732" s="34"/>
      <c r="AL732" s="34"/>
      <c r="AM732" s="34"/>
      <c r="AN732" s="34"/>
      <c r="AO732" s="65"/>
      <c r="AP732" s="69"/>
      <c r="AQ732" s="62"/>
      <c r="AR732" s="34"/>
    </row>
    <row r="733" spans="1:44" customFormat="1">
      <c r="A733" s="39">
        <v>44223</v>
      </c>
      <c r="B733" s="11" t="s">
        <v>22</v>
      </c>
      <c r="C733" s="16" t="s">
        <v>3066</v>
      </c>
      <c r="D733" s="16"/>
      <c r="E733" s="38">
        <v>18244</v>
      </c>
      <c r="F733" s="38"/>
      <c r="G733" s="10" t="s">
        <v>1818</v>
      </c>
      <c r="H733" s="12" t="s">
        <v>3070</v>
      </c>
      <c r="I733" s="13" t="s">
        <v>2069</v>
      </c>
      <c r="J733" s="15" t="s">
        <v>3065</v>
      </c>
      <c r="K733" s="12"/>
      <c r="L733" s="11" t="s">
        <v>33</v>
      </c>
      <c r="M733" s="15"/>
      <c r="N733" s="17">
        <v>2750</v>
      </c>
      <c r="O733" s="17"/>
      <c r="P733" s="17"/>
      <c r="Q733" s="48"/>
      <c r="R733" s="11"/>
      <c r="S733" s="48"/>
      <c r="T733" s="85" t="s">
        <v>81</v>
      </c>
      <c r="U733" s="88"/>
      <c r="V733" s="32" t="s">
        <v>3064</v>
      </c>
      <c r="W733" s="25" t="s">
        <v>8</v>
      </c>
      <c r="X733" s="11"/>
      <c r="Y733" s="50" t="s">
        <v>17</v>
      </c>
      <c r="Z733" s="50"/>
      <c r="AA733" s="50"/>
      <c r="AB733" s="50"/>
      <c r="AC733" s="50"/>
      <c r="AD733" s="50"/>
      <c r="AE733" s="50"/>
      <c r="AF733" s="34"/>
      <c r="AG733" s="34"/>
      <c r="AH733" s="34"/>
      <c r="AI733" s="34"/>
      <c r="AJ733" s="34"/>
      <c r="AK733" s="34"/>
      <c r="AL733" s="34"/>
      <c r="AM733" s="34"/>
      <c r="AN733" s="34"/>
      <c r="AO733" s="65"/>
      <c r="AP733" s="69"/>
      <c r="AQ733" s="62"/>
      <c r="AR733" s="34"/>
    </row>
    <row r="734" spans="1:44" customFormat="1">
      <c r="A734" s="39">
        <v>44225</v>
      </c>
      <c r="B734" s="11" t="s">
        <v>22</v>
      </c>
      <c r="C734" s="16" t="s">
        <v>3074</v>
      </c>
      <c r="D734" s="16"/>
      <c r="E734" s="38">
        <v>31669</v>
      </c>
      <c r="F734" s="38"/>
      <c r="G734" s="10" t="s">
        <v>280</v>
      </c>
      <c r="H734" s="12" t="s">
        <v>3075</v>
      </c>
      <c r="I734" s="13" t="s">
        <v>3080</v>
      </c>
      <c r="J734" s="15" t="s">
        <v>3076</v>
      </c>
      <c r="K734" s="12"/>
      <c r="L734" s="11" t="s">
        <v>36</v>
      </c>
      <c r="M734" s="15"/>
      <c r="N734" s="17">
        <v>2750</v>
      </c>
      <c r="O734" s="17"/>
      <c r="P734" s="17"/>
      <c r="Q734" s="48"/>
      <c r="R734" s="11"/>
      <c r="S734" s="48"/>
      <c r="T734" s="85"/>
      <c r="U734" s="90">
        <v>44389</v>
      </c>
      <c r="V734" s="32" t="s">
        <v>1744</v>
      </c>
      <c r="W734" s="25" t="s">
        <v>10</v>
      </c>
      <c r="X734" s="11"/>
      <c r="Y734" s="50" t="s">
        <v>12</v>
      </c>
      <c r="Z734" s="50"/>
      <c r="AA734" s="50"/>
      <c r="AB734" s="50"/>
      <c r="AC734" s="50"/>
      <c r="AD734" s="50"/>
      <c r="AE734" s="50"/>
      <c r="AF734" s="34"/>
      <c r="AG734" s="34"/>
      <c r="AH734" s="34"/>
      <c r="AI734" s="34"/>
      <c r="AJ734" s="34"/>
      <c r="AK734" s="34"/>
      <c r="AL734" s="34"/>
      <c r="AM734" s="34"/>
      <c r="AN734" s="34"/>
      <c r="AO734" s="65"/>
      <c r="AP734" s="69"/>
      <c r="AQ734" s="62"/>
      <c r="AR734" s="34"/>
    </row>
    <row r="735" spans="1:44" customFormat="1">
      <c r="A735" s="39">
        <v>44225</v>
      </c>
      <c r="B735" s="11" t="s">
        <v>22</v>
      </c>
      <c r="C735" s="16" t="s">
        <v>3068</v>
      </c>
      <c r="D735" s="16"/>
      <c r="E735" s="38">
        <v>17901</v>
      </c>
      <c r="F735" s="38"/>
      <c r="G735" s="10" t="s">
        <v>2740</v>
      </c>
      <c r="H735" s="12" t="s">
        <v>3071</v>
      </c>
      <c r="I735" s="13" t="s">
        <v>2566</v>
      </c>
      <c r="J735" s="15" t="s">
        <v>3072</v>
      </c>
      <c r="K735" s="12"/>
      <c r="L735" s="11" t="s">
        <v>34</v>
      </c>
      <c r="M735" s="15"/>
      <c r="N735" s="17">
        <v>2750</v>
      </c>
      <c r="O735" s="17"/>
      <c r="P735" s="17"/>
      <c r="Q735" s="48"/>
      <c r="R735" s="11"/>
      <c r="S735" s="48"/>
      <c r="T735" s="85" t="s">
        <v>81</v>
      </c>
      <c r="U735" s="88"/>
      <c r="V735" s="32" t="s">
        <v>3073</v>
      </c>
      <c r="W735" s="25" t="s">
        <v>48</v>
      </c>
      <c r="X735" s="11"/>
      <c r="Y735" s="50" t="s">
        <v>12</v>
      </c>
      <c r="Z735" s="50"/>
      <c r="AA735" s="50"/>
      <c r="AB735" s="50"/>
      <c r="AC735" s="50"/>
      <c r="AD735" s="50"/>
      <c r="AE735" s="50"/>
      <c r="AF735" s="34"/>
      <c r="AG735" s="34"/>
      <c r="AH735" s="34"/>
      <c r="AI735" s="34"/>
      <c r="AJ735" s="34"/>
      <c r="AK735" s="34"/>
      <c r="AL735" s="34"/>
      <c r="AM735" s="34"/>
      <c r="AN735" s="34"/>
      <c r="AO735" s="65"/>
      <c r="AP735" s="69"/>
      <c r="AQ735" s="62"/>
      <c r="AR735" s="34"/>
    </row>
    <row r="736" spans="1:44" customFormat="1">
      <c r="A736" s="39">
        <v>44226</v>
      </c>
      <c r="B736" s="11" t="s">
        <v>22</v>
      </c>
      <c r="C736" s="16" t="s">
        <v>3077</v>
      </c>
      <c r="D736" s="16"/>
      <c r="E736" s="38">
        <v>30274</v>
      </c>
      <c r="F736" s="38"/>
      <c r="G736" s="10" t="s">
        <v>280</v>
      </c>
      <c r="H736" s="12" t="s">
        <v>3078</v>
      </c>
      <c r="I736" s="13" t="s">
        <v>3079</v>
      </c>
      <c r="J736" s="15" t="s">
        <v>3081</v>
      </c>
      <c r="K736" s="12"/>
      <c r="L736" s="11" t="s">
        <v>36</v>
      </c>
      <c r="M736" s="15"/>
      <c r="N736" s="17">
        <v>2750</v>
      </c>
      <c r="O736" s="17"/>
      <c r="P736" s="17"/>
      <c r="Q736" s="48"/>
      <c r="R736" s="11"/>
      <c r="S736" s="48"/>
      <c r="T736" s="85"/>
      <c r="U736" s="90">
        <v>44389</v>
      </c>
      <c r="V736" s="32" t="s">
        <v>1744</v>
      </c>
      <c r="W736" s="25" t="s">
        <v>8</v>
      </c>
      <c r="X736" s="11"/>
      <c r="Y736" s="50" t="s">
        <v>18</v>
      </c>
      <c r="Z736" s="50"/>
      <c r="AA736" s="50"/>
      <c r="AB736" s="50"/>
      <c r="AC736" s="50"/>
      <c r="AD736" s="50"/>
      <c r="AE736" s="50"/>
      <c r="AF736" s="34"/>
      <c r="AG736" s="34"/>
      <c r="AH736" s="34"/>
      <c r="AI736" s="34"/>
      <c r="AJ736" s="34"/>
      <c r="AK736" s="34"/>
      <c r="AL736" s="34"/>
      <c r="AM736" s="34"/>
      <c r="AN736" s="34"/>
      <c r="AO736" s="65"/>
      <c r="AP736" s="69"/>
      <c r="AQ736" s="62"/>
      <c r="AR736" s="79">
        <v>44389</v>
      </c>
    </row>
    <row r="737" spans="1:44" customFormat="1">
      <c r="A737" s="39">
        <v>44227</v>
      </c>
      <c r="B737" s="11" t="s">
        <v>22</v>
      </c>
      <c r="C737" s="16" t="s">
        <v>3082</v>
      </c>
      <c r="D737" s="16"/>
      <c r="E737" s="38">
        <v>28010</v>
      </c>
      <c r="F737" s="38"/>
      <c r="G737" s="10" t="s">
        <v>3083</v>
      </c>
      <c r="H737" s="12" t="s">
        <v>3084</v>
      </c>
      <c r="I737" s="13" t="s">
        <v>3085</v>
      </c>
      <c r="J737" s="15" t="s">
        <v>3086</v>
      </c>
      <c r="K737" s="12"/>
      <c r="L737" s="11" t="s">
        <v>36</v>
      </c>
      <c r="M737" s="15"/>
      <c r="N737" s="17">
        <v>2750</v>
      </c>
      <c r="O737" s="17"/>
      <c r="P737" s="17"/>
      <c r="Q737" s="48"/>
      <c r="R737" s="11"/>
      <c r="S737" s="48"/>
      <c r="T737" s="85" t="s">
        <v>81</v>
      </c>
      <c r="U737" s="88"/>
      <c r="V737" s="32" t="s">
        <v>1744</v>
      </c>
      <c r="W737" s="25" t="s">
        <v>10</v>
      </c>
      <c r="X737" s="11"/>
      <c r="Y737" s="50" t="s">
        <v>18</v>
      </c>
      <c r="Z737" s="50"/>
      <c r="AA737" s="50"/>
      <c r="AB737" s="50"/>
      <c r="AC737" s="50"/>
      <c r="AD737" s="50"/>
      <c r="AE737" s="50"/>
      <c r="AF737" s="34"/>
      <c r="AG737" s="34"/>
      <c r="AH737" s="34"/>
      <c r="AI737" s="34"/>
      <c r="AJ737" s="34"/>
      <c r="AK737" s="34"/>
      <c r="AL737" s="34"/>
      <c r="AM737" s="34"/>
      <c r="AN737" s="34"/>
      <c r="AO737" s="65"/>
      <c r="AP737" s="69"/>
      <c r="AQ737" s="62"/>
      <c r="AR737" s="79">
        <v>44389</v>
      </c>
    </row>
    <row r="738" spans="1:44" customFormat="1">
      <c r="A738" s="39">
        <v>44227</v>
      </c>
      <c r="B738" s="11" t="s">
        <v>49</v>
      </c>
      <c r="C738" s="16" t="s">
        <v>3087</v>
      </c>
      <c r="D738" s="16"/>
      <c r="E738" s="38">
        <v>25998</v>
      </c>
      <c r="F738" s="38"/>
      <c r="G738" s="10" t="s">
        <v>328</v>
      </c>
      <c r="H738" s="12" t="s">
        <v>3088</v>
      </c>
      <c r="I738" s="13" t="s">
        <v>3089</v>
      </c>
      <c r="J738" s="15" t="s">
        <v>3090</v>
      </c>
      <c r="K738" s="12"/>
      <c r="L738" s="11" t="s">
        <v>33</v>
      </c>
      <c r="M738" s="15"/>
      <c r="N738" s="17">
        <v>16500</v>
      </c>
      <c r="O738" s="17"/>
      <c r="P738" s="17"/>
      <c r="Q738" s="48"/>
      <c r="R738" s="11"/>
      <c r="S738" s="48"/>
      <c r="T738" s="85"/>
      <c r="U738" s="88"/>
      <c r="V738" s="32"/>
      <c r="W738" s="25" t="s">
        <v>10</v>
      </c>
      <c r="X738" s="11"/>
      <c r="Y738" s="50" t="s">
        <v>13</v>
      </c>
      <c r="Z738" s="50"/>
      <c r="AA738" s="50"/>
      <c r="AB738" s="50"/>
      <c r="AC738" s="50"/>
      <c r="AD738" s="50"/>
      <c r="AE738" s="50"/>
      <c r="AF738" s="34"/>
      <c r="AG738" s="34"/>
      <c r="AH738" s="34"/>
      <c r="AI738" s="34"/>
      <c r="AJ738" s="34"/>
      <c r="AK738" s="34"/>
      <c r="AL738" s="34"/>
      <c r="AM738" s="34"/>
      <c r="AN738" s="34"/>
      <c r="AO738" s="65"/>
      <c r="AP738" s="69"/>
      <c r="AQ738" s="62"/>
      <c r="AR738" s="34"/>
    </row>
    <row r="739" spans="1:44" customFormat="1">
      <c r="A739" s="39">
        <v>44227</v>
      </c>
      <c r="B739" s="11" t="s">
        <v>49</v>
      </c>
      <c r="C739" s="16" t="s">
        <v>3091</v>
      </c>
      <c r="D739" s="16"/>
      <c r="E739" s="38">
        <v>25246</v>
      </c>
      <c r="F739" s="38"/>
      <c r="G739" s="10" t="s">
        <v>3093</v>
      </c>
      <c r="H739" s="12" t="s">
        <v>3092</v>
      </c>
      <c r="I739" s="13" t="s">
        <v>1857</v>
      </c>
      <c r="J739" s="15" t="s">
        <v>3094</v>
      </c>
      <c r="K739" s="12"/>
      <c r="L739" s="11" t="s">
        <v>36</v>
      </c>
      <c r="M739" s="15"/>
      <c r="N739" s="17">
        <v>16500</v>
      </c>
      <c r="O739" s="17"/>
      <c r="P739" s="17"/>
      <c r="Q739" s="48"/>
      <c r="R739" s="11"/>
      <c r="S739" s="48"/>
      <c r="T739" s="85"/>
      <c r="U739" s="88"/>
      <c r="V739" s="32"/>
      <c r="W739" s="25" t="s">
        <v>48</v>
      </c>
      <c r="X739" s="11"/>
      <c r="Y739" s="50" t="s">
        <v>13</v>
      </c>
      <c r="Z739" s="50"/>
      <c r="AA739" s="50"/>
      <c r="AB739" s="50"/>
      <c r="AC739" s="50"/>
      <c r="AD739" s="50"/>
      <c r="AE739" s="50"/>
      <c r="AF739" s="34"/>
      <c r="AG739" s="34"/>
      <c r="AH739" s="34"/>
      <c r="AI739" s="34"/>
      <c r="AJ739" s="34"/>
      <c r="AK739" s="34"/>
      <c r="AL739" s="34"/>
      <c r="AM739" s="34"/>
      <c r="AN739" s="34"/>
      <c r="AO739" s="65"/>
      <c r="AP739" s="69"/>
      <c r="AQ739" s="62"/>
      <c r="AR739" s="34"/>
    </row>
    <row r="740" spans="1:44" customFormat="1">
      <c r="A740" s="39">
        <v>44228</v>
      </c>
      <c r="B740" s="11" t="s">
        <v>22</v>
      </c>
      <c r="C740" s="16" t="s">
        <v>3096</v>
      </c>
      <c r="D740" s="16"/>
      <c r="E740" s="38">
        <v>29473</v>
      </c>
      <c r="F740" s="38"/>
      <c r="G740" s="10" t="s">
        <v>3097</v>
      </c>
      <c r="H740" s="12" t="s">
        <v>3098</v>
      </c>
      <c r="I740" s="13" t="s">
        <v>3099</v>
      </c>
      <c r="J740" s="15" t="s">
        <v>3100</v>
      </c>
      <c r="K740" s="12"/>
      <c r="L740" s="11" t="s">
        <v>34</v>
      </c>
      <c r="M740" s="15"/>
      <c r="N740" s="17">
        <v>2750</v>
      </c>
      <c r="O740" s="17"/>
      <c r="P740" s="17"/>
      <c r="Q740" s="48"/>
      <c r="R740" s="11"/>
      <c r="S740" s="48"/>
      <c r="T740" s="85"/>
      <c r="U740" s="90">
        <v>44389</v>
      </c>
      <c r="V740" s="32" t="s">
        <v>1744</v>
      </c>
      <c r="W740" s="25" t="s">
        <v>8</v>
      </c>
      <c r="X740" s="11"/>
      <c r="Y740" s="50" t="s">
        <v>14</v>
      </c>
      <c r="Z740" s="50"/>
      <c r="AA740" s="50"/>
      <c r="AB740" s="50"/>
      <c r="AC740" s="50"/>
      <c r="AD740" s="50"/>
      <c r="AE740" s="50"/>
      <c r="AF740" s="34"/>
      <c r="AG740" s="34"/>
      <c r="AH740" s="34"/>
      <c r="AI740" s="34"/>
      <c r="AJ740" s="34"/>
      <c r="AK740" s="34"/>
      <c r="AL740" s="34"/>
      <c r="AM740" s="34"/>
      <c r="AN740" s="34"/>
      <c r="AO740" s="65"/>
      <c r="AP740" s="69"/>
      <c r="AQ740" s="62"/>
      <c r="AR740" s="34"/>
    </row>
    <row r="741" spans="1:44" customFormat="1">
      <c r="A741" s="39">
        <v>44230</v>
      </c>
      <c r="B741" s="11" t="s">
        <v>22</v>
      </c>
      <c r="C741" s="16" t="s">
        <v>3101</v>
      </c>
      <c r="D741" s="16"/>
      <c r="E741" s="38">
        <v>24020</v>
      </c>
      <c r="F741" s="38"/>
      <c r="G741" s="10" t="s">
        <v>78</v>
      </c>
      <c r="H741" s="12" t="s">
        <v>3102</v>
      </c>
      <c r="I741" s="13" t="s">
        <v>3103</v>
      </c>
      <c r="J741" s="15" t="s">
        <v>3105</v>
      </c>
      <c r="K741" s="14" t="s">
        <v>3104</v>
      </c>
      <c r="L741" s="11" t="s">
        <v>36</v>
      </c>
      <c r="M741" s="15"/>
      <c r="N741" s="17">
        <v>2750</v>
      </c>
      <c r="O741" s="17"/>
      <c r="P741" s="17"/>
      <c r="Q741" s="48"/>
      <c r="R741" s="11"/>
      <c r="S741" s="48"/>
      <c r="T741" s="85"/>
      <c r="U741" s="88"/>
      <c r="V741" s="32" t="s">
        <v>1744</v>
      </c>
      <c r="W741" s="25"/>
      <c r="X741" s="11"/>
      <c r="Y741" s="50" t="s">
        <v>14</v>
      </c>
      <c r="Z741" s="50"/>
      <c r="AA741" s="50"/>
      <c r="AB741" s="50"/>
      <c r="AC741" s="50"/>
      <c r="AD741" s="50"/>
      <c r="AE741" s="50"/>
      <c r="AF741" s="34"/>
      <c r="AG741" s="34"/>
      <c r="AH741" s="34"/>
      <c r="AI741" s="34"/>
      <c r="AJ741" s="34"/>
      <c r="AK741" s="34"/>
      <c r="AL741" s="34"/>
      <c r="AM741" s="34"/>
      <c r="AN741" s="34"/>
      <c r="AO741" s="65"/>
      <c r="AP741" s="69"/>
      <c r="AQ741" s="62"/>
      <c r="AR741" s="79">
        <v>44389</v>
      </c>
    </row>
    <row r="742" spans="1:44" customFormat="1">
      <c r="A742" s="39">
        <v>44231</v>
      </c>
      <c r="B742" s="11" t="s">
        <v>49</v>
      </c>
      <c r="C742" s="16" t="s">
        <v>3106</v>
      </c>
      <c r="D742" s="16"/>
      <c r="E742" s="38">
        <v>33474</v>
      </c>
      <c r="F742" s="38"/>
      <c r="G742" s="10" t="s">
        <v>3107</v>
      </c>
      <c r="H742" s="12" t="s">
        <v>3108</v>
      </c>
      <c r="I742" s="13" t="s">
        <v>3109</v>
      </c>
      <c r="J742" s="15" t="s">
        <v>3110</v>
      </c>
      <c r="K742" s="12"/>
      <c r="L742" s="11" t="s">
        <v>35</v>
      </c>
      <c r="M742" s="15"/>
      <c r="N742" s="17">
        <v>16500</v>
      </c>
      <c r="O742" s="17"/>
      <c r="P742" s="17"/>
      <c r="Q742" s="48"/>
      <c r="R742" s="11"/>
      <c r="S742" s="48"/>
      <c r="T742" s="85"/>
      <c r="U742" s="88"/>
      <c r="V742" s="32" t="s">
        <v>3111</v>
      </c>
      <c r="W742" s="25" t="s">
        <v>10</v>
      </c>
      <c r="X742" s="11"/>
      <c r="Y742" s="50" t="s">
        <v>13</v>
      </c>
      <c r="Z742" s="50"/>
      <c r="AA742" s="50"/>
      <c r="AB742" s="50"/>
      <c r="AC742" s="50"/>
      <c r="AD742" s="50"/>
      <c r="AE742" s="50"/>
      <c r="AF742" s="34"/>
      <c r="AG742" s="34"/>
      <c r="AH742" s="34"/>
      <c r="AI742" s="34"/>
      <c r="AJ742" s="34"/>
      <c r="AK742" s="34"/>
      <c r="AL742" s="34"/>
      <c r="AM742" s="34"/>
      <c r="AN742" s="34"/>
      <c r="AO742" s="65"/>
      <c r="AP742" s="69"/>
      <c r="AQ742" s="62"/>
      <c r="AR742" s="34"/>
    </row>
    <row r="743" spans="1:44" customFormat="1">
      <c r="A743" s="39">
        <v>44231</v>
      </c>
      <c r="B743" s="11" t="s">
        <v>22</v>
      </c>
      <c r="C743" s="16" t="s">
        <v>3114</v>
      </c>
      <c r="D743" s="16"/>
      <c r="E743" s="38">
        <v>31337</v>
      </c>
      <c r="F743" s="38"/>
      <c r="G743" s="10" t="s">
        <v>3115</v>
      </c>
      <c r="H743" s="12" t="s">
        <v>3116</v>
      </c>
      <c r="I743" s="13" t="s">
        <v>3117</v>
      </c>
      <c r="J743" s="15" t="s">
        <v>3113</v>
      </c>
      <c r="K743" s="12"/>
      <c r="L743" s="11" t="s">
        <v>35</v>
      </c>
      <c r="M743" s="15"/>
      <c r="N743" s="17">
        <v>2750</v>
      </c>
      <c r="O743" s="17"/>
      <c r="P743" s="17"/>
      <c r="Q743" s="48"/>
      <c r="R743" s="11"/>
      <c r="S743" s="48"/>
      <c r="T743" s="85"/>
      <c r="U743" s="90">
        <v>44389</v>
      </c>
      <c r="V743" s="32" t="s">
        <v>3112</v>
      </c>
      <c r="W743" s="25" t="s">
        <v>10</v>
      </c>
      <c r="X743" s="11"/>
      <c r="Y743" s="50"/>
      <c r="Z743" s="50"/>
      <c r="AA743" s="50"/>
      <c r="AB743" s="50"/>
      <c r="AC743" s="50"/>
      <c r="AD743" s="50"/>
      <c r="AE743" s="50"/>
      <c r="AF743" s="34"/>
      <c r="AG743" s="34"/>
      <c r="AH743" s="34"/>
      <c r="AI743" s="34"/>
      <c r="AJ743" s="34"/>
      <c r="AK743" s="34"/>
      <c r="AL743" s="34"/>
      <c r="AM743" s="34"/>
      <c r="AN743" s="34"/>
      <c r="AO743" s="65"/>
      <c r="AP743" s="69"/>
      <c r="AQ743" s="62"/>
      <c r="AR743" s="34"/>
    </row>
    <row r="744" spans="1:44" customFormat="1">
      <c r="A744" s="39">
        <v>44233</v>
      </c>
      <c r="B744" s="11" t="s">
        <v>2170</v>
      </c>
      <c r="C744" s="16" t="s">
        <v>3038</v>
      </c>
      <c r="D744" s="16"/>
      <c r="E744" s="38"/>
      <c r="F744" s="38"/>
      <c r="G744" s="10"/>
      <c r="H744" s="12"/>
      <c r="I744" s="13"/>
      <c r="J744" s="15"/>
      <c r="K744" s="12"/>
      <c r="L744" s="11"/>
      <c r="M744" s="15"/>
      <c r="N744" s="17">
        <v>5500</v>
      </c>
      <c r="O744" s="17"/>
      <c r="P744" s="17"/>
      <c r="Q744" s="48"/>
      <c r="R744" s="11"/>
      <c r="S744" s="48"/>
      <c r="T744" s="85"/>
      <c r="U744" s="88"/>
      <c r="V744" s="32" t="s">
        <v>3118</v>
      </c>
      <c r="W744" s="25"/>
      <c r="X744" s="11"/>
      <c r="Y744" s="50"/>
      <c r="Z744" s="50"/>
      <c r="AA744" s="50"/>
      <c r="AB744" s="50"/>
      <c r="AC744" s="50"/>
      <c r="AD744" s="50"/>
      <c r="AE744" s="50"/>
      <c r="AF744" s="34"/>
      <c r="AG744" s="34"/>
      <c r="AH744" s="34"/>
      <c r="AI744" s="34"/>
      <c r="AJ744" s="34"/>
      <c r="AK744" s="34"/>
      <c r="AL744" s="34"/>
      <c r="AM744" s="34"/>
      <c r="AN744" s="34"/>
      <c r="AO744" s="65"/>
      <c r="AP744" s="69"/>
      <c r="AQ744" s="62"/>
      <c r="AR744" s="79">
        <v>44389</v>
      </c>
    </row>
    <row r="745" spans="1:44" customFormat="1">
      <c r="A745" s="39">
        <v>44233</v>
      </c>
      <c r="B745" s="11" t="s">
        <v>49</v>
      </c>
      <c r="C745" s="16" t="s">
        <v>3119</v>
      </c>
      <c r="D745" s="16"/>
      <c r="E745" s="38">
        <v>28779</v>
      </c>
      <c r="F745" s="38"/>
      <c r="G745" s="10" t="s">
        <v>3120</v>
      </c>
      <c r="H745" s="12" t="s">
        <v>3121</v>
      </c>
      <c r="I745" s="13" t="s">
        <v>1797</v>
      </c>
      <c r="J745" s="15" t="s">
        <v>3122</v>
      </c>
      <c r="K745" s="12"/>
      <c r="L745" s="11" t="s">
        <v>33</v>
      </c>
      <c r="M745" s="15"/>
      <c r="N745" s="17">
        <v>16500</v>
      </c>
      <c r="O745" s="17"/>
      <c r="P745" s="17"/>
      <c r="Q745" s="48"/>
      <c r="R745" s="11"/>
      <c r="S745" s="48"/>
      <c r="T745" s="85"/>
      <c r="U745" s="88"/>
      <c r="V745" s="32"/>
      <c r="W745" s="25" t="s">
        <v>8</v>
      </c>
      <c r="X745" s="11"/>
      <c r="Y745" s="50" t="s">
        <v>13</v>
      </c>
      <c r="Z745" s="50"/>
      <c r="AA745" s="50"/>
      <c r="AB745" s="50"/>
      <c r="AC745" s="50"/>
      <c r="AD745" s="50"/>
      <c r="AE745" s="50"/>
      <c r="AF745" s="34"/>
      <c r="AG745" s="34"/>
      <c r="AH745" s="34"/>
      <c r="AI745" s="34"/>
      <c r="AJ745" s="34"/>
      <c r="AK745" s="34"/>
      <c r="AL745" s="34"/>
      <c r="AM745" s="34"/>
      <c r="AN745" s="34"/>
      <c r="AO745" s="65"/>
      <c r="AP745" s="69"/>
      <c r="AQ745" s="62"/>
      <c r="AR745" s="34"/>
    </row>
    <row r="746" spans="1:44" customFormat="1">
      <c r="A746" s="39">
        <v>44233</v>
      </c>
      <c r="B746" s="11" t="s">
        <v>49</v>
      </c>
      <c r="C746" s="16" t="s">
        <v>3123</v>
      </c>
      <c r="D746" s="16"/>
      <c r="E746" s="38">
        <v>30614</v>
      </c>
      <c r="F746" s="38"/>
      <c r="G746" s="10" t="s">
        <v>3124</v>
      </c>
      <c r="H746" s="12" t="s">
        <v>3125</v>
      </c>
      <c r="I746" s="13" t="s">
        <v>3126</v>
      </c>
      <c r="J746" s="15" t="s">
        <v>3127</v>
      </c>
      <c r="K746" s="12"/>
      <c r="L746" s="11" t="s">
        <v>36</v>
      </c>
      <c r="M746" s="15"/>
      <c r="N746" s="17">
        <v>16500</v>
      </c>
      <c r="O746" s="17"/>
      <c r="P746" s="17"/>
      <c r="Q746" s="48"/>
      <c r="R746" s="11"/>
      <c r="S746" s="48"/>
      <c r="T746" s="85"/>
      <c r="U746" s="88"/>
      <c r="V746" s="32"/>
      <c r="W746" s="25" t="s">
        <v>48</v>
      </c>
      <c r="X746" s="11"/>
      <c r="Y746" s="50" t="s">
        <v>13</v>
      </c>
      <c r="Z746" s="50"/>
      <c r="AA746" s="50"/>
      <c r="AB746" s="50"/>
      <c r="AC746" s="50"/>
      <c r="AD746" s="50"/>
      <c r="AE746" s="50"/>
      <c r="AF746" s="34"/>
      <c r="AG746" s="34"/>
      <c r="AH746" s="34"/>
      <c r="AI746" s="34"/>
      <c r="AJ746" s="34"/>
      <c r="AK746" s="34"/>
      <c r="AL746" s="34"/>
      <c r="AM746" s="34"/>
      <c r="AN746" s="34"/>
      <c r="AO746" s="65"/>
      <c r="AP746" s="69"/>
      <c r="AQ746" s="62"/>
      <c r="AR746" s="34"/>
    </row>
    <row r="747" spans="1:44" customFormat="1">
      <c r="A747" s="39">
        <v>44234</v>
      </c>
      <c r="B747" s="11" t="s">
        <v>22</v>
      </c>
      <c r="C747" s="16" t="s">
        <v>3128</v>
      </c>
      <c r="D747" s="16"/>
      <c r="E747" s="38">
        <v>31204</v>
      </c>
      <c r="F747" s="38"/>
      <c r="G747" s="10" t="s">
        <v>3129</v>
      </c>
      <c r="H747" s="12" t="s">
        <v>3130</v>
      </c>
      <c r="I747" s="13" t="s">
        <v>1773</v>
      </c>
      <c r="J747" s="15" t="s">
        <v>3131</v>
      </c>
      <c r="K747" s="12"/>
      <c r="L747" s="11" t="s">
        <v>36</v>
      </c>
      <c r="M747" s="15"/>
      <c r="N747" s="17">
        <v>2750</v>
      </c>
      <c r="O747" s="17"/>
      <c r="P747" s="17"/>
      <c r="Q747" s="48"/>
      <c r="R747" s="11"/>
      <c r="S747" s="48"/>
      <c r="T747" s="85"/>
      <c r="U747" s="90">
        <v>44389</v>
      </c>
      <c r="V747" s="32" t="s">
        <v>1744</v>
      </c>
      <c r="W747" s="25" t="s">
        <v>48</v>
      </c>
      <c r="X747" s="11"/>
      <c r="Y747" s="50" t="s">
        <v>11</v>
      </c>
      <c r="Z747" s="50"/>
      <c r="AA747" s="50"/>
      <c r="AB747" s="50"/>
      <c r="AC747" s="50"/>
      <c r="AD747" s="50"/>
      <c r="AE747" s="50"/>
      <c r="AF747" s="34"/>
      <c r="AG747" s="34"/>
      <c r="AH747" s="34"/>
      <c r="AI747" s="34"/>
      <c r="AJ747" s="34"/>
      <c r="AK747" s="34"/>
      <c r="AL747" s="34"/>
      <c r="AM747" s="34"/>
      <c r="AN747" s="34"/>
      <c r="AO747" s="65"/>
      <c r="AP747" s="69"/>
      <c r="AQ747" s="62"/>
      <c r="AR747" s="34"/>
    </row>
    <row r="748" spans="1:44" customFormat="1">
      <c r="A748" s="39">
        <v>44234</v>
      </c>
      <c r="B748" s="11" t="s">
        <v>5659</v>
      </c>
      <c r="C748" s="16" t="s">
        <v>5771</v>
      </c>
      <c r="D748" s="16"/>
      <c r="E748" s="38"/>
      <c r="F748" s="38"/>
      <c r="G748" s="10"/>
      <c r="H748" s="12"/>
      <c r="I748" s="13"/>
      <c r="J748" s="15"/>
      <c r="K748" s="12"/>
      <c r="L748" s="11"/>
      <c r="M748" s="15"/>
      <c r="N748" s="17"/>
      <c r="O748" s="17"/>
      <c r="P748" s="17"/>
      <c r="Q748" s="48"/>
      <c r="R748" s="11"/>
      <c r="S748" s="48"/>
      <c r="T748" s="85"/>
      <c r="U748" s="88"/>
      <c r="V748" s="32"/>
      <c r="W748" s="25"/>
      <c r="X748" s="11"/>
      <c r="Y748" s="50"/>
      <c r="Z748" s="50"/>
      <c r="AA748" s="50"/>
      <c r="AB748" s="50"/>
      <c r="AC748" s="50"/>
      <c r="AD748" s="50"/>
      <c r="AE748" s="50"/>
      <c r="AF748" s="34"/>
      <c r="AG748" s="34"/>
      <c r="AH748" s="34"/>
      <c r="AI748" s="34"/>
      <c r="AJ748" s="34"/>
      <c r="AK748" s="34"/>
      <c r="AL748" s="34"/>
      <c r="AM748" s="34"/>
      <c r="AN748" s="34"/>
      <c r="AO748" s="65"/>
      <c r="AP748" s="69"/>
      <c r="AQ748" s="62"/>
      <c r="AR748" s="79">
        <v>44389</v>
      </c>
    </row>
    <row r="749" spans="1:44" customFormat="1">
      <c r="A749" s="39">
        <v>44237</v>
      </c>
      <c r="B749" s="11" t="s">
        <v>49</v>
      </c>
      <c r="C749" s="16" t="s">
        <v>3132</v>
      </c>
      <c r="D749" s="16"/>
      <c r="E749" s="38">
        <v>33222</v>
      </c>
      <c r="F749" s="38"/>
      <c r="G749" s="10" t="s">
        <v>3133</v>
      </c>
      <c r="H749" s="12" t="s">
        <v>3134</v>
      </c>
      <c r="I749" s="13" t="s">
        <v>3135</v>
      </c>
      <c r="J749" s="15" t="s">
        <v>3136</v>
      </c>
      <c r="K749" s="12"/>
      <c r="L749" s="11" t="s">
        <v>33</v>
      </c>
      <c r="M749" s="15"/>
      <c r="N749" s="17">
        <v>16500</v>
      </c>
      <c r="O749" s="17"/>
      <c r="P749" s="17"/>
      <c r="Q749" s="48"/>
      <c r="R749" s="11"/>
      <c r="S749" s="48"/>
      <c r="T749" s="85"/>
      <c r="U749" s="88"/>
      <c r="V749" s="32"/>
      <c r="W749" s="25" t="s">
        <v>8</v>
      </c>
      <c r="X749" s="11"/>
      <c r="Y749" s="50" t="s">
        <v>13</v>
      </c>
      <c r="Z749" s="50"/>
      <c r="AA749" s="50"/>
      <c r="AB749" s="50"/>
      <c r="AC749" s="50"/>
      <c r="AD749" s="50"/>
      <c r="AE749" s="50"/>
      <c r="AF749" s="34"/>
      <c r="AG749" s="34"/>
      <c r="AH749" s="34"/>
      <c r="AI749" s="34"/>
      <c r="AJ749" s="34"/>
      <c r="AK749" s="34"/>
      <c r="AL749" s="34"/>
      <c r="AM749" s="34"/>
      <c r="AN749" s="34"/>
      <c r="AO749" s="65"/>
      <c r="AP749" s="69"/>
      <c r="AQ749" s="62"/>
      <c r="AR749" s="34"/>
    </row>
    <row r="750" spans="1:44" customFormat="1">
      <c r="A750" s="39">
        <v>44238</v>
      </c>
      <c r="B750" s="11" t="s">
        <v>22</v>
      </c>
      <c r="C750" s="16" t="s">
        <v>3137</v>
      </c>
      <c r="D750" s="16"/>
      <c r="E750" s="38">
        <v>23039</v>
      </c>
      <c r="F750" s="38"/>
      <c r="G750" s="10" t="s">
        <v>2910</v>
      </c>
      <c r="H750" s="12" t="s">
        <v>3138</v>
      </c>
      <c r="I750" s="13" t="s">
        <v>2438</v>
      </c>
      <c r="J750" s="15" t="s">
        <v>3139</v>
      </c>
      <c r="K750" s="12"/>
      <c r="L750" s="11" t="s">
        <v>33</v>
      </c>
      <c r="M750" s="15"/>
      <c r="N750" s="17">
        <v>2200</v>
      </c>
      <c r="O750" s="17"/>
      <c r="P750" s="17"/>
      <c r="Q750" s="48"/>
      <c r="R750" s="11"/>
      <c r="S750" s="48"/>
      <c r="T750" s="85"/>
      <c r="U750" s="88"/>
      <c r="V750" s="32" t="s">
        <v>3140</v>
      </c>
      <c r="W750" s="25" t="s">
        <v>10</v>
      </c>
      <c r="X750" s="11"/>
      <c r="Y750" s="50" t="s">
        <v>15</v>
      </c>
      <c r="Z750" s="50"/>
      <c r="AA750" s="50"/>
      <c r="AB750" s="50"/>
      <c r="AC750" s="50"/>
      <c r="AD750" s="50"/>
      <c r="AE750" s="50"/>
      <c r="AF750" s="34"/>
      <c r="AG750" s="34"/>
      <c r="AH750" s="34"/>
      <c r="AI750" s="34"/>
      <c r="AJ750" s="34"/>
      <c r="AK750" s="34"/>
      <c r="AL750" s="34"/>
      <c r="AM750" s="34"/>
      <c r="AN750" s="34"/>
      <c r="AO750" s="65"/>
      <c r="AP750" s="69"/>
      <c r="AQ750" s="62"/>
      <c r="AR750" s="34"/>
    </row>
    <row r="751" spans="1:44" customFormat="1">
      <c r="A751" s="39">
        <v>44238</v>
      </c>
      <c r="B751" s="11" t="s">
        <v>49</v>
      </c>
      <c r="C751" s="16" t="s">
        <v>3141</v>
      </c>
      <c r="D751" s="16"/>
      <c r="E751" s="38">
        <v>23687</v>
      </c>
      <c r="F751" s="38"/>
      <c r="G751" s="10" t="s">
        <v>3142</v>
      </c>
      <c r="H751" s="12" t="s">
        <v>3143</v>
      </c>
      <c r="I751" s="13" t="s">
        <v>3144</v>
      </c>
      <c r="J751" s="15" t="s">
        <v>3145</v>
      </c>
      <c r="K751" s="12"/>
      <c r="L751" s="11" t="s">
        <v>37</v>
      </c>
      <c r="M751" s="15"/>
      <c r="N751" s="17">
        <v>11000</v>
      </c>
      <c r="O751" s="17"/>
      <c r="P751" s="17"/>
      <c r="Q751" s="48"/>
      <c r="R751" s="11"/>
      <c r="S751" s="48"/>
      <c r="T751" s="85"/>
      <c r="U751" s="88"/>
      <c r="V751" s="32" t="s">
        <v>403</v>
      </c>
      <c r="W751" s="25" t="s">
        <v>10</v>
      </c>
      <c r="X751" s="11"/>
      <c r="Y751" s="50" t="s">
        <v>18</v>
      </c>
      <c r="Z751" s="50"/>
      <c r="AA751" s="50"/>
      <c r="AB751" s="50"/>
      <c r="AC751" s="50"/>
      <c r="AD751" s="50"/>
      <c r="AE751" s="50"/>
      <c r="AF751" s="34"/>
      <c r="AG751" s="34"/>
      <c r="AH751" s="34"/>
      <c r="AI751" s="34"/>
      <c r="AJ751" s="34"/>
      <c r="AK751" s="34"/>
      <c r="AL751" s="34"/>
      <c r="AM751" s="34"/>
      <c r="AN751" s="34"/>
      <c r="AO751" s="65"/>
      <c r="AP751" s="69"/>
      <c r="AQ751" s="62"/>
      <c r="AR751" s="34"/>
    </row>
    <row r="752" spans="1:44" customFormat="1">
      <c r="A752" s="39">
        <v>44238</v>
      </c>
      <c r="B752" s="11" t="s">
        <v>22</v>
      </c>
      <c r="C752" s="16" t="s">
        <v>3153</v>
      </c>
      <c r="D752" s="16"/>
      <c r="E752" s="38">
        <v>29728</v>
      </c>
      <c r="F752" s="38"/>
      <c r="G752" s="10" t="s">
        <v>293</v>
      </c>
      <c r="H752" s="12" t="s">
        <v>3147</v>
      </c>
      <c r="I752" s="13" t="s">
        <v>2185</v>
      </c>
      <c r="J752" s="15" t="s">
        <v>3150</v>
      </c>
      <c r="K752" s="12"/>
      <c r="L752" s="11" t="s">
        <v>34</v>
      </c>
      <c r="M752" s="15"/>
      <c r="N752" s="17">
        <v>2750</v>
      </c>
      <c r="O752" s="17"/>
      <c r="P752" s="17"/>
      <c r="Q752" s="48"/>
      <c r="R752" s="11"/>
      <c r="S752" s="48"/>
      <c r="T752" s="85"/>
      <c r="U752" s="88"/>
      <c r="V752" s="32" t="s">
        <v>3152</v>
      </c>
      <c r="W752" s="25" t="s">
        <v>10</v>
      </c>
      <c r="X752" s="11"/>
      <c r="Y752" s="50" t="s">
        <v>14</v>
      </c>
      <c r="Z752" s="50"/>
      <c r="AA752" s="50"/>
      <c r="AB752" s="50"/>
      <c r="AC752" s="50"/>
      <c r="AD752" s="50"/>
      <c r="AE752" s="50"/>
      <c r="AF752" s="34"/>
      <c r="AG752" s="34"/>
      <c r="AH752" s="34"/>
      <c r="AI752" s="34"/>
      <c r="AJ752" s="34"/>
      <c r="AK752" s="34"/>
      <c r="AL752" s="34"/>
      <c r="AM752" s="34"/>
      <c r="AN752" s="34"/>
      <c r="AO752" s="65"/>
      <c r="AP752" s="69"/>
      <c r="AQ752" s="62"/>
      <c r="AR752" s="34"/>
    </row>
    <row r="753" spans="1:44" customFormat="1">
      <c r="A753" s="39">
        <v>44238</v>
      </c>
      <c r="B753" s="11" t="s">
        <v>22</v>
      </c>
      <c r="C753" s="16" t="s">
        <v>3146</v>
      </c>
      <c r="D753" s="16"/>
      <c r="E753" s="38">
        <v>31506</v>
      </c>
      <c r="F753" s="38"/>
      <c r="G753" s="10" t="s">
        <v>3050</v>
      </c>
      <c r="H753" s="12" t="s">
        <v>3148</v>
      </c>
      <c r="I753" s="13" t="s">
        <v>3149</v>
      </c>
      <c r="J753" s="15" t="s">
        <v>3151</v>
      </c>
      <c r="K753" s="12"/>
      <c r="L753" s="11" t="s">
        <v>34</v>
      </c>
      <c r="M753" s="15"/>
      <c r="N753" s="17">
        <v>2750</v>
      </c>
      <c r="O753" s="17"/>
      <c r="P753" s="17"/>
      <c r="Q753" s="48"/>
      <c r="R753" s="11"/>
      <c r="S753" s="48"/>
      <c r="T753" s="85"/>
      <c r="U753" s="88"/>
      <c r="V753" s="32" t="s">
        <v>1744</v>
      </c>
      <c r="W753" s="25" t="s">
        <v>10</v>
      </c>
      <c r="X753" s="11"/>
      <c r="Y753" s="50" t="s">
        <v>14</v>
      </c>
      <c r="Z753" s="50"/>
      <c r="AA753" s="50"/>
      <c r="AB753" s="50"/>
      <c r="AC753" s="50"/>
      <c r="AD753" s="50"/>
      <c r="AE753" s="50"/>
      <c r="AF753" s="34"/>
      <c r="AG753" s="34"/>
      <c r="AH753" s="34"/>
      <c r="AI753" s="34"/>
      <c r="AJ753" s="34"/>
      <c r="AK753" s="34"/>
      <c r="AL753" s="34"/>
      <c r="AM753" s="34"/>
      <c r="AN753" s="34"/>
      <c r="AO753" s="65"/>
      <c r="AP753" s="69"/>
      <c r="AQ753" s="62"/>
      <c r="AR753" s="34"/>
    </row>
    <row r="754" spans="1:44" customFormat="1">
      <c r="A754" s="39">
        <v>44240</v>
      </c>
      <c r="B754" s="11" t="s">
        <v>2171</v>
      </c>
      <c r="C754" s="16" t="s">
        <v>3137</v>
      </c>
      <c r="D754" s="16"/>
      <c r="E754" s="38"/>
      <c r="F754" s="38"/>
      <c r="G754" s="10"/>
      <c r="H754" s="12"/>
      <c r="I754" s="13"/>
      <c r="J754" s="15"/>
      <c r="K754" s="12"/>
      <c r="L754" s="11"/>
      <c r="M754" s="15"/>
      <c r="N754" s="17">
        <v>5500</v>
      </c>
      <c r="O754" s="17"/>
      <c r="P754" s="17"/>
      <c r="Q754" s="48"/>
      <c r="R754" s="11"/>
      <c r="S754" s="48"/>
      <c r="T754" s="85"/>
      <c r="U754" s="88"/>
      <c r="V754" s="32" t="s">
        <v>3154</v>
      </c>
      <c r="W754" s="25"/>
      <c r="X754" s="11"/>
      <c r="Y754" s="50"/>
      <c r="Z754" s="50"/>
      <c r="AA754" s="50"/>
      <c r="AB754" s="50"/>
      <c r="AC754" s="50"/>
      <c r="AD754" s="50"/>
      <c r="AE754" s="50"/>
      <c r="AF754" s="34"/>
      <c r="AG754" s="34"/>
      <c r="AH754" s="34"/>
      <c r="AI754" s="34"/>
      <c r="AJ754" s="34"/>
      <c r="AK754" s="34"/>
      <c r="AL754" s="34"/>
      <c r="AM754" s="34"/>
      <c r="AN754" s="34"/>
      <c r="AO754" s="65"/>
      <c r="AP754" s="69"/>
      <c r="AQ754" s="62"/>
      <c r="AR754" s="34"/>
    </row>
    <row r="755" spans="1:44" customFormat="1">
      <c r="A755" s="39">
        <v>44240</v>
      </c>
      <c r="B755" s="11" t="s">
        <v>49</v>
      </c>
      <c r="C755" s="16" t="s">
        <v>1724</v>
      </c>
      <c r="D755" s="16"/>
      <c r="E755" s="38">
        <v>38109</v>
      </c>
      <c r="F755" s="38"/>
      <c r="G755" s="10" t="s">
        <v>3155</v>
      </c>
      <c r="H755" s="12" t="s">
        <v>3156</v>
      </c>
      <c r="I755" s="13" t="s">
        <v>3157</v>
      </c>
      <c r="J755" s="15" t="s">
        <v>3158</v>
      </c>
      <c r="K755" s="12"/>
      <c r="L755" s="11" t="s">
        <v>38</v>
      </c>
      <c r="M755" s="15"/>
      <c r="N755" s="17">
        <v>8250</v>
      </c>
      <c r="O755" s="17"/>
      <c r="P755" s="17"/>
      <c r="Q755" s="48"/>
      <c r="R755" s="11"/>
      <c r="S755" s="48"/>
      <c r="T755" s="85"/>
      <c r="U755" s="88"/>
      <c r="V755" s="32" t="s">
        <v>403</v>
      </c>
      <c r="W755" s="25" t="s">
        <v>8</v>
      </c>
      <c r="X755" s="11"/>
      <c r="Y755" s="50" t="s">
        <v>12</v>
      </c>
      <c r="Z755" s="50"/>
      <c r="AA755" s="50"/>
      <c r="AB755" s="50"/>
      <c r="AC755" s="50"/>
      <c r="AD755" s="50"/>
      <c r="AE755" s="50"/>
      <c r="AF755" s="34"/>
      <c r="AG755" s="34"/>
      <c r="AH755" s="34"/>
      <c r="AI755" s="34"/>
      <c r="AJ755" s="34"/>
      <c r="AK755" s="34"/>
      <c r="AL755" s="34"/>
      <c r="AM755" s="34"/>
      <c r="AN755" s="34"/>
      <c r="AO755" s="65"/>
      <c r="AP755" s="69"/>
      <c r="AQ755" s="62"/>
      <c r="AR755" s="34"/>
    </row>
    <row r="756" spans="1:44" customFormat="1">
      <c r="A756" s="39">
        <v>44241</v>
      </c>
      <c r="B756" s="11" t="s">
        <v>49</v>
      </c>
      <c r="C756" s="16" t="s">
        <v>3159</v>
      </c>
      <c r="D756" s="16"/>
      <c r="E756" s="38">
        <v>38039</v>
      </c>
      <c r="F756" s="38"/>
      <c r="G756" s="10" t="s">
        <v>3142</v>
      </c>
      <c r="H756" s="12" t="s">
        <v>3143</v>
      </c>
      <c r="I756" s="13" t="s">
        <v>3144</v>
      </c>
      <c r="J756" s="15" t="s">
        <v>3160</v>
      </c>
      <c r="K756" s="12"/>
      <c r="L756" s="11" t="s">
        <v>38</v>
      </c>
      <c r="M756" s="15"/>
      <c r="N756" s="17">
        <v>11000</v>
      </c>
      <c r="O756" s="17"/>
      <c r="P756" s="17"/>
      <c r="Q756" s="48"/>
      <c r="R756" s="11"/>
      <c r="S756" s="48"/>
      <c r="T756" s="85"/>
      <c r="U756" s="88"/>
      <c r="V756" s="32" t="s">
        <v>3161</v>
      </c>
      <c r="W756" s="25" t="s">
        <v>8</v>
      </c>
      <c r="X756" s="11"/>
      <c r="Y756" s="50" t="s">
        <v>18</v>
      </c>
      <c r="Z756" s="50"/>
      <c r="AA756" s="50"/>
      <c r="AB756" s="50"/>
      <c r="AC756" s="50"/>
      <c r="AD756" s="50"/>
      <c r="AE756" s="50"/>
      <c r="AF756" s="34"/>
      <c r="AG756" s="34"/>
      <c r="AH756" s="34"/>
      <c r="AI756" s="34"/>
      <c r="AJ756" s="34"/>
      <c r="AK756" s="34"/>
      <c r="AL756" s="34"/>
      <c r="AM756" s="34"/>
      <c r="AN756" s="34"/>
      <c r="AO756" s="65"/>
      <c r="AP756" s="69"/>
      <c r="AQ756" s="62"/>
      <c r="AR756" s="34"/>
    </row>
    <row r="757" spans="1:44" customFormat="1">
      <c r="A757" s="39">
        <v>44241</v>
      </c>
      <c r="B757" s="11" t="s">
        <v>49</v>
      </c>
      <c r="C757" s="16" t="s">
        <v>3162</v>
      </c>
      <c r="D757" s="16"/>
      <c r="E757" s="38">
        <v>31526</v>
      </c>
      <c r="F757" s="38"/>
      <c r="G757" s="10" t="s">
        <v>3163</v>
      </c>
      <c r="H757" s="12" t="s">
        <v>3164</v>
      </c>
      <c r="I757" s="13" t="s">
        <v>3165</v>
      </c>
      <c r="J757" s="15" t="s">
        <v>3166</v>
      </c>
      <c r="K757" s="12"/>
      <c r="L757" s="11" t="s">
        <v>34</v>
      </c>
      <c r="M757" s="15"/>
      <c r="N757" s="17">
        <v>22000</v>
      </c>
      <c r="O757" s="17"/>
      <c r="P757" s="17"/>
      <c r="Q757" s="48"/>
      <c r="R757" s="11"/>
      <c r="S757" s="48"/>
      <c r="T757" s="85"/>
      <c r="U757" s="88"/>
      <c r="V757" s="32"/>
      <c r="W757" s="25" t="s">
        <v>48</v>
      </c>
      <c r="X757" s="11"/>
      <c r="Y757" s="50" t="s">
        <v>13</v>
      </c>
      <c r="Z757" s="50"/>
      <c r="AA757" s="50"/>
      <c r="AB757" s="50"/>
      <c r="AC757" s="50"/>
      <c r="AD757" s="50"/>
      <c r="AE757" s="50"/>
      <c r="AF757" s="34"/>
      <c r="AG757" s="34"/>
      <c r="AH757" s="34"/>
      <c r="AI757" s="34"/>
      <c r="AJ757" s="34"/>
      <c r="AK757" s="34"/>
      <c r="AL757" s="34"/>
      <c r="AM757" s="34"/>
      <c r="AN757" s="34"/>
      <c r="AO757" s="65"/>
      <c r="AP757" s="69"/>
      <c r="AQ757" s="62"/>
      <c r="AR757" s="34"/>
    </row>
    <row r="758" spans="1:44" customFormat="1">
      <c r="A758" s="39">
        <v>44241</v>
      </c>
      <c r="B758" s="11" t="s">
        <v>22</v>
      </c>
      <c r="C758" s="16" t="s">
        <v>3167</v>
      </c>
      <c r="D758" s="16"/>
      <c r="E758" s="38">
        <v>19892</v>
      </c>
      <c r="F758" s="38"/>
      <c r="G758" s="10" t="s">
        <v>236</v>
      </c>
      <c r="H758" s="12" t="s">
        <v>3168</v>
      </c>
      <c r="I758" s="13" t="s">
        <v>2071</v>
      </c>
      <c r="J758" s="15" t="s">
        <v>3169</v>
      </c>
      <c r="K758" s="12"/>
      <c r="L758" s="11"/>
      <c r="M758" s="15"/>
      <c r="N758" s="17">
        <v>2750</v>
      </c>
      <c r="O758" s="17"/>
      <c r="P758" s="17"/>
      <c r="Q758" s="48"/>
      <c r="R758" s="11"/>
      <c r="S758" s="48"/>
      <c r="T758" s="85"/>
      <c r="U758" s="88"/>
      <c r="V758" s="32" t="s">
        <v>3170</v>
      </c>
      <c r="W758" s="25" t="s">
        <v>8</v>
      </c>
      <c r="X758" s="11"/>
      <c r="Y758" s="50" t="s">
        <v>17</v>
      </c>
      <c r="Z758" s="50"/>
      <c r="AA758" s="50"/>
      <c r="AB758" s="50"/>
      <c r="AC758" s="50"/>
      <c r="AD758" s="50"/>
      <c r="AE758" s="50"/>
      <c r="AF758" s="34"/>
      <c r="AG758" s="34"/>
      <c r="AH758" s="34"/>
      <c r="AI758" s="34"/>
      <c r="AJ758" s="34"/>
      <c r="AK758" s="34"/>
      <c r="AL758" s="34"/>
      <c r="AM758" s="34"/>
      <c r="AN758" s="34"/>
      <c r="AO758" s="65"/>
      <c r="AP758" s="69"/>
      <c r="AQ758" s="62"/>
      <c r="AR758" s="34"/>
    </row>
    <row r="759" spans="1:44" customFormat="1">
      <c r="A759" s="39">
        <v>44242</v>
      </c>
      <c r="B759" s="11" t="s">
        <v>22</v>
      </c>
      <c r="C759" s="16" t="s">
        <v>3171</v>
      </c>
      <c r="D759" s="16"/>
      <c r="E759" s="38">
        <v>17609</v>
      </c>
      <c r="F759" s="38"/>
      <c r="G759" s="10" t="s">
        <v>551</v>
      </c>
      <c r="H759" s="12" t="s">
        <v>3172</v>
      </c>
      <c r="I759" s="13" t="s">
        <v>1845</v>
      </c>
      <c r="J759" s="15" t="s">
        <v>3173</v>
      </c>
      <c r="K759" s="12"/>
      <c r="L759" s="11" t="s">
        <v>39</v>
      </c>
      <c r="M759" s="15"/>
      <c r="N759" s="17">
        <v>0</v>
      </c>
      <c r="O759" s="17"/>
      <c r="P759" s="17"/>
      <c r="Q759" s="48"/>
      <c r="R759" s="11"/>
      <c r="S759" s="48"/>
      <c r="T759" s="85"/>
      <c r="U759" s="90">
        <v>44389</v>
      </c>
      <c r="V759" s="32" t="s">
        <v>1397</v>
      </c>
      <c r="W759" s="25" t="s">
        <v>8</v>
      </c>
      <c r="X759" s="11"/>
      <c r="Y759" s="50"/>
      <c r="Z759" s="50"/>
      <c r="AA759" s="50"/>
      <c r="AB759" s="50"/>
      <c r="AC759" s="50"/>
      <c r="AD759" s="50"/>
      <c r="AE759" s="50"/>
      <c r="AF759" s="34"/>
      <c r="AG759" s="34"/>
      <c r="AH759" s="34"/>
      <c r="AI759" s="34"/>
      <c r="AJ759" s="34"/>
      <c r="AK759" s="34"/>
      <c r="AL759" s="34"/>
      <c r="AM759" s="34"/>
      <c r="AN759" s="34"/>
      <c r="AO759" s="65"/>
      <c r="AP759" s="69"/>
      <c r="AQ759" s="62"/>
      <c r="AR759" s="34"/>
    </row>
    <row r="760" spans="1:44" customFormat="1">
      <c r="A760" s="39">
        <v>44246</v>
      </c>
      <c r="B760" s="11" t="s">
        <v>22</v>
      </c>
      <c r="C760" s="16" t="s">
        <v>3174</v>
      </c>
      <c r="D760" s="16"/>
      <c r="E760" s="38">
        <v>29841</v>
      </c>
      <c r="F760" s="38"/>
      <c r="G760" s="10" t="s">
        <v>130</v>
      </c>
      <c r="H760" s="12" t="s">
        <v>3175</v>
      </c>
      <c r="I760" s="13" t="s">
        <v>3085</v>
      </c>
      <c r="J760" s="15" t="s">
        <v>3176</v>
      </c>
      <c r="K760" s="12"/>
      <c r="L760" s="11" t="s">
        <v>36</v>
      </c>
      <c r="M760" s="15"/>
      <c r="N760" s="17">
        <v>2750</v>
      </c>
      <c r="O760" s="17"/>
      <c r="P760" s="17"/>
      <c r="Q760" s="48"/>
      <c r="R760" s="11"/>
      <c r="S760" s="48"/>
      <c r="T760" s="85"/>
      <c r="U760" s="88"/>
      <c r="V760" s="32" t="s">
        <v>1744</v>
      </c>
      <c r="W760" s="25" t="s">
        <v>10</v>
      </c>
      <c r="X760" s="11"/>
      <c r="Y760" s="50" t="s">
        <v>18</v>
      </c>
      <c r="Z760" s="50"/>
      <c r="AA760" s="50"/>
      <c r="AB760" s="50"/>
      <c r="AC760" s="50"/>
      <c r="AD760" s="50"/>
      <c r="AE760" s="50"/>
      <c r="AF760" s="34"/>
      <c r="AG760" s="34"/>
      <c r="AH760" s="34"/>
      <c r="AI760" s="34"/>
      <c r="AJ760" s="34"/>
      <c r="AK760" s="34"/>
      <c r="AL760" s="34"/>
      <c r="AM760" s="34"/>
      <c r="AN760" s="34"/>
      <c r="AO760" s="65"/>
      <c r="AP760" s="69"/>
      <c r="AQ760" s="62"/>
      <c r="AR760" s="79">
        <v>44389</v>
      </c>
    </row>
    <row r="761" spans="1:44" customFormat="1">
      <c r="A761" s="39">
        <v>44247</v>
      </c>
      <c r="B761" s="11" t="s">
        <v>22</v>
      </c>
      <c r="C761" s="16" t="s">
        <v>3177</v>
      </c>
      <c r="D761" s="16"/>
      <c r="E761" s="38">
        <v>30414</v>
      </c>
      <c r="F761" s="38"/>
      <c r="G761" s="10" t="s">
        <v>3178</v>
      </c>
      <c r="H761" s="12" t="s">
        <v>3179</v>
      </c>
      <c r="I761" s="13" t="s">
        <v>3180</v>
      </c>
      <c r="J761" s="15" t="s">
        <v>3181</v>
      </c>
      <c r="K761" s="12"/>
      <c r="L761" s="11" t="s">
        <v>36</v>
      </c>
      <c r="M761" s="15"/>
      <c r="N761" s="17">
        <v>2750</v>
      </c>
      <c r="O761" s="17"/>
      <c r="P761" s="17"/>
      <c r="Q761" s="48"/>
      <c r="R761" s="11"/>
      <c r="S761" s="48"/>
      <c r="T761" s="85"/>
      <c r="U761" s="90">
        <v>44389</v>
      </c>
      <c r="V761" s="32" t="s">
        <v>1744</v>
      </c>
      <c r="W761" s="25" t="s">
        <v>48</v>
      </c>
      <c r="X761" s="11"/>
      <c r="Y761" s="50" t="s">
        <v>13</v>
      </c>
      <c r="Z761" s="50"/>
      <c r="AA761" s="50"/>
      <c r="AB761" s="50"/>
      <c r="AC761" s="50"/>
      <c r="AD761" s="50"/>
      <c r="AE761" s="50"/>
      <c r="AF761" s="34"/>
      <c r="AG761" s="34"/>
      <c r="AH761" s="34"/>
      <c r="AI761" s="34"/>
      <c r="AJ761" s="34"/>
      <c r="AK761" s="34"/>
      <c r="AL761" s="34"/>
      <c r="AM761" s="34"/>
      <c r="AN761" s="34"/>
      <c r="AO761" s="65"/>
      <c r="AP761" s="69"/>
      <c r="AQ761" s="62"/>
      <c r="AR761" s="34"/>
    </row>
    <row r="762" spans="1:44" customFormat="1">
      <c r="A762" s="39">
        <v>44247</v>
      </c>
      <c r="B762" s="11" t="s">
        <v>2170</v>
      </c>
      <c r="C762" s="16" t="s">
        <v>3038</v>
      </c>
      <c r="D762" s="16"/>
      <c r="E762" s="38"/>
      <c r="F762" s="38"/>
      <c r="G762" s="10"/>
      <c r="H762" s="12"/>
      <c r="I762" s="13"/>
      <c r="J762" s="15"/>
      <c r="K762" s="12"/>
      <c r="L762" s="11"/>
      <c r="M762" s="15"/>
      <c r="N762" s="17">
        <v>5500</v>
      </c>
      <c r="O762" s="17"/>
      <c r="P762" s="17"/>
      <c r="Q762" s="48"/>
      <c r="R762" s="11"/>
      <c r="S762" s="48"/>
      <c r="T762" s="85"/>
      <c r="U762" s="88"/>
      <c r="V762" s="32" t="s">
        <v>3182</v>
      </c>
      <c r="W762" s="25"/>
      <c r="X762" s="11"/>
      <c r="Y762" s="50"/>
      <c r="Z762" s="50"/>
      <c r="AA762" s="50"/>
      <c r="AB762" s="50"/>
      <c r="AC762" s="50"/>
      <c r="AD762" s="50"/>
      <c r="AE762" s="50"/>
      <c r="AF762" s="34"/>
      <c r="AG762" s="34"/>
      <c r="AH762" s="34"/>
      <c r="AI762" s="34"/>
      <c r="AJ762" s="34"/>
      <c r="AK762" s="34"/>
      <c r="AL762" s="34"/>
      <c r="AM762" s="34"/>
      <c r="AN762" s="34"/>
      <c r="AO762" s="65"/>
      <c r="AP762" s="69"/>
      <c r="AQ762" s="62"/>
      <c r="AR762" s="79">
        <v>44389</v>
      </c>
    </row>
    <row r="763" spans="1:44" customFormat="1">
      <c r="A763" s="39">
        <v>44248</v>
      </c>
      <c r="B763" s="11" t="s">
        <v>22</v>
      </c>
      <c r="C763" s="16" t="s">
        <v>3183</v>
      </c>
      <c r="D763" s="16"/>
      <c r="E763" s="38">
        <v>36092</v>
      </c>
      <c r="F763" s="38"/>
      <c r="G763" s="10" t="s">
        <v>2183</v>
      </c>
      <c r="H763" s="12" t="s">
        <v>3184</v>
      </c>
      <c r="I763" s="13" t="s">
        <v>2185</v>
      </c>
      <c r="J763" s="15" t="s">
        <v>3185</v>
      </c>
      <c r="K763" s="14" t="s">
        <v>3186</v>
      </c>
      <c r="L763" s="11" t="s">
        <v>38</v>
      </c>
      <c r="M763" s="15"/>
      <c r="N763" s="17">
        <v>2750</v>
      </c>
      <c r="O763" s="17"/>
      <c r="P763" s="17"/>
      <c r="Q763" s="48"/>
      <c r="R763" s="11"/>
      <c r="S763" s="48"/>
      <c r="T763" s="85"/>
      <c r="U763" s="88"/>
      <c r="V763" s="32" t="s">
        <v>3187</v>
      </c>
      <c r="W763" s="25" t="s">
        <v>8</v>
      </c>
      <c r="X763" s="11"/>
      <c r="Y763" s="50"/>
      <c r="Z763" s="50"/>
      <c r="AA763" s="50"/>
      <c r="AB763" s="50"/>
      <c r="AC763" s="50"/>
      <c r="AD763" s="50"/>
      <c r="AE763" s="50"/>
      <c r="AF763" s="34"/>
      <c r="AG763" s="34"/>
      <c r="AH763" s="34"/>
      <c r="AI763" s="34"/>
      <c r="AJ763" s="34"/>
      <c r="AK763" s="34"/>
      <c r="AL763" s="34"/>
      <c r="AM763" s="34"/>
      <c r="AN763" s="34"/>
      <c r="AO763" s="65"/>
      <c r="AP763" s="69"/>
      <c r="AQ763" s="62"/>
      <c r="AR763" s="34"/>
    </row>
    <row r="764" spans="1:44" customFormat="1">
      <c r="A764" s="39">
        <v>44248</v>
      </c>
      <c r="B764" s="11" t="s">
        <v>49</v>
      </c>
      <c r="C764" s="16" t="s">
        <v>3188</v>
      </c>
      <c r="D764" s="16"/>
      <c r="E764" s="38">
        <v>25612</v>
      </c>
      <c r="F764" s="38"/>
      <c r="G764" s="10" t="s">
        <v>3191</v>
      </c>
      <c r="H764" s="12" t="s">
        <v>3189</v>
      </c>
      <c r="I764" s="13" t="s">
        <v>3190</v>
      </c>
      <c r="J764" s="15" t="s">
        <v>3192</v>
      </c>
      <c r="K764" s="12"/>
      <c r="L764" s="11" t="s">
        <v>33</v>
      </c>
      <c r="M764" s="15"/>
      <c r="N764" s="17">
        <v>22000</v>
      </c>
      <c r="O764" s="17"/>
      <c r="P764" s="17"/>
      <c r="Q764" s="48"/>
      <c r="R764" s="11"/>
      <c r="S764" s="48"/>
      <c r="T764" s="85"/>
      <c r="U764" s="88"/>
      <c r="V764" s="32"/>
      <c r="W764" s="25" t="s">
        <v>8</v>
      </c>
      <c r="X764" s="11"/>
      <c r="Y764" s="50" t="s">
        <v>13</v>
      </c>
      <c r="Z764" s="50"/>
      <c r="AA764" s="50"/>
      <c r="AB764" s="50"/>
      <c r="AC764" s="50"/>
      <c r="AD764" s="50"/>
      <c r="AE764" s="50"/>
      <c r="AF764" s="34"/>
      <c r="AG764" s="34"/>
      <c r="AH764" s="34"/>
      <c r="AI764" s="34"/>
      <c r="AJ764" s="34"/>
      <c r="AK764" s="34"/>
      <c r="AL764" s="34"/>
      <c r="AM764" s="34"/>
      <c r="AN764" s="34"/>
      <c r="AO764" s="65"/>
      <c r="AP764" s="69"/>
      <c r="AQ764" s="62"/>
      <c r="AR764" s="34"/>
    </row>
    <row r="765" spans="1:44" customFormat="1">
      <c r="A765" s="39">
        <v>44248</v>
      </c>
      <c r="B765" s="11" t="s">
        <v>49</v>
      </c>
      <c r="C765" s="16" t="s">
        <v>3193</v>
      </c>
      <c r="D765" s="16"/>
      <c r="E765" s="38">
        <v>27874</v>
      </c>
      <c r="F765" s="38"/>
      <c r="G765" s="10" t="s">
        <v>3194</v>
      </c>
      <c r="H765" s="12" t="s">
        <v>3195</v>
      </c>
      <c r="I765" s="13" t="s">
        <v>3196</v>
      </c>
      <c r="J765" s="15" t="s">
        <v>3197</v>
      </c>
      <c r="K765" s="12"/>
      <c r="L765" s="11" t="s">
        <v>33</v>
      </c>
      <c r="M765" s="15"/>
      <c r="N765" s="17">
        <v>22000</v>
      </c>
      <c r="O765" s="17"/>
      <c r="P765" s="17"/>
      <c r="Q765" s="48"/>
      <c r="R765" s="11"/>
      <c r="S765" s="48"/>
      <c r="T765" s="85"/>
      <c r="U765" s="88"/>
      <c r="V765" s="32"/>
      <c r="W765" s="25" t="s">
        <v>8</v>
      </c>
      <c r="X765" s="11"/>
      <c r="Y765" s="50" t="s">
        <v>13</v>
      </c>
      <c r="Z765" s="50"/>
      <c r="AA765" s="50"/>
      <c r="AB765" s="50"/>
      <c r="AC765" s="50"/>
      <c r="AD765" s="50"/>
      <c r="AE765" s="50"/>
      <c r="AF765" s="34"/>
      <c r="AG765" s="34"/>
      <c r="AH765" s="34"/>
      <c r="AI765" s="34"/>
      <c r="AJ765" s="34"/>
      <c r="AK765" s="34"/>
      <c r="AL765" s="34"/>
      <c r="AM765" s="34"/>
      <c r="AN765" s="34"/>
      <c r="AO765" s="65"/>
      <c r="AP765" s="69"/>
      <c r="AQ765" s="62"/>
      <c r="AR765" s="34"/>
    </row>
    <row r="766" spans="1:44" customFormat="1">
      <c r="A766" s="39">
        <v>44248</v>
      </c>
      <c r="B766" s="11" t="s">
        <v>49</v>
      </c>
      <c r="C766" s="16" t="s">
        <v>3198</v>
      </c>
      <c r="D766" s="16"/>
      <c r="E766" s="38">
        <v>19569</v>
      </c>
      <c r="F766" s="38"/>
      <c r="G766" s="10" t="s">
        <v>3200</v>
      </c>
      <c r="H766" s="12" t="s">
        <v>3201</v>
      </c>
      <c r="I766" s="13" t="s">
        <v>2098</v>
      </c>
      <c r="J766" s="15" t="s">
        <v>3202</v>
      </c>
      <c r="K766" s="12"/>
      <c r="L766" s="11" t="s">
        <v>33</v>
      </c>
      <c r="M766" s="15"/>
      <c r="N766" s="17">
        <v>16500</v>
      </c>
      <c r="O766" s="17"/>
      <c r="P766" s="17"/>
      <c r="Q766" s="48"/>
      <c r="R766" s="11"/>
      <c r="S766" s="48"/>
      <c r="T766" s="85"/>
      <c r="U766" s="88"/>
      <c r="V766" s="32" t="s">
        <v>3204</v>
      </c>
      <c r="W766" s="25" t="s">
        <v>10</v>
      </c>
      <c r="X766" s="11"/>
      <c r="Y766" s="50" t="s">
        <v>12</v>
      </c>
      <c r="Z766" s="50"/>
      <c r="AA766" s="50"/>
      <c r="AB766" s="50"/>
      <c r="AC766" s="50"/>
      <c r="AD766" s="50"/>
      <c r="AE766" s="50"/>
      <c r="AF766" s="34"/>
      <c r="AG766" s="34"/>
      <c r="AH766" s="34"/>
      <c r="AI766" s="34"/>
      <c r="AJ766" s="34"/>
      <c r="AK766" s="34"/>
      <c r="AL766" s="34"/>
      <c r="AM766" s="34"/>
      <c r="AN766" s="34"/>
      <c r="AO766" s="65"/>
      <c r="AP766" s="69"/>
      <c r="AQ766" s="62"/>
      <c r="AR766" s="34"/>
    </row>
    <row r="767" spans="1:44" customFormat="1">
      <c r="A767" s="39">
        <v>44248</v>
      </c>
      <c r="B767" s="11" t="s">
        <v>49</v>
      </c>
      <c r="C767" s="16" t="s">
        <v>3199</v>
      </c>
      <c r="D767" s="16"/>
      <c r="E767" s="38">
        <v>30803</v>
      </c>
      <c r="F767" s="38"/>
      <c r="G767" s="10" t="s">
        <v>3200</v>
      </c>
      <c r="H767" s="12" t="s">
        <v>3201</v>
      </c>
      <c r="I767" s="13" t="s">
        <v>2098</v>
      </c>
      <c r="J767" s="15" t="s">
        <v>3203</v>
      </c>
      <c r="K767" s="12"/>
      <c r="L767" s="11" t="s">
        <v>33</v>
      </c>
      <c r="M767" s="15"/>
      <c r="N767" s="17">
        <v>16500</v>
      </c>
      <c r="O767" s="17"/>
      <c r="P767" s="17"/>
      <c r="Q767" s="48"/>
      <c r="R767" s="11"/>
      <c r="S767" s="48"/>
      <c r="T767" s="85"/>
      <c r="U767" s="88"/>
      <c r="V767" s="32" t="s">
        <v>3204</v>
      </c>
      <c r="W767" s="25" t="s">
        <v>10</v>
      </c>
      <c r="X767" s="11"/>
      <c r="Y767" s="50" t="s">
        <v>14</v>
      </c>
      <c r="Z767" s="50"/>
      <c r="AA767" s="50"/>
      <c r="AB767" s="50"/>
      <c r="AC767" s="50"/>
      <c r="AD767" s="50"/>
      <c r="AE767" s="50"/>
      <c r="AF767" s="34"/>
      <c r="AG767" s="34"/>
      <c r="AH767" s="34"/>
      <c r="AI767" s="34"/>
      <c r="AJ767" s="34"/>
      <c r="AK767" s="34"/>
      <c r="AL767" s="34"/>
      <c r="AM767" s="34"/>
      <c r="AN767" s="34"/>
      <c r="AO767" s="65"/>
      <c r="AP767" s="69"/>
      <c r="AQ767" s="62"/>
      <c r="AR767" s="34"/>
    </row>
    <row r="768" spans="1:44" customFormat="1">
      <c r="A768" s="39">
        <v>44250</v>
      </c>
      <c r="B768" s="11" t="s">
        <v>49</v>
      </c>
      <c r="C768" s="16" t="s">
        <v>3205</v>
      </c>
      <c r="D768" s="16"/>
      <c r="E768" s="38">
        <v>27944</v>
      </c>
      <c r="F768" s="38"/>
      <c r="G768" s="10" t="s">
        <v>3206</v>
      </c>
      <c r="H768" s="12" t="s">
        <v>3207</v>
      </c>
      <c r="I768" s="13" t="s">
        <v>3208</v>
      </c>
      <c r="J768" s="15" t="s">
        <v>3209</v>
      </c>
      <c r="K768" s="12"/>
      <c r="L768" s="11" t="s">
        <v>36</v>
      </c>
      <c r="M768" s="15"/>
      <c r="N768" s="17">
        <v>16500</v>
      </c>
      <c r="O768" s="17"/>
      <c r="P768" s="17"/>
      <c r="Q768" s="48"/>
      <c r="R768" s="11"/>
      <c r="S768" s="48"/>
      <c r="T768" s="85"/>
      <c r="U768" s="88"/>
      <c r="V768" s="32" t="s">
        <v>3210</v>
      </c>
      <c r="W768" s="25" t="s">
        <v>10</v>
      </c>
      <c r="X768" s="11"/>
      <c r="Y768" s="50" t="s">
        <v>12</v>
      </c>
      <c r="Z768" s="50"/>
      <c r="AA768" s="50"/>
      <c r="AB768" s="50"/>
      <c r="AC768" s="50"/>
      <c r="AD768" s="50"/>
      <c r="AE768" s="50"/>
      <c r="AF768" s="34"/>
      <c r="AG768" s="34"/>
      <c r="AH768" s="34"/>
      <c r="AI768" s="34"/>
      <c r="AJ768" s="34"/>
      <c r="AK768" s="34"/>
      <c r="AL768" s="34"/>
      <c r="AM768" s="34"/>
      <c r="AN768" s="34"/>
      <c r="AO768" s="65"/>
      <c r="AP768" s="69"/>
      <c r="AQ768" s="62"/>
      <c r="AR768" s="34"/>
    </row>
    <row r="769" spans="1:44" customFormat="1">
      <c r="A769" s="39">
        <v>44250</v>
      </c>
      <c r="B769" s="11" t="s">
        <v>22</v>
      </c>
      <c r="C769" s="16" t="s">
        <v>3217</v>
      </c>
      <c r="D769" s="16"/>
      <c r="E769" s="38">
        <v>25048</v>
      </c>
      <c r="F769" s="38"/>
      <c r="G769" s="10" t="s">
        <v>2740</v>
      </c>
      <c r="H769" s="12" t="s">
        <v>3218</v>
      </c>
      <c r="I769" s="13" t="s">
        <v>2596</v>
      </c>
      <c r="J769" s="15" t="s">
        <v>3219</v>
      </c>
      <c r="K769" s="12"/>
      <c r="L769" s="11" t="s">
        <v>33</v>
      </c>
      <c r="M769" s="15"/>
      <c r="N769" s="17">
        <v>2750</v>
      </c>
      <c r="O769" s="17"/>
      <c r="P769" s="17"/>
      <c r="Q769" s="48"/>
      <c r="R769" s="11"/>
      <c r="S769" s="48"/>
      <c r="T769" s="85" t="s">
        <v>81</v>
      </c>
      <c r="U769" s="88"/>
      <c r="V769" s="32" t="s">
        <v>3220</v>
      </c>
      <c r="W769" s="25" t="s">
        <v>10</v>
      </c>
      <c r="X769" s="11"/>
      <c r="Y769" s="50" t="s">
        <v>11</v>
      </c>
      <c r="Z769" s="50"/>
      <c r="AA769" s="50"/>
      <c r="AB769" s="50"/>
      <c r="AC769" s="50"/>
      <c r="AD769" s="50"/>
      <c r="AE769" s="50"/>
      <c r="AF769" s="34"/>
      <c r="AG769" s="34"/>
      <c r="AH769" s="34"/>
      <c r="AI769" s="34"/>
      <c r="AJ769" s="34"/>
      <c r="AK769" s="34"/>
      <c r="AL769" s="34"/>
      <c r="AM769" s="34"/>
      <c r="AN769" s="34"/>
      <c r="AO769" s="65"/>
      <c r="AP769" s="69"/>
      <c r="AQ769" s="62"/>
      <c r="AR769" s="34"/>
    </row>
    <row r="770" spans="1:44" customFormat="1">
      <c r="A770" s="39">
        <v>44250</v>
      </c>
      <c r="B770" s="11" t="s">
        <v>22</v>
      </c>
      <c r="C770" s="16" t="s">
        <v>3211</v>
      </c>
      <c r="D770" s="16"/>
      <c r="E770" s="38">
        <v>30910</v>
      </c>
      <c r="F770" s="38"/>
      <c r="G770" s="10" t="s">
        <v>1133</v>
      </c>
      <c r="H770" s="12" t="s">
        <v>1134</v>
      </c>
      <c r="I770" s="13">
        <v>6.4</v>
      </c>
      <c r="J770" s="15" t="s">
        <v>3213</v>
      </c>
      <c r="K770" s="12"/>
      <c r="L770" s="11" t="s">
        <v>36</v>
      </c>
      <c r="M770" s="15"/>
      <c r="N770" s="17">
        <v>2750</v>
      </c>
      <c r="O770" s="17"/>
      <c r="P770" s="17"/>
      <c r="Q770" s="48"/>
      <c r="R770" s="11"/>
      <c r="S770" s="48"/>
      <c r="T770" s="85"/>
      <c r="U770" s="88"/>
      <c r="V770" s="32"/>
      <c r="W770" s="25" t="s">
        <v>8</v>
      </c>
      <c r="X770" s="11"/>
      <c r="Y770" s="50" t="s">
        <v>18</v>
      </c>
      <c r="Z770" s="50"/>
      <c r="AA770" s="50"/>
      <c r="AB770" s="50"/>
      <c r="AC770" s="50"/>
      <c r="AD770" s="50"/>
      <c r="AE770" s="50"/>
      <c r="AF770" s="34"/>
      <c r="AG770" s="34"/>
      <c r="AH770" s="34"/>
      <c r="AI770" s="34"/>
      <c r="AJ770" s="34"/>
      <c r="AK770" s="34"/>
      <c r="AL770" s="34"/>
      <c r="AM770" s="34"/>
      <c r="AN770" s="34"/>
      <c r="AO770" s="65"/>
      <c r="AP770" s="69"/>
      <c r="AQ770" s="62"/>
      <c r="AR770" s="34"/>
    </row>
    <row r="771" spans="1:44" customFormat="1">
      <c r="A771" s="39">
        <v>44250</v>
      </c>
      <c r="B771" s="11" t="s">
        <v>22</v>
      </c>
      <c r="C771" s="16" t="s">
        <v>3214</v>
      </c>
      <c r="D771" s="16"/>
      <c r="E771" s="38">
        <v>36082</v>
      </c>
      <c r="F771" s="38"/>
      <c r="G771" s="10" t="s">
        <v>1272</v>
      </c>
      <c r="H771" s="12" t="s">
        <v>3215</v>
      </c>
      <c r="I771" s="13" t="s">
        <v>3099</v>
      </c>
      <c r="J771" s="15" t="s">
        <v>3216</v>
      </c>
      <c r="K771" s="12"/>
      <c r="L771" s="11" t="s">
        <v>38</v>
      </c>
      <c r="M771" s="15"/>
      <c r="N771" s="17">
        <v>2750</v>
      </c>
      <c r="O771" s="17"/>
      <c r="P771" s="17"/>
      <c r="Q771" s="48"/>
      <c r="R771" s="11"/>
      <c r="S771" s="48"/>
      <c r="T771" s="85"/>
      <c r="U771" s="90">
        <v>44389</v>
      </c>
      <c r="V771" s="32" t="s">
        <v>1744</v>
      </c>
      <c r="W771" s="25" t="s">
        <v>8</v>
      </c>
      <c r="X771" s="11"/>
      <c r="Y771" s="50"/>
      <c r="Z771" s="50"/>
      <c r="AA771" s="50"/>
      <c r="AB771" s="50"/>
      <c r="AC771" s="50"/>
      <c r="AD771" s="50"/>
      <c r="AE771" s="50"/>
      <c r="AF771" s="34"/>
      <c r="AG771" s="34"/>
      <c r="AH771" s="34"/>
      <c r="AI771" s="34"/>
      <c r="AJ771" s="34"/>
      <c r="AK771" s="34"/>
      <c r="AL771" s="34"/>
      <c r="AM771" s="34"/>
      <c r="AN771" s="34"/>
      <c r="AO771" s="65"/>
      <c r="AP771" s="69"/>
      <c r="AQ771" s="62"/>
      <c r="AR771" s="34"/>
    </row>
    <row r="772" spans="1:44" customFormat="1">
      <c r="A772" s="39">
        <v>44250</v>
      </c>
      <c r="B772" s="11" t="s">
        <v>22</v>
      </c>
      <c r="C772" s="16" t="s">
        <v>1132</v>
      </c>
      <c r="D772" s="16"/>
      <c r="E772" s="38"/>
      <c r="F772" s="38"/>
      <c r="G772" s="10"/>
      <c r="H772" s="12"/>
      <c r="I772" s="13"/>
      <c r="J772" s="15"/>
      <c r="K772" s="12"/>
      <c r="L772" s="11"/>
      <c r="M772" s="15"/>
      <c r="N772" s="17">
        <v>2750</v>
      </c>
      <c r="O772" s="17"/>
      <c r="P772" s="17"/>
      <c r="Q772" s="48"/>
      <c r="R772" s="11"/>
      <c r="S772" s="48"/>
      <c r="T772" s="85" t="s">
        <v>81</v>
      </c>
      <c r="U772" s="88"/>
      <c r="V772" s="32" t="s">
        <v>3212</v>
      </c>
      <c r="W772" s="25"/>
      <c r="X772" s="11"/>
      <c r="Y772" s="50"/>
      <c r="Z772" s="50"/>
      <c r="AA772" s="50"/>
      <c r="AB772" s="50"/>
      <c r="AC772" s="50"/>
      <c r="AD772" s="50"/>
      <c r="AE772" s="50"/>
      <c r="AF772" s="34"/>
      <c r="AG772" s="34"/>
      <c r="AH772" s="34"/>
      <c r="AI772" s="34"/>
      <c r="AJ772" s="34"/>
      <c r="AK772" s="34"/>
      <c r="AL772" s="34"/>
      <c r="AM772" s="34"/>
      <c r="AN772" s="34"/>
      <c r="AO772" s="65"/>
      <c r="AP772" s="69"/>
      <c r="AQ772" s="62"/>
      <c r="AR772" s="79">
        <v>44389</v>
      </c>
    </row>
    <row r="773" spans="1:44" customFormat="1">
      <c r="A773" s="39">
        <v>44251</v>
      </c>
      <c r="B773" s="11" t="s">
        <v>22</v>
      </c>
      <c r="C773" s="16" t="s">
        <v>3222</v>
      </c>
      <c r="D773" s="16"/>
      <c r="E773" s="38">
        <v>26736</v>
      </c>
      <c r="F773" s="38"/>
      <c r="G773" s="10" t="s">
        <v>358</v>
      </c>
      <c r="H773" s="12" t="s">
        <v>3223</v>
      </c>
      <c r="I773" s="13" t="s">
        <v>2209</v>
      </c>
      <c r="J773" s="15" t="s">
        <v>3224</v>
      </c>
      <c r="K773" s="12"/>
      <c r="L773" s="11" t="s">
        <v>36</v>
      </c>
      <c r="M773" s="15"/>
      <c r="N773" s="17">
        <v>2750</v>
      </c>
      <c r="O773" s="17"/>
      <c r="P773" s="17"/>
      <c r="Q773" s="48"/>
      <c r="R773" s="11"/>
      <c r="S773" s="48"/>
      <c r="T773" s="85"/>
      <c r="U773" s="90">
        <v>44389</v>
      </c>
      <c r="V773" s="32" t="s">
        <v>1744</v>
      </c>
      <c r="W773" s="25" t="s">
        <v>9</v>
      </c>
      <c r="X773" s="11"/>
      <c r="Y773" s="50" t="s">
        <v>18</v>
      </c>
      <c r="Z773" s="50"/>
      <c r="AA773" s="50"/>
      <c r="AB773" s="50"/>
      <c r="AC773" s="50"/>
      <c r="AD773" s="50"/>
      <c r="AE773" s="50"/>
      <c r="AF773" s="34"/>
      <c r="AG773" s="34"/>
      <c r="AH773" s="34"/>
      <c r="AI773" s="34"/>
      <c r="AJ773" s="34"/>
      <c r="AK773" s="34"/>
      <c r="AL773" s="34"/>
      <c r="AM773" s="34"/>
      <c r="AN773" s="34"/>
      <c r="AO773" s="65"/>
      <c r="AP773" s="69"/>
      <c r="AQ773" s="62"/>
      <c r="AR773" s="34"/>
    </row>
    <row r="774" spans="1:44" customFormat="1">
      <c r="A774" s="39">
        <v>44252</v>
      </c>
      <c r="B774" s="11" t="s">
        <v>2171</v>
      </c>
      <c r="C774" s="16" t="s">
        <v>2738</v>
      </c>
      <c r="D774" s="16"/>
      <c r="E774" s="38"/>
      <c r="F774" s="38"/>
      <c r="G774" s="10"/>
      <c r="H774" s="12"/>
      <c r="I774" s="13"/>
      <c r="J774" s="15"/>
      <c r="K774" s="12"/>
      <c r="L774" s="11"/>
      <c r="M774" s="15"/>
      <c r="N774" s="17">
        <v>3300</v>
      </c>
      <c r="O774" s="17"/>
      <c r="P774" s="17"/>
      <c r="Q774" s="48"/>
      <c r="R774" s="11"/>
      <c r="S774" s="48"/>
      <c r="T774" s="85"/>
      <c r="U774" s="88"/>
      <c r="V774" s="32" t="s">
        <v>3225</v>
      </c>
      <c r="W774" s="25"/>
      <c r="X774" s="11"/>
      <c r="Y774" s="50"/>
      <c r="Z774" s="50"/>
      <c r="AA774" s="50"/>
      <c r="AB774" s="50"/>
      <c r="AC774" s="50"/>
      <c r="AD774" s="50"/>
      <c r="AE774" s="50"/>
      <c r="AF774" s="34"/>
      <c r="AG774" s="34"/>
      <c r="AH774" s="34"/>
      <c r="AI774" s="34"/>
      <c r="AJ774" s="34"/>
      <c r="AK774" s="34"/>
      <c r="AL774" s="34"/>
      <c r="AM774" s="34"/>
      <c r="AN774" s="34"/>
      <c r="AO774" s="65"/>
      <c r="AP774" s="69"/>
      <c r="AQ774" s="62"/>
      <c r="AR774" s="79">
        <v>44389</v>
      </c>
    </row>
    <row r="775" spans="1:44" customFormat="1">
      <c r="A775" s="39">
        <v>44252</v>
      </c>
      <c r="B775" s="11" t="s">
        <v>22</v>
      </c>
      <c r="C775" s="16" t="s">
        <v>3226</v>
      </c>
      <c r="D775" s="16"/>
      <c r="E775" s="38">
        <v>32095</v>
      </c>
      <c r="F775" s="38"/>
      <c r="G775" s="10" t="s">
        <v>396</v>
      </c>
      <c r="H775" s="12" t="s">
        <v>3227</v>
      </c>
      <c r="I775" s="13" t="s">
        <v>2124</v>
      </c>
      <c r="J775" s="15" t="s">
        <v>3228</v>
      </c>
      <c r="K775" s="12"/>
      <c r="L775" s="11" t="s">
        <v>36</v>
      </c>
      <c r="M775" s="15"/>
      <c r="N775" s="17">
        <v>2750</v>
      </c>
      <c r="O775" s="17"/>
      <c r="P775" s="17"/>
      <c r="Q775" s="48"/>
      <c r="R775" s="11"/>
      <c r="S775" s="48"/>
      <c r="T775" s="85"/>
      <c r="U775" s="90">
        <v>44389</v>
      </c>
      <c r="V775" s="32" t="s">
        <v>1744</v>
      </c>
      <c r="W775" s="25" t="s">
        <v>48</v>
      </c>
      <c r="X775" s="11"/>
      <c r="Y775" s="50" t="s">
        <v>11</v>
      </c>
      <c r="Z775" s="50"/>
      <c r="AA775" s="50"/>
      <c r="AB775" s="50"/>
      <c r="AC775" s="50"/>
      <c r="AD775" s="50"/>
      <c r="AE775" s="50"/>
      <c r="AF775" s="34"/>
      <c r="AG775" s="34"/>
      <c r="AH775" s="34"/>
      <c r="AI775" s="34"/>
      <c r="AJ775" s="34"/>
      <c r="AK775" s="34"/>
      <c r="AL775" s="34"/>
      <c r="AM775" s="34"/>
      <c r="AN775" s="34"/>
      <c r="AO775" s="65"/>
      <c r="AP775" s="69"/>
      <c r="AQ775" s="62"/>
      <c r="AR775" s="34"/>
    </row>
    <row r="776" spans="1:44" customFormat="1">
      <c r="A776" s="39">
        <v>44253</v>
      </c>
      <c r="B776" s="11" t="s">
        <v>49</v>
      </c>
      <c r="C776" s="16" t="s">
        <v>3229</v>
      </c>
      <c r="D776" s="16"/>
      <c r="E776" s="38">
        <v>32308</v>
      </c>
      <c r="F776" s="38"/>
      <c r="G776" s="10" t="s">
        <v>3230</v>
      </c>
      <c r="H776" s="12" t="s">
        <v>3231</v>
      </c>
      <c r="I776" s="13" t="s">
        <v>2784</v>
      </c>
      <c r="J776" s="15" t="s">
        <v>3232</v>
      </c>
      <c r="K776" s="12"/>
      <c r="L776" s="11" t="s">
        <v>34</v>
      </c>
      <c r="M776" s="15"/>
      <c r="N776" s="17">
        <v>16500</v>
      </c>
      <c r="O776" s="17"/>
      <c r="P776" s="17"/>
      <c r="Q776" s="48"/>
      <c r="R776" s="11"/>
      <c r="S776" s="48"/>
      <c r="T776" s="85"/>
      <c r="U776" s="88"/>
      <c r="V776" s="32"/>
      <c r="W776" s="25" t="s">
        <v>48</v>
      </c>
      <c r="X776" s="11"/>
      <c r="Y776" s="50" t="s">
        <v>13</v>
      </c>
      <c r="Z776" s="50"/>
      <c r="AA776" s="50"/>
      <c r="AB776" s="50"/>
      <c r="AC776" s="50"/>
      <c r="AD776" s="50"/>
      <c r="AE776" s="50"/>
      <c r="AF776" s="34"/>
      <c r="AG776" s="34"/>
      <c r="AH776" s="34"/>
      <c r="AI776" s="34"/>
      <c r="AJ776" s="34"/>
      <c r="AK776" s="34"/>
      <c r="AL776" s="34"/>
      <c r="AM776" s="34"/>
      <c r="AN776" s="34"/>
      <c r="AO776" s="65"/>
      <c r="AP776" s="69"/>
      <c r="AQ776" s="62"/>
      <c r="AR776" s="79">
        <v>44389</v>
      </c>
    </row>
    <row r="777" spans="1:44" customFormat="1">
      <c r="A777" s="39">
        <v>44254</v>
      </c>
      <c r="B777" s="11" t="s">
        <v>49</v>
      </c>
      <c r="C777" s="16" t="s">
        <v>3233</v>
      </c>
      <c r="D777" s="16"/>
      <c r="E777" s="38">
        <v>23331</v>
      </c>
      <c r="F777" s="38"/>
      <c r="G777" s="10" t="s">
        <v>3234</v>
      </c>
      <c r="H777" s="12" t="s">
        <v>3235</v>
      </c>
      <c r="I777" s="13" t="s">
        <v>3236</v>
      </c>
      <c r="J777" s="15" t="s">
        <v>3237</v>
      </c>
      <c r="K777" s="14" t="s">
        <v>3238</v>
      </c>
      <c r="L777" s="11" t="s">
        <v>33</v>
      </c>
      <c r="M777" s="15"/>
      <c r="N777" s="17">
        <v>16500</v>
      </c>
      <c r="O777" s="17"/>
      <c r="P777" s="17"/>
      <c r="Q777" s="48"/>
      <c r="R777" s="11"/>
      <c r="S777" s="48"/>
      <c r="T777" s="85"/>
      <c r="U777" s="88"/>
      <c r="V777" s="32" t="s">
        <v>3239</v>
      </c>
      <c r="W777" s="25" t="s">
        <v>8</v>
      </c>
      <c r="X777" s="11"/>
      <c r="Y777" s="50" t="s">
        <v>11</v>
      </c>
      <c r="Z777" s="50"/>
      <c r="AA777" s="50"/>
      <c r="AB777" s="50"/>
      <c r="AC777" s="50"/>
      <c r="AD777" s="50"/>
      <c r="AE777" s="50"/>
      <c r="AF777" s="34"/>
      <c r="AG777" s="34"/>
      <c r="AH777" s="34"/>
      <c r="AI777" s="34"/>
      <c r="AJ777" s="34"/>
      <c r="AK777" s="34"/>
      <c r="AL777" s="34"/>
      <c r="AM777" s="34"/>
      <c r="AN777" s="34"/>
      <c r="AO777" s="65"/>
      <c r="AP777" s="69"/>
      <c r="AQ777" s="62"/>
      <c r="AR777" s="34"/>
    </row>
    <row r="778" spans="1:44" customFormat="1">
      <c r="A778" s="39">
        <v>44255</v>
      </c>
      <c r="B778" s="11" t="s">
        <v>22</v>
      </c>
      <c r="C778" s="16" t="s">
        <v>3240</v>
      </c>
      <c r="D778" s="16"/>
      <c r="E778" s="38">
        <v>28335</v>
      </c>
      <c r="F778" s="38"/>
      <c r="G778" s="10" t="s">
        <v>2497</v>
      </c>
      <c r="H778" s="12" t="s">
        <v>3241</v>
      </c>
      <c r="I778" s="13" t="s">
        <v>2596</v>
      </c>
      <c r="J778" s="15" t="s">
        <v>3242</v>
      </c>
      <c r="K778" s="12"/>
      <c r="L778" s="11" t="s">
        <v>36</v>
      </c>
      <c r="M778" s="15"/>
      <c r="N778" s="17">
        <v>2750</v>
      </c>
      <c r="O778" s="17"/>
      <c r="P778" s="17"/>
      <c r="Q778" s="48"/>
      <c r="R778" s="11"/>
      <c r="S778" s="48"/>
      <c r="T778" s="85"/>
      <c r="U778" s="88"/>
      <c r="V778" s="32" t="s">
        <v>1744</v>
      </c>
      <c r="W778" s="25" t="s">
        <v>48</v>
      </c>
      <c r="X778" s="11"/>
      <c r="Y778" s="50" t="s">
        <v>12</v>
      </c>
      <c r="Z778" s="50"/>
      <c r="AA778" s="50"/>
      <c r="AB778" s="50"/>
      <c r="AC778" s="50"/>
      <c r="AD778" s="50"/>
      <c r="AE778" s="50"/>
      <c r="AF778" s="34"/>
      <c r="AG778" s="34"/>
      <c r="AH778" s="34"/>
      <c r="AI778" s="34"/>
      <c r="AJ778" s="34"/>
      <c r="AK778" s="34"/>
      <c r="AL778" s="34"/>
      <c r="AM778" s="34"/>
      <c r="AN778" s="34"/>
      <c r="AO778" s="65"/>
      <c r="AP778" s="69"/>
      <c r="AQ778" s="62"/>
      <c r="AR778" s="34"/>
    </row>
    <row r="779" spans="1:44" customFormat="1">
      <c r="A779" s="39">
        <v>44255</v>
      </c>
      <c r="B779" s="11" t="s">
        <v>2171</v>
      </c>
      <c r="C779" s="16" t="s">
        <v>2994</v>
      </c>
      <c r="D779" s="16"/>
      <c r="E779" s="38"/>
      <c r="F779" s="38"/>
      <c r="G779" s="10"/>
      <c r="H779" s="12"/>
      <c r="I779" s="13"/>
      <c r="J779" s="15"/>
      <c r="K779" s="12"/>
      <c r="L779" s="11"/>
      <c r="M779" s="15"/>
      <c r="N779" s="17">
        <v>3300</v>
      </c>
      <c r="O779" s="17"/>
      <c r="P779" s="17"/>
      <c r="Q779" s="48"/>
      <c r="R779" s="11"/>
      <c r="S779" s="48"/>
      <c r="T779" s="85"/>
      <c r="U779" s="88"/>
      <c r="V779" s="32" t="s">
        <v>3243</v>
      </c>
      <c r="W779" s="25"/>
      <c r="X779" s="11"/>
      <c r="Y779" s="50"/>
      <c r="Z779" s="50"/>
      <c r="AA779" s="50"/>
      <c r="AB779" s="50"/>
      <c r="AC779" s="50"/>
      <c r="AD779" s="50"/>
      <c r="AE779" s="50"/>
      <c r="AF779" s="34"/>
      <c r="AG779" s="34"/>
      <c r="AH779" s="34"/>
      <c r="AI779" s="34"/>
      <c r="AJ779" s="34"/>
      <c r="AK779" s="34"/>
      <c r="AL779" s="34"/>
      <c r="AM779" s="34"/>
      <c r="AN779" s="34"/>
      <c r="AO779" s="65"/>
      <c r="AP779" s="69"/>
      <c r="AQ779" s="62"/>
      <c r="AR779" s="34"/>
    </row>
    <row r="780" spans="1:44" customFormat="1">
      <c r="A780" s="39">
        <v>44255</v>
      </c>
      <c r="B780" s="11" t="s">
        <v>22</v>
      </c>
      <c r="C780" s="16" t="s">
        <v>3244</v>
      </c>
      <c r="D780" s="16"/>
      <c r="E780" s="38">
        <v>28267</v>
      </c>
      <c r="F780" s="38"/>
      <c r="G780" s="10" t="s">
        <v>3246</v>
      </c>
      <c r="H780" s="12" t="s">
        <v>3245</v>
      </c>
      <c r="I780" s="13" t="s">
        <v>2355</v>
      </c>
      <c r="J780" s="15" t="s">
        <v>3247</v>
      </c>
      <c r="K780" s="12"/>
      <c r="L780" s="11" t="s">
        <v>33</v>
      </c>
      <c r="M780" s="15"/>
      <c r="N780" s="17">
        <v>2200</v>
      </c>
      <c r="O780" s="17"/>
      <c r="P780" s="17"/>
      <c r="Q780" s="48"/>
      <c r="R780" s="11"/>
      <c r="S780" s="48"/>
      <c r="T780" s="85"/>
      <c r="U780" s="88"/>
      <c r="V780" s="32" t="s">
        <v>3248</v>
      </c>
      <c r="W780" s="25" t="s">
        <v>8</v>
      </c>
      <c r="X780" s="11"/>
      <c r="Y780" s="50"/>
      <c r="Z780" s="50"/>
      <c r="AA780" s="50"/>
      <c r="AB780" s="50"/>
      <c r="AC780" s="50"/>
      <c r="AD780" s="50"/>
      <c r="AE780" s="50"/>
      <c r="AF780" s="34"/>
      <c r="AG780" s="34"/>
      <c r="AH780" s="34"/>
      <c r="AI780" s="34"/>
      <c r="AJ780" s="34"/>
      <c r="AK780" s="34"/>
      <c r="AL780" s="34"/>
      <c r="AM780" s="34"/>
      <c r="AN780" s="34"/>
      <c r="AO780" s="65"/>
      <c r="AP780" s="69"/>
      <c r="AQ780" s="62"/>
      <c r="AR780" s="34"/>
    </row>
    <row r="781" spans="1:44" customFormat="1">
      <c r="A781" s="39">
        <v>44256</v>
      </c>
      <c r="B781" s="11" t="s">
        <v>22</v>
      </c>
      <c r="C781" s="16" t="s">
        <v>3249</v>
      </c>
      <c r="D781" s="16"/>
      <c r="E781" s="38">
        <v>22668</v>
      </c>
      <c r="F781" s="38"/>
      <c r="G781" s="10" t="s">
        <v>3250</v>
      </c>
      <c r="H781" s="12" t="s">
        <v>3251</v>
      </c>
      <c r="I781" s="13" t="s">
        <v>3252</v>
      </c>
      <c r="J781" s="15" t="s">
        <v>3254</v>
      </c>
      <c r="K781" s="14" t="s">
        <v>3253</v>
      </c>
      <c r="L781" s="11" t="s">
        <v>33</v>
      </c>
      <c r="M781" s="15"/>
      <c r="N781" s="17">
        <v>2750</v>
      </c>
      <c r="O781" s="17"/>
      <c r="P781" s="17"/>
      <c r="Q781" s="48"/>
      <c r="R781" s="11"/>
      <c r="S781" s="48"/>
      <c r="T781" s="85"/>
      <c r="U781" s="90">
        <v>44389</v>
      </c>
      <c r="V781" s="32" t="s">
        <v>1744</v>
      </c>
      <c r="W781" s="25" t="s">
        <v>8</v>
      </c>
      <c r="X781" s="11"/>
      <c r="Y781" s="50" t="s">
        <v>11</v>
      </c>
      <c r="Z781" s="50"/>
      <c r="AA781" s="50"/>
      <c r="AB781" s="50"/>
      <c r="AC781" s="50"/>
      <c r="AD781" s="50"/>
      <c r="AE781" s="50"/>
      <c r="AF781" s="34"/>
      <c r="AG781" s="34"/>
      <c r="AH781" s="34"/>
      <c r="AI781" s="34"/>
      <c r="AJ781" s="34"/>
      <c r="AK781" s="34"/>
      <c r="AL781" s="34"/>
      <c r="AM781" s="34"/>
      <c r="AN781" s="34"/>
      <c r="AO781" s="65"/>
      <c r="AP781" s="69"/>
      <c r="AQ781" s="62"/>
      <c r="AR781" s="34"/>
    </row>
    <row r="782" spans="1:44" customFormat="1">
      <c r="A782" s="39">
        <v>44258</v>
      </c>
      <c r="B782" s="11" t="s">
        <v>49</v>
      </c>
      <c r="C782" s="16" t="s">
        <v>3255</v>
      </c>
      <c r="D782" s="16"/>
      <c r="E782" s="38">
        <v>26934</v>
      </c>
      <c r="F782" s="38"/>
      <c r="G782" s="10" t="s">
        <v>29</v>
      </c>
      <c r="H782" s="12" t="s">
        <v>3256</v>
      </c>
      <c r="I782" s="13" t="s">
        <v>3180</v>
      </c>
      <c r="J782" s="15" t="s">
        <v>3258</v>
      </c>
      <c r="K782" s="14" t="s">
        <v>3257</v>
      </c>
      <c r="L782" s="11" t="s">
        <v>34</v>
      </c>
      <c r="M782" s="15"/>
      <c r="N782" s="17">
        <v>16500</v>
      </c>
      <c r="O782" s="17"/>
      <c r="P782" s="17"/>
      <c r="Q782" s="48"/>
      <c r="R782" s="11"/>
      <c r="S782" s="48"/>
      <c r="T782" s="85"/>
      <c r="U782" s="88"/>
      <c r="V782" s="32"/>
      <c r="W782" s="25" t="s">
        <v>8</v>
      </c>
      <c r="X782" s="11"/>
      <c r="Y782" s="50" t="s">
        <v>12</v>
      </c>
      <c r="Z782" s="50"/>
      <c r="AA782" s="50"/>
      <c r="AB782" s="50"/>
      <c r="AC782" s="50"/>
      <c r="AD782" s="50"/>
      <c r="AE782" s="50"/>
      <c r="AF782" s="34"/>
      <c r="AG782" s="34"/>
      <c r="AH782" s="34"/>
      <c r="AI782" s="34"/>
      <c r="AJ782" s="34"/>
      <c r="AK782" s="34"/>
      <c r="AL782" s="34"/>
      <c r="AM782" s="34"/>
      <c r="AN782" s="34"/>
      <c r="AO782" s="65"/>
      <c r="AP782" s="69"/>
      <c r="AQ782" s="62"/>
      <c r="AR782" s="79">
        <v>44389</v>
      </c>
    </row>
    <row r="783" spans="1:44" customFormat="1">
      <c r="A783" s="39">
        <v>44258</v>
      </c>
      <c r="B783" s="11" t="s">
        <v>49</v>
      </c>
      <c r="C783" s="16" t="s">
        <v>3259</v>
      </c>
      <c r="D783" s="16"/>
      <c r="E783" s="38">
        <v>24756</v>
      </c>
      <c r="F783" s="38"/>
      <c r="G783" s="10" t="s">
        <v>3260</v>
      </c>
      <c r="H783" s="12" t="s">
        <v>3261</v>
      </c>
      <c r="I783" s="13" t="s">
        <v>3262</v>
      </c>
      <c r="J783" s="15" t="s">
        <v>3264</v>
      </c>
      <c r="K783" s="14" t="s">
        <v>3263</v>
      </c>
      <c r="L783" s="11" t="s">
        <v>34</v>
      </c>
      <c r="M783" s="15"/>
      <c r="N783" s="17">
        <v>16500</v>
      </c>
      <c r="O783" s="17"/>
      <c r="P783" s="17"/>
      <c r="Q783" s="48"/>
      <c r="R783" s="11"/>
      <c r="S783" s="48"/>
      <c r="T783" s="85"/>
      <c r="U783" s="88"/>
      <c r="V783" s="32" t="s">
        <v>3265</v>
      </c>
      <c r="W783" s="25" t="s">
        <v>10</v>
      </c>
      <c r="X783" s="11"/>
      <c r="Y783" s="50" t="s">
        <v>14</v>
      </c>
      <c r="Z783" s="50"/>
      <c r="AA783" s="50"/>
      <c r="AB783" s="50"/>
      <c r="AC783" s="50"/>
      <c r="AD783" s="50"/>
      <c r="AE783" s="50"/>
      <c r="AF783" s="34"/>
      <c r="AG783" s="34"/>
      <c r="AH783" s="34"/>
      <c r="AI783" s="34"/>
      <c r="AJ783" s="34"/>
      <c r="AK783" s="34"/>
      <c r="AL783" s="34"/>
      <c r="AM783" s="34"/>
      <c r="AN783" s="34"/>
      <c r="AO783" s="65"/>
      <c r="AP783" s="69"/>
      <c r="AQ783" s="62"/>
      <c r="AR783" s="34"/>
    </row>
    <row r="784" spans="1:44" customFormat="1">
      <c r="A784" s="39">
        <v>44258</v>
      </c>
      <c r="B784" s="11" t="s">
        <v>49</v>
      </c>
      <c r="C784" s="16" t="s">
        <v>3266</v>
      </c>
      <c r="D784" s="16"/>
      <c r="E784" s="38">
        <v>27204</v>
      </c>
      <c r="F784" s="38"/>
      <c r="G784" s="10" t="s">
        <v>3267</v>
      </c>
      <c r="H784" s="12" t="s">
        <v>3271</v>
      </c>
      <c r="I784" s="13">
        <v>13</v>
      </c>
      <c r="J784" s="15" t="s">
        <v>3268</v>
      </c>
      <c r="K784" s="12"/>
      <c r="L784" s="11" t="s">
        <v>33</v>
      </c>
      <c r="M784" s="15"/>
      <c r="N784" s="17">
        <v>14850</v>
      </c>
      <c r="O784" s="17"/>
      <c r="P784" s="17"/>
      <c r="Q784" s="48"/>
      <c r="R784" s="11"/>
      <c r="S784" s="48"/>
      <c r="T784" s="85"/>
      <c r="U784" s="88"/>
      <c r="V784" s="32" t="s">
        <v>3269</v>
      </c>
      <c r="W784" s="25" t="s">
        <v>8</v>
      </c>
      <c r="X784" s="11"/>
      <c r="Y784" s="50" t="s">
        <v>14</v>
      </c>
      <c r="Z784" s="50"/>
      <c r="AA784" s="50"/>
      <c r="AB784" s="50"/>
      <c r="AC784" s="50"/>
      <c r="AD784" s="50"/>
      <c r="AE784" s="50"/>
      <c r="AF784" s="34"/>
      <c r="AG784" s="34"/>
      <c r="AH784" s="34"/>
      <c r="AI784" s="34"/>
      <c r="AJ784" s="34"/>
      <c r="AK784" s="34"/>
      <c r="AL784" s="34"/>
      <c r="AM784" s="34"/>
      <c r="AN784" s="34"/>
      <c r="AO784" s="65"/>
      <c r="AP784" s="69"/>
      <c r="AQ784" s="62"/>
      <c r="AR784" s="34"/>
    </row>
    <row r="785" spans="1:44" customFormat="1">
      <c r="A785" s="39">
        <v>44261</v>
      </c>
      <c r="B785" s="11" t="s">
        <v>22</v>
      </c>
      <c r="C785" s="16" t="s">
        <v>3270</v>
      </c>
      <c r="D785" s="16"/>
      <c r="E785" s="38">
        <v>36799</v>
      </c>
      <c r="F785" s="38"/>
      <c r="G785" s="10" t="s">
        <v>3053</v>
      </c>
      <c r="H785" s="12" t="s">
        <v>3272</v>
      </c>
      <c r="I785" s="13" t="s">
        <v>3273</v>
      </c>
      <c r="J785" s="15" t="s">
        <v>3274</v>
      </c>
      <c r="K785" s="12"/>
      <c r="L785" s="11" t="s">
        <v>38</v>
      </c>
      <c r="M785" s="15"/>
      <c r="N785" s="17">
        <v>2750</v>
      </c>
      <c r="O785" s="17"/>
      <c r="P785" s="17"/>
      <c r="Q785" s="48"/>
      <c r="R785" s="11"/>
      <c r="S785" s="48"/>
      <c r="T785" s="85"/>
      <c r="U785" s="88"/>
      <c r="V785" s="32" t="s">
        <v>1744</v>
      </c>
      <c r="W785" s="25" t="s">
        <v>48</v>
      </c>
      <c r="X785" s="11"/>
      <c r="Y785" s="50" t="s">
        <v>11</v>
      </c>
      <c r="Z785" s="50"/>
      <c r="AA785" s="50"/>
      <c r="AB785" s="50"/>
      <c r="AC785" s="50"/>
      <c r="AD785" s="50"/>
      <c r="AE785" s="50"/>
      <c r="AF785" s="34"/>
      <c r="AG785" s="34"/>
      <c r="AH785" s="34"/>
      <c r="AI785" s="34"/>
      <c r="AJ785" s="34"/>
      <c r="AK785" s="34"/>
      <c r="AL785" s="34"/>
      <c r="AM785" s="34"/>
      <c r="AN785" s="34"/>
      <c r="AO785" s="65"/>
      <c r="AP785" s="69"/>
      <c r="AQ785" s="62"/>
      <c r="AR785" s="34"/>
    </row>
    <row r="786" spans="1:44" customFormat="1">
      <c r="A786" s="39">
        <v>44261</v>
      </c>
      <c r="B786" s="11" t="s">
        <v>49</v>
      </c>
      <c r="C786" s="16" t="s">
        <v>2338</v>
      </c>
      <c r="D786" s="16"/>
      <c r="E786" s="38"/>
      <c r="F786" s="38"/>
      <c r="G786" s="10"/>
      <c r="H786" s="12"/>
      <c r="I786" s="13"/>
      <c r="J786" s="15"/>
      <c r="K786" s="12"/>
      <c r="L786" s="11"/>
      <c r="M786" s="15"/>
      <c r="N786" s="17">
        <v>19800</v>
      </c>
      <c r="O786" s="17"/>
      <c r="P786" s="17"/>
      <c r="Q786" s="48"/>
      <c r="R786" s="10"/>
      <c r="S786" s="48"/>
      <c r="T786" s="85"/>
      <c r="U786" s="88"/>
      <c r="V786" s="95" t="s">
        <v>3275</v>
      </c>
      <c r="W786" s="25"/>
      <c r="X786" s="11"/>
      <c r="Y786" s="50"/>
      <c r="Z786" s="50"/>
      <c r="AA786" s="50"/>
      <c r="AB786" s="50"/>
      <c r="AC786" s="50"/>
      <c r="AD786" s="50"/>
      <c r="AE786" s="50"/>
      <c r="AF786" s="34"/>
      <c r="AG786" s="34"/>
      <c r="AH786" s="34"/>
      <c r="AI786" s="34"/>
      <c r="AJ786" s="34"/>
      <c r="AK786" s="34"/>
      <c r="AL786" s="34"/>
      <c r="AM786" s="34"/>
      <c r="AN786" s="34"/>
      <c r="AO786" s="65"/>
      <c r="AP786" s="69"/>
      <c r="AQ786" s="62"/>
      <c r="AR786" s="34"/>
    </row>
    <row r="787" spans="1:44" customFormat="1">
      <c r="A787" s="39">
        <v>44261</v>
      </c>
      <c r="B787" s="11" t="s">
        <v>49</v>
      </c>
      <c r="C787" s="16" t="s">
        <v>3427</v>
      </c>
      <c r="D787" s="16"/>
      <c r="E787" s="38">
        <v>33258</v>
      </c>
      <c r="F787" s="38"/>
      <c r="G787" s="10" t="s">
        <v>3428</v>
      </c>
      <c r="H787" s="12" t="s">
        <v>3276</v>
      </c>
      <c r="I787" s="13" t="s">
        <v>3426</v>
      </c>
      <c r="J787" s="15" t="s">
        <v>3277</v>
      </c>
      <c r="K787" s="12"/>
      <c r="L787" s="11" t="s">
        <v>10</v>
      </c>
      <c r="M787" s="15"/>
      <c r="N787" s="17">
        <v>16500</v>
      </c>
      <c r="O787" s="17"/>
      <c r="P787" s="17"/>
      <c r="Q787" s="48"/>
      <c r="R787" s="11"/>
      <c r="S787" s="48"/>
      <c r="T787" s="85"/>
      <c r="U787" s="88"/>
      <c r="V787" s="32"/>
      <c r="W787" s="25" t="s">
        <v>48</v>
      </c>
      <c r="X787" s="11"/>
      <c r="Y787" s="50" t="s">
        <v>13</v>
      </c>
      <c r="Z787" s="50"/>
      <c r="AA787" s="50"/>
      <c r="AB787" s="50"/>
      <c r="AC787" s="50"/>
      <c r="AD787" s="50"/>
      <c r="AE787" s="50"/>
      <c r="AF787" s="34"/>
      <c r="AG787" s="34"/>
      <c r="AH787" s="34"/>
      <c r="AI787" s="34"/>
      <c r="AJ787" s="34"/>
      <c r="AK787" s="34"/>
      <c r="AL787" s="34"/>
      <c r="AM787" s="34"/>
      <c r="AN787" s="34"/>
      <c r="AO787" s="65"/>
      <c r="AP787" s="72"/>
      <c r="AQ787" s="62"/>
      <c r="AR787" s="34"/>
    </row>
    <row r="788" spans="1:44" customFormat="1">
      <c r="A788" s="39">
        <v>44262</v>
      </c>
      <c r="B788" s="11" t="s">
        <v>22</v>
      </c>
      <c r="C788" s="16" t="s">
        <v>3278</v>
      </c>
      <c r="D788" s="16"/>
      <c r="E788" s="38">
        <v>24350</v>
      </c>
      <c r="F788" s="38"/>
      <c r="G788" s="10" t="s">
        <v>406</v>
      </c>
      <c r="H788" s="12" t="s">
        <v>3279</v>
      </c>
      <c r="I788" s="13" t="s">
        <v>3280</v>
      </c>
      <c r="J788" s="15" t="s">
        <v>3281</v>
      </c>
      <c r="K788" s="12"/>
      <c r="L788" s="11" t="s">
        <v>36</v>
      </c>
      <c r="M788" s="15"/>
      <c r="N788" s="17">
        <v>2750</v>
      </c>
      <c r="O788" s="17"/>
      <c r="P788" s="17"/>
      <c r="Q788" s="48"/>
      <c r="R788" s="11"/>
      <c r="S788" s="48"/>
      <c r="T788" s="85"/>
      <c r="U788" s="88"/>
      <c r="V788" s="32"/>
      <c r="W788" s="25" t="s">
        <v>10</v>
      </c>
      <c r="X788" s="11"/>
      <c r="Y788" s="50" t="s">
        <v>12</v>
      </c>
      <c r="Z788" s="50"/>
      <c r="AA788" s="50"/>
      <c r="AB788" s="50"/>
      <c r="AC788" s="50"/>
      <c r="AD788" s="50"/>
      <c r="AE788" s="50"/>
      <c r="AF788" s="34"/>
      <c r="AG788" s="34"/>
      <c r="AH788" s="34"/>
      <c r="AI788" s="34"/>
      <c r="AJ788" s="34"/>
      <c r="AK788" s="34"/>
      <c r="AL788" s="34"/>
      <c r="AM788" s="34"/>
      <c r="AN788" s="34"/>
      <c r="AO788" s="65"/>
      <c r="AP788" s="69"/>
      <c r="AQ788" s="62"/>
      <c r="AR788" s="34"/>
    </row>
    <row r="789" spans="1:44" customFormat="1">
      <c r="A789" s="39">
        <v>44262</v>
      </c>
      <c r="B789" s="11" t="s">
        <v>49</v>
      </c>
      <c r="C789" s="16" t="s">
        <v>3283</v>
      </c>
      <c r="D789" s="16"/>
      <c r="E789" s="38">
        <v>34030</v>
      </c>
      <c r="F789" s="38"/>
      <c r="G789" s="10" t="s">
        <v>3284</v>
      </c>
      <c r="H789" s="12" t="s">
        <v>3285</v>
      </c>
      <c r="I789" s="13" t="s">
        <v>3286</v>
      </c>
      <c r="J789" s="15" t="s">
        <v>3287</v>
      </c>
      <c r="K789" s="12"/>
      <c r="L789" s="11" t="s">
        <v>39</v>
      </c>
      <c r="M789" s="15"/>
      <c r="N789" s="17">
        <v>16500</v>
      </c>
      <c r="O789" s="17"/>
      <c r="P789" s="17"/>
      <c r="Q789" s="48"/>
      <c r="R789" s="11"/>
      <c r="S789" s="48"/>
      <c r="T789" s="85"/>
      <c r="U789" s="88"/>
      <c r="V789" s="32"/>
      <c r="W789" s="25" t="s">
        <v>10</v>
      </c>
      <c r="X789" s="11"/>
      <c r="Y789" s="50" t="s">
        <v>12</v>
      </c>
      <c r="Z789" s="50"/>
      <c r="AA789" s="50"/>
      <c r="AB789" s="50"/>
      <c r="AC789" s="50"/>
      <c r="AD789" s="50"/>
      <c r="AE789" s="50"/>
      <c r="AF789" s="34"/>
      <c r="AG789" s="34"/>
      <c r="AH789" s="34"/>
      <c r="AI789" s="34"/>
      <c r="AJ789" s="34"/>
      <c r="AK789" s="34"/>
      <c r="AL789" s="34"/>
      <c r="AM789" s="34"/>
      <c r="AN789" s="34"/>
      <c r="AO789" s="65"/>
      <c r="AP789" s="69"/>
      <c r="AQ789" s="62"/>
      <c r="AR789" s="34"/>
    </row>
    <row r="790" spans="1:44" customFormat="1">
      <c r="A790" s="39">
        <v>44265</v>
      </c>
      <c r="B790" s="11" t="s">
        <v>49</v>
      </c>
      <c r="C790" s="16" t="s">
        <v>3255</v>
      </c>
      <c r="D790" s="16"/>
      <c r="E790" s="38">
        <v>26934</v>
      </c>
      <c r="F790" s="38"/>
      <c r="G790" s="10" t="s">
        <v>29</v>
      </c>
      <c r="H790" s="12" t="s">
        <v>3256</v>
      </c>
      <c r="I790" s="13" t="s">
        <v>3180</v>
      </c>
      <c r="J790" s="15" t="s">
        <v>3258</v>
      </c>
      <c r="K790" s="14" t="s">
        <v>3257</v>
      </c>
      <c r="L790" s="11" t="s">
        <v>34</v>
      </c>
      <c r="M790" s="15"/>
      <c r="N790" s="17">
        <v>0</v>
      </c>
      <c r="O790" s="17"/>
      <c r="P790" s="17"/>
      <c r="Q790" s="48"/>
      <c r="R790" s="11"/>
      <c r="S790" s="48"/>
      <c r="T790" s="85"/>
      <c r="U790" s="88"/>
      <c r="V790" s="32" t="s">
        <v>3289</v>
      </c>
      <c r="W790" s="25" t="s">
        <v>8</v>
      </c>
      <c r="X790" s="11"/>
      <c r="Y790" s="50" t="s">
        <v>12</v>
      </c>
      <c r="Z790" s="50"/>
      <c r="AA790" s="50"/>
      <c r="AB790" s="50"/>
      <c r="AC790" s="50"/>
      <c r="AD790" s="50"/>
      <c r="AE790" s="50"/>
      <c r="AF790" s="34"/>
      <c r="AG790" s="34"/>
      <c r="AH790" s="34"/>
      <c r="AI790" s="34"/>
      <c r="AJ790" s="34"/>
      <c r="AK790" s="34"/>
      <c r="AL790" s="34"/>
      <c r="AM790" s="34"/>
      <c r="AN790" s="34"/>
      <c r="AO790" s="65"/>
      <c r="AP790" s="69"/>
      <c r="AQ790" s="62"/>
      <c r="AR790" s="34"/>
    </row>
    <row r="791" spans="1:44" customFormat="1">
      <c r="A791" s="39">
        <v>44265</v>
      </c>
      <c r="B791" s="11" t="s">
        <v>49</v>
      </c>
      <c r="C791" s="16" t="s">
        <v>3259</v>
      </c>
      <c r="D791" s="16"/>
      <c r="E791" s="38">
        <v>24756</v>
      </c>
      <c r="F791" s="38"/>
      <c r="G791" s="10" t="s">
        <v>3260</v>
      </c>
      <c r="H791" s="12" t="s">
        <v>3261</v>
      </c>
      <c r="I791" s="13" t="s">
        <v>3262</v>
      </c>
      <c r="J791" s="15" t="s">
        <v>3264</v>
      </c>
      <c r="K791" s="14" t="s">
        <v>3263</v>
      </c>
      <c r="L791" s="11" t="s">
        <v>34</v>
      </c>
      <c r="M791" s="15"/>
      <c r="N791" s="17">
        <v>16500</v>
      </c>
      <c r="O791" s="17"/>
      <c r="P791" s="17"/>
      <c r="Q791" s="48"/>
      <c r="R791" s="11"/>
      <c r="S791" s="48"/>
      <c r="T791" s="85"/>
      <c r="U791" s="88"/>
      <c r="V791" s="32" t="s">
        <v>3288</v>
      </c>
      <c r="W791" s="25" t="s">
        <v>10</v>
      </c>
      <c r="X791" s="11"/>
      <c r="Y791" s="50" t="s">
        <v>14</v>
      </c>
      <c r="Z791" s="50"/>
      <c r="AA791" s="50"/>
      <c r="AB791" s="50"/>
      <c r="AC791" s="50"/>
      <c r="AD791" s="50"/>
      <c r="AE791" s="50"/>
      <c r="AF791" s="34"/>
      <c r="AG791" s="34"/>
      <c r="AH791" s="34"/>
      <c r="AI791" s="34"/>
      <c r="AJ791" s="34"/>
      <c r="AK791" s="34"/>
      <c r="AL791" s="34"/>
      <c r="AM791" s="34"/>
      <c r="AN791" s="34"/>
      <c r="AO791" s="65"/>
      <c r="AP791" s="69"/>
      <c r="AQ791" s="62"/>
      <c r="AR791" s="34"/>
    </row>
    <row r="792" spans="1:44" customFormat="1">
      <c r="A792" s="39">
        <v>44266</v>
      </c>
      <c r="B792" s="11" t="s">
        <v>22</v>
      </c>
      <c r="C792" s="16" t="s">
        <v>3290</v>
      </c>
      <c r="D792" s="16"/>
      <c r="E792" s="38">
        <v>28333</v>
      </c>
      <c r="F792" s="38"/>
      <c r="G792" s="10" t="s">
        <v>3291</v>
      </c>
      <c r="H792" s="12" t="s">
        <v>3292</v>
      </c>
      <c r="I792" s="13" t="s">
        <v>1819</v>
      </c>
      <c r="J792" s="15" t="s">
        <v>3294</v>
      </c>
      <c r="K792" s="14" t="s">
        <v>3293</v>
      </c>
      <c r="L792" s="11" t="s">
        <v>33</v>
      </c>
      <c r="M792" s="15"/>
      <c r="N792" s="17">
        <v>2750</v>
      </c>
      <c r="O792" s="17"/>
      <c r="P792" s="17"/>
      <c r="Q792" s="48"/>
      <c r="R792" s="11"/>
      <c r="S792" s="48"/>
      <c r="T792" s="85"/>
      <c r="U792" s="90">
        <v>44389</v>
      </c>
      <c r="V792" s="32" t="s">
        <v>1744</v>
      </c>
      <c r="W792" s="25" t="s">
        <v>48</v>
      </c>
      <c r="X792" s="11"/>
      <c r="Y792" s="50" t="s">
        <v>14</v>
      </c>
      <c r="Z792" s="50"/>
      <c r="AA792" s="50"/>
      <c r="AB792" s="50"/>
      <c r="AC792" s="50"/>
      <c r="AD792" s="50"/>
      <c r="AE792" s="50"/>
      <c r="AF792" s="34"/>
      <c r="AG792" s="34"/>
      <c r="AH792" s="34"/>
      <c r="AI792" s="34"/>
      <c r="AJ792" s="34"/>
      <c r="AK792" s="34"/>
      <c r="AL792" s="34"/>
      <c r="AM792" s="34"/>
      <c r="AN792" s="34"/>
      <c r="AO792" s="65"/>
      <c r="AP792" s="69"/>
      <c r="AQ792" s="62"/>
      <c r="AR792" s="34"/>
    </row>
    <row r="793" spans="1:44" customFormat="1">
      <c r="A793" s="39">
        <v>44266</v>
      </c>
      <c r="B793" s="11" t="s">
        <v>49</v>
      </c>
      <c r="C793" s="16" t="s">
        <v>3295</v>
      </c>
      <c r="D793" s="16"/>
      <c r="E793" s="38">
        <v>24991</v>
      </c>
      <c r="F793" s="38"/>
      <c r="G793" s="10" t="s">
        <v>3296</v>
      </c>
      <c r="H793" s="12" t="s">
        <v>3297</v>
      </c>
      <c r="I793" s="13" t="s">
        <v>3298</v>
      </c>
      <c r="J793" s="15" t="s">
        <v>3299</v>
      </c>
      <c r="K793" s="12"/>
      <c r="L793" s="11"/>
      <c r="M793" s="15"/>
      <c r="N793" s="17">
        <v>16500</v>
      </c>
      <c r="O793" s="17"/>
      <c r="P793" s="17"/>
      <c r="Q793" s="48"/>
      <c r="R793" s="11"/>
      <c r="S793" s="48"/>
      <c r="T793" s="85"/>
      <c r="U793" s="88"/>
      <c r="V793" s="32"/>
      <c r="W793" s="25" t="s">
        <v>48</v>
      </c>
      <c r="X793" s="11"/>
      <c r="Y793" s="50" t="s">
        <v>13</v>
      </c>
      <c r="Z793" s="50"/>
      <c r="AA793" s="50"/>
      <c r="AB793" s="50"/>
      <c r="AC793" s="50"/>
      <c r="AD793" s="50"/>
      <c r="AE793" s="50"/>
      <c r="AF793" s="34"/>
      <c r="AG793" s="34"/>
      <c r="AH793" s="34"/>
      <c r="AI793" s="34"/>
      <c r="AJ793" s="34"/>
      <c r="AK793" s="34"/>
      <c r="AL793" s="34"/>
      <c r="AM793" s="34"/>
      <c r="AN793" s="34"/>
      <c r="AO793" s="65"/>
      <c r="AP793" s="69"/>
      <c r="AQ793" s="62"/>
      <c r="AR793" s="79">
        <v>44389</v>
      </c>
    </row>
    <row r="794" spans="1:44" customFormat="1">
      <c r="A794" s="39">
        <v>44266</v>
      </c>
      <c r="B794" s="11" t="s">
        <v>49</v>
      </c>
      <c r="C794" s="16" t="s">
        <v>3300</v>
      </c>
      <c r="D794" s="16"/>
      <c r="E794" s="38">
        <v>26006</v>
      </c>
      <c r="F794" s="38"/>
      <c r="G794" s="10" t="s">
        <v>3301</v>
      </c>
      <c r="H794" s="12" t="s">
        <v>3302</v>
      </c>
      <c r="I794" s="13" t="s">
        <v>2311</v>
      </c>
      <c r="J794" s="15" t="s">
        <v>3303</v>
      </c>
      <c r="K794" s="12"/>
      <c r="L794" s="11"/>
      <c r="M794" s="15"/>
      <c r="N794" s="17">
        <v>16500</v>
      </c>
      <c r="O794" s="17"/>
      <c r="P794" s="17"/>
      <c r="Q794" s="48"/>
      <c r="R794" s="11"/>
      <c r="S794" s="48"/>
      <c r="T794" s="85"/>
      <c r="U794" s="88"/>
      <c r="V794" s="32"/>
      <c r="W794" s="25" t="s">
        <v>8</v>
      </c>
      <c r="X794" s="11"/>
      <c r="Y794" s="50" t="s">
        <v>13</v>
      </c>
      <c r="Z794" s="50"/>
      <c r="AA794" s="50"/>
      <c r="AB794" s="50"/>
      <c r="AC794" s="50"/>
      <c r="AD794" s="50"/>
      <c r="AE794" s="50"/>
      <c r="AF794" s="34"/>
      <c r="AG794" s="34"/>
      <c r="AH794" s="34"/>
      <c r="AI794" s="34"/>
      <c r="AJ794" s="34"/>
      <c r="AK794" s="34"/>
      <c r="AL794" s="34"/>
      <c r="AM794" s="34"/>
      <c r="AN794" s="34"/>
      <c r="AO794" s="65"/>
      <c r="AP794" s="69"/>
      <c r="AQ794" s="62"/>
      <c r="AR794" s="34"/>
    </row>
    <row r="795" spans="1:44" customFormat="1">
      <c r="A795" s="39">
        <v>44267</v>
      </c>
      <c r="B795" s="11" t="s">
        <v>49</v>
      </c>
      <c r="C795" s="16" t="s">
        <v>3304</v>
      </c>
      <c r="D795" s="16"/>
      <c r="E795" s="38">
        <v>33686</v>
      </c>
      <c r="F795" s="38"/>
      <c r="G795" s="10"/>
      <c r="H795" s="12" t="s">
        <v>3671</v>
      </c>
      <c r="I795" s="13"/>
      <c r="J795" s="15" t="s">
        <v>3305</v>
      </c>
      <c r="K795" s="12"/>
      <c r="L795" s="11" t="s">
        <v>33</v>
      </c>
      <c r="M795" s="15"/>
      <c r="N795" s="17">
        <v>16500</v>
      </c>
      <c r="O795" s="17"/>
      <c r="P795" s="17"/>
      <c r="Q795" s="48"/>
      <c r="R795" s="11"/>
      <c r="S795" s="48"/>
      <c r="T795" s="85"/>
      <c r="U795" s="88"/>
      <c r="V795" s="32"/>
      <c r="W795" s="25" t="s">
        <v>48</v>
      </c>
      <c r="X795" s="11"/>
      <c r="Y795" s="50" t="s">
        <v>13</v>
      </c>
      <c r="Z795" s="50"/>
      <c r="AA795" s="50"/>
      <c r="AB795" s="50"/>
      <c r="AC795" s="50"/>
      <c r="AD795" s="50"/>
      <c r="AE795" s="50"/>
      <c r="AF795" s="34"/>
      <c r="AG795" s="34"/>
      <c r="AH795" s="34"/>
      <c r="AI795" s="34"/>
      <c r="AJ795" s="34"/>
      <c r="AK795" s="34"/>
      <c r="AL795" s="34"/>
      <c r="AM795" s="34"/>
      <c r="AN795" s="34"/>
      <c r="AO795" s="65"/>
      <c r="AP795" s="69"/>
      <c r="AQ795" s="62"/>
      <c r="AR795" s="34"/>
    </row>
    <row r="796" spans="1:44" customFormat="1">
      <c r="A796" s="39">
        <v>44269</v>
      </c>
      <c r="B796" s="11" t="s">
        <v>22</v>
      </c>
      <c r="C796" s="16" t="s">
        <v>3306</v>
      </c>
      <c r="D796" s="16"/>
      <c r="E796" s="38">
        <v>29000</v>
      </c>
      <c r="F796" s="38"/>
      <c r="G796" s="10" t="s">
        <v>3307</v>
      </c>
      <c r="H796" s="12" t="s">
        <v>3308</v>
      </c>
      <c r="I796" s="13" t="s">
        <v>2566</v>
      </c>
      <c r="J796" s="15" t="s">
        <v>3309</v>
      </c>
      <c r="K796" s="12"/>
      <c r="L796" s="11" t="s">
        <v>35</v>
      </c>
      <c r="M796" s="15"/>
      <c r="N796" s="17">
        <v>2750</v>
      </c>
      <c r="O796" s="17"/>
      <c r="P796" s="17"/>
      <c r="Q796" s="48"/>
      <c r="R796" s="11"/>
      <c r="S796" s="48"/>
      <c r="T796" s="85"/>
      <c r="U796" s="88"/>
      <c r="V796" s="32" t="s">
        <v>1744</v>
      </c>
      <c r="W796" s="25" t="s">
        <v>48</v>
      </c>
      <c r="X796" s="11"/>
      <c r="Y796" s="50" t="s">
        <v>12</v>
      </c>
      <c r="Z796" s="50"/>
      <c r="AA796" s="50"/>
      <c r="AB796" s="50"/>
      <c r="AC796" s="50"/>
      <c r="AD796" s="50"/>
      <c r="AE796" s="50"/>
      <c r="AF796" s="34"/>
      <c r="AG796" s="34"/>
      <c r="AH796" s="34"/>
      <c r="AI796" s="34"/>
      <c r="AJ796" s="34"/>
      <c r="AK796" s="34"/>
      <c r="AL796" s="34"/>
      <c r="AM796" s="34"/>
      <c r="AN796" s="34"/>
      <c r="AO796" s="65"/>
      <c r="AP796" s="69"/>
      <c r="AQ796" s="62"/>
      <c r="AR796" s="34"/>
    </row>
    <row r="797" spans="1:44" customFormat="1">
      <c r="A797" s="39">
        <v>44269</v>
      </c>
      <c r="B797" s="11" t="s">
        <v>2170</v>
      </c>
      <c r="C797" s="16" t="s">
        <v>3137</v>
      </c>
      <c r="D797" s="16"/>
      <c r="E797" s="38"/>
      <c r="F797" s="38"/>
      <c r="G797" s="10"/>
      <c r="H797" s="12"/>
      <c r="I797" s="13"/>
      <c r="J797" s="15"/>
      <c r="K797" s="12"/>
      <c r="L797" s="11"/>
      <c r="M797" s="15"/>
      <c r="N797" s="17">
        <v>5500</v>
      </c>
      <c r="O797" s="17"/>
      <c r="P797" s="17"/>
      <c r="Q797" s="48"/>
      <c r="R797" s="11"/>
      <c r="S797" s="48"/>
      <c r="T797" s="85"/>
      <c r="U797" s="88"/>
      <c r="V797" s="32"/>
      <c r="W797" s="25"/>
      <c r="X797" s="11"/>
      <c r="Y797" s="50"/>
      <c r="Z797" s="50"/>
      <c r="AA797" s="50"/>
      <c r="AB797" s="50"/>
      <c r="AC797" s="50"/>
      <c r="AD797" s="50"/>
      <c r="AE797" s="50"/>
      <c r="AF797" s="34"/>
      <c r="AG797" s="34"/>
      <c r="AH797" s="34"/>
      <c r="AI797" s="34"/>
      <c r="AJ797" s="34"/>
      <c r="AK797" s="34"/>
      <c r="AL797" s="34"/>
      <c r="AM797" s="34"/>
      <c r="AN797" s="34"/>
      <c r="AO797" s="65"/>
      <c r="AP797" s="69"/>
      <c r="AQ797" s="62"/>
      <c r="AR797" s="34"/>
    </row>
    <row r="798" spans="1:44" customFormat="1">
      <c r="A798" s="39">
        <v>44269</v>
      </c>
      <c r="B798" s="11" t="s">
        <v>49</v>
      </c>
      <c r="C798" s="16" t="s">
        <v>3310</v>
      </c>
      <c r="D798" s="16"/>
      <c r="E798" s="38">
        <v>26149</v>
      </c>
      <c r="F798" s="38"/>
      <c r="G798" s="10" t="s">
        <v>3313</v>
      </c>
      <c r="H798" s="12" t="s">
        <v>3311</v>
      </c>
      <c r="I798" s="13" t="s">
        <v>3312</v>
      </c>
      <c r="J798" s="15" t="s">
        <v>3314</v>
      </c>
      <c r="K798" s="12"/>
      <c r="L798" s="11" t="s">
        <v>33</v>
      </c>
      <c r="M798" s="15"/>
      <c r="N798" s="17">
        <v>11000</v>
      </c>
      <c r="O798" s="17"/>
      <c r="P798" s="17"/>
      <c r="Q798" s="48"/>
      <c r="R798" s="11"/>
      <c r="S798" s="48"/>
      <c r="T798" s="85"/>
      <c r="U798" s="88"/>
      <c r="V798" s="32" t="s">
        <v>3315</v>
      </c>
      <c r="W798" s="25" t="s">
        <v>8</v>
      </c>
      <c r="X798" s="11"/>
      <c r="Y798" s="50" t="s">
        <v>12</v>
      </c>
      <c r="Z798" s="50"/>
      <c r="AA798" s="50"/>
      <c r="AB798" s="50"/>
      <c r="AC798" s="50"/>
      <c r="AD798" s="50"/>
      <c r="AE798" s="50"/>
      <c r="AF798" s="34"/>
      <c r="AG798" s="34"/>
      <c r="AH798" s="34"/>
      <c r="AI798" s="34"/>
      <c r="AJ798" s="34"/>
      <c r="AK798" s="34"/>
      <c r="AL798" s="34"/>
      <c r="AM798" s="34"/>
      <c r="AN798" s="34"/>
      <c r="AO798" s="65"/>
      <c r="AP798" s="69"/>
      <c r="AQ798" s="62"/>
      <c r="AR798" s="34"/>
    </row>
    <row r="799" spans="1:44" customFormat="1">
      <c r="A799" s="39">
        <v>44269</v>
      </c>
      <c r="B799" s="11" t="s">
        <v>49</v>
      </c>
      <c r="C799" s="16" t="s">
        <v>3316</v>
      </c>
      <c r="D799" s="16"/>
      <c r="E799" s="38">
        <v>27503</v>
      </c>
      <c r="F799" s="38"/>
      <c r="G799" s="10" t="s">
        <v>2615</v>
      </c>
      <c r="H799" s="12" t="s">
        <v>3317</v>
      </c>
      <c r="I799" s="13" t="s">
        <v>2617</v>
      </c>
      <c r="J799" s="15" t="s">
        <v>3318</v>
      </c>
      <c r="K799" s="12"/>
      <c r="L799" s="11" t="s">
        <v>36</v>
      </c>
      <c r="M799" s="15"/>
      <c r="N799" s="17">
        <v>2750</v>
      </c>
      <c r="O799" s="17"/>
      <c r="P799" s="17"/>
      <c r="Q799" s="48"/>
      <c r="R799" s="11"/>
      <c r="S799" s="48"/>
      <c r="T799" s="85"/>
      <c r="U799" s="88"/>
      <c r="V799" s="32" t="s">
        <v>1744</v>
      </c>
      <c r="W799" s="25" t="s">
        <v>48</v>
      </c>
      <c r="X799" s="11"/>
      <c r="Y799" s="50" t="s">
        <v>13</v>
      </c>
      <c r="Z799" s="50"/>
      <c r="AA799" s="50"/>
      <c r="AB799" s="50"/>
      <c r="AC799" s="50"/>
      <c r="AD799" s="50"/>
      <c r="AE799" s="50"/>
      <c r="AF799" s="34"/>
      <c r="AG799" s="34"/>
      <c r="AH799" s="34"/>
      <c r="AI799" s="34"/>
      <c r="AJ799" s="34"/>
      <c r="AK799" s="34"/>
      <c r="AL799" s="34"/>
      <c r="AM799" s="34"/>
      <c r="AN799" s="34"/>
      <c r="AO799" s="65"/>
      <c r="AP799" s="69"/>
      <c r="AQ799" s="62"/>
      <c r="AR799" s="34"/>
    </row>
    <row r="800" spans="1:44" customFormat="1">
      <c r="A800" s="39">
        <v>44269</v>
      </c>
      <c r="B800" s="11" t="s">
        <v>22</v>
      </c>
      <c r="C800" s="16" t="s">
        <v>3319</v>
      </c>
      <c r="D800" s="16"/>
      <c r="E800" s="38">
        <v>20565</v>
      </c>
      <c r="F800" s="38"/>
      <c r="G800" s="10" t="s">
        <v>617</v>
      </c>
      <c r="H800" s="12" t="s">
        <v>3320</v>
      </c>
      <c r="I800" s="13" t="s">
        <v>2334</v>
      </c>
      <c r="J800" s="15" t="s">
        <v>3321</v>
      </c>
      <c r="K800" s="12"/>
      <c r="L800" s="11"/>
      <c r="M800" s="15"/>
      <c r="N800" s="17">
        <v>2750</v>
      </c>
      <c r="O800" s="17"/>
      <c r="P800" s="17"/>
      <c r="Q800" s="48"/>
      <c r="R800" s="11"/>
      <c r="S800" s="48"/>
      <c r="T800" s="85"/>
      <c r="U800" s="88"/>
      <c r="V800" s="32" t="s">
        <v>1744</v>
      </c>
      <c r="W800" s="25"/>
      <c r="X800" s="11"/>
      <c r="Y800" s="50"/>
      <c r="Z800" s="50"/>
      <c r="AA800" s="50"/>
      <c r="AB800" s="50"/>
      <c r="AC800" s="50"/>
      <c r="AD800" s="50"/>
      <c r="AE800" s="50"/>
      <c r="AF800" s="34"/>
      <c r="AG800" s="34"/>
      <c r="AH800" s="34"/>
      <c r="AI800" s="34"/>
      <c r="AJ800" s="34"/>
      <c r="AK800" s="34"/>
      <c r="AL800" s="34"/>
      <c r="AM800" s="34"/>
      <c r="AN800" s="34"/>
      <c r="AO800" s="65"/>
      <c r="AP800" s="69"/>
      <c r="AQ800" s="62"/>
      <c r="AR800" s="34"/>
    </row>
    <row r="801" spans="1:44" customFormat="1">
      <c r="A801" s="39">
        <v>44272</v>
      </c>
      <c r="B801" s="11" t="s">
        <v>49</v>
      </c>
      <c r="C801" s="16" t="s">
        <v>3322</v>
      </c>
      <c r="D801" s="16"/>
      <c r="E801" s="38">
        <v>35938</v>
      </c>
      <c r="F801" s="38"/>
      <c r="G801" s="10" t="s">
        <v>3325</v>
      </c>
      <c r="H801" s="12" t="s">
        <v>3323</v>
      </c>
      <c r="I801" s="13" t="s">
        <v>3324</v>
      </c>
      <c r="J801" s="15" t="s">
        <v>3326</v>
      </c>
      <c r="K801" s="12"/>
      <c r="L801" s="11" t="s">
        <v>34</v>
      </c>
      <c r="M801" s="15"/>
      <c r="N801" s="17">
        <v>11000</v>
      </c>
      <c r="O801" s="17"/>
      <c r="P801" s="17"/>
      <c r="Q801" s="48"/>
      <c r="R801" s="11"/>
      <c r="S801" s="48"/>
      <c r="T801" s="85"/>
      <c r="U801" s="88"/>
      <c r="V801" s="32" t="s">
        <v>3327</v>
      </c>
      <c r="W801" s="25" t="s">
        <v>8</v>
      </c>
      <c r="X801" s="11"/>
      <c r="Y801" s="50" t="s">
        <v>12</v>
      </c>
      <c r="Z801" s="50"/>
      <c r="AA801" s="50"/>
      <c r="AB801" s="50"/>
      <c r="AC801" s="50"/>
      <c r="AD801" s="50"/>
      <c r="AE801" s="50"/>
      <c r="AF801" s="34"/>
      <c r="AG801" s="34"/>
      <c r="AH801" s="34"/>
      <c r="AI801" s="34"/>
      <c r="AJ801" s="34"/>
      <c r="AK801" s="34"/>
      <c r="AL801" s="34"/>
      <c r="AM801" s="34"/>
      <c r="AN801" s="34"/>
      <c r="AO801" s="65"/>
      <c r="AP801" s="69"/>
      <c r="AQ801" s="62"/>
      <c r="AR801" s="34"/>
    </row>
    <row r="802" spans="1:44" customFormat="1">
      <c r="A802" s="39">
        <v>44272</v>
      </c>
      <c r="B802" s="11" t="s">
        <v>2170</v>
      </c>
      <c r="C802" s="16" t="s">
        <v>3328</v>
      </c>
      <c r="D802" s="16"/>
      <c r="E802" s="38">
        <v>32408</v>
      </c>
      <c r="F802" s="38"/>
      <c r="G802" s="10" t="s">
        <v>3329</v>
      </c>
      <c r="H802" s="12" t="s">
        <v>3330</v>
      </c>
      <c r="I802" s="13" t="s">
        <v>3331</v>
      </c>
      <c r="J802" s="15" t="s">
        <v>3332</v>
      </c>
      <c r="K802" s="12"/>
      <c r="L802" s="11"/>
      <c r="M802" s="15"/>
      <c r="N802" s="17">
        <v>3300</v>
      </c>
      <c r="O802" s="17"/>
      <c r="P802" s="17"/>
      <c r="Q802" s="48"/>
      <c r="R802" s="11"/>
      <c r="S802" s="48"/>
      <c r="T802" s="85"/>
      <c r="U802" s="88"/>
      <c r="V802" s="32" t="s">
        <v>3333</v>
      </c>
      <c r="W802" s="25" t="s">
        <v>10</v>
      </c>
      <c r="X802" s="11"/>
      <c r="Y802" s="50" t="s">
        <v>20</v>
      </c>
      <c r="Z802" s="50"/>
      <c r="AA802" s="50"/>
      <c r="AB802" s="50"/>
      <c r="AC802" s="50"/>
      <c r="AD802" s="50"/>
      <c r="AE802" s="50"/>
      <c r="AF802" s="34"/>
      <c r="AG802" s="34"/>
      <c r="AH802" s="34"/>
      <c r="AI802" s="34"/>
      <c r="AJ802" s="34"/>
      <c r="AK802" s="34"/>
      <c r="AL802" s="34"/>
      <c r="AM802" s="34"/>
      <c r="AN802" s="34"/>
      <c r="AO802" s="65"/>
      <c r="AP802" s="69"/>
      <c r="AQ802" s="62"/>
      <c r="AR802" s="34"/>
    </row>
    <row r="803" spans="1:44" customFormat="1">
      <c r="A803" s="39">
        <v>44273</v>
      </c>
      <c r="B803" s="11" t="s">
        <v>22</v>
      </c>
      <c r="C803" s="16" t="s">
        <v>3334</v>
      </c>
      <c r="D803" s="16"/>
      <c r="E803" s="38">
        <v>25379</v>
      </c>
      <c r="F803" s="38"/>
      <c r="G803" s="10" t="s">
        <v>3335</v>
      </c>
      <c r="H803" s="12" t="s">
        <v>3336</v>
      </c>
      <c r="I803" s="13" t="s">
        <v>2175</v>
      </c>
      <c r="J803" s="15" t="s">
        <v>3337</v>
      </c>
      <c r="K803" s="12"/>
      <c r="L803" s="11" t="s">
        <v>36</v>
      </c>
      <c r="M803" s="15"/>
      <c r="N803" s="17">
        <v>2750</v>
      </c>
      <c r="O803" s="17"/>
      <c r="P803" s="17"/>
      <c r="Q803" s="48"/>
      <c r="R803" s="11"/>
      <c r="S803" s="48"/>
      <c r="T803" s="85"/>
      <c r="U803" s="88"/>
      <c r="V803" s="32" t="s">
        <v>3338</v>
      </c>
      <c r="W803" s="25" t="s">
        <v>10</v>
      </c>
      <c r="X803" s="11"/>
      <c r="Y803" s="50" t="s">
        <v>20</v>
      </c>
      <c r="Z803" s="50"/>
      <c r="AA803" s="50"/>
      <c r="AB803" s="50"/>
      <c r="AC803" s="50"/>
      <c r="AD803" s="50"/>
      <c r="AE803" s="50"/>
      <c r="AF803" s="34"/>
      <c r="AG803" s="34"/>
      <c r="AH803" s="34"/>
      <c r="AI803" s="34"/>
      <c r="AJ803" s="34"/>
      <c r="AK803" s="34"/>
      <c r="AL803" s="34"/>
      <c r="AM803" s="34"/>
      <c r="AN803" s="34"/>
      <c r="AO803" s="65"/>
      <c r="AP803" s="69"/>
      <c r="AQ803" s="62"/>
      <c r="AR803" s="34"/>
    </row>
    <row r="804" spans="1:44" customFormat="1">
      <c r="A804" s="39">
        <v>44273</v>
      </c>
      <c r="B804" s="11" t="s">
        <v>49</v>
      </c>
      <c r="C804" s="16" t="s">
        <v>3339</v>
      </c>
      <c r="D804" s="16"/>
      <c r="E804" s="38">
        <v>17238</v>
      </c>
      <c r="F804" s="38"/>
      <c r="G804" s="10" t="s">
        <v>3340</v>
      </c>
      <c r="H804" s="12" t="s">
        <v>3341</v>
      </c>
      <c r="I804" s="13" t="s">
        <v>3342</v>
      </c>
      <c r="J804" s="15" t="s">
        <v>3343</v>
      </c>
      <c r="K804" s="12"/>
      <c r="L804" s="11" t="s">
        <v>39</v>
      </c>
      <c r="M804" s="15"/>
      <c r="N804" s="17">
        <v>16500</v>
      </c>
      <c r="O804" s="17"/>
      <c r="P804" s="17"/>
      <c r="Q804" s="48"/>
      <c r="R804" s="11"/>
      <c r="S804" s="48"/>
      <c r="T804" s="85"/>
      <c r="U804" s="88"/>
      <c r="V804" s="32"/>
      <c r="W804" s="25" t="s">
        <v>8</v>
      </c>
      <c r="X804" s="11"/>
      <c r="Y804" s="50" t="s">
        <v>14</v>
      </c>
      <c r="Z804" s="50"/>
      <c r="AA804" s="50"/>
      <c r="AB804" s="50"/>
      <c r="AC804" s="50"/>
      <c r="AD804" s="50"/>
      <c r="AE804" s="50"/>
      <c r="AF804" s="34"/>
      <c r="AG804" s="34"/>
      <c r="AH804" s="34"/>
      <c r="AI804" s="34"/>
      <c r="AJ804" s="34"/>
      <c r="AK804" s="34"/>
      <c r="AL804" s="34"/>
      <c r="AM804" s="34"/>
      <c r="AN804" s="34"/>
      <c r="AO804" s="65"/>
      <c r="AP804" s="69"/>
      <c r="AQ804" s="62"/>
      <c r="AR804" s="34"/>
    </row>
    <row r="805" spans="1:44" customFormat="1">
      <c r="A805" s="39">
        <v>44275</v>
      </c>
      <c r="B805" s="11" t="s">
        <v>2171</v>
      </c>
      <c r="C805" s="16" t="s">
        <v>3344</v>
      </c>
      <c r="D805" s="16"/>
      <c r="E805" s="38"/>
      <c r="F805" s="38"/>
      <c r="G805" s="10"/>
      <c r="H805" s="12"/>
      <c r="I805" s="13"/>
      <c r="J805" s="15"/>
      <c r="K805" s="12"/>
      <c r="L805" s="11"/>
      <c r="M805" s="15"/>
      <c r="N805" s="17">
        <v>3300</v>
      </c>
      <c r="O805" s="17"/>
      <c r="P805" s="17"/>
      <c r="Q805" s="48"/>
      <c r="R805" s="11"/>
      <c r="S805" s="48"/>
      <c r="T805" s="85"/>
      <c r="U805" s="88"/>
      <c r="V805" s="32" t="s">
        <v>3345</v>
      </c>
      <c r="W805" s="25"/>
      <c r="X805" s="11"/>
      <c r="Y805" s="50"/>
      <c r="Z805" s="50"/>
      <c r="AA805" s="50"/>
      <c r="AB805" s="50"/>
      <c r="AC805" s="50"/>
      <c r="AD805" s="50"/>
      <c r="AE805" s="50"/>
      <c r="AF805" s="34"/>
      <c r="AG805" s="34"/>
      <c r="AH805" s="34"/>
      <c r="AI805" s="34"/>
      <c r="AJ805" s="34"/>
      <c r="AK805" s="34"/>
      <c r="AL805" s="34"/>
      <c r="AM805" s="34"/>
      <c r="AN805" s="34"/>
      <c r="AO805" s="65"/>
      <c r="AP805" s="69"/>
      <c r="AQ805" s="62"/>
      <c r="AR805" s="34"/>
    </row>
    <row r="806" spans="1:44" customFormat="1">
      <c r="A806" s="39">
        <v>44276</v>
      </c>
      <c r="B806" s="11" t="s">
        <v>49</v>
      </c>
      <c r="C806" s="16" t="s">
        <v>3346</v>
      </c>
      <c r="D806" s="16"/>
      <c r="E806" s="38">
        <v>28531</v>
      </c>
      <c r="F806" s="38"/>
      <c r="G806" s="10" t="s">
        <v>620</v>
      </c>
      <c r="H806" s="12" t="s">
        <v>3347</v>
      </c>
      <c r="I806" s="13" t="s">
        <v>3348</v>
      </c>
      <c r="J806" s="15" t="s">
        <v>3349</v>
      </c>
      <c r="K806" s="12"/>
      <c r="L806" s="11" t="s">
        <v>33</v>
      </c>
      <c r="M806" s="15"/>
      <c r="N806" s="17">
        <v>22000</v>
      </c>
      <c r="O806" s="17"/>
      <c r="P806" s="17"/>
      <c r="Q806" s="48"/>
      <c r="R806" s="11"/>
      <c r="S806" s="48"/>
      <c r="T806" s="85"/>
      <c r="U806" s="88"/>
      <c r="V806" s="32"/>
      <c r="W806" s="25" t="s">
        <v>8</v>
      </c>
      <c r="X806" s="11"/>
      <c r="Y806" s="50" t="s">
        <v>13</v>
      </c>
      <c r="Z806" s="50"/>
      <c r="AA806" s="50"/>
      <c r="AB806" s="50"/>
      <c r="AC806" s="50"/>
      <c r="AD806" s="50"/>
      <c r="AE806" s="50"/>
      <c r="AF806" s="34"/>
      <c r="AG806" s="34"/>
      <c r="AH806" s="34"/>
      <c r="AI806" s="34"/>
      <c r="AJ806" s="34"/>
      <c r="AK806" s="34"/>
      <c r="AL806" s="34"/>
      <c r="AM806" s="34"/>
      <c r="AN806" s="34"/>
      <c r="AO806" s="65"/>
      <c r="AP806" s="69"/>
      <c r="AQ806" s="62"/>
      <c r="AR806" s="34"/>
    </row>
    <row r="807" spans="1:44" customFormat="1">
      <c r="A807" s="39">
        <v>44276</v>
      </c>
      <c r="B807" s="11" t="s">
        <v>49</v>
      </c>
      <c r="C807" s="16" t="s">
        <v>3350</v>
      </c>
      <c r="D807" s="16"/>
      <c r="E807" s="38">
        <v>28709</v>
      </c>
      <c r="F807" s="38"/>
      <c r="G807" s="10" t="s">
        <v>3352</v>
      </c>
      <c r="H807" s="12" t="s">
        <v>3351</v>
      </c>
      <c r="I807" s="13" t="s">
        <v>2424</v>
      </c>
      <c r="J807" s="15" t="s">
        <v>3353</v>
      </c>
      <c r="K807" s="12"/>
      <c r="L807" s="11" t="s">
        <v>34</v>
      </c>
      <c r="M807" s="15"/>
      <c r="N807" s="17">
        <v>22000</v>
      </c>
      <c r="O807" s="17"/>
      <c r="P807" s="17"/>
      <c r="Q807" s="48"/>
      <c r="R807" s="11"/>
      <c r="S807" s="48"/>
      <c r="T807" s="85"/>
      <c r="U807" s="88"/>
      <c r="V807" s="32"/>
      <c r="W807" s="25" t="s">
        <v>8</v>
      </c>
      <c r="X807" s="11"/>
      <c r="Y807" s="50" t="s">
        <v>13</v>
      </c>
      <c r="Z807" s="50"/>
      <c r="AA807" s="50"/>
      <c r="AB807" s="50"/>
      <c r="AC807" s="50"/>
      <c r="AD807" s="50"/>
      <c r="AE807" s="50"/>
      <c r="AF807" s="34"/>
      <c r="AG807" s="34"/>
      <c r="AH807" s="34"/>
      <c r="AI807" s="34"/>
      <c r="AJ807" s="34"/>
      <c r="AK807" s="34"/>
      <c r="AL807" s="34"/>
      <c r="AM807" s="34"/>
      <c r="AN807" s="34"/>
      <c r="AO807" s="65"/>
      <c r="AP807" s="69"/>
      <c r="AQ807" s="62"/>
      <c r="AR807" s="34"/>
    </row>
    <row r="808" spans="1:44" customFormat="1">
      <c r="A808" s="39">
        <v>44280</v>
      </c>
      <c r="B808" s="11" t="s">
        <v>49</v>
      </c>
      <c r="C808" s="16" t="s">
        <v>3355</v>
      </c>
      <c r="D808" s="16"/>
      <c r="E808" s="38">
        <v>21313</v>
      </c>
      <c r="F808" s="38"/>
      <c r="G808" s="10" t="s">
        <v>430</v>
      </c>
      <c r="H808" s="12" t="s">
        <v>3356</v>
      </c>
      <c r="I808" s="13" t="s">
        <v>3190</v>
      </c>
      <c r="J808" s="15" t="s">
        <v>3357</v>
      </c>
      <c r="K808" s="12"/>
      <c r="L808" s="11" t="s">
        <v>33</v>
      </c>
      <c r="M808" s="15"/>
      <c r="N808" s="17">
        <v>16500</v>
      </c>
      <c r="O808" s="17"/>
      <c r="P808" s="17"/>
      <c r="Q808" s="48"/>
      <c r="R808" s="11"/>
      <c r="S808" s="48"/>
      <c r="T808" s="85"/>
      <c r="U808" s="88"/>
      <c r="V808" s="32"/>
      <c r="W808" s="25" t="s">
        <v>48</v>
      </c>
      <c r="X808" s="11"/>
      <c r="Y808" s="50" t="s">
        <v>13</v>
      </c>
      <c r="Z808" s="50"/>
      <c r="AA808" s="50"/>
      <c r="AB808" s="50"/>
      <c r="AC808" s="50"/>
      <c r="AD808" s="50"/>
      <c r="AE808" s="50"/>
      <c r="AF808" s="34"/>
      <c r="AG808" s="34"/>
      <c r="AH808" s="34"/>
      <c r="AI808" s="34"/>
      <c r="AJ808" s="34"/>
      <c r="AK808" s="34"/>
      <c r="AL808" s="34"/>
      <c r="AM808" s="34"/>
      <c r="AN808" s="34"/>
      <c r="AO808" s="65"/>
      <c r="AP808" s="69"/>
      <c r="AQ808" s="62"/>
      <c r="AR808" s="34"/>
    </row>
    <row r="809" spans="1:44" customFormat="1">
      <c r="A809" s="39">
        <v>44281</v>
      </c>
      <c r="B809" s="11" t="s">
        <v>22</v>
      </c>
      <c r="C809" s="16" t="s">
        <v>3358</v>
      </c>
      <c r="D809" s="16"/>
      <c r="E809" s="38">
        <v>32739</v>
      </c>
      <c r="F809" s="38"/>
      <c r="G809" s="10" t="s">
        <v>78</v>
      </c>
      <c r="H809" s="12" t="s">
        <v>3359</v>
      </c>
      <c r="I809" s="13" t="s">
        <v>3360</v>
      </c>
      <c r="J809" s="15" t="s">
        <v>3361</v>
      </c>
      <c r="K809" s="12"/>
      <c r="L809" s="11" t="s">
        <v>35</v>
      </c>
      <c r="M809" s="15"/>
      <c r="N809" s="17">
        <v>2750</v>
      </c>
      <c r="O809" s="17"/>
      <c r="P809" s="17"/>
      <c r="Q809" s="48"/>
      <c r="R809" s="11"/>
      <c r="S809" s="48"/>
      <c r="T809" s="85"/>
      <c r="U809" s="90">
        <v>44389</v>
      </c>
      <c r="V809" s="32" t="s">
        <v>1744</v>
      </c>
      <c r="W809" s="25" t="s">
        <v>10</v>
      </c>
      <c r="X809" s="11"/>
      <c r="Y809" s="50" t="s">
        <v>18</v>
      </c>
      <c r="Z809" s="50"/>
      <c r="AA809" s="50"/>
      <c r="AB809" s="50"/>
      <c r="AC809" s="50"/>
      <c r="AD809" s="50"/>
      <c r="AE809" s="50"/>
      <c r="AF809" s="34"/>
      <c r="AG809" s="34"/>
      <c r="AH809" s="34"/>
      <c r="AI809" s="34"/>
      <c r="AJ809" s="34"/>
      <c r="AK809" s="34"/>
      <c r="AL809" s="34"/>
      <c r="AM809" s="34"/>
      <c r="AN809" s="34"/>
      <c r="AO809" s="65"/>
      <c r="AP809" s="69"/>
      <c r="AQ809" s="62"/>
      <c r="AR809" s="34"/>
    </row>
    <row r="810" spans="1:44" customFormat="1">
      <c r="A810" s="39">
        <v>44281</v>
      </c>
      <c r="B810" s="11" t="s">
        <v>22</v>
      </c>
      <c r="C810" s="16" t="s">
        <v>3362</v>
      </c>
      <c r="D810" s="16"/>
      <c r="E810" s="38">
        <v>19209</v>
      </c>
      <c r="F810" s="38"/>
      <c r="G810" s="10" t="s">
        <v>3363</v>
      </c>
      <c r="H810" s="12" t="s">
        <v>3364</v>
      </c>
      <c r="I810" s="13" t="s">
        <v>2571</v>
      </c>
      <c r="J810" s="15" t="s">
        <v>3365</v>
      </c>
      <c r="K810" s="12"/>
      <c r="L810" s="11" t="s">
        <v>39</v>
      </c>
      <c r="M810" s="15"/>
      <c r="N810" s="17">
        <v>2750</v>
      </c>
      <c r="O810" s="17"/>
      <c r="P810" s="17"/>
      <c r="Q810" s="48"/>
      <c r="R810" s="11"/>
      <c r="S810" s="48"/>
      <c r="T810" s="85"/>
      <c r="U810" s="90">
        <v>44420</v>
      </c>
      <c r="V810" s="32" t="s">
        <v>1744</v>
      </c>
      <c r="W810" s="25" t="s">
        <v>48</v>
      </c>
      <c r="X810" s="11"/>
      <c r="Y810" s="50" t="s">
        <v>12</v>
      </c>
      <c r="Z810" s="50"/>
      <c r="AA810" s="50"/>
      <c r="AB810" s="50"/>
      <c r="AC810" s="50"/>
      <c r="AD810" s="50"/>
      <c r="AE810" s="50"/>
      <c r="AF810" s="34"/>
      <c r="AG810" s="34"/>
      <c r="AH810" s="34"/>
      <c r="AI810" s="34"/>
      <c r="AJ810" s="34"/>
      <c r="AK810" s="34"/>
      <c r="AL810" s="34"/>
      <c r="AM810" s="34"/>
      <c r="AN810" s="34"/>
      <c r="AO810" s="65"/>
      <c r="AP810" s="69"/>
      <c r="AQ810" s="62"/>
      <c r="AR810" s="79">
        <v>44389</v>
      </c>
    </row>
    <row r="811" spans="1:44" customFormat="1">
      <c r="A811" s="39">
        <v>44283</v>
      </c>
      <c r="B811" s="11" t="s">
        <v>49</v>
      </c>
      <c r="C811" s="16" t="s">
        <v>3366</v>
      </c>
      <c r="D811" s="16"/>
      <c r="E811" s="38">
        <v>24714</v>
      </c>
      <c r="F811" s="38"/>
      <c r="G811" s="10" t="s">
        <v>3367</v>
      </c>
      <c r="H811" s="12" t="s">
        <v>3368</v>
      </c>
      <c r="I811" s="13" t="s">
        <v>3369</v>
      </c>
      <c r="J811" s="15" t="s">
        <v>3370</v>
      </c>
      <c r="K811" s="12"/>
      <c r="L811" s="11" t="s">
        <v>36</v>
      </c>
      <c r="M811" s="15"/>
      <c r="N811" s="17">
        <v>16500</v>
      </c>
      <c r="O811" s="17"/>
      <c r="P811" s="17"/>
      <c r="Q811" s="48"/>
      <c r="R811" s="11"/>
      <c r="S811" s="48"/>
      <c r="T811" s="85"/>
      <c r="U811" s="88"/>
      <c r="V811" s="32"/>
      <c r="W811" s="25" t="s">
        <v>48</v>
      </c>
      <c r="X811" s="11"/>
      <c r="Y811" s="50" t="s">
        <v>12</v>
      </c>
      <c r="Z811" s="50"/>
      <c r="AA811" s="50"/>
      <c r="AB811" s="50"/>
      <c r="AC811" s="50"/>
      <c r="AD811" s="50"/>
      <c r="AE811" s="50"/>
      <c r="AF811" s="34"/>
      <c r="AG811" s="34"/>
      <c r="AH811" s="34"/>
      <c r="AI811" s="34"/>
      <c r="AJ811" s="34"/>
      <c r="AK811" s="34"/>
      <c r="AL811" s="34"/>
      <c r="AM811" s="34"/>
      <c r="AN811" s="34"/>
      <c r="AO811" s="65"/>
      <c r="AP811" s="69"/>
      <c r="AQ811" s="62"/>
      <c r="AR811" s="79">
        <v>44420</v>
      </c>
    </row>
    <row r="812" spans="1:44" customFormat="1">
      <c r="A812" s="39">
        <v>44284</v>
      </c>
      <c r="B812" s="11" t="s">
        <v>49</v>
      </c>
      <c r="C812" s="16" t="s">
        <v>3371</v>
      </c>
      <c r="D812" s="16"/>
      <c r="E812" s="38">
        <v>22210</v>
      </c>
      <c r="F812" s="38"/>
      <c r="G812" s="10" t="s">
        <v>3372</v>
      </c>
      <c r="H812" s="12" t="s">
        <v>3373</v>
      </c>
      <c r="I812" s="13" t="s">
        <v>2646</v>
      </c>
      <c r="J812" s="15" t="s">
        <v>3374</v>
      </c>
      <c r="K812" s="14" t="s">
        <v>3375</v>
      </c>
      <c r="L812" s="11" t="s">
        <v>33</v>
      </c>
      <c r="M812" s="15"/>
      <c r="N812" s="17">
        <v>16500</v>
      </c>
      <c r="O812" s="17"/>
      <c r="P812" s="17"/>
      <c r="Q812" s="48"/>
      <c r="R812" s="11"/>
      <c r="S812" s="48"/>
      <c r="T812" s="85"/>
      <c r="U812" s="88"/>
      <c r="V812" s="32"/>
      <c r="W812" s="25" t="s">
        <v>8</v>
      </c>
      <c r="X812" s="11"/>
      <c r="Y812" s="50" t="s">
        <v>12</v>
      </c>
      <c r="Z812" s="50"/>
      <c r="AA812" s="50"/>
      <c r="AB812" s="50"/>
      <c r="AC812" s="50"/>
      <c r="AD812" s="50"/>
      <c r="AE812" s="50"/>
      <c r="AF812" s="34"/>
      <c r="AG812" s="34"/>
      <c r="AH812" s="34"/>
      <c r="AI812" s="34"/>
      <c r="AJ812" s="34"/>
      <c r="AK812" s="34"/>
      <c r="AL812" s="34"/>
      <c r="AM812" s="34"/>
      <c r="AN812" s="34"/>
      <c r="AO812" s="65"/>
      <c r="AP812" s="69"/>
      <c r="AQ812" s="62"/>
      <c r="AR812" s="34"/>
    </row>
    <row r="813" spans="1:44" customFormat="1">
      <c r="A813" s="39">
        <v>44286</v>
      </c>
      <c r="B813" s="11" t="s">
        <v>24</v>
      </c>
      <c r="C813" s="16" t="s">
        <v>3376</v>
      </c>
      <c r="D813" s="16"/>
      <c r="E813" s="38"/>
      <c r="F813" s="38"/>
      <c r="G813" s="10"/>
      <c r="H813" s="12"/>
      <c r="I813" s="13"/>
      <c r="J813" s="15"/>
      <c r="K813" s="12"/>
      <c r="L813" s="11"/>
      <c r="M813" s="15"/>
      <c r="N813" s="17">
        <v>7700</v>
      </c>
      <c r="O813" s="17"/>
      <c r="P813" s="17"/>
      <c r="Q813" s="48"/>
      <c r="R813" s="11"/>
      <c r="S813" s="48"/>
      <c r="T813" s="85"/>
      <c r="U813" s="88"/>
      <c r="V813" s="32" t="s">
        <v>3377</v>
      </c>
      <c r="W813" s="25"/>
      <c r="X813" s="11"/>
      <c r="Y813" s="50"/>
      <c r="Z813" s="50"/>
      <c r="AA813" s="50"/>
      <c r="AB813" s="50"/>
      <c r="AC813" s="50"/>
      <c r="AD813" s="50"/>
      <c r="AE813" s="50"/>
      <c r="AF813" s="34"/>
      <c r="AG813" s="34"/>
      <c r="AH813" s="34"/>
      <c r="AI813" s="34"/>
      <c r="AJ813" s="34"/>
      <c r="AK813" s="34"/>
      <c r="AL813" s="34"/>
      <c r="AM813" s="34"/>
      <c r="AN813" s="34"/>
      <c r="AO813" s="65"/>
      <c r="AP813" s="69"/>
      <c r="AQ813" s="62"/>
      <c r="AR813" s="34"/>
    </row>
    <row r="814" spans="1:44" customFormat="1">
      <c r="A814" s="39">
        <v>44286</v>
      </c>
      <c r="B814" s="11" t="s">
        <v>49</v>
      </c>
      <c r="C814" s="16" t="s">
        <v>3378</v>
      </c>
      <c r="D814" s="16"/>
      <c r="E814" s="38">
        <v>31238</v>
      </c>
      <c r="F814" s="38"/>
      <c r="G814" s="10" t="s">
        <v>3381</v>
      </c>
      <c r="H814" s="12" t="s">
        <v>3379</v>
      </c>
      <c r="I814" s="13" t="s">
        <v>3380</v>
      </c>
      <c r="J814" s="15" t="s">
        <v>3382</v>
      </c>
      <c r="K814" s="12"/>
      <c r="L814" s="11" t="s">
        <v>34</v>
      </c>
      <c r="M814" s="15"/>
      <c r="N814" s="17">
        <v>22000</v>
      </c>
      <c r="O814" s="17"/>
      <c r="P814" s="17"/>
      <c r="Q814" s="48"/>
      <c r="R814" s="11"/>
      <c r="S814" s="48"/>
      <c r="T814" s="85"/>
      <c r="U814" s="88"/>
      <c r="V814" s="32"/>
      <c r="W814" s="25" t="s">
        <v>48</v>
      </c>
      <c r="X814" s="11"/>
      <c r="Y814" s="50" t="s">
        <v>13</v>
      </c>
      <c r="Z814" s="50"/>
      <c r="AA814" s="50"/>
      <c r="AB814" s="50"/>
      <c r="AC814" s="50"/>
      <c r="AD814" s="50"/>
      <c r="AE814" s="50"/>
      <c r="AF814" s="34"/>
      <c r="AG814" s="34"/>
      <c r="AH814" s="34"/>
      <c r="AI814" s="34"/>
      <c r="AJ814" s="34"/>
      <c r="AK814" s="34"/>
      <c r="AL814" s="34"/>
      <c r="AM814" s="34"/>
      <c r="AN814" s="34"/>
      <c r="AO814" s="65"/>
      <c r="AP814" s="69"/>
      <c r="AQ814" s="62"/>
      <c r="AR814" s="34"/>
    </row>
    <row r="815" spans="1:44" customFormat="1">
      <c r="A815" s="39">
        <v>44290</v>
      </c>
      <c r="B815" s="11" t="s">
        <v>22</v>
      </c>
      <c r="C815" s="16" t="s">
        <v>3383</v>
      </c>
      <c r="D815" s="16"/>
      <c r="E815" s="38">
        <v>30565</v>
      </c>
      <c r="F815" s="38"/>
      <c r="G815" s="10" t="s">
        <v>519</v>
      </c>
      <c r="H815" s="12" t="s">
        <v>3384</v>
      </c>
      <c r="I815" s="13" t="s">
        <v>1835</v>
      </c>
      <c r="J815" s="15" t="s">
        <v>3385</v>
      </c>
      <c r="K815" s="12"/>
      <c r="L815" s="11" t="s">
        <v>34</v>
      </c>
      <c r="M815" s="15"/>
      <c r="N815" s="17">
        <v>2750</v>
      </c>
      <c r="O815" s="17"/>
      <c r="P815" s="17"/>
      <c r="Q815" s="48"/>
      <c r="R815" s="11"/>
      <c r="S815" s="48"/>
      <c r="T815" s="85"/>
      <c r="U815" s="88"/>
      <c r="V815" s="32" t="s">
        <v>1744</v>
      </c>
      <c r="W815" s="25" t="s">
        <v>48</v>
      </c>
      <c r="X815" s="11"/>
      <c r="Y815" s="50"/>
      <c r="Z815" s="50"/>
      <c r="AA815" s="50"/>
      <c r="AB815" s="50"/>
      <c r="AC815" s="50"/>
      <c r="AD815" s="50"/>
      <c r="AE815" s="50"/>
      <c r="AF815" s="34"/>
      <c r="AG815" s="34"/>
      <c r="AH815" s="34"/>
      <c r="AI815" s="34"/>
      <c r="AJ815" s="34"/>
      <c r="AK815" s="34"/>
      <c r="AL815" s="34"/>
      <c r="AM815" s="34"/>
      <c r="AN815" s="34"/>
      <c r="AO815" s="65"/>
      <c r="AP815" s="69"/>
      <c r="AQ815" s="62"/>
      <c r="AR815" s="34"/>
    </row>
    <row r="816" spans="1:44" customFormat="1">
      <c r="A816" s="39">
        <v>44293</v>
      </c>
      <c r="B816" s="11" t="s">
        <v>22</v>
      </c>
      <c r="C816" s="16" t="s">
        <v>3386</v>
      </c>
      <c r="D816" s="16"/>
      <c r="E816" s="38">
        <v>16608</v>
      </c>
      <c r="F816" s="38"/>
      <c r="G816" s="10" t="s">
        <v>3387</v>
      </c>
      <c r="H816" s="12" t="s">
        <v>3388</v>
      </c>
      <c r="I816" s="13" t="s">
        <v>3389</v>
      </c>
      <c r="J816" s="15" t="s">
        <v>3390</v>
      </c>
      <c r="K816" s="12"/>
      <c r="L816" s="11" t="s">
        <v>34</v>
      </c>
      <c r="M816" s="15"/>
      <c r="N816" s="17">
        <v>2750</v>
      </c>
      <c r="O816" s="17"/>
      <c r="P816" s="17"/>
      <c r="Q816" s="48"/>
      <c r="R816" s="11"/>
      <c r="S816" s="48"/>
      <c r="T816" s="85"/>
      <c r="U816" s="90">
        <v>44420</v>
      </c>
      <c r="V816" s="32" t="s">
        <v>1744</v>
      </c>
      <c r="W816" s="25" t="s">
        <v>8</v>
      </c>
      <c r="X816" s="11"/>
      <c r="Y816" s="50" t="s">
        <v>14</v>
      </c>
      <c r="Z816" s="50"/>
      <c r="AA816" s="50"/>
      <c r="AB816" s="50"/>
      <c r="AC816" s="50"/>
      <c r="AD816" s="50"/>
      <c r="AE816" s="50"/>
      <c r="AF816" s="34"/>
      <c r="AG816" s="34"/>
      <c r="AH816" s="34"/>
      <c r="AI816" s="34"/>
      <c r="AJ816" s="34"/>
      <c r="AK816" s="34"/>
      <c r="AL816" s="34"/>
      <c r="AM816" s="34"/>
      <c r="AN816" s="34"/>
      <c r="AO816" s="65"/>
      <c r="AP816" s="69"/>
      <c r="AQ816" s="62"/>
      <c r="AR816" s="34"/>
    </row>
    <row r="817" spans="1:44" customFormat="1">
      <c r="A817" s="39">
        <v>44293</v>
      </c>
      <c r="B817" s="11" t="s">
        <v>5659</v>
      </c>
      <c r="C817" s="16" t="s">
        <v>2720</v>
      </c>
      <c r="D817" s="16"/>
      <c r="E817" s="38">
        <v>31979</v>
      </c>
      <c r="F817" s="38"/>
      <c r="G817" s="10" t="s">
        <v>2722</v>
      </c>
      <c r="H817" s="12" t="s">
        <v>2723</v>
      </c>
      <c r="I817" s="13" t="s">
        <v>2724</v>
      </c>
      <c r="J817" s="10" t="s">
        <v>2721</v>
      </c>
      <c r="K817" s="12"/>
      <c r="L817" s="11" t="s">
        <v>36</v>
      </c>
      <c r="M817" s="10"/>
      <c r="N817" s="17">
        <v>8800</v>
      </c>
      <c r="O817" s="17"/>
      <c r="P817" s="17"/>
      <c r="Q817" s="48"/>
      <c r="R817" s="11"/>
      <c r="S817" s="48"/>
      <c r="T817" s="85"/>
      <c r="U817" s="88"/>
      <c r="V817" s="32" t="s">
        <v>3391</v>
      </c>
      <c r="W817" s="25" t="s">
        <v>8</v>
      </c>
      <c r="X817" s="11"/>
      <c r="Y817" s="50" t="s">
        <v>14</v>
      </c>
      <c r="Z817" s="50"/>
      <c r="AA817" s="50"/>
      <c r="AB817" s="50"/>
      <c r="AC817" s="50"/>
      <c r="AD817" s="50"/>
      <c r="AE817" s="50"/>
      <c r="AF817" s="34"/>
      <c r="AG817" s="34"/>
      <c r="AH817" s="34"/>
      <c r="AI817" s="34"/>
      <c r="AJ817" s="34"/>
      <c r="AK817" s="34"/>
      <c r="AL817" s="34"/>
      <c r="AM817" s="34"/>
      <c r="AN817" s="34"/>
      <c r="AO817" s="65"/>
      <c r="AP817" s="69"/>
      <c r="AQ817" s="62"/>
      <c r="AR817" s="79">
        <v>44420</v>
      </c>
    </row>
    <row r="818" spans="1:44" customFormat="1">
      <c r="A818" s="39">
        <v>44293</v>
      </c>
      <c r="B818" s="11" t="s">
        <v>22</v>
      </c>
      <c r="C818" s="16" t="s">
        <v>3392</v>
      </c>
      <c r="D818" s="16"/>
      <c r="E818" s="38"/>
      <c r="F818" s="38"/>
      <c r="G818" s="10" t="s">
        <v>3393</v>
      </c>
      <c r="H818" s="12" t="s">
        <v>3394</v>
      </c>
      <c r="I818" s="13" t="s">
        <v>3395</v>
      </c>
      <c r="J818" s="15" t="s">
        <v>3396</v>
      </c>
      <c r="K818" s="12"/>
      <c r="L818" s="11"/>
      <c r="M818" s="15"/>
      <c r="N818" s="17">
        <v>2750</v>
      </c>
      <c r="O818" s="17"/>
      <c r="P818" s="17"/>
      <c r="Q818" s="48"/>
      <c r="R818" s="11"/>
      <c r="S818" s="48"/>
      <c r="T818" s="85"/>
      <c r="U818" s="88"/>
      <c r="V818" s="32" t="s">
        <v>3397</v>
      </c>
      <c r="W818" s="25" t="s">
        <v>8</v>
      </c>
      <c r="X818" s="11"/>
      <c r="Y818" s="50" t="s">
        <v>14</v>
      </c>
      <c r="Z818" s="50"/>
      <c r="AA818" s="50"/>
      <c r="AB818" s="50"/>
      <c r="AC818" s="50"/>
      <c r="AD818" s="50"/>
      <c r="AE818" s="50"/>
      <c r="AF818" s="34"/>
      <c r="AG818" s="34"/>
      <c r="AH818" s="34"/>
      <c r="AI818" s="34"/>
      <c r="AJ818" s="34"/>
      <c r="AK818" s="34"/>
      <c r="AL818" s="34"/>
      <c r="AM818" s="34"/>
      <c r="AN818" s="34"/>
      <c r="AO818" s="65"/>
      <c r="AP818" s="69"/>
      <c r="AQ818" s="62"/>
      <c r="AR818" s="34"/>
    </row>
    <row r="819" spans="1:44" customFormat="1">
      <c r="A819" s="39">
        <v>44294</v>
      </c>
      <c r="B819" s="11" t="s">
        <v>24</v>
      </c>
      <c r="C819" s="16" t="s">
        <v>3398</v>
      </c>
      <c r="D819" s="16"/>
      <c r="E819" s="38">
        <v>29738</v>
      </c>
      <c r="F819" s="38"/>
      <c r="G819" s="10" t="s">
        <v>3399</v>
      </c>
      <c r="H819" s="12" t="s">
        <v>3400</v>
      </c>
      <c r="I819" s="13" t="s">
        <v>3401</v>
      </c>
      <c r="J819" s="15" t="s">
        <v>3402</v>
      </c>
      <c r="K819" s="12"/>
      <c r="L819" s="11" t="s">
        <v>34</v>
      </c>
      <c r="M819" s="15"/>
      <c r="N819" s="17">
        <v>8250</v>
      </c>
      <c r="O819" s="17"/>
      <c r="P819" s="17"/>
      <c r="Q819" s="48"/>
      <c r="R819" s="11"/>
      <c r="S819" s="48"/>
      <c r="T819" s="85"/>
      <c r="U819" s="88"/>
      <c r="V819" s="32"/>
      <c r="W819" s="25" t="s">
        <v>48</v>
      </c>
      <c r="X819" s="11"/>
      <c r="Y819" s="50" t="s">
        <v>13</v>
      </c>
      <c r="Z819" s="50"/>
      <c r="AA819" s="50"/>
      <c r="AB819" s="50"/>
      <c r="AC819" s="50"/>
      <c r="AD819" s="50"/>
      <c r="AE819" s="50"/>
      <c r="AF819" s="34"/>
      <c r="AG819" s="34"/>
      <c r="AH819" s="34"/>
      <c r="AI819" s="34"/>
      <c r="AJ819" s="34"/>
      <c r="AK819" s="34"/>
      <c r="AL819" s="34"/>
      <c r="AM819" s="34"/>
      <c r="AN819" s="34"/>
      <c r="AO819" s="65"/>
      <c r="AP819" s="69"/>
      <c r="AQ819" s="62"/>
      <c r="AR819" s="34"/>
    </row>
    <row r="820" spans="1:44" customFormat="1">
      <c r="A820" s="39">
        <v>44295</v>
      </c>
      <c r="B820" s="11" t="s">
        <v>22</v>
      </c>
      <c r="C820" s="16" t="s">
        <v>3403</v>
      </c>
      <c r="D820" s="16"/>
      <c r="E820" s="38">
        <v>27931</v>
      </c>
      <c r="F820" s="38"/>
      <c r="G820" s="10" t="s">
        <v>3404</v>
      </c>
      <c r="H820" s="12" t="s">
        <v>3405</v>
      </c>
      <c r="I820" s="13" t="s">
        <v>3406</v>
      </c>
      <c r="J820" s="15" t="s">
        <v>3407</v>
      </c>
      <c r="K820" s="12"/>
      <c r="L820" s="11"/>
      <c r="M820" s="15"/>
      <c r="N820" s="17">
        <v>2750</v>
      </c>
      <c r="O820" s="17"/>
      <c r="P820" s="17"/>
      <c r="Q820" s="48"/>
      <c r="R820" s="11"/>
      <c r="S820" s="48"/>
      <c r="T820" s="85"/>
      <c r="U820" s="88"/>
      <c r="V820" s="32"/>
      <c r="W820" s="25" t="s">
        <v>48</v>
      </c>
      <c r="X820" s="11"/>
      <c r="Y820" s="50" t="s">
        <v>12</v>
      </c>
      <c r="Z820" s="50"/>
      <c r="AA820" s="50"/>
      <c r="AB820" s="50"/>
      <c r="AC820" s="50"/>
      <c r="AD820" s="50"/>
      <c r="AE820" s="50"/>
      <c r="AF820" s="34"/>
      <c r="AG820" s="34"/>
      <c r="AH820" s="34"/>
      <c r="AI820" s="34"/>
      <c r="AJ820" s="34"/>
      <c r="AK820" s="34"/>
      <c r="AL820" s="34"/>
      <c r="AM820" s="34"/>
      <c r="AN820" s="34"/>
      <c r="AO820" s="65"/>
      <c r="AP820" s="69"/>
      <c r="AQ820" s="62"/>
      <c r="AR820" s="34"/>
    </row>
    <row r="821" spans="1:44" customFormat="1">
      <c r="A821" s="39">
        <v>44295</v>
      </c>
      <c r="B821" s="11" t="s">
        <v>49</v>
      </c>
      <c r="C821" s="16" t="s">
        <v>3408</v>
      </c>
      <c r="D821" s="16"/>
      <c r="E821" s="38">
        <v>33849</v>
      </c>
      <c r="F821" s="38"/>
      <c r="G821" s="10" t="s">
        <v>3456</v>
      </c>
      <c r="H821" s="12" t="s">
        <v>3409</v>
      </c>
      <c r="I821" s="13" t="s">
        <v>3410</v>
      </c>
      <c r="J821" s="15" t="s">
        <v>3411</v>
      </c>
      <c r="K821" s="12"/>
      <c r="L821" s="11" t="s">
        <v>34</v>
      </c>
      <c r="M821" s="15"/>
      <c r="N821" s="17">
        <v>8250</v>
      </c>
      <c r="O821" s="17"/>
      <c r="P821" s="17"/>
      <c r="Q821" s="48"/>
      <c r="R821" s="11"/>
      <c r="S821" s="48"/>
      <c r="T821" s="85"/>
      <c r="U821" s="88"/>
      <c r="V821" s="32" t="s">
        <v>3412</v>
      </c>
      <c r="W821" s="25" t="s">
        <v>8</v>
      </c>
      <c r="X821" s="11"/>
      <c r="Y821" s="50" t="s">
        <v>12</v>
      </c>
      <c r="Z821" s="50"/>
      <c r="AA821" s="50"/>
      <c r="AB821" s="50"/>
      <c r="AC821" s="50"/>
      <c r="AD821" s="50"/>
      <c r="AE821" s="50"/>
      <c r="AF821" s="34"/>
      <c r="AG821" s="34"/>
      <c r="AH821" s="34"/>
      <c r="AI821" s="34"/>
      <c r="AJ821" s="34"/>
      <c r="AK821" s="34"/>
      <c r="AL821" s="34"/>
      <c r="AM821" s="34"/>
      <c r="AN821" s="34"/>
      <c r="AO821" s="65"/>
      <c r="AP821" s="69"/>
      <c r="AQ821" s="62"/>
      <c r="AR821" s="34"/>
    </row>
    <row r="822" spans="1:44" customFormat="1">
      <c r="A822" s="39">
        <v>44296</v>
      </c>
      <c r="B822" s="11" t="s">
        <v>49</v>
      </c>
      <c r="C822" s="16" t="s">
        <v>3413</v>
      </c>
      <c r="D822" s="16"/>
      <c r="E822" s="38">
        <v>21660</v>
      </c>
      <c r="F822" s="38"/>
      <c r="G822" s="10" t="s">
        <v>3414</v>
      </c>
      <c r="H822" s="12" t="s">
        <v>3415</v>
      </c>
      <c r="I822" s="13" t="s">
        <v>3416</v>
      </c>
      <c r="J822" s="15" t="s">
        <v>3417</v>
      </c>
      <c r="K822" s="12"/>
      <c r="L822" s="11"/>
      <c r="M822" s="15"/>
      <c r="N822" s="17">
        <v>16500</v>
      </c>
      <c r="O822" s="17"/>
      <c r="P822" s="17"/>
      <c r="Q822" s="48"/>
      <c r="R822" s="11"/>
      <c r="S822" s="48"/>
      <c r="T822" s="85"/>
      <c r="U822" s="88"/>
      <c r="V822" s="32" t="s">
        <v>3418</v>
      </c>
      <c r="W822" s="25" t="s">
        <v>8</v>
      </c>
      <c r="X822" s="11"/>
      <c r="Y822" s="50"/>
      <c r="Z822" s="50"/>
      <c r="AA822" s="50"/>
      <c r="AB822" s="50"/>
      <c r="AC822" s="50"/>
      <c r="AD822" s="50"/>
      <c r="AE822" s="50"/>
      <c r="AF822" s="34"/>
      <c r="AG822" s="34"/>
      <c r="AH822" s="34"/>
      <c r="AI822" s="34"/>
      <c r="AJ822" s="34"/>
      <c r="AK822" s="34"/>
      <c r="AL822" s="34"/>
      <c r="AM822" s="34"/>
      <c r="AN822" s="34"/>
      <c r="AO822" s="65"/>
      <c r="AP822" s="69"/>
      <c r="AQ822" s="62"/>
      <c r="AR822" s="34"/>
    </row>
    <row r="823" spans="1:44" customFormat="1">
      <c r="A823" s="39">
        <v>44297</v>
      </c>
      <c r="B823" s="11" t="s">
        <v>49</v>
      </c>
      <c r="C823" s="16" t="s">
        <v>3419</v>
      </c>
      <c r="D823" s="16"/>
      <c r="E823" s="38">
        <v>26078</v>
      </c>
      <c r="F823" s="38"/>
      <c r="G823" s="10" t="s">
        <v>3420</v>
      </c>
      <c r="H823" s="12" t="s">
        <v>3421</v>
      </c>
      <c r="I823" s="13" t="s">
        <v>3423</v>
      </c>
      <c r="J823" s="15" t="s">
        <v>3422</v>
      </c>
      <c r="K823" s="12"/>
      <c r="L823" s="11" t="s">
        <v>33</v>
      </c>
      <c r="M823" s="15"/>
      <c r="N823" s="17">
        <v>16500</v>
      </c>
      <c r="O823" s="17"/>
      <c r="P823" s="17"/>
      <c r="Q823" s="48"/>
      <c r="R823" s="11"/>
      <c r="S823" s="48"/>
      <c r="T823" s="85"/>
      <c r="U823" s="88"/>
      <c r="V823" s="32" t="s">
        <v>3424</v>
      </c>
      <c r="W823" s="25" t="s">
        <v>8</v>
      </c>
      <c r="X823" s="11"/>
      <c r="Y823" s="50" t="s">
        <v>11</v>
      </c>
      <c r="Z823" s="50"/>
      <c r="AA823" s="50"/>
      <c r="AB823" s="50"/>
      <c r="AC823" s="50"/>
      <c r="AD823" s="50"/>
      <c r="AE823" s="50"/>
      <c r="AF823" s="34"/>
      <c r="AG823" s="34"/>
      <c r="AH823" s="34"/>
      <c r="AI823" s="34"/>
      <c r="AJ823" s="34"/>
      <c r="AK823" s="34"/>
      <c r="AL823" s="34"/>
      <c r="AM823" s="34"/>
      <c r="AN823" s="34"/>
      <c r="AO823" s="65"/>
      <c r="AP823" s="69"/>
      <c r="AQ823" s="62"/>
      <c r="AR823" s="34"/>
    </row>
    <row r="824" spans="1:44" customFormat="1">
      <c r="A824" s="39">
        <v>44297</v>
      </c>
      <c r="B824" s="11" t="s">
        <v>22</v>
      </c>
      <c r="C824" s="16" t="s">
        <v>3427</v>
      </c>
      <c r="D824" s="16"/>
      <c r="E824" s="38"/>
      <c r="F824" s="38"/>
      <c r="G824" s="10"/>
      <c r="H824" s="12"/>
      <c r="I824" s="13"/>
      <c r="J824" s="15"/>
      <c r="K824" s="12"/>
      <c r="L824" s="11"/>
      <c r="M824" s="15"/>
      <c r="N824" s="17">
        <v>2750</v>
      </c>
      <c r="O824" s="17"/>
      <c r="P824" s="17"/>
      <c r="Q824" s="48"/>
      <c r="R824" s="11"/>
      <c r="S824" s="48"/>
      <c r="T824" s="85"/>
      <c r="U824" s="88"/>
      <c r="V824" s="32" t="s">
        <v>3425</v>
      </c>
      <c r="W824" s="25"/>
      <c r="X824" s="11"/>
      <c r="Y824" s="50"/>
      <c r="Z824" s="50"/>
      <c r="AA824" s="50"/>
      <c r="AB824" s="50"/>
      <c r="AC824" s="50"/>
      <c r="AD824" s="50"/>
      <c r="AE824" s="50"/>
      <c r="AF824" s="34"/>
      <c r="AG824" s="34"/>
      <c r="AH824" s="34"/>
      <c r="AI824" s="34"/>
      <c r="AJ824" s="34"/>
      <c r="AK824" s="34"/>
      <c r="AL824" s="34"/>
      <c r="AM824" s="34"/>
      <c r="AN824" s="34"/>
      <c r="AO824" s="65"/>
      <c r="AP824" s="69"/>
      <c r="AQ824" s="62"/>
      <c r="AR824" s="34"/>
    </row>
    <row r="825" spans="1:44" customFormat="1">
      <c r="A825" s="39">
        <v>44297</v>
      </c>
      <c r="B825" s="11" t="s">
        <v>22</v>
      </c>
      <c r="C825" s="16" t="s">
        <v>3283</v>
      </c>
      <c r="D825" s="16"/>
      <c r="E825" s="38"/>
      <c r="F825" s="38"/>
      <c r="G825" s="10"/>
      <c r="H825" s="12"/>
      <c r="I825" s="13"/>
      <c r="J825" s="15"/>
      <c r="K825" s="12"/>
      <c r="L825" s="11"/>
      <c r="M825" s="15"/>
      <c r="N825" s="17">
        <v>2750</v>
      </c>
      <c r="O825" s="17"/>
      <c r="P825" s="17"/>
      <c r="Q825" s="48"/>
      <c r="R825" s="11"/>
      <c r="S825" s="48"/>
      <c r="T825" s="85"/>
      <c r="U825" s="88"/>
      <c r="V825" s="32" t="s">
        <v>3425</v>
      </c>
      <c r="W825" s="25"/>
      <c r="X825" s="11"/>
      <c r="Y825" s="50"/>
      <c r="Z825" s="50"/>
      <c r="AA825" s="50"/>
      <c r="AB825" s="50"/>
      <c r="AC825" s="50"/>
      <c r="AD825" s="50"/>
      <c r="AE825" s="50"/>
      <c r="AF825" s="34"/>
      <c r="AG825" s="34"/>
      <c r="AH825" s="34"/>
      <c r="AI825" s="34"/>
      <c r="AJ825" s="34"/>
      <c r="AK825" s="34"/>
      <c r="AL825" s="34"/>
      <c r="AM825" s="34"/>
      <c r="AN825" s="34"/>
      <c r="AO825" s="65"/>
      <c r="AP825" s="69"/>
      <c r="AQ825" s="62"/>
      <c r="AR825" s="34"/>
    </row>
    <row r="826" spans="1:44" customFormat="1">
      <c r="A826" s="39">
        <v>44298</v>
      </c>
      <c r="B826" s="11" t="s">
        <v>22</v>
      </c>
      <c r="C826" s="16" t="s">
        <v>3429</v>
      </c>
      <c r="D826" s="16"/>
      <c r="E826" s="38">
        <v>30143</v>
      </c>
      <c r="F826" s="38"/>
      <c r="G826" s="10" t="s">
        <v>344</v>
      </c>
      <c r="H826" s="12" t="s">
        <v>3430</v>
      </c>
      <c r="I826" s="13" t="s">
        <v>3432</v>
      </c>
      <c r="J826" s="15" t="s">
        <v>3431</v>
      </c>
      <c r="K826" s="12"/>
      <c r="L826" s="11" t="s">
        <v>36</v>
      </c>
      <c r="M826" s="15"/>
      <c r="N826" s="17">
        <v>2750</v>
      </c>
      <c r="O826" s="17"/>
      <c r="P826" s="17"/>
      <c r="Q826" s="48"/>
      <c r="R826" s="11"/>
      <c r="S826" s="48"/>
      <c r="T826" s="85"/>
      <c r="U826" s="88"/>
      <c r="V826" s="32"/>
      <c r="W826" s="25" t="s">
        <v>10</v>
      </c>
      <c r="X826" s="11"/>
      <c r="Y826" s="50" t="s">
        <v>18</v>
      </c>
      <c r="Z826" s="50"/>
      <c r="AA826" s="50"/>
      <c r="AB826" s="50"/>
      <c r="AC826" s="50"/>
      <c r="AD826" s="50"/>
      <c r="AE826" s="50"/>
      <c r="AF826" s="34"/>
      <c r="AG826" s="34"/>
      <c r="AH826" s="34"/>
      <c r="AI826" s="34"/>
      <c r="AJ826" s="34"/>
      <c r="AK826" s="34"/>
      <c r="AL826" s="34"/>
      <c r="AM826" s="34"/>
      <c r="AN826" s="34"/>
      <c r="AO826" s="65"/>
      <c r="AP826" s="69"/>
      <c r="AQ826" s="62"/>
      <c r="AR826" s="34"/>
    </row>
    <row r="827" spans="1:44" customFormat="1">
      <c r="A827" s="39">
        <v>44302</v>
      </c>
      <c r="B827" s="11" t="s">
        <v>22</v>
      </c>
      <c r="C827" s="16" t="s">
        <v>3433</v>
      </c>
      <c r="D827" s="16"/>
      <c r="E827" s="38">
        <v>25713</v>
      </c>
      <c r="F827" s="38"/>
      <c r="G827" s="10" t="s">
        <v>3434</v>
      </c>
      <c r="H827" s="12" t="s">
        <v>3435</v>
      </c>
      <c r="I827" s="13"/>
      <c r="J827" s="15" t="s">
        <v>3436</v>
      </c>
      <c r="K827" s="12"/>
      <c r="L827" s="11"/>
      <c r="M827" s="15"/>
      <c r="N827" s="17">
        <v>2750</v>
      </c>
      <c r="O827" s="17"/>
      <c r="P827" s="17"/>
      <c r="Q827" s="48"/>
      <c r="R827" s="11"/>
      <c r="S827" s="48"/>
      <c r="T827" s="85"/>
      <c r="U827" s="88"/>
      <c r="V827" s="32" t="s">
        <v>3437</v>
      </c>
      <c r="W827" s="25" t="s">
        <v>8</v>
      </c>
      <c r="X827" s="11"/>
      <c r="Y827" s="50"/>
      <c r="Z827" s="50"/>
      <c r="AA827" s="50"/>
      <c r="AB827" s="50"/>
      <c r="AC827" s="50"/>
      <c r="AD827" s="50"/>
      <c r="AE827" s="50"/>
      <c r="AF827" s="34"/>
      <c r="AG827" s="34"/>
      <c r="AH827" s="34"/>
      <c r="AI827" s="34"/>
      <c r="AJ827" s="34"/>
      <c r="AK827" s="34"/>
      <c r="AL827" s="34"/>
      <c r="AM827" s="34"/>
      <c r="AN827" s="34"/>
      <c r="AO827" s="65"/>
      <c r="AP827" s="69"/>
      <c r="AQ827" s="62"/>
      <c r="AR827" s="34"/>
    </row>
    <row r="828" spans="1:44" customFormat="1">
      <c r="A828" s="39">
        <v>44303</v>
      </c>
      <c r="B828" s="11" t="s">
        <v>49</v>
      </c>
      <c r="C828" s="16" t="s">
        <v>3438</v>
      </c>
      <c r="D828" s="16"/>
      <c r="E828" s="38">
        <v>26119</v>
      </c>
      <c r="F828" s="38"/>
      <c r="G828" s="10" t="s">
        <v>2154</v>
      </c>
      <c r="H828" s="12" t="s">
        <v>2155</v>
      </c>
      <c r="I828" s="13" t="s">
        <v>2156</v>
      </c>
      <c r="J828" s="15" t="s">
        <v>2158</v>
      </c>
      <c r="K828" s="14" t="s">
        <v>2157</v>
      </c>
      <c r="L828" s="11" t="s">
        <v>33</v>
      </c>
      <c r="M828" s="15"/>
      <c r="N828" s="17">
        <v>11000</v>
      </c>
      <c r="O828" s="17"/>
      <c r="P828" s="17"/>
      <c r="Q828" s="48"/>
      <c r="R828" s="11"/>
      <c r="S828" s="48"/>
      <c r="T828" s="85"/>
      <c r="U828" s="88"/>
      <c r="V828" s="32" t="s">
        <v>3439</v>
      </c>
      <c r="W828" s="25" t="s">
        <v>8</v>
      </c>
      <c r="X828" s="11"/>
      <c r="Y828" s="50" t="s">
        <v>15</v>
      </c>
      <c r="Z828" s="50"/>
      <c r="AA828" s="50"/>
      <c r="AB828" s="50"/>
      <c r="AC828" s="50"/>
      <c r="AD828" s="50"/>
      <c r="AE828" s="50"/>
      <c r="AF828" s="34"/>
      <c r="AG828" s="34"/>
      <c r="AH828" s="34"/>
      <c r="AI828" s="34"/>
      <c r="AJ828" s="34"/>
      <c r="AK828" s="34"/>
      <c r="AL828" s="34"/>
      <c r="AM828" s="34"/>
      <c r="AN828" s="34"/>
      <c r="AO828" s="65"/>
      <c r="AP828" s="69"/>
      <c r="AQ828" s="62"/>
      <c r="AR828" s="34"/>
    </row>
    <row r="829" spans="1:44" customFormat="1">
      <c r="A829" s="39">
        <v>44304</v>
      </c>
      <c r="B829" s="11" t="s">
        <v>49</v>
      </c>
      <c r="C829" s="16" t="s">
        <v>3440</v>
      </c>
      <c r="D829" s="16"/>
      <c r="E829" s="38">
        <v>33526</v>
      </c>
      <c r="F829" s="38"/>
      <c r="G829" s="10" t="s">
        <v>3441</v>
      </c>
      <c r="H829" s="12" t="s">
        <v>3442</v>
      </c>
      <c r="I829" s="13" t="s">
        <v>3443</v>
      </c>
      <c r="J829" s="15" t="s">
        <v>3444</v>
      </c>
      <c r="K829" s="12"/>
      <c r="L829" s="11"/>
      <c r="M829" s="15"/>
      <c r="N829" s="17">
        <v>16500</v>
      </c>
      <c r="O829" s="17"/>
      <c r="P829" s="17"/>
      <c r="Q829" s="48"/>
      <c r="R829" s="11"/>
      <c r="S829" s="48"/>
      <c r="T829" s="85"/>
      <c r="U829" s="88"/>
      <c r="V829" s="32" t="s">
        <v>3445</v>
      </c>
      <c r="W829" s="25" t="s">
        <v>8</v>
      </c>
      <c r="X829" s="11"/>
      <c r="Y829" s="50" t="s">
        <v>14</v>
      </c>
      <c r="Z829" s="50"/>
      <c r="AA829" s="50"/>
      <c r="AB829" s="50"/>
      <c r="AC829" s="50"/>
      <c r="AD829" s="50"/>
      <c r="AE829" s="50"/>
      <c r="AF829" s="34"/>
      <c r="AG829" s="34"/>
      <c r="AH829" s="34"/>
      <c r="AI829" s="34"/>
      <c r="AJ829" s="34"/>
      <c r="AK829" s="34"/>
      <c r="AL829" s="34"/>
      <c r="AM829" s="34"/>
      <c r="AN829" s="34"/>
      <c r="AO829" s="65"/>
      <c r="AP829" s="69"/>
      <c r="AQ829" s="62"/>
      <c r="AR829" s="34"/>
    </row>
    <row r="830" spans="1:44" customFormat="1">
      <c r="A830" s="39">
        <v>44304</v>
      </c>
      <c r="B830" s="11" t="s">
        <v>22</v>
      </c>
      <c r="C830" s="16" t="s">
        <v>3304</v>
      </c>
      <c r="D830" s="16"/>
      <c r="E830" s="38"/>
      <c r="F830" s="38"/>
      <c r="G830" s="10"/>
      <c r="H830" s="12"/>
      <c r="I830" s="13"/>
      <c r="J830" s="15"/>
      <c r="K830" s="12"/>
      <c r="L830" s="11"/>
      <c r="M830" s="15"/>
      <c r="N830" s="17">
        <v>2750</v>
      </c>
      <c r="O830" s="17"/>
      <c r="P830" s="17"/>
      <c r="Q830" s="48"/>
      <c r="R830" s="11"/>
      <c r="S830" s="48"/>
      <c r="T830" s="85"/>
      <c r="U830" s="88"/>
      <c r="V830" s="32" t="s">
        <v>1744</v>
      </c>
      <c r="W830" s="25"/>
      <c r="X830" s="11"/>
      <c r="Y830" s="50"/>
      <c r="Z830" s="50"/>
      <c r="AA830" s="50"/>
      <c r="AB830" s="50"/>
      <c r="AC830" s="50"/>
      <c r="AD830" s="50"/>
      <c r="AE830" s="50"/>
      <c r="AF830" s="34"/>
      <c r="AG830" s="34"/>
      <c r="AH830" s="34"/>
      <c r="AI830" s="34"/>
      <c r="AJ830" s="34"/>
      <c r="AK830" s="34"/>
      <c r="AL830" s="34"/>
      <c r="AM830" s="34"/>
      <c r="AN830" s="34"/>
      <c r="AO830" s="65"/>
      <c r="AP830" s="69"/>
      <c r="AQ830" s="62"/>
      <c r="AR830" s="34"/>
    </row>
    <row r="831" spans="1:44" customFormat="1">
      <c r="A831" s="39">
        <v>44304</v>
      </c>
      <c r="B831" s="11" t="s">
        <v>22</v>
      </c>
      <c r="C831" s="16" t="s">
        <v>3446</v>
      </c>
      <c r="D831" s="16"/>
      <c r="E831" s="38">
        <v>23282</v>
      </c>
      <c r="F831" s="38"/>
      <c r="G831" s="10" t="s">
        <v>3447</v>
      </c>
      <c r="H831" s="12" t="s">
        <v>3448</v>
      </c>
      <c r="I831" s="13" t="s">
        <v>2189</v>
      </c>
      <c r="J831" s="15" t="s">
        <v>3449</v>
      </c>
      <c r="K831" s="12"/>
      <c r="L831" s="11" t="s">
        <v>36</v>
      </c>
      <c r="M831" s="15"/>
      <c r="N831" s="17">
        <v>2750</v>
      </c>
      <c r="O831" s="17"/>
      <c r="P831" s="17"/>
      <c r="Q831" s="48"/>
      <c r="R831" s="11"/>
      <c r="S831" s="48"/>
      <c r="T831" s="85"/>
      <c r="U831" s="88"/>
      <c r="V831" s="32" t="s">
        <v>1744</v>
      </c>
      <c r="W831" s="25" t="s">
        <v>48</v>
      </c>
      <c r="X831" s="11"/>
      <c r="Y831" s="50" t="s">
        <v>18</v>
      </c>
      <c r="Z831" s="50"/>
      <c r="AA831" s="50"/>
      <c r="AB831" s="50"/>
      <c r="AC831" s="50"/>
      <c r="AD831" s="50"/>
      <c r="AE831" s="50"/>
      <c r="AF831" s="34"/>
      <c r="AG831" s="34"/>
      <c r="AH831" s="34"/>
      <c r="AI831" s="34"/>
      <c r="AJ831" s="34"/>
      <c r="AK831" s="34"/>
      <c r="AL831" s="34"/>
      <c r="AM831" s="34"/>
      <c r="AN831" s="34"/>
      <c r="AO831" s="65"/>
      <c r="AP831" s="69"/>
      <c r="AQ831" s="62"/>
      <c r="AR831" s="34"/>
    </row>
    <row r="832" spans="1:44" customFormat="1">
      <c r="A832" s="39">
        <v>44307</v>
      </c>
      <c r="B832" s="11" t="s">
        <v>24</v>
      </c>
      <c r="C832" s="16" t="s">
        <v>3408</v>
      </c>
      <c r="D832" s="16"/>
      <c r="E832" s="38"/>
      <c r="F832" s="38"/>
      <c r="G832" s="10"/>
      <c r="H832" s="12"/>
      <c r="I832" s="13"/>
      <c r="J832" s="15"/>
      <c r="K832" s="12"/>
      <c r="L832" s="11"/>
      <c r="M832" s="15"/>
      <c r="N832" s="17">
        <v>4950</v>
      </c>
      <c r="O832" s="17"/>
      <c r="P832" s="17"/>
      <c r="Q832" s="48"/>
      <c r="R832" s="11"/>
      <c r="S832" s="48"/>
      <c r="T832" s="85"/>
      <c r="U832" s="88"/>
      <c r="V832" s="32" t="s">
        <v>3450</v>
      </c>
      <c r="W832" s="25"/>
      <c r="X832" s="11"/>
      <c r="Y832" s="50"/>
      <c r="Z832" s="50"/>
      <c r="AA832" s="50"/>
      <c r="AB832" s="50"/>
      <c r="AC832" s="50"/>
      <c r="AD832" s="50"/>
      <c r="AE832" s="50"/>
      <c r="AF832" s="34"/>
      <c r="AG832" s="34"/>
      <c r="AH832" s="34"/>
      <c r="AI832" s="34"/>
      <c r="AJ832" s="34"/>
      <c r="AK832" s="34"/>
      <c r="AL832" s="34"/>
      <c r="AM832" s="34"/>
      <c r="AN832" s="34"/>
      <c r="AO832" s="65"/>
      <c r="AP832" s="69"/>
      <c r="AQ832" s="62"/>
      <c r="AR832" s="34"/>
    </row>
    <row r="833" spans="1:44" customFormat="1">
      <c r="A833" s="39">
        <v>44311</v>
      </c>
      <c r="B833" s="11" t="s">
        <v>22</v>
      </c>
      <c r="C833" s="16" t="s">
        <v>3451</v>
      </c>
      <c r="D833" s="16"/>
      <c r="E833" s="38">
        <v>26961</v>
      </c>
      <c r="F833" s="38"/>
      <c r="G833" s="10" t="s">
        <v>2794</v>
      </c>
      <c r="H833" s="12" t="s">
        <v>2795</v>
      </c>
      <c r="I833" s="13" t="s">
        <v>2070</v>
      </c>
      <c r="J833" s="15" t="s">
        <v>3452</v>
      </c>
      <c r="K833" s="12"/>
      <c r="L833" s="11" t="s">
        <v>37</v>
      </c>
      <c r="M833" s="15"/>
      <c r="N833" s="17">
        <v>2750</v>
      </c>
      <c r="O833" s="17"/>
      <c r="P833" s="17"/>
      <c r="Q833" s="48"/>
      <c r="R833" s="11"/>
      <c r="S833" s="48"/>
      <c r="T833" s="85"/>
      <c r="U833" s="88"/>
      <c r="V833" s="32" t="s">
        <v>3453</v>
      </c>
      <c r="W833" s="25" t="s">
        <v>8</v>
      </c>
      <c r="X833" s="11"/>
      <c r="Y833" s="50" t="s">
        <v>11</v>
      </c>
      <c r="Z833" s="50"/>
      <c r="AA833" s="50"/>
      <c r="AB833" s="50"/>
      <c r="AC833" s="50"/>
      <c r="AD833" s="50"/>
      <c r="AE833" s="50"/>
      <c r="AF833" s="34"/>
      <c r="AG833" s="34"/>
      <c r="AH833" s="34"/>
      <c r="AI833" s="34"/>
      <c r="AJ833" s="34"/>
      <c r="AK833" s="34"/>
      <c r="AL833" s="34"/>
      <c r="AM833" s="34"/>
      <c r="AN833" s="34"/>
      <c r="AO833" s="65"/>
      <c r="AP833" s="69"/>
      <c r="AQ833" s="62"/>
      <c r="AR833" s="34"/>
    </row>
    <row r="834" spans="1:44" customFormat="1">
      <c r="A834" s="39">
        <v>44311</v>
      </c>
      <c r="B834" s="11" t="s">
        <v>22</v>
      </c>
      <c r="C834" s="16" t="s">
        <v>3457</v>
      </c>
      <c r="D834" s="16"/>
      <c r="E834" s="38">
        <v>26630</v>
      </c>
      <c r="F834" s="38"/>
      <c r="G834" s="10" t="s">
        <v>148</v>
      </c>
      <c r="H834" s="12" t="s">
        <v>3458</v>
      </c>
      <c r="I834" s="13" t="s">
        <v>2072</v>
      </c>
      <c r="J834" s="15" t="s">
        <v>3454</v>
      </c>
      <c r="K834" s="12"/>
      <c r="L834" s="11" t="s">
        <v>36</v>
      </c>
      <c r="M834" s="15"/>
      <c r="N834" s="17">
        <v>2750</v>
      </c>
      <c r="O834" s="17"/>
      <c r="P834" s="17"/>
      <c r="Q834" s="48"/>
      <c r="R834" s="11"/>
      <c r="S834" s="48"/>
      <c r="T834" s="85"/>
      <c r="U834" s="88"/>
      <c r="V834" s="32" t="s">
        <v>1744</v>
      </c>
      <c r="W834" s="25" t="s">
        <v>48</v>
      </c>
      <c r="X834" s="11"/>
      <c r="Y834" s="50" t="s">
        <v>18</v>
      </c>
      <c r="Z834" s="50"/>
      <c r="AA834" s="50"/>
      <c r="AB834" s="50"/>
      <c r="AC834" s="50"/>
      <c r="AD834" s="50"/>
      <c r="AE834" s="50"/>
      <c r="AF834" s="34"/>
      <c r="AG834" s="34"/>
      <c r="AH834" s="34"/>
      <c r="AI834" s="34"/>
      <c r="AJ834" s="34"/>
      <c r="AK834" s="34"/>
      <c r="AL834" s="34"/>
      <c r="AM834" s="34"/>
      <c r="AN834" s="34"/>
      <c r="AO834" s="65"/>
      <c r="AP834" s="69"/>
      <c r="AQ834" s="62"/>
      <c r="AR834" s="34"/>
    </row>
    <row r="835" spans="1:44" customFormat="1">
      <c r="A835" s="39">
        <v>44311</v>
      </c>
      <c r="B835" s="11" t="s">
        <v>22</v>
      </c>
      <c r="C835" s="16" t="s">
        <v>3459</v>
      </c>
      <c r="D835" s="16"/>
      <c r="E835" s="38">
        <v>32654</v>
      </c>
      <c r="F835" s="38"/>
      <c r="G835" s="10" t="s">
        <v>307</v>
      </c>
      <c r="H835" s="12" t="s">
        <v>3460</v>
      </c>
      <c r="I835" s="13" t="s">
        <v>3463</v>
      </c>
      <c r="J835" s="15" t="s">
        <v>3455</v>
      </c>
      <c r="K835" s="12"/>
      <c r="L835" s="11" t="s">
        <v>36</v>
      </c>
      <c r="M835" s="15"/>
      <c r="N835" s="17">
        <v>2750</v>
      </c>
      <c r="O835" s="17"/>
      <c r="P835" s="17"/>
      <c r="Q835" s="48"/>
      <c r="R835" s="11"/>
      <c r="S835" s="48"/>
      <c r="T835" s="85"/>
      <c r="U835" s="90">
        <v>44420</v>
      </c>
      <c r="V835" s="32" t="s">
        <v>1744</v>
      </c>
      <c r="W835" s="25" t="s">
        <v>48</v>
      </c>
      <c r="X835" s="11"/>
      <c r="Y835" s="50"/>
      <c r="Z835" s="50"/>
      <c r="AA835" s="50"/>
      <c r="AB835" s="50"/>
      <c r="AC835" s="50"/>
      <c r="AD835" s="50"/>
      <c r="AE835" s="50"/>
      <c r="AF835" s="34"/>
      <c r="AG835" s="34"/>
      <c r="AH835" s="34"/>
      <c r="AI835" s="34"/>
      <c r="AJ835" s="34"/>
      <c r="AK835" s="34"/>
      <c r="AL835" s="34"/>
      <c r="AM835" s="34"/>
      <c r="AN835" s="34"/>
      <c r="AO835" s="65"/>
      <c r="AP835" s="69"/>
      <c r="AQ835" s="62"/>
      <c r="AR835" s="34"/>
    </row>
    <row r="836" spans="1:44" customFormat="1">
      <c r="A836" s="39">
        <v>44311</v>
      </c>
      <c r="B836" s="11" t="s">
        <v>22</v>
      </c>
      <c r="C836" s="16" t="s">
        <v>3461</v>
      </c>
      <c r="D836" s="16"/>
      <c r="E836" s="38">
        <v>15238</v>
      </c>
      <c r="F836" s="38"/>
      <c r="G836" s="10" t="s">
        <v>1860</v>
      </c>
      <c r="H836" s="12" t="s">
        <v>3462</v>
      </c>
      <c r="I836" s="13" t="s">
        <v>3464</v>
      </c>
      <c r="J836" s="15" t="s">
        <v>3465</v>
      </c>
      <c r="K836" s="12"/>
      <c r="L836" s="11" t="s">
        <v>39</v>
      </c>
      <c r="M836" s="15"/>
      <c r="N836" s="17">
        <v>2750</v>
      </c>
      <c r="O836" s="17"/>
      <c r="P836" s="17"/>
      <c r="Q836" s="48"/>
      <c r="R836" s="11"/>
      <c r="S836" s="48"/>
      <c r="T836" s="85"/>
      <c r="U836" s="90">
        <v>44420</v>
      </c>
      <c r="V836" s="32" t="s">
        <v>1744</v>
      </c>
      <c r="W836" s="25" t="s">
        <v>48</v>
      </c>
      <c r="X836" s="11"/>
      <c r="Y836" s="50" t="s">
        <v>12</v>
      </c>
      <c r="Z836" s="50"/>
      <c r="AA836" s="50"/>
      <c r="AB836" s="50"/>
      <c r="AC836" s="50"/>
      <c r="AD836" s="50"/>
      <c r="AE836" s="50"/>
      <c r="AF836" s="34"/>
      <c r="AG836" s="34"/>
      <c r="AH836" s="34"/>
      <c r="AI836" s="34"/>
      <c r="AJ836" s="34"/>
      <c r="AK836" s="34"/>
      <c r="AL836" s="34"/>
      <c r="AM836" s="34"/>
      <c r="AN836" s="34"/>
      <c r="AO836" s="65"/>
      <c r="AP836" s="69"/>
      <c r="AQ836" s="62"/>
      <c r="AR836" s="79">
        <v>44420</v>
      </c>
    </row>
    <row r="837" spans="1:44" customFormat="1">
      <c r="A837" s="39">
        <v>44311</v>
      </c>
      <c r="B837" s="11" t="s">
        <v>22</v>
      </c>
      <c r="C837" s="16" t="s">
        <v>3466</v>
      </c>
      <c r="D837" s="16"/>
      <c r="E837" s="38"/>
      <c r="F837" s="38"/>
      <c r="G837" s="10"/>
      <c r="H837" s="12"/>
      <c r="I837" s="13"/>
      <c r="J837" s="15"/>
      <c r="K837" s="12"/>
      <c r="L837" s="11"/>
      <c r="M837" s="15"/>
      <c r="N837" s="17">
        <v>3300</v>
      </c>
      <c r="O837" s="17"/>
      <c r="P837" s="17"/>
      <c r="Q837" s="48"/>
      <c r="R837" s="11"/>
      <c r="S837" s="48"/>
      <c r="T837" s="85"/>
      <c r="U837" s="88"/>
      <c r="V837" s="32" t="s">
        <v>3467</v>
      </c>
      <c r="W837" s="25"/>
      <c r="X837" s="11"/>
      <c r="Y837" s="50"/>
      <c r="Z837" s="50"/>
      <c r="AA837" s="50"/>
      <c r="AB837" s="50"/>
      <c r="AC837" s="50"/>
      <c r="AD837" s="50"/>
      <c r="AE837" s="50"/>
      <c r="AF837" s="34"/>
      <c r="AG837" s="34"/>
      <c r="AH837" s="34"/>
      <c r="AI837" s="34"/>
      <c r="AJ837" s="34"/>
      <c r="AK837" s="34"/>
      <c r="AL837" s="34"/>
      <c r="AM837" s="34"/>
      <c r="AN837" s="34"/>
      <c r="AO837" s="65"/>
      <c r="AP837" s="69"/>
      <c r="AQ837" s="62"/>
      <c r="AR837" s="79">
        <v>44420</v>
      </c>
    </row>
    <row r="838" spans="1:44" customFormat="1">
      <c r="A838" s="39">
        <v>44314</v>
      </c>
      <c r="B838" s="11" t="s">
        <v>22</v>
      </c>
      <c r="C838" s="16" t="s">
        <v>2564</v>
      </c>
      <c r="D838" s="16"/>
      <c r="E838" s="38">
        <v>25744</v>
      </c>
      <c r="F838" s="38"/>
      <c r="G838" s="10" t="s">
        <v>636</v>
      </c>
      <c r="H838" s="12" t="s">
        <v>2565</v>
      </c>
      <c r="I838" s="13" t="s">
        <v>2566</v>
      </c>
      <c r="J838" s="15" t="s">
        <v>2567</v>
      </c>
      <c r="K838" s="12"/>
      <c r="L838" s="11" t="s">
        <v>34</v>
      </c>
      <c r="M838" s="15"/>
      <c r="N838" s="17">
        <v>2750</v>
      </c>
      <c r="O838" s="17"/>
      <c r="P838" s="17"/>
      <c r="Q838" s="48"/>
      <c r="R838" s="11"/>
      <c r="S838" s="48"/>
      <c r="T838" s="85"/>
      <c r="U838" s="88"/>
      <c r="V838" s="32" t="s">
        <v>1744</v>
      </c>
      <c r="W838" s="25" t="s">
        <v>10</v>
      </c>
      <c r="X838" s="11"/>
      <c r="Y838" s="50" t="s">
        <v>14</v>
      </c>
      <c r="Z838" s="50"/>
      <c r="AA838" s="50"/>
      <c r="AB838" s="50"/>
      <c r="AC838" s="50"/>
      <c r="AD838" s="50"/>
      <c r="AE838" s="50"/>
      <c r="AF838" s="34"/>
      <c r="AG838" s="34"/>
      <c r="AH838" s="34"/>
      <c r="AI838" s="34"/>
      <c r="AJ838" s="34"/>
      <c r="AK838" s="34"/>
      <c r="AL838" s="34"/>
      <c r="AM838" s="34"/>
      <c r="AN838" s="34"/>
      <c r="AO838" s="65"/>
      <c r="AP838" s="69"/>
      <c r="AQ838" s="62"/>
      <c r="AR838" s="34"/>
    </row>
    <row r="839" spans="1:44" customFormat="1">
      <c r="A839" s="39">
        <v>44314</v>
      </c>
      <c r="B839" s="11" t="s">
        <v>49</v>
      </c>
      <c r="C839" s="16" t="s">
        <v>3468</v>
      </c>
      <c r="D839" s="16"/>
      <c r="E839" s="38">
        <v>28616</v>
      </c>
      <c r="F839" s="38"/>
      <c r="G839" s="10" t="s">
        <v>646</v>
      </c>
      <c r="H839" s="12" t="s">
        <v>3469</v>
      </c>
      <c r="I839" s="13" t="s">
        <v>2428</v>
      </c>
      <c r="J839" s="15" t="s">
        <v>3470</v>
      </c>
      <c r="K839" s="14" t="s">
        <v>3471</v>
      </c>
      <c r="L839" s="11" t="s">
        <v>33</v>
      </c>
      <c r="M839" s="15"/>
      <c r="N839" s="17">
        <v>16500</v>
      </c>
      <c r="O839" s="17"/>
      <c r="P839" s="17"/>
      <c r="Q839" s="48"/>
      <c r="R839" s="11"/>
      <c r="S839" s="48"/>
      <c r="T839" s="85"/>
      <c r="U839" s="88"/>
      <c r="V839" s="32" t="s">
        <v>3478</v>
      </c>
      <c r="W839" s="25" t="s">
        <v>8</v>
      </c>
      <c r="X839" s="11"/>
      <c r="Y839" s="50" t="s">
        <v>14</v>
      </c>
      <c r="Z839" s="50"/>
      <c r="AA839" s="50"/>
      <c r="AB839" s="50"/>
      <c r="AC839" s="50"/>
      <c r="AD839" s="50"/>
      <c r="AE839" s="50"/>
      <c r="AF839" s="34"/>
      <c r="AG839" s="34"/>
      <c r="AH839" s="34"/>
      <c r="AI839" s="34"/>
      <c r="AJ839" s="34"/>
      <c r="AK839" s="34"/>
      <c r="AL839" s="34"/>
      <c r="AM839" s="34"/>
      <c r="AN839" s="34"/>
      <c r="AO839" s="65"/>
      <c r="AP839" s="69"/>
      <c r="AQ839" s="62"/>
      <c r="AR839" s="34"/>
    </row>
    <row r="840" spans="1:44" customFormat="1">
      <c r="A840" s="39">
        <v>44314</v>
      </c>
      <c r="B840" s="11" t="s">
        <v>49</v>
      </c>
      <c r="C840" s="16" t="s">
        <v>3472</v>
      </c>
      <c r="D840" s="16"/>
      <c r="E840" s="38">
        <v>28651</v>
      </c>
      <c r="F840" s="38"/>
      <c r="G840" s="10" t="s">
        <v>3473</v>
      </c>
      <c r="H840" s="12" t="s">
        <v>3474</v>
      </c>
      <c r="I840" s="13" t="s">
        <v>3475</v>
      </c>
      <c r="J840" s="15" t="s">
        <v>3477</v>
      </c>
      <c r="K840" s="14" t="s">
        <v>3476</v>
      </c>
      <c r="L840" s="11"/>
      <c r="M840" s="15"/>
      <c r="N840" s="17">
        <v>16500</v>
      </c>
      <c r="O840" s="17"/>
      <c r="P840" s="17"/>
      <c r="Q840" s="48"/>
      <c r="R840" s="11"/>
      <c r="S840" s="48"/>
      <c r="T840" s="85"/>
      <c r="U840" s="88"/>
      <c r="V840" s="32" t="s">
        <v>3478</v>
      </c>
      <c r="W840" s="25" t="s">
        <v>8</v>
      </c>
      <c r="X840" s="11"/>
      <c r="Y840" s="50" t="s">
        <v>14</v>
      </c>
      <c r="Z840" s="50"/>
      <c r="AA840" s="50"/>
      <c r="AB840" s="50"/>
      <c r="AC840" s="50"/>
      <c r="AD840" s="50"/>
      <c r="AE840" s="50"/>
      <c r="AF840" s="34"/>
      <c r="AG840" s="34"/>
      <c r="AH840" s="34"/>
      <c r="AI840" s="34"/>
      <c r="AJ840" s="34"/>
      <c r="AK840" s="34"/>
      <c r="AL840" s="34"/>
      <c r="AM840" s="34"/>
      <c r="AN840" s="34"/>
      <c r="AO840" s="65"/>
      <c r="AP840" s="69"/>
      <c r="AQ840" s="62"/>
      <c r="AR840" s="34"/>
    </row>
    <row r="841" spans="1:44" customFormat="1">
      <c r="A841" s="39">
        <v>44315</v>
      </c>
      <c r="B841" s="11" t="s">
        <v>2170</v>
      </c>
      <c r="C841" s="16" t="s">
        <v>3038</v>
      </c>
      <c r="D841" s="16"/>
      <c r="E841" s="38"/>
      <c r="F841" s="38"/>
      <c r="G841" s="10"/>
      <c r="H841" s="12"/>
      <c r="I841" s="13"/>
      <c r="J841" s="15"/>
      <c r="K841" s="12"/>
      <c r="L841" s="11"/>
      <c r="M841" s="15"/>
      <c r="N841" s="17">
        <v>5500</v>
      </c>
      <c r="O841" s="17"/>
      <c r="P841" s="17"/>
      <c r="Q841" s="48"/>
      <c r="R841" s="11"/>
      <c r="S841" s="48"/>
      <c r="T841" s="85"/>
      <c r="U841" s="88"/>
      <c r="V841" s="32"/>
      <c r="W841" s="25"/>
      <c r="X841" s="11"/>
      <c r="Y841" s="50"/>
      <c r="Z841" s="50"/>
      <c r="AA841" s="50"/>
      <c r="AB841" s="50"/>
      <c r="AC841" s="50"/>
      <c r="AD841" s="50"/>
      <c r="AE841" s="50"/>
      <c r="AF841" s="34"/>
      <c r="AG841" s="34"/>
      <c r="AH841" s="34"/>
      <c r="AI841" s="34"/>
      <c r="AJ841" s="34"/>
      <c r="AK841" s="34"/>
      <c r="AL841" s="34"/>
      <c r="AM841" s="34"/>
      <c r="AN841" s="34"/>
      <c r="AO841" s="65"/>
      <c r="AP841" s="69"/>
      <c r="AQ841" s="62"/>
      <c r="AR841" s="34"/>
    </row>
    <row r="842" spans="1:44" customFormat="1">
      <c r="A842" s="39">
        <v>44318</v>
      </c>
      <c r="B842" s="11" t="s">
        <v>22</v>
      </c>
      <c r="C842" s="16" t="s">
        <v>3479</v>
      </c>
      <c r="D842" s="16"/>
      <c r="E842" s="38">
        <v>24803</v>
      </c>
      <c r="F842" s="38"/>
      <c r="G842" s="10" t="s">
        <v>3481</v>
      </c>
      <c r="H842" s="12" t="s">
        <v>3483</v>
      </c>
      <c r="I842" s="13" t="s">
        <v>3484</v>
      </c>
      <c r="J842" s="15" t="s">
        <v>3485</v>
      </c>
      <c r="K842" s="12"/>
      <c r="L842" s="11" t="s">
        <v>34</v>
      </c>
      <c r="M842" s="15"/>
      <c r="N842" s="17">
        <v>3300</v>
      </c>
      <c r="O842" s="17"/>
      <c r="P842" s="17"/>
      <c r="Q842" s="48"/>
      <c r="R842" s="11"/>
      <c r="S842" s="48"/>
      <c r="T842" s="85"/>
      <c r="U842" s="88"/>
      <c r="V842" s="32" t="s">
        <v>3486</v>
      </c>
      <c r="W842" s="25" t="s">
        <v>8</v>
      </c>
      <c r="X842" s="11"/>
      <c r="Y842" s="50"/>
      <c r="Z842" s="50"/>
      <c r="AA842" s="50"/>
      <c r="AB842" s="50"/>
      <c r="AC842" s="50"/>
      <c r="AD842" s="50"/>
      <c r="AE842" s="50"/>
      <c r="AF842" s="34"/>
      <c r="AG842" s="34"/>
      <c r="AH842" s="34"/>
      <c r="AI842" s="34"/>
      <c r="AJ842" s="34"/>
      <c r="AK842" s="34"/>
      <c r="AL842" s="34"/>
      <c r="AM842" s="34"/>
      <c r="AN842" s="34"/>
      <c r="AO842" s="65"/>
      <c r="AP842" s="69"/>
      <c r="AQ842" s="62"/>
      <c r="AR842" s="34"/>
    </row>
    <row r="843" spans="1:44" customFormat="1">
      <c r="A843" s="39">
        <v>44318</v>
      </c>
      <c r="B843" s="11" t="s">
        <v>22</v>
      </c>
      <c r="C843" s="16" t="s">
        <v>3487</v>
      </c>
      <c r="D843" s="16"/>
      <c r="E843" s="38" t="s">
        <v>3488</v>
      </c>
      <c r="F843" s="38"/>
      <c r="G843" s="10" t="s">
        <v>485</v>
      </c>
      <c r="H843" s="12" t="s">
        <v>3489</v>
      </c>
      <c r="I843" s="13" t="s">
        <v>2818</v>
      </c>
      <c r="J843" s="15" t="s">
        <v>3490</v>
      </c>
      <c r="K843" s="12"/>
      <c r="L843" s="11" t="s">
        <v>36</v>
      </c>
      <c r="M843" s="15"/>
      <c r="N843" s="17">
        <v>2750</v>
      </c>
      <c r="O843" s="17"/>
      <c r="P843" s="17"/>
      <c r="Q843" s="48"/>
      <c r="R843" s="11"/>
      <c r="S843" s="48"/>
      <c r="T843" s="85"/>
      <c r="U843" s="90">
        <v>44420</v>
      </c>
      <c r="V843" s="32" t="s">
        <v>3491</v>
      </c>
      <c r="W843" s="25" t="s">
        <v>8</v>
      </c>
      <c r="X843" s="11"/>
      <c r="Y843" s="50" t="s">
        <v>12</v>
      </c>
      <c r="Z843" s="50"/>
      <c r="AA843" s="50"/>
      <c r="AB843" s="50"/>
      <c r="AC843" s="50"/>
      <c r="AD843" s="50"/>
      <c r="AE843" s="50"/>
      <c r="AF843" s="34"/>
      <c r="AG843" s="34"/>
      <c r="AH843" s="34"/>
      <c r="AI843" s="34"/>
      <c r="AJ843" s="34"/>
      <c r="AK843" s="34"/>
      <c r="AL843" s="34"/>
      <c r="AM843" s="34"/>
      <c r="AN843" s="34"/>
      <c r="AO843" s="65"/>
      <c r="AP843" s="69"/>
      <c r="AQ843" s="62"/>
      <c r="AR843" s="34"/>
    </row>
    <row r="844" spans="1:44" customFormat="1">
      <c r="A844" s="39">
        <v>44318</v>
      </c>
      <c r="B844" s="11" t="s">
        <v>22</v>
      </c>
      <c r="C844" s="16" t="s">
        <v>3480</v>
      </c>
      <c r="D844" s="16"/>
      <c r="E844" s="38">
        <v>35866</v>
      </c>
      <c r="F844" s="38"/>
      <c r="G844" s="10" t="s">
        <v>3482</v>
      </c>
      <c r="H844" s="12" t="s">
        <v>3483</v>
      </c>
      <c r="I844" s="13" t="s">
        <v>3484</v>
      </c>
      <c r="J844" s="15" t="s">
        <v>3485</v>
      </c>
      <c r="K844" s="12"/>
      <c r="L844" s="11" t="s">
        <v>38</v>
      </c>
      <c r="M844" s="15"/>
      <c r="N844" s="17">
        <v>3300</v>
      </c>
      <c r="O844" s="17"/>
      <c r="P844" s="17"/>
      <c r="Q844" s="48"/>
      <c r="R844" s="11"/>
      <c r="S844" s="48"/>
      <c r="T844" s="85" t="s">
        <v>81</v>
      </c>
      <c r="U844" s="88"/>
      <c r="V844" s="32" t="s">
        <v>3486</v>
      </c>
      <c r="W844" s="25" t="s">
        <v>8</v>
      </c>
      <c r="X844" s="11"/>
      <c r="Y844" s="50"/>
      <c r="Z844" s="50"/>
      <c r="AA844" s="50"/>
      <c r="AB844" s="50"/>
      <c r="AC844" s="50"/>
      <c r="AD844" s="50"/>
      <c r="AE844" s="50"/>
      <c r="AF844" s="34"/>
      <c r="AG844" s="34"/>
      <c r="AH844" s="34"/>
      <c r="AI844" s="34"/>
      <c r="AJ844" s="34"/>
      <c r="AK844" s="34"/>
      <c r="AL844" s="34"/>
      <c r="AM844" s="34"/>
      <c r="AN844" s="34"/>
      <c r="AO844" s="65"/>
      <c r="AP844" s="69"/>
      <c r="AQ844" s="62"/>
      <c r="AR844" s="34"/>
    </row>
    <row r="845" spans="1:44" customFormat="1">
      <c r="A845" s="39">
        <v>44319</v>
      </c>
      <c r="B845" s="11" t="s">
        <v>22</v>
      </c>
      <c r="C845" s="16" t="s">
        <v>3492</v>
      </c>
      <c r="D845" s="16"/>
      <c r="E845" s="38">
        <v>33120</v>
      </c>
      <c r="F845" s="38"/>
      <c r="G845" s="10" t="s">
        <v>1393</v>
      </c>
      <c r="H845" s="12" t="s">
        <v>3493</v>
      </c>
      <c r="I845" s="13" t="s">
        <v>1845</v>
      </c>
      <c r="J845" s="15" t="s">
        <v>3494</v>
      </c>
      <c r="K845" s="12"/>
      <c r="L845" s="11" t="s">
        <v>36</v>
      </c>
      <c r="M845" s="15"/>
      <c r="N845" s="17">
        <v>3300</v>
      </c>
      <c r="O845" s="17"/>
      <c r="P845" s="17"/>
      <c r="Q845" s="48"/>
      <c r="R845" s="11"/>
      <c r="S845" s="48"/>
      <c r="T845" s="85"/>
      <c r="U845" s="88"/>
      <c r="V845" s="32" t="s">
        <v>3495</v>
      </c>
      <c r="W845" s="25" t="s">
        <v>8</v>
      </c>
      <c r="X845" s="11"/>
      <c r="Y845" s="50" t="s">
        <v>18</v>
      </c>
      <c r="Z845" s="50"/>
      <c r="AA845" s="50"/>
      <c r="AB845" s="50"/>
      <c r="AC845" s="50"/>
      <c r="AD845" s="50"/>
      <c r="AE845" s="50"/>
      <c r="AF845" s="34"/>
      <c r="AG845" s="34"/>
      <c r="AH845" s="34"/>
      <c r="AI845" s="34"/>
      <c r="AJ845" s="34"/>
      <c r="AK845" s="34"/>
      <c r="AL845" s="34"/>
      <c r="AM845" s="34"/>
      <c r="AN845" s="34"/>
      <c r="AO845" s="65"/>
      <c r="AP845" s="69"/>
      <c r="AQ845" s="62"/>
      <c r="AR845" s="79">
        <v>44420</v>
      </c>
    </row>
    <row r="846" spans="1:44" customFormat="1">
      <c r="A846" s="39">
        <v>44319</v>
      </c>
      <c r="B846" s="11" t="s">
        <v>49</v>
      </c>
      <c r="C846" s="16" t="s">
        <v>3496</v>
      </c>
      <c r="D846" s="16"/>
      <c r="E846" s="38">
        <v>33840</v>
      </c>
      <c r="F846" s="38"/>
      <c r="G846" s="10" t="s">
        <v>3497</v>
      </c>
      <c r="H846" s="12" t="s">
        <v>3498</v>
      </c>
      <c r="I846" s="13" t="s">
        <v>2281</v>
      </c>
      <c r="J846" s="15" t="s">
        <v>3499</v>
      </c>
      <c r="K846" s="12"/>
      <c r="L846" s="11" t="s">
        <v>36</v>
      </c>
      <c r="M846" s="15"/>
      <c r="N846" s="17">
        <v>16500</v>
      </c>
      <c r="O846" s="17"/>
      <c r="P846" s="17"/>
      <c r="Q846" s="48"/>
      <c r="R846" s="11"/>
      <c r="S846" s="48"/>
      <c r="T846" s="85"/>
      <c r="U846" s="88"/>
      <c r="V846" s="32"/>
      <c r="W846" s="25" t="s">
        <v>48</v>
      </c>
      <c r="X846" s="11"/>
      <c r="Y846" s="50" t="s">
        <v>13</v>
      </c>
      <c r="Z846" s="50"/>
      <c r="AA846" s="50"/>
      <c r="AB846" s="50"/>
      <c r="AC846" s="50"/>
      <c r="AD846" s="50"/>
      <c r="AE846" s="50"/>
      <c r="AF846" s="34"/>
      <c r="AG846" s="34"/>
      <c r="AH846" s="34"/>
      <c r="AI846" s="34"/>
      <c r="AJ846" s="34"/>
      <c r="AK846" s="34"/>
      <c r="AL846" s="34"/>
      <c r="AM846" s="34"/>
      <c r="AN846" s="34"/>
      <c r="AO846" s="65"/>
      <c r="AP846" s="69"/>
      <c r="AQ846" s="62"/>
      <c r="AR846" s="34"/>
    </row>
    <row r="847" spans="1:44" customFormat="1">
      <c r="A847" s="39">
        <v>44321</v>
      </c>
      <c r="B847" s="11" t="s">
        <v>22</v>
      </c>
      <c r="C847" s="16" t="s">
        <v>3500</v>
      </c>
      <c r="D847" s="16"/>
      <c r="E847" s="38">
        <v>35584</v>
      </c>
      <c r="F847" s="38"/>
      <c r="G847" s="10" t="s">
        <v>44</v>
      </c>
      <c r="H847" s="12" t="s">
        <v>3501</v>
      </c>
      <c r="I847" s="13" t="s">
        <v>2899</v>
      </c>
      <c r="J847" s="15" t="s">
        <v>3502</v>
      </c>
      <c r="K847" s="12"/>
      <c r="L847" s="11" t="s">
        <v>36</v>
      </c>
      <c r="M847" s="15"/>
      <c r="N847" s="17">
        <v>3300</v>
      </c>
      <c r="O847" s="17"/>
      <c r="P847" s="17"/>
      <c r="Q847" s="48"/>
      <c r="R847" s="11"/>
      <c r="S847" s="48"/>
      <c r="T847" s="85"/>
      <c r="U847" s="88"/>
      <c r="V847" s="32" t="s">
        <v>3503</v>
      </c>
      <c r="W847" s="25" t="s">
        <v>8</v>
      </c>
      <c r="X847" s="11"/>
      <c r="Y847" s="50" t="s">
        <v>18</v>
      </c>
      <c r="Z847" s="50"/>
      <c r="AA847" s="50"/>
      <c r="AB847" s="50"/>
      <c r="AC847" s="50"/>
      <c r="AD847" s="50"/>
      <c r="AE847" s="50"/>
      <c r="AF847" s="34"/>
      <c r="AG847" s="34"/>
      <c r="AH847" s="34"/>
      <c r="AI847" s="34"/>
      <c r="AJ847" s="34"/>
      <c r="AK847" s="34"/>
      <c r="AL847" s="34"/>
      <c r="AM847" s="34"/>
      <c r="AN847" s="34"/>
      <c r="AO847" s="65"/>
      <c r="AP847" s="69"/>
      <c r="AQ847" s="62"/>
      <c r="AR847" s="34"/>
    </row>
    <row r="848" spans="1:44" customFormat="1">
      <c r="A848" s="39">
        <v>44321</v>
      </c>
      <c r="B848" s="11" t="s">
        <v>2171</v>
      </c>
      <c r="C848" s="16" t="s">
        <v>3451</v>
      </c>
      <c r="D848" s="16"/>
      <c r="E848" s="38"/>
      <c r="F848" s="38"/>
      <c r="G848" s="10"/>
      <c r="H848" s="12"/>
      <c r="I848" s="13"/>
      <c r="J848" s="15"/>
      <c r="K848" s="12"/>
      <c r="L848" s="11"/>
      <c r="M848" s="15"/>
      <c r="N848" s="17">
        <v>3300</v>
      </c>
      <c r="O848" s="17"/>
      <c r="P848" s="17"/>
      <c r="Q848" s="48"/>
      <c r="R848" s="11"/>
      <c r="S848" s="48"/>
      <c r="T848" s="85"/>
      <c r="U848" s="88"/>
      <c r="V848" s="32" t="s">
        <v>3504</v>
      </c>
      <c r="W848" s="25"/>
      <c r="X848" s="11"/>
      <c r="Y848" s="50"/>
      <c r="Z848" s="50"/>
      <c r="AA848" s="50"/>
      <c r="AB848" s="50"/>
      <c r="AC848" s="50"/>
      <c r="AD848" s="50"/>
      <c r="AE848" s="50"/>
      <c r="AF848" s="34"/>
      <c r="AG848" s="34"/>
      <c r="AH848" s="34"/>
      <c r="AI848" s="34"/>
      <c r="AJ848" s="34"/>
      <c r="AK848" s="34"/>
      <c r="AL848" s="34"/>
      <c r="AM848" s="34"/>
      <c r="AN848" s="34"/>
      <c r="AO848" s="65"/>
      <c r="AP848" s="69"/>
      <c r="AQ848" s="62"/>
      <c r="AR848" s="34"/>
    </row>
    <row r="849" spans="1:44" customFormat="1">
      <c r="A849" s="39">
        <v>44321</v>
      </c>
      <c r="B849" s="11" t="s">
        <v>49</v>
      </c>
      <c r="C849" s="16" t="s">
        <v>3505</v>
      </c>
      <c r="D849" s="16"/>
      <c r="E849" s="38">
        <v>29500</v>
      </c>
      <c r="F849" s="38"/>
      <c r="G849" s="10" t="s">
        <v>3506</v>
      </c>
      <c r="H849" s="12" t="s">
        <v>3507</v>
      </c>
      <c r="I849" s="13" t="s">
        <v>3508</v>
      </c>
      <c r="J849" s="15" t="s">
        <v>3509</v>
      </c>
      <c r="K849" s="12"/>
      <c r="L849" s="11" t="s">
        <v>33</v>
      </c>
      <c r="M849" s="15"/>
      <c r="N849" s="17">
        <v>16500</v>
      </c>
      <c r="O849" s="17"/>
      <c r="P849" s="17"/>
      <c r="Q849" s="48"/>
      <c r="R849" s="11"/>
      <c r="S849" s="48"/>
      <c r="T849" s="85"/>
      <c r="U849" s="88"/>
      <c r="V849" s="32"/>
      <c r="W849" s="25" t="s">
        <v>8</v>
      </c>
      <c r="X849" s="11"/>
      <c r="Y849" s="50" t="s">
        <v>13</v>
      </c>
      <c r="Z849" s="50"/>
      <c r="AA849" s="50"/>
      <c r="AB849" s="50"/>
      <c r="AC849" s="50"/>
      <c r="AD849" s="50"/>
      <c r="AE849" s="50"/>
      <c r="AF849" s="34"/>
      <c r="AG849" s="34"/>
      <c r="AH849" s="34"/>
      <c r="AI849" s="34"/>
      <c r="AJ849" s="34"/>
      <c r="AK849" s="34"/>
      <c r="AL849" s="34"/>
      <c r="AM849" s="34"/>
      <c r="AN849" s="34"/>
      <c r="AO849" s="65"/>
      <c r="AP849" s="69"/>
      <c r="AQ849" s="62"/>
      <c r="AR849" s="34"/>
    </row>
    <row r="850" spans="1:44" customFormat="1">
      <c r="A850" s="39">
        <v>44322</v>
      </c>
      <c r="B850" s="11" t="s">
        <v>49</v>
      </c>
      <c r="C850" s="16" t="s">
        <v>3510</v>
      </c>
      <c r="D850" s="16"/>
      <c r="E850" s="38">
        <v>29462</v>
      </c>
      <c r="F850" s="38"/>
      <c r="G850" s="10" t="s">
        <v>3511</v>
      </c>
      <c r="H850" s="12" t="s">
        <v>3512</v>
      </c>
      <c r="I850" s="13" t="s">
        <v>2248</v>
      </c>
      <c r="J850" s="15" t="s">
        <v>3513</v>
      </c>
      <c r="K850" s="12"/>
      <c r="L850" s="11" t="s">
        <v>33</v>
      </c>
      <c r="M850" s="15"/>
      <c r="N850" s="17">
        <v>22000</v>
      </c>
      <c r="O850" s="17"/>
      <c r="P850" s="17"/>
      <c r="Q850" s="48"/>
      <c r="R850" s="11"/>
      <c r="S850" s="48"/>
      <c r="T850" s="85"/>
      <c r="U850" s="88"/>
      <c r="V850" s="32"/>
      <c r="W850" s="25" t="s">
        <v>48</v>
      </c>
      <c r="X850" s="11"/>
      <c r="Y850" s="50" t="s">
        <v>13</v>
      </c>
      <c r="Z850" s="50"/>
      <c r="AA850" s="50"/>
      <c r="AB850" s="50"/>
      <c r="AC850" s="50"/>
      <c r="AD850" s="50"/>
      <c r="AE850" s="50"/>
      <c r="AF850" s="34"/>
      <c r="AG850" s="34"/>
      <c r="AH850" s="34"/>
      <c r="AI850" s="34"/>
      <c r="AJ850" s="34"/>
      <c r="AK850" s="34"/>
      <c r="AL850" s="34"/>
      <c r="AM850" s="34"/>
      <c r="AN850" s="34"/>
      <c r="AO850" s="65"/>
      <c r="AP850" s="69"/>
      <c r="AQ850" s="62"/>
      <c r="AR850" s="34"/>
    </row>
    <row r="851" spans="1:44" customFormat="1" ht="18.75" customHeight="1">
      <c r="A851" s="39">
        <v>44323</v>
      </c>
      <c r="B851" s="11" t="s">
        <v>22</v>
      </c>
      <c r="C851" s="16" t="s">
        <v>3514</v>
      </c>
      <c r="D851" s="16"/>
      <c r="E851" s="38">
        <v>30560</v>
      </c>
      <c r="F851" s="38"/>
      <c r="G851" s="10" t="s">
        <v>2965</v>
      </c>
      <c r="H851" s="12" t="s">
        <v>3515</v>
      </c>
      <c r="I851" s="13" t="s">
        <v>3426</v>
      </c>
      <c r="J851" s="15" t="s">
        <v>3516</v>
      </c>
      <c r="K851" s="14" t="s">
        <v>3517</v>
      </c>
      <c r="L851" s="11" t="s">
        <v>36</v>
      </c>
      <c r="M851" s="15"/>
      <c r="N851" s="17">
        <v>3300</v>
      </c>
      <c r="O851" s="17"/>
      <c r="P851" s="17"/>
      <c r="Q851" s="48"/>
      <c r="R851" s="11"/>
      <c r="S851" s="48"/>
      <c r="T851" s="85"/>
      <c r="U851" s="90">
        <v>44420</v>
      </c>
      <c r="V851" s="32"/>
      <c r="W851" s="25" t="s">
        <v>48</v>
      </c>
      <c r="X851" s="11"/>
      <c r="Y851" s="50" t="s">
        <v>12</v>
      </c>
      <c r="Z851" s="50"/>
      <c r="AA851" s="50"/>
      <c r="AB851" s="50"/>
      <c r="AC851" s="50"/>
      <c r="AD851" s="50"/>
      <c r="AE851" s="50"/>
      <c r="AF851" s="34"/>
      <c r="AG851" s="34"/>
      <c r="AH851" s="34"/>
      <c r="AI851" s="34"/>
      <c r="AJ851" s="34"/>
      <c r="AK851" s="34"/>
      <c r="AL851" s="34"/>
      <c r="AM851" s="34"/>
      <c r="AN851" s="34"/>
      <c r="AO851" s="65"/>
      <c r="AP851" s="69"/>
      <c r="AQ851" s="62"/>
      <c r="AR851" s="34"/>
    </row>
    <row r="852" spans="1:44" customFormat="1">
      <c r="A852" s="39">
        <v>44324</v>
      </c>
      <c r="B852" s="11" t="s">
        <v>49</v>
      </c>
      <c r="C852" s="16" t="s">
        <v>3518</v>
      </c>
      <c r="D852" s="16"/>
      <c r="E852" s="38">
        <v>34922</v>
      </c>
      <c r="F852" s="38"/>
      <c r="G852" s="10" t="s">
        <v>3519</v>
      </c>
      <c r="H852" s="12" t="s">
        <v>3520</v>
      </c>
      <c r="I852" s="13" t="s">
        <v>2699</v>
      </c>
      <c r="J852" s="15" t="s">
        <v>3521</v>
      </c>
      <c r="K852" s="12"/>
      <c r="L852" s="11" t="s">
        <v>39</v>
      </c>
      <c r="M852" s="15"/>
      <c r="N852" s="17">
        <v>11000</v>
      </c>
      <c r="O852" s="17"/>
      <c r="P852" s="17"/>
      <c r="Q852" s="48"/>
      <c r="R852" s="11"/>
      <c r="S852" s="48"/>
      <c r="T852" s="85"/>
      <c r="U852" s="88"/>
      <c r="V852" s="32" t="s">
        <v>3522</v>
      </c>
      <c r="W852" s="25" t="s">
        <v>8</v>
      </c>
      <c r="X852" s="11"/>
      <c r="Y852" s="50" t="s">
        <v>13</v>
      </c>
      <c r="Z852" s="50"/>
      <c r="AA852" s="50"/>
      <c r="AB852" s="50"/>
      <c r="AC852" s="50"/>
      <c r="AD852" s="50"/>
      <c r="AE852" s="50"/>
      <c r="AF852" s="34"/>
      <c r="AG852" s="34"/>
      <c r="AH852" s="34"/>
      <c r="AI852" s="34"/>
      <c r="AJ852" s="34"/>
      <c r="AK852" s="34"/>
      <c r="AL852" s="34"/>
      <c r="AM852" s="34"/>
      <c r="AN852" s="34"/>
      <c r="AO852" s="65"/>
      <c r="AP852" s="69"/>
      <c r="AQ852" s="62"/>
      <c r="AR852" s="79">
        <v>44420</v>
      </c>
    </row>
    <row r="853" spans="1:44" customFormat="1">
      <c r="A853" s="39">
        <v>44324</v>
      </c>
      <c r="B853" s="11" t="s">
        <v>22</v>
      </c>
      <c r="C853" s="16" t="s">
        <v>3523</v>
      </c>
      <c r="D853" s="16"/>
      <c r="E853" s="38">
        <v>22967</v>
      </c>
      <c r="F853" s="38"/>
      <c r="G853" s="10" t="s">
        <v>3524</v>
      </c>
      <c r="H853" s="12" t="s">
        <v>3525</v>
      </c>
      <c r="I853" s="13" t="s">
        <v>3526</v>
      </c>
      <c r="J853" s="15" t="s">
        <v>3527</v>
      </c>
      <c r="K853" s="12"/>
      <c r="L853" s="11" t="s">
        <v>34</v>
      </c>
      <c r="M853" s="15"/>
      <c r="N853" s="17">
        <v>0</v>
      </c>
      <c r="O853" s="17"/>
      <c r="P853" s="17"/>
      <c r="Q853" s="48"/>
      <c r="R853" s="11"/>
      <c r="S853" s="48"/>
      <c r="T853" s="85"/>
      <c r="U853" s="88"/>
      <c r="V853" s="32" t="s">
        <v>3528</v>
      </c>
      <c r="W853" s="25" t="s">
        <v>8</v>
      </c>
      <c r="X853" s="11"/>
      <c r="Y853" s="50" t="s">
        <v>11</v>
      </c>
      <c r="Z853" s="50"/>
      <c r="AA853" s="50"/>
      <c r="AB853" s="50"/>
      <c r="AC853" s="50"/>
      <c r="AD853" s="50"/>
      <c r="AE853" s="50"/>
      <c r="AF853" s="34"/>
      <c r="AG853" s="34"/>
      <c r="AH853" s="34"/>
      <c r="AI853" s="34"/>
      <c r="AJ853" s="34"/>
      <c r="AK853" s="34"/>
      <c r="AL853" s="34"/>
      <c r="AM853" s="34"/>
      <c r="AN853" s="34"/>
      <c r="AO853" s="65"/>
      <c r="AP853" s="69"/>
      <c r="AQ853" s="62"/>
      <c r="AR853" s="34"/>
    </row>
    <row r="854" spans="1:44" customFormat="1">
      <c r="A854" s="39">
        <v>44325</v>
      </c>
      <c r="B854" s="11" t="s">
        <v>49</v>
      </c>
      <c r="C854" s="16" t="s">
        <v>3529</v>
      </c>
      <c r="D854" s="16"/>
      <c r="E854" s="38">
        <v>33907</v>
      </c>
      <c r="F854" s="38"/>
      <c r="G854" s="10" t="s">
        <v>3531</v>
      </c>
      <c r="H854" s="12" t="s">
        <v>3532</v>
      </c>
      <c r="I854" s="13" t="s">
        <v>3535</v>
      </c>
      <c r="J854" s="15" t="s">
        <v>3538</v>
      </c>
      <c r="K854" s="14" t="s">
        <v>3537</v>
      </c>
      <c r="L854" s="11" t="s">
        <v>33</v>
      </c>
      <c r="M854" s="15"/>
      <c r="N854" s="17">
        <v>16500</v>
      </c>
      <c r="O854" s="17"/>
      <c r="P854" s="17"/>
      <c r="Q854" s="48"/>
      <c r="R854" s="11"/>
      <c r="S854" s="48"/>
      <c r="T854" s="85"/>
      <c r="U854" s="88"/>
      <c r="V854" s="32"/>
      <c r="W854" s="25" t="s">
        <v>48</v>
      </c>
      <c r="X854" s="11"/>
      <c r="Y854" s="50" t="s">
        <v>14</v>
      </c>
      <c r="Z854" s="50"/>
      <c r="AA854" s="50"/>
      <c r="AB854" s="50"/>
      <c r="AC854" s="50"/>
      <c r="AD854" s="50"/>
      <c r="AE854" s="50"/>
      <c r="AF854" s="34"/>
      <c r="AG854" s="34"/>
      <c r="AH854" s="34"/>
      <c r="AI854" s="34"/>
      <c r="AJ854" s="34"/>
      <c r="AK854" s="34"/>
      <c r="AL854" s="34"/>
      <c r="AM854" s="34"/>
      <c r="AN854" s="34"/>
      <c r="AO854" s="65"/>
      <c r="AP854" s="69"/>
      <c r="AQ854" s="62"/>
      <c r="AR854" s="34"/>
    </row>
    <row r="855" spans="1:44" customFormat="1">
      <c r="A855" s="39">
        <v>44325</v>
      </c>
      <c r="B855" s="11" t="s">
        <v>22</v>
      </c>
      <c r="C855" s="16" t="s">
        <v>3530</v>
      </c>
      <c r="D855" s="16"/>
      <c r="E855" s="38">
        <v>26501</v>
      </c>
      <c r="F855" s="38"/>
      <c r="G855" s="10" t="s">
        <v>3533</v>
      </c>
      <c r="H855" s="12" t="s">
        <v>3534</v>
      </c>
      <c r="I855" s="13" t="s">
        <v>3536</v>
      </c>
      <c r="J855" s="15" t="s">
        <v>3539</v>
      </c>
      <c r="K855" s="12"/>
      <c r="L855" s="11" t="s">
        <v>36</v>
      </c>
      <c r="M855" s="15"/>
      <c r="N855" s="17">
        <v>3300</v>
      </c>
      <c r="O855" s="17"/>
      <c r="P855" s="17"/>
      <c r="Q855" s="48"/>
      <c r="R855" s="11"/>
      <c r="S855" s="48"/>
      <c r="T855" s="85"/>
      <c r="U855" s="90">
        <v>44420</v>
      </c>
      <c r="V855" s="32"/>
      <c r="W855" s="25" t="s">
        <v>48</v>
      </c>
      <c r="X855" s="11"/>
      <c r="Y855" s="50" t="s">
        <v>12</v>
      </c>
      <c r="Z855" s="50"/>
      <c r="AA855" s="50"/>
      <c r="AB855" s="50"/>
      <c r="AC855" s="50"/>
      <c r="AD855" s="50"/>
      <c r="AE855" s="50"/>
      <c r="AF855" s="34"/>
      <c r="AG855" s="34"/>
      <c r="AH855" s="34"/>
      <c r="AI855" s="34"/>
      <c r="AJ855" s="34"/>
      <c r="AK855" s="34"/>
      <c r="AL855" s="34"/>
      <c r="AM855" s="34"/>
      <c r="AN855" s="34"/>
      <c r="AO855" s="65"/>
      <c r="AP855" s="69"/>
      <c r="AQ855" s="62"/>
      <c r="AR855" s="34"/>
    </row>
    <row r="856" spans="1:44" customFormat="1">
      <c r="A856" s="39">
        <v>44326</v>
      </c>
      <c r="B856" s="11" t="s">
        <v>49</v>
      </c>
      <c r="C856" s="16" t="s">
        <v>3540</v>
      </c>
      <c r="D856" s="16"/>
      <c r="E856" s="38">
        <v>24523</v>
      </c>
      <c r="F856" s="38"/>
      <c r="G856" s="10" t="s">
        <v>3363</v>
      </c>
      <c r="H856" s="12" t="s">
        <v>3541</v>
      </c>
      <c r="I856" s="13" t="s">
        <v>3542</v>
      </c>
      <c r="J856" s="15" t="s">
        <v>3543</v>
      </c>
      <c r="K856" s="12"/>
      <c r="L856" s="11"/>
      <c r="M856" s="15"/>
      <c r="N856" s="17">
        <v>16500</v>
      </c>
      <c r="O856" s="17"/>
      <c r="P856" s="17"/>
      <c r="Q856" s="48"/>
      <c r="R856" s="11"/>
      <c r="S856" s="48"/>
      <c r="T856" s="85"/>
      <c r="U856" s="88"/>
      <c r="V856" s="32"/>
      <c r="W856" s="25" t="s">
        <v>48</v>
      </c>
      <c r="X856" s="11"/>
      <c r="Y856" s="50" t="s">
        <v>13</v>
      </c>
      <c r="Z856" s="50"/>
      <c r="AA856" s="50"/>
      <c r="AB856" s="50"/>
      <c r="AC856" s="50"/>
      <c r="AD856" s="50"/>
      <c r="AE856" s="50"/>
      <c r="AF856" s="34"/>
      <c r="AG856" s="34"/>
      <c r="AH856" s="34"/>
      <c r="AI856" s="34"/>
      <c r="AJ856" s="34"/>
      <c r="AK856" s="34"/>
      <c r="AL856" s="34"/>
      <c r="AM856" s="34"/>
      <c r="AN856" s="34"/>
      <c r="AO856" s="65"/>
      <c r="AP856" s="69"/>
      <c r="AQ856" s="62"/>
      <c r="AR856" s="79">
        <v>44420</v>
      </c>
    </row>
    <row r="857" spans="1:44" customFormat="1">
      <c r="A857" s="39">
        <v>44332</v>
      </c>
      <c r="B857" s="11" t="s">
        <v>22</v>
      </c>
      <c r="C857" s="16" t="s">
        <v>3544</v>
      </c>
      <c r="D857" s="16"/>
      <c r="E857" s="38">
        <v>35424</v>
      </c>
      <c r="F857" s="38"/>
      <c r="G857" s="10" t="s">
        <v>3545</v>
      </c>
      <c r="H857" s="12" t="s">
        <v>3546</v>
      </c>
      <c r="I857" s="13" t="s">
        <v>1845</v>
      </c>
      <c r="J857" s="15" t="s">
        <v>3548</v>
      </c>
      <c r="K857" s="14" t="s">
        <v>3547</v>
      </c>
      <c r="L857" s="11" t="s">
        <v>38</v>
      </c>
      <c r="M857" s="15"/>
      <c r="N857" s="17">
        <v>3300</v>
      </c>
      <c r="O857" s="17"/>
      <c r="P857" s="17"/>
      <c r="Q857" s="48"/>
      <c r="R857" s="11"/>
      <c r="S857" s="48"/>
      <c r="T857" s="85"/>
      <c r="U857" s="88"/>
      <c r="V857" s="32" t="s">
        <v>3549</v>
      </c>
      <c r="W857" s="25" t="s">
        <v>8</v>
      </c>
      <c r="X857" s="11"/>
      <c r="Y857" s="50" t="s">
        <v>18</v>
      </c>
      <c r="Z857" s="50"/>
      <c r="AA857" s="50"/>
      <c r="AB857" s="50"/>
      <c r="AC857" s="50"/>
      <c r="AD857" s="50"/>
      <c r="AE857" s="50"/>
      <c r="AF857" s="34"/>
      <c r="AG857" s="34"/>
      <c r="AH857" s="34"/>
      <c r="AI857" s="34"/>
      <c r="AJ857" s="34"/>
      <c r="AK857" s="34"/>
      <c r="AL857" s="34"/>
      <c r="AM857" s="34"/>
      <c r="AN857" s="34"/>
      <c r="AO857" s="65"/>
      <c r="AP857" s="69"/>
      <c r="AQ857" s="62"/>
      <c r="AR857" s="34"/>
    </row>
    <row r="858" spans="1:44" customFormat="1">
      <c r="A858" s="39">
        <v>44332</v>
      </c>
      <c r="B858" s="11" t="s">
        <v>22</v>
      </c>
      <c r="C858" s="16" t="s">
        <v>3550</v>
      </c>
      <c r="D858" s="16"/>
      <c r="E858" s="38">
        <v>36732</v>
      </c>
      <c r="F858" s="38"/>
      <c r="G858" s="10" t="s">
        <v>3551</v>
      </c>
      <c r="H858" s="12" t="s">
        <v>3552</v>
      </c>
      <c r="I858" s="13" t="s">
        <v>3553</v>
      </c>
      <c r="J858" s="15" t="s">
        <v>3554</v>
      </c>
      <c r="K858" s="14" t="s">
        <v>3556</v>
      </c>
      <c r="L858" s="11" t="s">
        <v>38</v>
      </c>
      <c r="M858" s="15"/>
      <c r="N858" s="17">
        <v>3300</v>
      </c>
      <c r="O858" s="17"/>
      <c r="P858" s="17"/>
      <c r="Q858" s="48"/>
      <c r="R858" s="11"/>
      <c r="S858" s="48"/>
      <c r="T858" s="85"/>
      <c r="U858" s="88"/>
      <c r="V858" s="32" t="s">
        <v>3555</v>
      </c>
      <c r="W858" s="25" t="s">
        <v>10</v>
      </c>
      <c r="X858" s="11"/>
      <c r="Y858" s="50" t="s">
        <v>12</v>
      </c>
      <c r="Z858" s="50"/>
      <c r="AA858" s="50"/>
      <c r="AB858" s="50"/>
      <c r="AC858" s="50"/>
      <c r="AD858" s="50"/>
      <c r="AE858" s="50"/>
      <c r="AF858" s="34"/>
      <c r="AG858" s="34"/>
      <c r="AH858" s="34"/>
      <c r="AI858" s="34"/>
      <c r="AJ858" s="34"/>
      <c r="AK858" s="34"/>
      <c r="AL858" s="34"/>
      <c r="AM858" s="34"/>
      <c r="AN858" s="34"/>
      <c r="AO858" s="65"/>
      <c r="AP858" s="69"/>
      <c r="AQ858" s="62"/>
      <c r="AR858" s="34"/>
    </row>
    <row r="859" spans="1:44" customFormat="1">
      <c r="A859" s="39">
        <v>44333</v>
      </c>
      <c r="B859" s="11" t="s">
        <v>22</v>
      </c>
      <c r="C859" s="16" t="s">
        <v>3557</v>
      </c>
      <c r="D859" s="16"/>
      <c r="E859" s="38">
        <v>23019</v>
      </c>
      <c r="F859" s="38"/>
      <c r="G859" s="10" t="s">
        <v>2100</v>
      </c>
      <c r="H859" s="12" t="s">
        <v>3558</v>
      </c>
      <c r="I859" s="13" t="s">
        <v>2919</v>
      </c>
      <c r="J859" s="15" t="s">
        <v>3559</v>
      </c>
      <c r="K859" s="12"/>
      <c r="L859" s="11"/>
      <c r="M859" s="15"/>
      <c r="N859" s="17">
        <v>3300</v>
      </c>
      <c r="O859" s="17"/>
      <c r="P859" s="17"/>
      <c r="Q859" s="48"/>
      <c r="R859" s="11"/>
      <c r="S859" s="48"/>
      <c r="T859" s="85"/>
      <c r="U859" s="88"/>
      <c r="V859" s="32"/>
      <c r="W859" s="25" t="s">
        <v>10</v>
      </c>
      <c r="X859" s="11"/>
      <c r="Y859" s="50" t="s">
        <v>11</v>
      </c>
      <c r="Z859" s="50"/>
      <c r="AA859" s="50"/>
      <c r="AB859" s="50"/>
      <c r="AC859" s="50"/>
      <c r="AD859" s="50"/>
      <c r="AE859" s="50"/>
      <c r="AF859" s="34"/>
      <c r="AG859" s="34"/>
      <c r="AH859" s="34"/>
      <c r="AI859" s="34"/>
      <c r="AJ859" s="34"/>
      <c r="AK859" s="34"/>
      <c r="AL859" s="34"/>
      <c r="AM859" s="34"/>
      <c r="AN859" s="34"/>
      <c r="AO859" s="65"/>
      <c r="AP859" s="69"/>
      <c r="AQ859" s="62"/>
      <c r="AR859" s="34"/>
    </row>
    <row r="860" spans="1:44" customFormat="1">
      <c r="A860" s="39">
        <v>44336</v>
      </c>
      <c r="B860" s="11" t="s">
        <v>49</v>
      </c>
      <c r="C860" s="16" t="s">
        <v>3540</v>
      </c>
      <c r="D860" s="16"/>
      <c r="E860" s="38"/>
      <c r="F860" s="38"/>
      <c r="G860" s="10"/>
      <c r="H860" s="12"/>
      <c r="I860" s="13"/>
      <c r="J860" s="15"/>
      <c r="K860" s="12"/>
      <c r="L860" s="11"/>
      <c r="M860" s="15"/>
      <c r="N860" s="17">
        <v>16500</v>
      </c>
      <c r="O860" s="17"/>
      <c r="P860" s="17"/>
      <c r="Q860" s="48"/>
      <c r="R860" s="11"/>
      <c r="S860" s="48"/>
      <c r="T860" s="85"/>
      <c r="U860" s="88"/>
      <c r="V860" s="32"/>
      <c r="W860" s="25"/>
      <c r="X860" s="11"/>
      <c r="Y860" s="50"/>
      <c r="Z860" s="50"/>
      <c r="AA860" s="50"/>
      <c r="AB860" s="50"/>
      <c r="AC860" s="50"/>
      <c r="AD860" s="50"/>
      <c r="AE860" s="50"/>
      <c r="AF860" s="34"/>
      <c r="AG860" s="34"/>
      <c r="AH860" s="34"/>
      <c r="AI860" s="34"/>
      <c r="AJ860" s="34"/>
      <c r="AK860" s="34"/>
      <c r="AL860" s="34"/>
      <c r="AM860" s="34"/>
      <c r="AN860" s="34"/>
      <c r="AO860" s="65"/>
      <c r="AP860" s="69"/>
      <c r="AQ860" s="62"/>
      <c r="AR860" s="34"/>
    </row>
    <row r="861" spans="1:44" customFormat="1">
      <c r="A861" s="39">
        <v>44337</v>
      </c>
      <c r="B861" s="11" t="s">
        <v>49</v>
      </c>
      <c r="C861" s="16" t="s">
        <v>380</v>
      </c>
      <c r="D861" s="16"/>
      <c r="E861" s="38">
        <v>19562</v>
      </c>
      <c r="F861" s="38"/>
      <c r="G861" s="10" t="s">
        <v>377</v>
      </c>
      <c r="H861" s="12" t="s">
        <v>378</v>
      </c>
      <c r="I861" s="13" t="s">
        <v>1672</v>
      </c>
      <c r="J861" s="15" t="s">
        <v>379</v>
      </c>
      <c r="K861" s="12"/>
      <c r="L861" s="11" t="s">
        <v>36</v>
      </c>
      <c r="M861" s="15"/>
      <c r="N861" s="17">
        <v>15000</v>
      </c>
      <c r="O861" s="17"/>
      <c r="P861" s="17"/>
      <c r="Q861" s="48"/>
      <c r="R861" s="11"/>
      <c r="S861" s="48"/>
      <c r="T861" s="85"/>
      <c r="U861" s="88"/>
      <c r="V861" s="32"/>
      <c r="W861" s="25" t="s">
        <v>8</v>
      </c>
      <c r="X861" s="11"/>
      <c r="Y861" s="50" t="s">
        <v>12</v>
      </c>
      <c r="Z861" s="50"/>
      <c r="AA861" s="50"/>
      <c r="AB861" s="50"/>
      <c r="AC861" s="50"/>
      <c r="AD861" s="50"/>
      <c r="AE861" s="50"/>
      <c r="AF861" s="34"/>
      <c r="AG861" s="34"/>
      <c r="AH861" s="34"/>
      <c r="AI861" s="34"/>
      <c r="AJ861" s="34"/>
      <c r="AK861" s="34"/>
      <c r="AL861" s="34"/>
      <c r="AM861" s="34"/>
      <c r="AN861" s="34"/>
      <c r="AO861" s="65"/>
      <c r="AP861" s="69"/>
      <c r="AQ861" s="62"/>
      <c r="AR861" s="34"/>
    </row>
    <row r="862" spans="1:44" customFormat="1">
      <c r="A862" s="39">
        <v>44337</v>
      </c>
      <c r="B862" s="11" t="s">
        <v>22</v>
      </c>
      <c r="C862" s="16" t="s">
        <v>3560</v>
      </c>
      <c r="D862" s="16"/>
      <c r="E862" s="38">
        <v>37778</v>
      </c>
      <c r="F862" s="38"/>
      <c r="G862" s="10" t="s">
        <v>617</v>
      </c>
      <c r="H862" s="12" t="s">
        <v>3561</v>
      </c>
      <c r="I862" s="13" t="s">
        <v>1684</v>
      </c>
      <c r="J862" s="15" t="s">
        <v>3562</v>
      </c>
      <c r="K862" s="12"/>
      <c r="L862" s="11" t="s">
        <v>38</v>
      </c>
      <c r="M862" s="15" t="s">
        <v>3577</v>
      </c>
      <c r="N862" s="17">
        <v>3300</v>
      </c>
      <c r="O862" s="17"/>
      <c r="P862" s="17"/>
      <c r="Q862" s="48"/>
      <c r="R862" s="11"/>
      <c r="S862" s="48"/>
      <c r="T862" s="85" t="s">
        <v>8079</v>
      </c>
      <c r="U862" s="88"/>
      <c r="V862" s="32" t="s">
        <v>3563</v>
      </c>
      <c r="W862" s="25" t="s">
        <v>48</v>
      </c>
      <c r="X862" s="11"/>
      <c r="Y862" s="50" t="s">
        <v>18</v>
      </c>
      <c r="Z862" s="50"/>
      <c r="AA862" s="50"/>
      <c r="AB862" s="50"/>
      <c r="AC862" s="50"/>
      <c r="AD862" s="50"/>
      <c r="AE862" s="50"/>
      <c r="AF862" s="34"/>
      <c r="AG862" s="34"/>
      <c r="AH862" s="34"/>
      <c r="AI862" s="34"/>
      <c r="AJ862" s="34"/>
      <c r="AK862" s="34"/>
      <c r="AL862" s="34"/>
      <c r="AM862" s="34"/>
      <c r="AN862" s="34"/>
      <c r="AO862" s="65"/>
      <c r="AP862" s="69"/>
      <c r="AQ862" s="62" t="s">
        <v>8079</v>
      </c>
      <c r="AR862" s="34"/>
    </row>
    <row r="863" spans="1:44" customFormat="1">
      <c r="A863" s="39">
        <v>44338</v>
      </c>
      <c r="B863" s="11" t="s">
        <v>49</v>
      </c>
      <c r="C863" s="16" t="s">
        <v>3564</v>
      </c>
      <c r="D863" s="16"/>
      <c r="E863" s="38">
        <v>39560</v>
      </c>
      <c r="F863" s="38"/>
      <c r="G863" s="10" t="s">
        <v>3565</v>
      </c>
      <c r="H863" s="12" t="s">
        <v>3566</v>
      </c>
      <c r="I863" s="13" t="s">
        <v>3567</v>
      </c>
      <c r="J863" s="15" t="s">
        <v>3568</v>
      </c>
      <c r="K863" s="12"/>
      <c r="L863" s="11" t="s">
        <v>38</v>
      </c>
      <c r="M863" s="15" t="s">
        <v>3577</v>
      </c>
      <c r="N863" s="17">
        <v>22000</v>
      </c>
      <c r="O863" s="17"/>
      <c r="P863" s="17"/>
      <c r="Q863" s="48"/>
      <c r="R863" s="11"/>
      <c r="S863" s="48"/>
      <c r="T863" s="85"/>
      <c r="U863" s="88"/>
      <c r="V863" s="32"/>
      <c r="W863" s="25" t="s">
        <v>48</v>
      </c>
      <c r="X863" s="11"/>
      <c r="Y863" s="50" t="s">
        <v>12</v>
      </c>
      <c r="Z863" s="50"/>
      <c r="AA863" s="50"/>
      <c r="AB863" s="50"/>
      <c r="AC863" s="50"/>
      <c r="AD863" s="50"/>
      <c r="AE863" s="50"/>
      <c r="AF863" s="34"/>
      <c r="AG863" s="34"/>
      <c r="AH863" s="34"/>
      <c r="AI863" s="34"/>
      <c r="AJ863" s="34"/>
      <c r="AK863" s="34"/>
      <c r="AL863" s="34"/>
      <c r="AM863" s="34"/>
      <c r="AN863" s="34"/>
      <c r="AO863" s="65"/>
      <c r="AP863" s="69"/>
      <c r="AQ863" s="62"/>
      <c r="AR863" s="34"/>
    </row>
    <row r="864" spans="1:44" customFormat="1">
      <c r="A864" s="39">
        <v>44339</v>
      </c>
      <c r="B864" s="11" t="s">
        <v>49</v>
      </c>
      <c r="C864" s="16" t="s">
        <v>3570</v>
      </c>
      <c r="D864" s="16"/>
      <c r="E864" s="38">
        <v>35958</v>
      </c>
      <c r="F864" s="38"/>
      <c r="G864" s="10" t="s">
        <v>358</v>
      </c>
      <c r="H864" s="12" t="s">
        <v>3571</v>
      </c>
      <c r="I864" s="13" t="s">
        <v>2209</v>
      </c>
      <c r="J864" s="15" t="s">
        <v>3573</v>
      </c>
      <c r="K864" s="12"/>
      <c r="L864" s="11" t="s">
        <v>38</v>
      </c>
      <c r="M864" s="15" t="s">
        <v>3576</v>
      </c>
      <c r="N864" s="17">
        <v>3300</v>
      </c>
      <c r="O864" s="17"/>
      <c r="P864" s="17"/>
      <c r="Q864" s="48"/>
      <c r="R864" s="11"/>
      <c r="S864" s="48"/>
      <c r="T864" s="85"/>
      <c r="U864" s="88"/>
      <c r="V864" s="32"/>
      <c r="W864" s="25" t="s">
        <v>10</v>
      </c>
      <c r="X864" s="11"/>
      <c r="Y864" s="50" t="s">
        <v>18</v>
      </c>
      <c r="Z864" s="50"/>
      <c r="AA864" s="50"/>
      <c r="AB864" s="50"/>
      <c r="AC864" s="50"/>
      <c r="AD864" s="50"/>
      <c r="AE864" s="50"/>
      <c r="AF864" s="34"/>
      <c r="AG864" s="34"/>
      <c r="AH864" s="34"/>
      <c r="AI864" s="34"/>
      <c r="AJ864" s="34"/>
      <c r="AK864" s="34"/>
      <c r="AL864" s="34"/>
      <c r="AM864" s="34"/>
      <c r="AN864" s="34"/>
      <c r="AO864" s="65"/>
      <c r="AP864" s="69"/>
      <c r="AQ864" s="62"/>
      <c r="AR864" s="34"/>
    </row>
    <row r="865" spans="1:44" customFormat="1">
      <c r="A865" s="39">
        <v>44339</v>
      </c>
      <c r="B865" s="11" t="s">
        <v>49</v>
      </c>
      <c r="C865" s="16" t="s">
        <v>3575</v>
      </c>
      <c r="D865" s="16"/>
      <c r="E865" s="38">
        <v>34715</v>
      </c>
      <c r="F865" s="38"/>
      <c r="G865" s="10" t="s">
        <v>3572</v>
      </c>
      <c r="H865" s="12" t="s">
        <v>3571</v>
      </c>
      <c r="I865" s="13" t="s">
        <v>2209</v>
      </c>
      <c r="J865" s="15" t="s">
        <v>3574</v>
      </c>
      <c r="K865" s="12"/>
      <c r="L865" s="11" t="s">
        <v>36</v>
      </c>
      <c r="M865" s="15" t="s">
        <v>3576</v>
      </c>
      <c r="N865" s="17">
        <v>3300</v>
      </c>
      <c r="O865" s="17"/>
      <c r="P865" s="17"/>
      <c r="Q865" s="48"/>
      <c r="R865" s="11"/>
      <c r="S865" s="48"/>
      <c r="T865" s="85"/>
      <c r="U865" s="88"/>
      <c r="V865" s="32"/>
      <c r="W865" s="25" t="s">
        <v>10</v>
      </c>
      <c r="X865" s="11"/>
      <c r="Y865" s="50" t="s">
        <v>14</v>
      </c>
      <c r="Z865" s="50"/>
      <c r="AA865" s="50"/>
      <c r="AB865" s="50"/>
      <c r="AC865" s="50"/>
      <c r="AD865" s="50"/>
      <c r="AE865" s="50"/>
      <c r="AF865" s="34"/>
      <c r="AG865" s="34"/>
      <c r="AH865" s="34"/>
      <c r="AI865" s="34"/>
      <c r="AJ865" s="34"/>
      <c r="AK865" s="34"/>
      <c r="AL865" s="34"/>
      <c r="AM865" s="34"/>
      <c r="AN865" s="34"/>
      <c r="AO865" s="65"/>
      <c r="AP865" s="69"/>
      <c r="AQ865" s="62"/>
      <c r="AR865" s="34"/>
    </row>
    <row r="866" spans="1:44" customFormat="1">
      <c r="A866" s="39">
        <v>44342</v>
      </c>
      <c r="B866" s="11" t="s">
        <v>49</v>
      </c>
      <c r="C866" s="16" t="s">
        <v>3578</v>
      </c>
      <c r="D866" s="16"/>
      <c r="E866" s="38">
        <v>19197</v>
      </c>
      <c r="F866" s="38"/>
      <c r="G866" s="10" t="s">
        <v>3579</v>
      </c>
      <c r="H866" s="12" t="s">
        <v>3580</v>
      </c>
      <c r="I866" s="13" t="s">
        <v>3581</v>
      </c>
      <c r="J866" s="15" t="s">
        <v>3583</v>
      </c>
      <c r="K866" s="14" t="s">
        <v>3582</v>
      </c>
      <c r="L866" s="11" t="s">
        <v>33</v>
      </c>
      <c r="M866" s="15" t="s">
        <v>3584</v>
      </c>
      <c r="N866" s="17">
        <v>16500</v>
      </c>
      <c r="O866" s="17"/>
      <c r="P866" s="17"/>
      <c r="Q866" s="48"/>
      <c r="R866" s="11"/>
      <c r="S866" s="48"/>
      <c r="T866" s="85"/>
      <c r="U866" s="88"/>
      <c r="V866" s="32"/>
      <c r="W866" s="25" t="s">
        <v>48</v>
      </c>
      <c r="X866" s="11"/>
      <c r="Y866" s="50" t="s">
        <v>13</v>
      </c>
      <c r="Z866" s="50"/>
      <c r="AA866" s="50"/>
      <c r="AB866" s="50"/>
      <c r="AC866" s="50"/>
      <c r="AD866" s="50"/>
      <c r="AE866" s="50"/>
      <c r="AF866" s="34"/>
      <c r="AG866" s="34"/>
      <c r="AH866" s="34"/>
      <c r="AI866" s="34"/>
      <c r="AJ866" s="34"/>
      <c r="AK866" s="34"/>
      <c r="AL866" s="34"/>
      <c r="AM866" s="34"/>
      <c r="AN866" s="34"/>
      <c r="AO866" s="65"/>
      <c r="AP866" s="69"/>
      <c r="AQ866" s="62"/>
      <c r="AR866" s="34"/>
    </row>
    <row r="867" spans="1:44" customFormat="1">
      <c r="A867" s="39">
        <v>44344</v>
      </c>
      <c r="B867" s="11" t="s">
        <v>22</v>
      </c>
      <c r="C867" s="16" t="s">
        <v>3585</v>
      </c>
      <c r="D867" s="16"/>
      <c r="E867" s="38">
        <v>23600</v>
      </c>
      <c r="F867" s="38"/>
      <c r="G867" s="10" t="s">
        <v>358</v>
      </c>
      <c r="H867" s="12" t="s">
        <v>3586</v>
      </c>
      <c r="I867" s="13" t="s">
        <v>2025</v>
      </c>
      <c r="J867" s="15" t="s">
        <v>3587</v>
      </c>
      <c r="K867" s="12"/>
      <c r="L867" s="11" t="s">
        <v>33</v>
      </c>
      <c r="M867" s="15" t="s">
        <v>3576</v>
      </c>
      <c r="N867" s="17">
        <v>3300</v>
      </c>
      <c r="O867" s="17"/>
      <c r="P867" s="17"/>
      <c r="Q867" s="48"/>
      <c r="R867" s="11"/>
      <c r="S867" s="48"/>
      <c r="T867" s="85" t="s">
        <v>8079</v>
      </c>
      <c r="U867" s="88"/>
      <c r="V867" s="32" t="s">
        <v>3593</v>
      </c>
      <c r="W867" s="25" t="s">
        <v>48</v>
      </c>
      <c r="X867" s="11"/>
      <c r="Y867" s="50" t="s">
        <v>11</v>
      </c>
      <c r="Z867" s="50"/>
      <c r="AA867" s="50"/>
      <c r="AB867" s="50"/>
      <c r="AC867" s="50"/>
      <c r="AD867" s="50"/>
      <c r="AE867" s="50"/>
      <c r="AF867" s="34"/>
      <c r="AG867" s="34"/>
      <c r="AH867" s="34"/>
      <c r="AI867" s="34"/>
      <c r="AJ867" s="34"/>
      <c r="AK867" s="34"/>
      <c r="AL867" s="34"/>
      <c r="AM867" s="34"/>
      <c r="AN867" s="34"/>
      <c r="AO867" s="65"/>
      <c r="AP867" s="69"/>
      <c r="AQ867" s="62" t="s">
        <v>8079</v>
      </c>
      <c r="AR867" s="34"/>
    </row>
    <row r="868" spans="1:44" customFormat="1">
      <c r="A868" s="39">
        <v>44345</v>
      </c>
      <c r="B868" s="11" t="s">
        <v>22</v>
      </c>
      <c r="C868" s="16" t="s">
        <v>3588</v>
      </c>
      <c r="D868" s="16"/>
      <c r="E868" s="38">
        <v>26946</v>
      </c>
      <c r="F868" s="38"/>
      <c r="G868" s="10" t="s">
        <v>999</v>
      </c>
      <c r="H868" s="12" t="s">
        <v>3589</v>
      </c>
      <c r="I868" s="13" t="s">
        <v>3590</v>
      </c>
      <c r="J868" s="15" t="s">
        <v>3592</v>
      </c>
      <c r="K868" s="14" t="s">
        <v>3591</v>
      </c>
      <c r="L868" s="11" t="s">
        <v>33</v>
      </c>
      <c r="M868" s="15" t="s">
        <v>3584</v>
      </c>
      <c r="N868" s="17">
        <v>3300</v>
      </c>
      <c r="O868" s="17"/>
      <c r="P868" s="17"/>
      <c r="Q868" s="48"/>
      <c r="R868" s="11"/>
      <c r="S868" s="48"/>
      <c r="T868" s="85" t="s">
        <v>8079</v>
      </c>
      <c r="U868" s="88"/>
      <c r="V868" s="32" t="s">
        <v>3563</v>
      </c>
      <c r="W868" s="25" t="s">
        <v>48</v>
      </c>
      <c r="X868" s="11"/>
      <c r="Y868" s="50" t="s">
        <v>11</v>
      </c>
      <c r="Z868" s="50"/>
      <c r="AA868" s="50"/>
      <c r="AB868" s="50"/>
      <c r="AC868" s="50"/>
      <c r="AD868" s="50"/>
      <c r="AE868" s="50"/>
      <c r="AF868" s="34"/>
      <c r="AG868" s="34"/>
      <c r="AH868" s="34"/>
      <c r="AI868" s="34"/>
      <c r="AJ868" s="34"/>
      <c r="AK868" s="34"/>
      <c r="AL868" s="34"/>
      <c r="AM868" s="34"/>
      <c r="AN868" s="34"/>
      <c r="AO868" s="65"/>
      <c r="AP868" s="69"/>
      <c r="AQ868" s="62" t="s">
        <v>8079</v>
      </c>
      <c r="AR868" s="34"/>
    </row>
    <row r="869" spans="1:44" customFormat="1">
      <c r="A869" s="39">
        <v>44345</v>
      </c>
      <c r="B869" s="11" t="s">
        <v>2170</v>
      </c>
      <c r="C869" s="16" t="s">
        <v>2849</v>
      </c>
      <c r="D869" s="16"/>
      <c r="E869" s="38"/>
      <c r="F869" s="38"/>
      <c r="G869" s="10"/>
      <c r="H869" s="12"/>
      <c r="I869" s="13"/>
      <c r="J869" s="15"/>
      <c r="K869" s="12"/>
      <c r="L869" s="11"/>
      <c r="M869" s="15"/>
      <c r="N869" s="17">
        <v>3300</v>
      </c>
      <c r="O869" s="17"/>
      <c r="P869" s="17"/>
      <c r="Q869" s="48"/>
      <c r="R869" s="11"/>
      <c r="S869" s="48"/>
      <c r="T869" s="85"/>
      <c r="U869" s="88"/>
      <c r="V869" s="32" t="s">
        <v>3594</v>
      </c>
      <c r="W869" s="25"/>
      <c r="X869" s="11"/>
      <c r="Y869" s="50"/>
      <c r="Z869" s="50"/>
      <c r="AA869" s="50"/>
      <c r="AB869" s="50"/>
      <c r="AC869" s="50"/>
      <c r="AD869" s="50"/>
      <c r="AE869" s="50"/>
      <c r="AF869" s="34"/>
      <c r="AG869" s="34"/>
      <c r="AH869" s="34"/>
      <c r="AI869" s="34"/>
      <c r="AJ869" s="34"/>
      <c r="AK869" s="34"/>
      <c r="AL869" s="34"/>
      <c r="AM869" s="34"/>
      <c r="AN869" s="34"/>
      <c r="AO869" s="65"/>
      <c r="AP869" s="69"/>
      <c r="AQ869" s="62"/>
      <c r="AR869" s="34"/>
    </row>
    <row r="870" spans="1:44" customFormat="1">
      <c r="A870" s="39">
        <v>44345</v>
      </c>
      <c r="B870" s="11" t="s">
        <v>2170</v>
      </c>
      <c r="C870" s="16" t="s">
        <v>3304</v>
      </c>
      <c r="D870" s="16"/>
      <c r="E870" s="38"/>
      <c r="F870" s="38"/>
      <c r="G870" s="10"/>
      <c r="H870" s="12"/>
      <c r="I870" s="13"/>
      <c r="J870" s="15"/>
      <c r="K870" s="12"/>
      <c r="L870" s="11"/>
      <c r="M870" s="15"/>
      <c r="N870" s="17">
        <v>8250</v>
      </c>
      <c r="O870" s="17"/>
      <c r="P870" s="17"/>
      <c r="Q870" s="48"/>
      <c r="R870" s="11"/>
      <c r="S870" s="48"/>
      <c r="T870" s="85"/>
      <c r="U870" s="90">
        <v>44420</v>
      </c>
      <c r="V870" s="32" t="s">
        <v>3600</v>
      </c>
      <c r="W870" s="25"/>
      <c r="X870" s="11"/>
      <c r="Y870" s="50"/>
      <c r="Z870" s="50"/>
      <c r="AA870" s="50"/>
      <c r="AB870" s="50"/>
      <c r="AC870" s="50"/>
      <c r="AD870" s="50"/>
      <c r="AE870" s="50"/>
      <c r="AF870" s="34"/>
      <c r="AG870" s="34"/>
      <c r="AH870" s="34"/>
      <c r="AI870" s="34"/>
      <c r="AJ870" s="34"/>
      <c r="AK870" s="34"/>
      <c r="AL870" s="34"/>
      <c r="AM870" s="34"/>
      <c r="AN870" s="34"/>
      <c r="AO870" s="65"/>
      <c r="AP870" s="69"/>
      <c r="AQ870" s="62"/>
      <c r="AR870" s="79">
        <v>44420</v>
      </c>
    </row>
    <row r="871" spans="1:44" customFormat="1">
      <c r="A871" s="39">
        <v>44345</v>
      </c>
      <c r="B871" s="11" t="s">
        <v>22</v>
      </c>
      <c r="C871" s="16" t="s">
        <v>3595</v>
      </c>
      <c r="D871" s="16"/>
      <c r="E871" s="38">
        <v>33523</v>
      </c>
      <c r="F871" s="38"/>
      <c r="G871" s="10" t="s">
        <v>3596</v>
      </c>
      <c r="H871" s="12" t="s">
        <v>3597</v>
      </c>
      <c r="I871" s="13" t="s">
        <v>2185</v>
      </c>
      <c r="J871" s="15" t="s">
        <v>3598</v>
      </c>
      <c r="K871" s="12"/>
      <c r="L871" s="11" t="s">
        <v>36</v>
      </c>
      <c r="M871" s="15" t="s">
        <v>3599</v>
      </c>
      <c r="N871" s="17">
        <v>3300</v>
      </c>
      <c r="O871" s="17"/>
      <c r="P871" s="17"/>
      <c r="Q871" s="48"/>
      <c r="R871" s="11"/>
      <c r="S871" s="48"/>
      <c r="T871" s="85"/>
      <c r="U871" s="90">
        <v>44420</v>
      </c>
      <c r="V871" s="32"/>
      <c r="W871" s="25" t="s">
        <v>8</v>
      </c>
      <c r="X871" s="11"/>
      <c r="Y871" s="50" t="s">
        <v>20</v>
      </c>
      <c r="Z871" s="50"/>
      <c r="AA871" s="50"/>
      <c r="AB871" s="50"/>
      <c r="AC871" s="50"/>
      <c r="AD871" s="50"/>
      <c r="AE871" s="50"/>
      <c r="AF871" s="34"/>
      <c r="AG871" s="34"/>
      <c r="AH871" s="34"/>
      <c r="AI871" s="34"/>
      <c r="AJ871" s="34"/>
      <c r="AK871" s="34"/>
      <c r="AL871" s="34"/>
      <c r="AM871" s="34"/>
      <c r="AN871" s="34"/>
      <c r="AO871" s="65"/>
      <c r="AP871" s="69"/>
      <c r="AQ871" s="62"/>
      <c r="AR871" s="79">
        <v>44420</v>
      </c>
    </row>
    <row r="872" spans="1:44" customFormat="1">
      <c r="A872" s="39">
        <v>44346</v>
      </c>
      <c r="B872" s="11" t="s">
        <v>49</v>
      </c>
      <c r="C872" s="16" t="s">
        <v>3601</v>
      </c>
      <c r="D872" s="16"/>
      <c r="E872" s="38">
        <v>16047</v>
      </c>
      <c r="F872" s="38"/>
      <c r="G872" s="10" t="s">
        <v>3604</v>
      </c>
      <c r="H872" s="12" t="s">
        <v>3602</v>
      </c>
      <c r="I872" s="13" t="s">
        <v>3603</v>
      </c>
      <c r="J872" s="15" t="s">
        <v>3605</v>
      </c>
      <c r="K872" s="12"/>
      <c r="L872" s="11" t="s">
        <v>34</v>
      </c>
      <c r="M872" s="15" t="s">
        <v>3599</v>
      </c>
      <c r="N872" s="17">
        <v>11000</v>
      </c>
      <c r="O872" s="17"/>
      <c r="P872" s="17"/>
      <c r="Q872" s="48"/>
      <c r="R872" s="11"/>
      <c r="S872" s="48"/>
      <c r="T872" s="85"/>
      <c r="U872" s="88"/>
      <c r="V872" s="32" t="s">
        <v>950</v>
      </c>
      <c r="W872" s="25" t="s">
        <v>8</v>
      </c>
      <c r="X872" s="11"/>
      <c r="Y872" s="50" t="s">
        <v>14</v>
      </c>
      <c r="Z872" s="50"/>
      <c r="AA872" s="50"/>
      <c r="AB872" s="50"/>
      <c r="AC872" s="50"/>
      <c r="AD872" s="50"/>
      <c r="AE872" s="50"/>
      <c r="AF872" s="34"/>
      <c r="AG872" s="34"/>
      <c r="AH872" s="34"/>
      <c r="AI872" s="34"/>
      <c r="AJ872" s="34"/>
      <c r="AK872" s="34"/>
      <c r="AL872" s="34"/>
      <c r="AM872" s="34"/>
      <c r="AN872" s="34"/>
      <c r="AO872" s="65"/>
      <c r="AP872" s="69"/>
      <c r="AQ872" s="62"/>
      <c r="AR872" s="34"/>
    </row>
    <row r="873" spans="1:44" customFormat="1">
      <c r="A873" s="39">
        <v>44351</v>
      </c>
      <c r="B873" s="11" t="s">
        <v>49</v>
      </c>
      <c r="C873" s="16" t="s">
        <v>3608</v>
      </c>
      <c r="D873" s="16"/>
      <c r="E873" s="38">
        <v>23297</v>
      </c>
      <c r="F873" s="38"/>
      <c r="G873" s="10" t="s">
        <v>3609</v>
      </c>
      <c r="H873" s="12" t="s">
        <v>3610</v>
      </c>
      <c r="I873" s="13">
        <v>30.3</v>
      </c>
      <c r="J873" s="15" t="s">
        <v>3611</v>
      </c>
      <c r="K873" s="14" t="s">
        <v>3612</v>
      </c>
      <c r="L873" s="11" t="s">
        <v>33</v>
      </c>
      <c r="M873" s="15" t="s">
        <v>3584</v>
      </c>
      <c r="N873" s="17">
        <v>11000</v>
      </c>
      <c r="O873" s="17"/>
      <c r="P873" s="17"/>
      <c r="Q873" s="48"/>
      <c r="R873" s="11"/>
      <c r="S873" s="48"/>
      <c r="T873" s="85"/>
      <c r="U873" s="88"/>
      <c r="V873" s="32" t="s">
        <v>950</v>
      </c>
      <c r="W873" s="25" t="s">
        <v>8</v>
      </c>
      <c r="X873" s="11"/>
      <c r="Y873" s="50"/>
      <c r="Z873" s="50"/>
      <c r="AA873" s="50"/>
      <c r="AB873" s="50"/>
      <c r="AC873" s="50"/>
      <c r="AD873" s="50"/>
      <c r="AE873" s="50"/>
      <c r="AF873" s="34"/>
      <c r="AG873" s="34"/>
      <c r="AH873" s="34"/>
      <c r="AI873" s="34"/>
      <c r="AJ873" s="34"/>
      <c r="AK873" s="34"/>
      <c r="AL873" s="34"/>
      <c r="AM873" s="34"/>
      <c r="AN873" s="34"/>
      <c r="AO873" s="65"/>
      <c r="AP873" s="69"/>
      <c r="AQ873" s="62"/>
      <c r="AR873" s="34"/>
    </row>
    <row r="874" spans="1:44" customFormat="1">
      <c r="A874" s="39">
        <v>44352</v>
      </c>
      <c r="B874" s="11" t="s">
        <v>22</v>
      </c>
      <c r="C874" s="16" t="s">
        <v>3613</v>
      </c>
      <c r="D874" s="16"/>
      <c r="E874" s="38">
        <v>26686</v>
      </c>
      <c r="F874" s="38"/>
      <c r="G874" s="10" t="s">
        <v>307</v>
      </c>
      <c r="H874" s="12" t="s">
        <v>3614</v>
      </c>
      <c r="I874" s="13" t="s">
        <v>2069</v>
      </c>
      <c r="J874" s="15" t="s">
        <v>3615</v>
      </c>
      <c r="K874" s="12"/>
      <c r="L874" s="11" t="s">
        <v>33</v>
      </c>
      <c r="M874" s="15" t="s">
        <v>3599</v>
      </c>
      <c r="N874" s="17">
        <v>3300</v>
      </c>
      <c r="O874" s="17"/>
      <c r="P874" s="17"/>
      <c r="Q874" s="48"/>
      <c r="R874" s="11"/>
      <c r="S874" s="48"/>
      <c r="T874" s="85"/>
      <c r="U874" s="90">
        <v>44420</v>
      </c>
      <c r="V874" s="32" t="s">
        <v>3616</v>
      </c>
      <c r="W874" s="25" t="s">
        <v>9</v>
      </c>
      <c r="X874" s="11"/>
      <c r="Y874" s="50"/>
      <c r="Z874" s="50"/>
      <c r="AA874" s="50"/>
      <c r="AB874" s="50"/>
      <c r="AC874" s="50"/>
      <c r="AD874" s="50"/>
      <c r="AE874" s="50"/>
      <c r="AF874" s="34"/>
      <c r="AG874" s="34"/>
      <c r="AH874" s="34"/>
      <c r="AI874" s="34"/>
      <c r="AJ874" s="34"/>
      <c r="AK874" s="34"/>
      <c r="AL874" s="34"/>
      <c r="AM874" s="34"/>
      <c r="AN874" s="34"/>
      <c r="AO874" s="65"/>
      <c r="AP874" s="69"/>
      <c r="AQ874" s="62"/>
      <c r="AR874" s="79">
        <v>44420</v>
      </c>
    </row>
    <row r="875" spans="1:44" customFormat="1">
      <c r="A875" s="39">
        <v>44358</v>
      </c>
      <c r="B875" s="11" t="s">
        <v>49</v>
      </c>
      <c r="C875" s="16" t="s">
        <v>3617</v>
      </c>
      <c r="D875" s="16"/>
      <c r="E875" s="38">
        <v>27298</v>
      </c>
      <c r="F875" s="38"/>
      <c r="G875" s="10" t="s">
        <v>2223</v>
      </c>
      <c r="H875" s="12" t="s">
        <v>3618</v>
      </c>
      <c r="I875" s="13" t="s">
        <v>3619</v>
      </c>
      <c r="J875" s="15" t="s">
        <v>3621</v>
      </c>
      <c r="K875" s="14" t="s">
        <v>3620</v>
      </c>
      <c r="L875" s="11" t="s">
        <v>33</v>
      </c>
      <c r="M875" s="15" t="s">
        <v>3584</v>
      </c>
      <c r="N875" s="17">
        <v>23100</v>
      </c>
      <c r="O875" s="17"/>
      <c r="P875" s="17"/>
      <c r="Q875" s="48"/>
      <c r="R875" s="11"/>
      <c r="S875" s="48"/>
      <c r="T875" s="85"/>
      <c r="U875" s="88"/>
      <c r="V875" s="32" t="s">
        <v>3622</v>
      </c>
      <c r="W875" s="25" t="s">
        <v>9</v>
      </c>
      <c r="X875" s="11"/>
      <c r="Y875" s="50" t="s">
        <v>12</v>
      </c>
      <c r="Z875" s="50"/>
      <c r="AA875" s="50"/>
      <c r="AB875" s="50"/>
      <c r="AC875" s="50"/>
      <c r="AD875" s="50"/>
      <c r="AE875" s="50"/>
      <c r="AF875" s="34"/>
      <c r="AG875" s="34"/>
      <c r="AH875" s="34"/>
      <c r="AI875" s="34"/>
      <c r="AJ875" s="34"/>
      <c r="AK875" s="34"/>
      <c r="AL875" s="34"/>
      <c r="AM875" s="34"/>
      <c r="AN875" s="34"/>
      <c r="AO875" s="65"/>
      <c r="AP875" s="69"/>
      <c r="AQ875" s="62"/>
      <c r="AR875" s="34"/>
    </row>
    <row r="876" spans="1:44" customFormat="1">
      <c r="A876" s="39">
        <v>44359</v>
      </c>
      <c r="B876" s="11" t="s">
        <v>22</v>
      </c>
      <c r="C876" s="16" t="s">
        <v>3623</v>
      </c>
      <c r="D876" s="16"/>
      <c r="E876" s="38">
        <v>33806</v>
      </c>
      <c r="F876" s="38"/>
      <c r="G876" s="10" t="s">
        <v>3625</v>
      </c>
      <c r="H876" s="12" t="s">
        <v>3626</v>
      </c>
      <c r="I876" s="13" t="s">
        <v>2424</v>
      </c>
      <c r="J876" s="15" t="s">
        <v>3627</v>
      </c>
      <c r="K876" s="12"/>
      <c r="L876" s="11" t="s">
        <v>36</v>
      </c>
      <c r="M876" s="15" t="s">
        <v>3629</v>
      </c>
      <c r="N876" s="17">
        <v>3300</v>
      </c>
      <c r="O876" s="17"/>
      <c r="P876" s="17"/>
      <c r="Q876" s="48"/>
      <c r="R876" s="11"/>
      <c r="S876" s="48"/>
      <c r="T876" s="85"/>
      <c r="U876" s="88"/>
      <c r="V876" s="32" t="s">
        <v>3630</v>
      </c>
      <c r="W876" s="25" t="s">
        <v>8</v>
      </c>
      <c r="X876" s="11"/>
      <c r="Y876" s="50" t="s">
        <v>17</v>
      </c>
      <c r="Z876" s="50"/>
      <c r="AA876" s="50"/>
      <c r="AB876" s="50"/>
      <c r="AC876" s="50"/>
      <c r="AD876" s="50"/>
      <c r="AE876" s="50"/>
      <c r="AF876" s="34"/>
      <c r="AG876" s="34"/>
      <c r="AH876" s="34"/>
      <c r="AI876" s="34"/>
      <c r="AJ876" s="34"/>
      <c r="AK876" s="34"/>
      <c r="AL876" s="34"/>
      <c r="AM876" s="34"/>
      <c r="AN876" s="34"/>
      <c r="AO876" s="65"/>
      <c r="AP876" s="69"/>
      <c r="AQ876" s="62"/>
      <c r="AR876" s="34"/>
    </row>
    <row r="877" spans="1:44" customFormat="1">
      <c r="A877" s="39">
        <v>44359</v>
      </c>
      <c r="B877" s="11" t="s">
        <v>22</v>
      </c>
      <c r="C877" s="16" t="s">
        <v>3624</v>
      </c>
      <c r="D877" s="16"/>
      <c r="E877" s="38">
        <v>33183</v>
      </c>
      <c r="F877" s="38"/>
      <c r="G877" s="10" t="s">
        <v>358</v>
      </c>
      <c r="H877" s="12" t="s">
        <v>3586</v>
      </c>
      <c r="I877" s="13" t="s">
        <v>2025</v>
      </c>
      <c r="J877" s="15" t="s">
        <v>3628</v>
      </c>
      <c r="K877" s="12"/>
      <c r="L877" s="11" t="s">
        <v>36</v>
      </c>
      <c r="M877" s="15" t="s">
        <v>3629</v>
      </c>
      <c r="N877" s="17">
        <v>3300</v>
      </c>
      <c r="O877" s="17"/>
      <c r="P877" s="17"/>
      <c r="Q877" s="48"/>
      <c r="R877" s="11"/>
      <c r="S877" s="48"/>
      <c r="T877" s="85"/>
      <c r="U877" s="88"/>
      <c r="V877" s="32" t="s">
        <v>3630</v>
      </c>
      <c r="W877" s="25" t="s">
        <v>8</v>
      </c>
      <c r="X877" s="11"/>
      <c r="Y877" s="50" t="s">
        <v>11</v>
      </c>
      <c r="Z877" s="50"/>
      <c r="AA877" s="50"/>
      <c r="AB877" s="50"/>
      <c r="AC877" s="50"/>
      <c r="AD877" s="50"/>
      <c r="AE877" s="50"/>
      <c r="AF877" s="34"/>
      <c r="AG877" s="34"/>
      <c r="AH877" s="34"/>
      <c r="AI877" s="34"/>
      <c r="AJ877" s="34"/>
      <c r="AK877" s="34"/>
      <c r="AL877" s="34"/>
      <c r="AM877" s="34"/>
      <c r="AN877" s="34"/>
      <c r="AO877" s="65"/>
      <c r="AP877" s="69"/>
      <c r="AQ877" s="62"/>
      <c r="AR877" s="34"/>
    </row>
    <row r="878" spans="1:44" customFormat="1">
      <c r="A878" s="39">
        <v>44359</v>
      </c>
      <c r="B878" s="11" t="s">
        <v>5659</v>
      </c>
      <c r="C878" s="16" t="s">
        <v>3631</v>
      </c>
      <c r="D878" s="16"/>
      <c r="E878" s="38">
        <v>23933</v>
      </c>
      <c r="F878" s="38"/>
      <c r="G878" s="10" t="s">
        <v>3632</v>
      </c>
      <c r="H878" s="12" t="s">
        <v>3633</v>
      </c>
      <c r="I878" s="13" t="s">
        <v>3635</v>
      </c>
      <c r="J878" s="15" t="s">
        <v>3634</v>
      </c>
      <c r="K878" s="12"/>
      <c r="L878" s="11" t="s">
        <v>33</v>
      </c>
      <c r="M878" s="15" t="s">
        <v>3584</v>
      </c>
      <c r="N878" s="17">
        <v>13200</v>
      </c>
      <c r="O878" s="17"/>
      <c r="P878" s="17"/>
      <c r="Q878" s="48"/>
      <c r="R878" s="11"/>
      <c r="S878" s="48"/>
      <c r="T878" s="85" t="s">
        <v>8079</v>
      </c>
      <c r="U878" s="88"/>
      <c r="V878" s="32" t="s">
        <v>3391</v>
      </c>
      <c r="W878" s="25" t="s">
        <v>8</v>
      </c>
      <c r="X878" s="11"/>
      <c r="Y878" s="50" t="s">
        <v>14</v>
      </c>
      <c r="Z878" s="50"/>
      <c r="AA878" s="50"/>
      <c r="AB878" s="50"/>
      <c r="AC878" s="50"/>
      <c r="AD878" s="50"/>
      <c r="AE878" s="50"/>
      <c r="AF878" s="34"/>
      <c r="AG878" s="34"/>
      <c r="AH878" s="34"/>
      <c r="AI878" s="34"/>
      <c r="AJ878" s="34"/>
      <c r="AK878" s="34"/>
      <c r="AL878" s="34"/>
      <c r="AM878" s="34"/>
      <c r="AN878" s="34"/>
      <c r="AO878" s="65"/>
      <c r="AP878" s="69"/>
      <c r="AQ878" s="62" t="s">
        <v>8079</v>
      </c>
      <c r="AR878" s="34"/>
    </row>
    <row r="879" spans="1:44" customFormat="1">
      <c r="A879" s="39">
        <v>44361</v>
      </c>
      <c r="B879" s="11" t="s">
        <v>49</v>
      </c>
      <c r="C879" s="16" t="s">
        <v>3636</v>
      </c>
      <c r="D879" s="16"/>
      <c r="E879" s="38">
        <v>28571</v>
      </c>
      <c r="F879" s="38"/>
      <c r="G879" s="10" t="s">
        <v>832</v>
      </c>
      <c r="H879" s="12" t="s">
        <v>3639</v>
      </c>
      <c r="I879" s="13"/>
      <c r="J879" s="15" t="s">
        <v>3641</v>
      </c>
      <c r="K879" s="14" t="s">
        <v>3644</v>
      </c>
      <c r="L879" s="11" t="s">
        <v>33</v>
      </c>
      <c r="M879" s="15" t="s">
        <v>3584</v>
      </c>
      <c r="N879" s="17">
        <v>14850</v>
      </c>
      <c r="O879" s="17"/>
      <c r="P879" s="17"/>
      <c r="Q879" s="48"/>
      <c r="R879" s="11"/>
      <c r="S879" s="48"/>
      <c r="T879" s="85"/>
      <c r="U879" s="88"/>
      <c r="V879" s="32" t="s">
        <v>3486</v>
      </c>
      <c r="W879" s="25" t="s">
        <v>8</v>
      </c>
      <c r="X879" s="11"/>
      <c r="Y879" s="50" t="s">
        <v>15</v>
      </c>
      <c r="Z879" s="50"/>
      <c r="AA879" s="50"/>
      <c r="AB879" s="50"/>
      <c r="AC879" s="50"/>
      <c r="AD879" s="50"/>
      <c r="AE879" s="50"/>
      <c r="AF879" s="34"/>
      <c r="AG879" s="34"/>
      <c r="AH879" s="34"/>
      <c r="AI879" s="34"/>
      <c r="AJ879" s="34"/>
      <c r="AK879" s="34"/>
      <c r="AL879" s="34"/>
      <c r="AM879" s="34"/>
      <c r="AN879" s="34"/>
      <c r="AO879" s="65"/>
      <c r="AP879" s="69"/>
      <c r="AQ879" s="62"/>
      <c r="AR879" s="34"/>
    </row>
    <row r="880" spans="1:44" customFormat="1">
      <c r="A880" s="39">
        <v>44361</v>
      </c>
      <c r="B880" s="11" t="s">
        <v>22</v>
      </c>
      <c r="C880" s="16" t="s">
        <v>3637</v>
      </c>
      <c r="D880" s="16"/>
      <c r="E880" s="38">
        <v>32188</v>
      </c>
      <c r="F880" s="38"/>
      <c r="G880" s="10" t="s">
        <v>3638</v>
      </c>
      <c r="H880" s="12" t="s">
        <v>3640</v>
      </c>
      <c r="I880" s="13"/>
      <c r="J880" s="15" t="s">
        <v>3642</v>
      </c>
      <c r="K880" s="12"/>
      <c r="L880" s="11" t="s">
        <v>36</v>
      </c>
      <c r="M880" s="15" t="s">
        <v>3599</v>
      </c>
      <c r="N880" s="17">
        <v>2750</v>
      </c>
      <c r="O880" s="17"/>
      <c r="P880" s="17"/>
      <c r="Q880" s="48"/>
      <c r="R880" s="11"/>
      <c r="S880" s="48"/>
      <c r="T880" s="85" t="s">
        <v>8079</v>
      </c>
      <c r="U880" s="88"/>
      <c r="V880" s="32" t="s">
        <v>3643</v>
      </c>
      <c r="W880" s="25" t="s">
        <v>10</v>
      </c>
      <c r="X880" s="11"/>
      <c r="Y880" s="50"/>
      <c r="Z880" s="50"/>
      <c r="AA880" s="50"/>
      <c r="AB880" s="50"/>
      <c r="AC880" s="50"/>
      <c r="AD880" s="50"/>
      <c r="AE880" s="50"/>
      <c r="AF880" s="34"/>
      <c r="AG880" s="34"/>
      <c r="AH880" s="34"/>
      <c r="AI880" s="34"/>
      <c r="AJ880" s="34"/>
      <c r="AK880" s="34"/>
      <c r="AL880" s="34"/>
      <c r="AM880" s="34"/>
      <c r="AN880" s="34"/>
      <c r="AO880" s="65"/>
      <c r="AP880" s="69"/>
      <c r="AQ880" s="62" t="s">
        <v>8079</v>
      </c>
      <c r="AR880" s="34"/>
    </row>
    <row r="881" spans="1:44" customFormat="1">
      <c r="A881" s="39">
        <v>44364</v>
      </c>
      <c r="B881" s="11" t="s">
        <v>49</v>
      </c>
      <c r="C881" s="16" t="s">
        <v>3645</v>
      </c>
      <c r="D881" s="16"/>
      <c r="E881" s="38">
        <v>31077</v>
      </c>
      <c r="F881" s="38"/>
      <c r="G881" s="10" t="s">
        <v>3647</v>
      </c>
      <c r="H881" s="12" t="s">
        <v>3648</v>
      </c>
      <c r="I881" s="13" t="s">
        <v>3650</v>
      </c>
      <c r="J881" s="15" t="s">
        <v>3652</v>
      </c>
      <c r="K881" s="12"/>
      <c r="L881" s="11" t="s">
        <v>36</v>
      </c>
      <c r="M881" s="15" t="s">
        <v>3599</v>
      </c>
      <c r="N881" s="17">
        <v>19800</v>
      </c>
      <c r="O881" s="17"/>
      <c r="P881" s="17"/>
      <c r="Q881" s="48"/>
      <c r="R881" s="11"/>
      <c r="S881" s="48"/>
      <c r="T881" s="85"/>
      <c r="U881" s="88"/>
      <c r="V881" s="32"/>
      <c r="W881" s="25" t="s">
        <v>48</v>
      </c>
      <c r="X881" s="11"/>
      <c r="Y881" s="50" t="s">
        <v>12</v>
      </c>
      <c r="Z881" s="50"/>
      <c r="AA881" s="50"/>
      <c r="AB881" s="50"/>
      <c r="AC881" s="50"/>
      <c r="AD881" s="50"/>
      <c r="AE881" s="50"/>
      <c r="AF881" s="34"/>
      <c r="AG881" s="34"/>
      <c r="AH881" s="34"/>
      <c r="AI881" s="34"/>
      <c r="AJ881" s="34"/>
      <c r="AK881" s="34"/>
      <c r="AL881" s="34"/>
      <c r="AM881" s="34"/>
      <c r="AN881" s="34"/>
      <c r="AO881" s="65"/>
      <c r="AP881" s="69"/>
      <c r="AQ881" s="62"/>
      <c r="AR881" s="34"/>
    </row>
    <row r="882" spans="1:44" customFormat="1">
      <c r="A882" s="39">
        <v>44364</v>
      </c>
      <c r="B882" s="11" t="s">
        <v>22</v>
      </c>
      <c r="C882" s="16" t="s">
        <v>3646</v>
      </c>
      <c r="D882" s="16"/>
      <c r="E882" s="38">
        <v>29249</v>
      </c>
      <c r="F882" s="38"/>
      <c r="G882" s="10" t="s">
        <v>864</v>
      </c>
      <c r="H882" s="12" t="s">
        <v>3649</v>
      </c>
      <c r="I882" s="13" t="s">
        <v>3651</v>
      </c>
      <c r="J882" s="15" t="s">
        <v>3653</v>
      </c>
      <c r="K882" s="12"/>
      <c r="L882" s="11" t="s">
        <v>33</v>
      </c>
      <c r="M882" s="15" t="s">
        <v>3599</v>
      </c>
      <c r="N882" s="17">
        <v>3300</v>
      </c>
      <c r="O882" s="17"/>
      <c r="P882" s="17"/>
      <c r="Q882" s="48"/>
      <c r="R882" s="11"/>
      <c r="S882" s="48"/>
      <c r="T882" s="85"/>
      <c r="U882" s="88"/>
      <c r="V882" s="32"/>
      <c r="W882" s="25" t="s">
        <v>8</v>
      </c>
      <c r="X882" s="11"/>
      <c r="Y882" s="50" t="s">
        <v>12</v>
      </c>
      <c r="Z882" s="50"/>
      <c r="AA882" s="50"/>
      <c r="AB882" s="50"/>
      <c r="AC882" s="50"/>
      <c r="AD882" s="50"/>
      <c r="AE882" s="50"/>
      <c r="AF882" s="34"/>
      <c r="AG882" s="34"/>
      <c r="AH882" s="34"/>
      <c r="AI882" s="34"/>
      <c r="AJ882" s="34"/>
      <c r="AK882" s="34"/>
      <c r="AL882" s="34"/>
      <c r="AM882" s="34"/>
      <c r="AN882" s="34"/>
      <c r="AO882" s="65"/>
      <c r="AP882" s="69"/>
      <c r="AQ882" s="62"/>
      <c r="AR882" s="34"/>
    </row>
    <row r="883" spans="1:44" customFormat="1">
      <c r="A883" s="39">
        <v>44364</v>
      </c>
      <c r="B883" s="11" t="s">
        <v>22</v>
      </c>
      <c r="C883" s="16" t="s">
        <v>3654</v>
      </c>
      <c r="D883" s="16"/>
      <c r="E883" s="38">
        <v>21474</v>
      </c>
      <c r="F883" s="38"/>
      <c r="G883" s="10" t="s">
        <v>358</v>
      </c>
      <c r="H883" s="12" t="s">
        <v>3655</v>
      </c>
      <c r="I883" s="13" t="s">
        <v>2025</v>
      </c>
      <c r="J883" s="15" t="s">
        <v>3656</v>
      </c>
      <c r="K883" s="12"/>
      <c r="L883" s="11" t="s">
        <v>34</v>
      </c>
      <c r="M883" s="15" t="s">
        <v>3599</v>
      </c>
      <c r="N883" s="17">
        <v>3300</v>
      </c>
      <c r="O883" s="17"/>
      <c r="P883" s="17"/>
      <c r="Q883" s="48"/>
      <c r="R883" s="11"/>
      <c r="S883" s="48"/>
      <c r="T883" s="85"/>
      <c r="U883" s="88"/>
      <c r="V883" s="32" t="s">
        <v>3657</v>
      </c>
      <c r="W883" s="25" t="s">
        <v>8</v>
      </c>
      <c r="X883" s="11"/>
      <c r="Y883" s="50" t="s">
        <v>17</v>
      </c>
      <c r="Z883" s="50"/>
      <c r="AA883" s="50"/>
      <c r="AB883" s="50"/>
      <c r="AC883" s="50"/>
      <c r="AD883" s="50"/>
      <c r="AE883" s="50"/>
      <c r="AF883" s="34"/>
      <c r="AG883" s="34"/>
      <c r="AH883" s="34"/>
      <c r="AI883" s="34"/>
      <c r="AJ883" s="34"/>
      <c r="AK883" s="34"/>
      <c r="AL883" s="34"/>
      <c r="AM883" s="34"/>
      <c r="AN883" s="34"/>
      <c r="AO883" s="65"/>
      <c r="AP883" s="69"/>
      <c r="AQ883" s="62"/>
      <c r="AR883" s="34"/>
    </row>
    <row r="884" spans="1:44" customFormat="1">
      <c r="A884" s="39">
        <v>44365</v>
      </c>
      <c r="B884" s="11" t="s">
        <v>49</v>
      </c>
      <c r="C884" s="16" t="s">
        <v>3658</v>
      </c>
      <c r="D884" s="16"/>
      <c r="E884" s="38">
        <v>31609</v>
      </c>
      <c r="F884" s="38"/>
      <c r="G884" s="10" t="s">
        <v>3506</v>
      </c>
      <c r="H884" s="12" t="s">
        <v>3659</v>
      </c>
      <c r="I884" s="13" t="s">
        <v>3660</v>
      </c>
      <c r="J884" s="15" t="s">
        <v>3661</v>
      </c>
      <c r="K884" s="12"/>
      <c r="L884" s="11" t="s">
        <v>33</v>
      </c>
      <c r="M884" s="15" t="s">
        <v>3599</v>
      </c>
      <c r="N884" s="17">
        <v>16500</v>
      </c>
      <c r="O884" s="17"/>
      <c r="P884" s="17"/>
      <c r="Q884" s="48"/>
      <c r="R884" s="11"/>
      <c r="S884" s="48"/>
      <c r="T884" s="85"/>
      <c r="U884" s="88"/>
      <c r="V884" s="32"/>
      <c r="W884" s="25" t="s">
        <v>8</v>
      </c>
      <c r="X884" s="11"/>
      <c r="Y884" s="50" t="s">
        <v>14</v>
      </c>
      <c r="Z884" s="50"/>
      <c r="AA884" s="50"/>
      <c r="AB884" s="50"/>
      <c r="AC884" s="50"/>
      <c r="AD884" s="50"/>
      <c r="AE884" s="50"/>
      <c r="AF884" s="34"/>
      <c r="AG884" s="34"/>
      <c r="AH884" s="34"/>
      <c r="AI884" s="34"/>
      <c r="AJ884" s="34"/>
      <c r="AK884" s="34"/>
      <c r="AL884" s="34"/>
      <c r="AM884" s="34"/>
      <c r="AN884" s="34"/>
      <c r="AO884" s="65"/>
      <c r="AP884" s="69"/>
      <c r="AQ884" s="62"/>
      <c r="AR884" s="34"/>
    </row>
    <row r="885" spans="1:44" customFormat="1">
      <c r="A885" s="39">
        <v>44366</v>
      </c>
      <c r="B885" s="11" t="s">
        <v>49</v>
      </c>
      <c r="C885" s="16" t="s">
        <v>3662</v>
      </c>
      <c r="D885" s="16"/>
      <c r="E885" s="38">
        <v>24856</v>
      </c>
      <c r="F885" s="38"/>
      <c r="G885" s="10" t="s">
        <v>3663</v>
      </c>
      <c r="H885" s="12" t="s">
        <v>3664</v>
      </c>
      <c r="I885" s="13" t="s">
        <v>3669</v>
      </c>
      <c r="J885" s="15" t="s">
        <v>3665</v>
      </c>
      <c r="K885" s="12"/>
      <c r="L885" s="11" t="s">
        <v>36</v>
      </c>
      <c r="M885" s="15" t="s">
        <v>3629</v>
      </c>
      <c r="N885" s="17">
        <v>16500</v>
      </c>
      <c r="O885" s="17"/>
      <c r="P885" s="17"/>
      <c r="Q885" s="48"/>
      <c r="R885" s="11"/>
      <c r="S885" s="48"/>
      <c r="T885" s="85"/>
      <c r="U885" s="88"/>
      <c r="V885" s="32"/>
      <c r="W885" s="25" t="s">
        <v>48</v>
      </c>
      <c r="X885" s="11"/>
      <c r="Y885" s="50" t="s">
        <v>12</v>
      </c>
      <c r="Z885" s="50"/>
      <c r="AA885" s="50"/>
      <c r="AB885" s="50"/>
      <c r="AC885" s="50"/>
      <c r="AD885" s="50"/>
      <c r="AE885" s="50"/>
      <c r="AF885" s="34"/>
      <c r="AG885" s="34"/>
      <c r="AH885" s="34"/>
      <c r="AI885" s="34"/>
      <c r="AJ885" s="34"/>
      <c r="AK885" s="34"/>
      <c r="AL885" s="34"/>
      <c r="AM885" s="34"/>
      <c r="AN885" s="34"/>
      <c r="AO885" s="65"/>
      <c r="AP885" s="69"/>
      <c r="AQ885" s="62"/>
      <c r="AR885" s="34"/>
    </row>
    <row r="886" spans="1:44" customFormat="1">
      <c r="A886" s="39">
        <v>44366</v>
      </c>
      <c r="B886" s="11" t="s">
        <v>49</v>
      </c>
      <c r="C886" s="16" t="s">
        <v>3666</v>
      </c>
      <c r="D886" s="16"/>
      <c r="E886" s="38">
        <v>24912</v>
      </c>
      <c r="F886" s="38"/>
      <c r="G886" s="10" t="s">
        <v>3663</v>
      </c>
      <c r="H886" s="12" t="s">
        <v>3667</v>
      </c>
      <c r="I886" s="13" t="s">
        <v>3669</v>
      </c>
      <c r="J886" s="15" t="s">
        <v>3668</v>
      </c>
      <c r="K886" s="14" t="s">
        <v>3670</v>
      </c>
      <c r="L886" s="11" t="s">
        <v>33</v>
      </c>
      <c r="M886" s="15" t="s">
        <v>3584</v>
      </c>
      <c r="N886" s="17">
        <v>16500</v>
      </c>
      <c r="O886" s="17"/>
      <c r="P886" s="17"/>
      <c r="Q886" s="48"/>
      <c r="R886" s="11"/>
      <c r="S886" s="48"/>
      <c r="T886" s="85"/>
      <c r="U886" s="88"/>
      <c r="V886" s="32"/>
      <c r="W886" s="25" t="s">
        <v>48</v>
      </c>
      <c r="X886" s="11"/>
      <c r="Y886" s="50" t="s">
        <v>12</v>
      </c>
      <c r="Z886" s="50"/>
      <c r="AA886" s="50"/>
      <c r="AB886" s="50"/>
      <c r="AC886" s="50"/>
      <c r="AD886" s="50"/>
      <c r="AE886" s="50"/>
      <c r="AF886" s="34"/>
      <c r="AG886" s="34"/>
      <c r="AH886" s="34"/>
      <c r="AI886" s="34"/>
      <c r="AJ886" s="34"/>
      <c r="AK886" s="34"/>
      <c r="AL886" s="34"/>
      <c r="AM886" s="34"/>
      <c r="AN886" s="34"/>
      <c r="AO886" s="65"/>
      <c r="AP886" s="69"/>
      <c r="AQ886" s="62"/>
      <c r="AR886" s="34"/>
    </row>
    <row r="887" spans="1:44" customFormat="1">
      <c r="A887" s="39">
        <v>44367</v>
      </c>
      <c r="B887" s="11" t="s">
        <v>49</v>
      </c>
      <c r="C887" s="16" t="s">
        <v>3672</v>
      </c>
      <c r="D887" s="16"/>
      <c r="E887" s="38">
        <v>27022</v>
      </c>
      <c r="F887" s="38"/>
      <c r="G887" s="10" t="s">
        <v>3625</v>
      </c>
      <c r="H887" s="12" t="s">
        <v>3673</v>
      </c>
      <c r="I887" s="13" t="s">
        <v>2163</v>
      </c>
      <c r="J887" s="15" t="s">
        <v>3675</v>
      </c>
      <c r="K887" s="14" t="s">
        <v>3674</v>
      </c>
      <c r="L887" s="11" t="s">
        <v>33</v>
      </c>
      <c r="M887" s="15" t="s">
        <v>3584</v>
      </c>
      <c r="N887" s="17">
        <v>16500</v>
      </c>
      <c r="O887" s="17"/>
      <c r="P887" s="17"/>
      <c r="Q887" s="48"/>
      <c r="R887" s="11"/>
      <c r="S887" s="48"/>
      <c r="T887" s="85"/>
      <c r="U887" s="88"/>
      <c r="V887" s="32" t="s">
        <v>2372</v>
      </c>
      <c r="W887" s="25" t="s">
        <v>10</v>
      </c>
      <c r="X887" s="11"/>
      <c r="Y887" s="50" t="s">
        <v>12</v>
      </c>
      <c r="Z887" s="50"/>
      <c r="AA887" s="50"/>
      <c r="AB887" s="50"/>
      <c r="AC887" s="50"/>
      <c r="AD887" s="50"/>
      <c r="AE887" s="50"/>
      <c r="AF887" s="34"/>
      <c r="AG887" s="34"/>
      <c r="AH887" s="34"/>
      <c r="AI887" s="34"/>
      <c r="AJ887" s="34"/>
      <c r="AK887" s="34"/>
      <c r="AL887" s="34"/>
      <c r="AM887" s="34"/>
      <c r="AN887" s="34"/>
      <c r="AO887" s="65"/>
      <c r="AP887" s="69"/>
      <c r="AQ887" s="62"/>
      <c r="AR887" s="34"/>
    </row>
    <row r="888" spans="1:44" customFormat="1">
      <c r="A888" s="39">
        <v>44367</v>
      </c>
      <c r="B888" s="11" t="s">
        <v>22</v>
      </c>
      <c r="C888" s="16" t="s">
        <v>3676</v>
      </c>
      <c r="D888" s="16"/>
      <c r="E888" s="38">
        <v>33859</v>
      </c>
      <c r="F888" s="38"/>
      <c r="G888" s="10" t="s">
        <v>3420</v>
      </c>
      <c r="H888" s="12" t="s">
        <v>3677</v>
      </c>
      <c r="I888" s="13" t="s">
        <v>3678</v>
      </c>
      <c r="J888" s="15" t="s">
        <v>3679</v>
      </c>
      <c r="K888" s="12"/>
      <c r="L888" s="11" t="s">
        <v>36</v>
      </c>
      <c r="M888" s="15" t="s">
        <v>3680</v>
      </c>
      <c r="N888" s="17">
        <v>3300</v>
      </c>
      <c r="O888" s="17"/>
      <c r="P888" s="17"/>
      <c r="Q888" s="48"/>
      <c r="R888" s="11"/>
      <c r="S888" s="48"/>
      <c r="T888" s="85"/>
      <c r="U888" s="88"/>
      <c r="V888" s="32" t="s">
        <v>3681</v>
      </c>
      <c r="W888" s="25" t="s">
        <v>10</v>
      </c>
      <c r="X888" s="11"/>
      <c r="Y888" s="50" t="s">
        <v>12</v>
      </c>
      <c r="Z888" s="50"/>
      <c r="AA888" s="50"/>
      <c r="AB888" s="50"/>
      <c r="AC888" s="50"/>
      <c r="AD888" s="50"/>
      <c r="AE888" s="50"/>
      <c r="AF888" s="34"/>
      <c r="AG888" s="34"/>
      <c r="AH888" s="34"/>
      <c r="AI888" s="34"/>
      <c r="AJ888" s="34"/>
      <c r="AK888" s="34"/>
      <c r="AL888" s="34"/>
      <c r="AM888" s="34"/>
      <c r="AN888" s="34"/>
      <c r="AO888" s="65"/>
      <c r="AP888" s="69"/>
      <c r="AQ888" s="62"/>
      <c r="AR888" s="34"/>
    </row>
    <row r="889" spans="1:44" customFormat="1">
      <c r="A889" s="39">
        <v>44367</v>
      </c>
      <c r="B889" s="11" t="s">
        <v>49</v>
      </c>
      <c r="C889" s="16" t="s">
        <v>3682</v>
      </c>
      <c r="D889" s="16"/>
      <c r="E889" s="38">
        <v>26355</v>
      </c>
      <c r="F889" s="38"/>
      <c r="G889" s="10" t="s">
        <v>144</v>
      </c>
      <c r="H889" s="12" t="s">
        <v>3683</v>
      </c>
      <c r="I889" s="13" t="s">
        <v>3312</v>
      </c>
      <c r="J889" s="15" t="s">
        <v>3684</v>
      </c>
      <c r="K889" s="12"/>
      <c r="L889" s="11" t="s">
        <v>36</v>
      </c>
      <c r="M889" s="15" t="s">
        <v>3599</v>
      </c>
      <c r="N889" s="17">
        <v>14850</v>
      </c>
      <c r="O889" s="17"/>
      <c r="P889" s="17"/>
      <c r="Q889" s="48"/>
      <c r="R889" s="11"/>
      <c r="S889" s="48"/>
      <c r="T889" s="85"/>
      <c r="U889" s="88"/>
      <c r="V889" s="32" t="s">
        <v>3685</v>
      </c>
      <c r="W889" s="25" t="s">
        <v>8</v>
      </c>
      <c r="X889" s="11"/>
      <c r="Y889" s="50" t="s">
        <v>12</v>
      </c>
      <c r="Z889" s="50"/>
      <c r="AA889" s="50"/>
      <c r="AB889" s="50"/>
      <c r="AC889" s="50"/>
      <c r="AD889" s="50"/>
      <c r="AE889" s="50"/>
      <c r="AF889" s="34"/>
      <c r="AG889" s="34"/>
      <c r="AH889" s="34"/>
      <c r="AI889" s="34"/>
      <c r="AJ889" s="34"/>
      <c r="AK889" s="34"/>
      <c r="AL889" s="34"/>
      <c r="AM889" s="34"/>
      <c r="AN889" s="34"/>
      <c r="AO889" s="65"/>
      <c r="AP889" s="69"/>
      <c r="AQ889" s="62"/>
      <c r="AR889" s="34"/>
    </row>
    <row r="890" spans="1:44" customFormat="1">
      <c r="A890" s="39">
        <v>44368</v>
      </c>
      <c r="B890" s="11" t="s">
        <v>49</v>
      </c>
      <c r="C890" s="16" t="s">
        <v>3686</v>
      </c>
      <c r="D890" s="16"/>
      <c r="E890" s="38">
        <v>24881</v>
      </c>
      <c r="F890" s="38"/>
      <c r="G890" s="10" t="s">
        <v>2604</v>
      </c>
      <c r="H890" s="12" t="s">
        <v>3687</v>
      </c>
      <c r="I890" s="13">
        <v>12.6</v>
      </c>
      <c r="J890" s="15" t="s">
        <v>3688</v>
      </c>
      <c r="K890" s="14" t="s">
        <v>3689</v>
      </c>
      <c r="L890" s="11" t="s">
        <v>33</v>
      </c>
      <c r="M890" s="15" t="s">
        <v>3584</v>
      </c>
      <c r="N890" s="17">
        <v>16500</v>
      </c>
      <c r="O890" s="17"/>
      <c r="P890" s="17"/>
      <c r="Q890" s="48"/>
      <c r="R890" s="11"/>
      <c r="S890" s="48"/>
      <c r="T890" s="85"/>
      <c r="U890" s="88"/>
      <c r="V890" s="32"/>
      <c r="W890" s="25" t="s">
        <v>8</v>
      </c>
      <c r="X890" s="11"/>
      <c r="Y890" s="50"/>
      <c r="Z890" s="50"/>
      <c r="AA890" s="50"/>
      <c r="AB890" s="50"/>
      <c r="AC890" s="50"/>
      <c r="AD890" s="50"/>
      <c r="AE890" s="50"/>
      <c r="AF890" s="34"/>
      <c r="AG890" s="34"/>
      <c r="AH890" s="34"/>
      <c r="AI890" s="34"/>
      <c r="AJ890" s="34"/>
      <c r="AK890" s="34"/>
      <c r="AL890" s="34"/>
      <c r="AM890" s="34"/>
      <c r="AN890" s="34"/>
      <c r="AO890" s="65"/>
      <c r="AP890" s="69"/>
      <c r="AQ890" s="62"/>
      <c r="AR890" s="34"/>
    </row>
    <row r="891" spans="1:44" customFormat="1">
      <c r="A891" s="39">
        <v>44371</v>
      </c>
      <c r="B891" s="11" t="s">
        <v>49</v>
      </c>
      <c r="C891" s="16" t="s">
        <v>3690</v>
      </c>
      <c r="D891" s="16"/>
      <c r="E891" s="38">
        <v>29560</v>
      </c>
      <c r="F891" s="38"/>
      <c r="G891" s="10" t="s">
        <v>1433</v>
      </c>
      <c r="H891" s="12" t="s">
        <v>3691</v>
      </c>
      <c r="I891" s="13" t="s">
        <v>3149</v>
      </c>
      <c r="J891" s="15" t="s">
        <v>3693</v>
      </c>
      <c r="K891" s="14" t="s">
        <v>3692</v>
      </c>
      <c r="L891" s="11" t="s">
        <v>36</v>
      </c>
      <c r="M891" s="15" t="s">
        <v>3584</v>
      </c>
      <c r="N891" s="17">
        <v>16500</v>
      </c>
      <c r="O891" s="17"/>
      <c r="P891" s="17"/>
      <c r="Q891" s="48"/>
      <c r="R891" s="11"/>
      <c r="S891" s="48"/>
      <c r="T891" s="85"/>
      <c r="U891" s="88"/>
      <c r="V891" s="32"/>
      <c r="W891" s="25" t="s">
        <v>10</v>
      </c>
      <c r="X891" s="11"/>
      <c r="Y891" s="50" t="s">
        <v>12</v>
      </c>
      <c r="Z891" s="50"/>
      <c r="AA891" s="50"/>
      <c r="AB891" s="50"/>
      <c r="AC891" s="50"/>
      <c r="AD891" s="50"/>
      <c r="AE891" s="50"/>
      <c r="AF891" s="34"/>
      <c r="AG891" s="34"/>
      <c r="AH891" s="34"/>
      <c r="AI891" s="34"/>
      <c r="AJ891" s="34"/>
      <c r="AK891" s="34"/>
      <c r="AL891" s="34"/>
      <c r="AM891" s="34"/>
      <c r="AN891" s="34"/>
      <c r="AO891" s="65"/>
      <c r="AP891" s="69"/>
      <c r="AQ891" s="62"/>
      <c r="AR891" s="34"/>
    </row>
    <row r="892" spans="1:44" customFormat="1">
      <c r="A892" s="39">
        <v>44372</v>
      </c>
      <c r="B892" s="11" t="s">
        <v>49</v>
      </c>
      <c r="C892" s="16" t="s">
        <v>3694</v>
      </c>
      <c r="D892" s="16"/>
      <c r="E892" s="38">
        <v>31590</v>
      </c>
      <c r="F892" s="38"/>
      <c r="G892" s="10" t="s">
        <v>3696</v>
      </c>
      <c r="H892" s="12" t="s">
        <v>3698</v>
      </c>
      <c r="I892" s="13" t="s">
        <v>3699</v>
      </c>
      <c r="J892" s="15" t="s">
        <v>3702</v>
      </c>
      <c r="K892" s="12"/>
      <c r="L892" s="11" t="s">
        <v>36</v>
      </c>
      <c r="M892" s="15" t="s">
        <v>3599</v>
      </c>
      <c r="N892" s="17">
        <v>16500</v>
      </c>
      <c r="O892" s="17"/>
      <c r="P892" s="17"/>
      <c r="Q892" s="48"/>
      <c r="R892" s="11"/>
      <c r="S892" s="48"/>
      <c r="T892" s="85"/>
      <c r="U892" s="88"/>
      <c r="V892" s="32" t="s">
        <v>2372</v>
      </c>
      <c r="W892" s="25" t="s">
        <v>10</v>
      </c>
      <c r="X892" s="11"/>
      <c r="Y892" s="50" t="s">
        <v>12</v>
      </c>
      <c r="Z892" s="50"/>
      <c r="AA892" s="50"/>
      <c r="AB892" s="50"/>
      <c r="AC892" s="50"/>
      <c r="AD892" s="50"/>
      <c r="AE892" s="50"/>
      <c r="AF892" s="34"/>
      <c r="AG892" s="34"/>
      <c r="AH892" s="34"/>
      <c r="AI892" s="34"/>
      <c r="AJ892" s="34"/>
      <c r="AK892" s="34"/>
      <c r="AL892" s="34"/>
      <c r="AM892" s="34"/>
      <c r="AN892" s="34"/>
      <c r="AO892" s="65"/>
      <c r="AP892" s="69"/>
      <c r="AQ892" s="62"/>
      <c r="AR892" s="34"/>
    </row>
    <row r="893" spans="1:44" customFormat="1">
      <c r="A893" s="39">
        <v>44372</v>
      </c>
      <c r="B893" s="11" t="s">
        <v>49</v>
      </c>
      <c r="C893" s="16" t="s">
        <v>3695</v>
      </c>
      <c r="D893" s="16"/>
      <c r="E893" s="38">
        <v>31534</v>
      </c>
      <c r="F893" s="38"/>
      <c r="G893" s="10" t="s">
        <v>3697</v>
      </c>
      <c r="H893" s="12" t="s">
        <v>3701</v>
      </c>
      <c r="I893" s="13" t="s">
        <v>3700</v>
      </c>
      <c r="J893" s="15" t="s">
        <v>3703</v>
      </c>
      <c r="K893" s="12"/>
      <c r="L893" s="11" t="s">
        <v>34</v>
      </c>
      <c r="M893" s="15" t="s">
        <v>3599</v>
      </c>
      <c r="N893" s="17">
        <v>22000</v>
      </c>
      <c r="O893" s="17"/>
      <c r="P893" s="17"/>
      <c r="Q893" s="48"/>
      <c r="R893" s="11"/>
      <c r="S893" s="48"/>
      <c r="T893" s="85"/>
      <c r="U893" s="88"/>
      <c r="V893" s="32"/>
      <c r="W893" s="25" t="s">
        <v>8</v>
      </c>
      <c r="X893" s="11"/>
      <c r="Y893" s="50" t="s">
        <v>13</v>
      </c>
      <c r="Z893" s="50"/>
      <c r="AA893" s="50"/>
      <c r="AB893" s="50"/>
      <c r="AC893" s="50"/>
      <c r="AD893" s="50"/>
      <c r="AE893" s="50"/>
      <c r="AF893" s="34"/>
      <c r="AG893" s="34"/>
      <c r="AH893" s="34"/>
      <c r="AI893" s="34"/>
      <c r="AJ893" s="34"/>
      <c r="AK893" s="34"/>
      <c r="AL893" s="34"/>
      <c r="AM893" s="34"/>
      <c r="AN893" s="34"/>
      <c r="AO893" s="65"/>
      <c r="AP893" s="69"/>
      <c r="AQ893" s="62"/>
      <c r="AR893" s="34"/>
    </row>
    <row r="894" spans="1:44" customFormat="1">
      <c r="A894" s="39">
        <v>44373</v>
      </c>
      <c r="B894" s="11" t="s">
        <v>49</v>
      </c>
      <c r="C894" s="16" t="s">
        <v>3704</v>
      </c>
      <c r="D894" s="16"/>
      <c r="E894" s="38">
        <v>26808</v>
      </c>
      <c r="F894" s="38"/>
      <c r="G894" s="10" t="s">
        <v>3708</v>
      </c>
      <c r="H894" s="12" t="s">
        <v>3705</v>
      </c>
      <c r="I894" s="13" t="s">
        <v>3707</v>
      </c>
      <c r="J894" s="15" t="s">
        <v>3706</v>
      </c>
      <c r="K894" s="12"/>
      <c r="L894" s="11" t="s">
        <v>33</v>
      </c>
      <c r="M894" s="15" t="s">
        <v>3629</v>
      </c>
      <c r="N894" s="17">
        <v>16500</v>
      </c>
      <c r="O894" s="17"/>
      <c r="P894" s="17"/>
      <c r="Q894" s="48"/>
      <c r="R894" s="11"/>
      <c r="S894" s="48"/>
      <c r="T894" s="85"/>
      <c r="U894" s="88"/>
      <c r="V894" s="32"/>
      <c r="W894" s="25" t="s">
        <v>48</v>
      </c>
      <c r="X894" s="11"/>
      <c r="Y894" s="50" t="s">
        <v>13</v>
      </c>
      <c r="Z894" s="50"/>
      <c r="AA894" s="50"/>
      <c r="AB894" s="50"/>
      <c r="AC894" s="50"/>
      <c r="AD894" s="50"/>
      <c r="AE894" s="50"/>
      <c r="AF894" s="34"/>
      <c r="AG894" s="34"/>
      <c r="AH894" s="34"/>
      <c r="AI894" s="34"/>
      <c r="AJ894" s="34"/>
      <c r="AK894" s="34"/>
      <c r="AL894" s="34"/>
      <c r="AM894" s="34"/>
      <c r="AN894" s="34"/>
      <c r="AO894" s="65"/>
      <c r="AP894" s="69"/>
      <c r="AQ894" s="62"/>
      <c r="AR894" s="34"/>
    </row>
    <row r="895" spans="1:44" customFormat="1">
      <c r="A895" s="39">
        <v>44373</v>
      </c>
      <c r="B895" s="11" t="s">
        <v>22</v>
      </c>
      <c r="C895" s="16" t="s">
        <v>3709</v>
      </c>
      <c r="D895" s="16"/>
      <c r="E895" s="38">
        <v>26542</v>
      </c>
      <c r="F895" s="38"/>
      <c r="G895" s="10" t="s">
        <v>3710</v>
      </c>
      <c r="H895" s="12" t="s">
        <v>3711</v>
      </c>
      <c r="I895" s="13" t="s">
        <v>2175</v>
      </c>
      <c r="J895" s="15" t="s">
        <v>3712</v>
      </c>
      <c r="K895" s="12"/>
      <c r="L895" s="11" t="s">
        <v>36</v>
      </c>
      <c r="M895" s="15"/>
      <c r="N895" s="17">
        <v>3300</v>
      </c>
      <c r="O895" s="17"/>
      <c r="P895" s="17"/>
      <c r="Q895" s="48"/>
      <c r="R895" s="11"/>
      <c r="S895" s="48"/>
      <c r="T895" s="85"/>
      <c r="U895" s="88"/>
      <c r="V895" s="32"/>
      <c r="W895" s="25" t="s">
        <v>48</v>
      </c>
      <c r="X895" s="11"/>
      <c r="Y895" s="50"/>
      <c r="Z895" s="50"/>
      <c r="AA895" s="50"/>
      <c r="AB895" s="50"/>
      <c r="AC895" s="50"/>
      <c r="AD895" s="50"/>
      <c r="AE895" s="50"/>
      <c r="AF895" s="34"/>
      <c r="AG895" s="34"/>
      <c r="AH895" s="34"/>
      <c r="AI895" s="34"/>
      <c r="AJ895" s="34"/>
      <c r="AK895" s="34"/>
      <c r="AL895" s="34"/>
      <c r="AM895" s="34"/>
      <c r="AN895" s="34"/>
      <c r="AO895" s="65"/>
      <c r="AP895" s="69"/>
      <c r="AQ895" s="62"/>
      <c r="AR895" s="34"/>
    </row>
    <row r="896" spans="1:44" customFormat="1">
      <c r="A896" s="39">
        <v>44374</v>
      </c>
      <c r="B896" s="11" t="s">
        <v>22</v>
      </c>
      <c r="C896" s="16" t="s">
        <v>3713</v>
      </c>
      <c r="D896" s="16"/>
      <c r="E896" s="38">
        <v>23084</v>
      </c>
      <c r="F896" s="38"/>
      <c r="G896" s="10" t="s">
        <v>1028</v>
      </c>
      <c r="H896" s="12" t="s">
        <v>3714</v>
      </c>
      <c r="I896" s="13" t="s">
        <v>1845</v>
      </c>
      <c r="J896" s="15" t="s">
        <v>3716</v>
      </c>
      <c r="K896" s="14" t="s">
        <v>3715</v>
      </c>
      <c r="L896" s="11" t="s">
        <v>36</v>
      </c>
      <c r="M896" s="15" t="s">
        <v>3584</v>
      </c>
      <c r="N896" s="17">
        <v>3300</v>
      </c>
      <c r="O896" s="17"/>
      <c r="P896" s="17"/>
      <c r="Q896" s="48"/>
      <c r="R896" s="11"/>
      <c r="S896" s="48"/>
      <c r="T896" s="85"/>
      <c r="U896" s="90">
        <v>44420</v>
      </c>
      <c r="V896" s="32"/>
      <c r="W896" s="25" t="s">
        <v>10</v>
      </c>
      <c r="X896" s="11"/>
      <c r="Y896" s="50" t="s">
        <v>11</v>
      </c>
      <c r="Z896" s="50"/>
      <c r="AA896" s="50"/>
      <c r="AB896" s="50"/>
      <c r="AC896" s="50"/>
      <c r="AD896" s="50"/>
      <c r="AE896" s="50"/>
      <c r="AF896" s="34"/>
      <c r="AG896" s="34"/>
      <c r="AH896" s="34"/>
      <c r="AI896" s="34"/>
      <c r="AJ896" s="34"/>
      <c r="AK896" s="34"/>
      <c r="AL896" s="34"/>
      <c r="AM896" s="34"/>
      <c r="AN896" s="34"/>
      <c r="AO896" s="65"/>
      <c r="AP896" s="69"/>
      <c r="AQ896" s="62"/>
      <c r="AR896" s="79">
        <v>44420</v>
      </c>
    </row>
    <row r="897" spans="1:44" customFormat="1">
      <c r="A897" s="39">
        <v>44375</v>
      </c>
      <c r="B897" s="11" t="s">
        <v>22</v>
      </c>
      <c r="C897" s="16" t="s">
        <v>3717</v>
      </c>
      <c r="D897" s="16"/>
      <c r="E897" s="38">
        <v>27812</v>
      </c>
      <c r="F897" s="38"/>
      <c r="G897" s="10" t="s">
        <v>3719</v>
      </c>
      <c r="H897" s="12" t="s">
        <v>3718</v>
      </c>
      <c r="I897" s="13" t="s">
        <v>2226</v>
      </c>
      <c r="J897" s="15" t="s">
        <v>3720</v>
      </c>
      <c r="K897" s="12"/>
      <c r="L897" s="11" t="s">
        <v>36</v>
      </c>
      <c r="M897" s="15" t="s">
        <v>3599</v>
      </c>
      <c r="N897" s="17">
        <v>3300</v>
      </c>
      <c r="O897" s="17"/>
      <c r="P897" s="17"/>
      <c r="Q897" s="48"/>
      <c r="R897" s="11"/>
      <c r="S897" s="48"/>
      <c r="T897" s="85"/>
      <c r="U897" s="88"/>
      <c r="V897" s="32" t="s">
        <v>3726</v>
      </c>
      <c r="W897" s="25" t="s">
        <v>8</v>
      </c>
      <c r="X897" s="11"/>
      <c r="Y897" s="50"/>
      <c r="Z897" s="50"/>
      <c r="AA897" s="50"/>
      <c r="AB897" s="50"/>
      <c r="AC897" s="50"/>
      <c r="AD897" s="50"/>
      <c r="AE897" s="50"/>
      <c r="AF897" s="34"/>
      <c r="AG897" s="34"/>
      <c r="AH897" s="34"/>
      <c r="AI897" s="34"/>
      <c r="AJ897" s="34"/>
      <c r="AK897" s="34"/>
      <c r="AL897" s="34"/>
      <c r="AM897" s="34"/>
      <c r="AN897" s="34"/>
      <c r="AO897" s="65"/>
      <c r="AP897" s="69"/>
      <c r="AQ897" s="62"/>
      <c r="AR897" s="34"/>
    </row>
    <row r="898" spans="1:44" customFormat="1">
      <c r="A898" s="39">
        <v>44375</v>
      </c>
      <c r="B898" s="11" t="s">
        <v>22</v>
      </c>
      <c r="C898" s="16" t="s">
        <v>3727</v>
      </c>
      <c r="D898" s="16"/>
      <c r="E898" s="38">
        <v>28215</v>
      </c>
      <c r="F898" s="38"/>
      <c r="G898" s="10" t="s">
        <v>3728</v>
      </c>
      <c r="H898" s="12" t="s">
        <v>3729</v>
      </c>
      <c r="I898" s="13" t="s">
        <v>3730</v>
      </c>
      <c r="J898" s="15" t="s">
        <v>3732</v>
      </c>
      <c r="K898" s="14" t="s">
        <v>3731</v>
      </c>
      <c r="L898" s="11" t="s">
        <v>36</v>
      </c>
      <c r="M898" s="15" t="s">
        <v>3584</v>
      </c>
      <c r="N898" s="17">
        <v>3300</v>
      </c>
      <c r="O898" s="17"/>
      <c r="P898" s="17"/>
      <c r="Q898" s="48"/>
      <c r="R898" s="11"/>
      <c r="S898" s="48"/>
      <c r="T898" s="85"/>
      <c r="U898" s="88"/>
      <c r="V898" s="32"/>
      <c r="W898" s="25" t="s">
        <v>48</v>
      </c>
      <c r="X898" s="11"/>
      <c r="Y898" s="50" t="s">
        <v>12</v>
      </c>
      <c r="Z898" s="50"/>
      <c r="AA898" s="50"/>
      <c r="AB898" s="50"/>
      <c r="AC898" s="50"/>
      <c r="AD898" s="50"/>
      <c r="AE898" s="50"/>
      <c r="AF898" s="34"/>
      <c r="AG898" s="34"/>
      <c r="AH898" s="34"/>
      <c r="AI898" s="34"/>
      <c r="AJ898" s="34"/>
      <c r="AK898" s="34"/>
      <c r="AL898" s="34"/>
      <c r="AM898" s="34"/>
      <c r="AN898" s="34"/>
      <c r="AO898" s="65"/>
      <c r="AP898" s="69"/>
      <c r="AQ898" s="62" t="s">
        <v>8079</v>
      </c>
      <c r="AR898" s="34"/>
    </row>
    <row r="899" spans="1:44" customFormat="1">
      <c r="A899" s="39">
        <v>44375</v>
      </c>
      <c r="B899" s="11" t="s">
        <v>49</v>
      </c>
      <c r="C899" s="16" t="s">
        <v>3733</v>
      </c>
      <c r="D899" s="16"/>
      <c r="E899" s="38">
        <v>26206</v>
      </c>
      <c r="F899" s="38"/>
      <c r="G899" s="10" t="s">
        <v>3734</v>
      </c>
      <c r="H899" s="12" t="s">
        <v>3735</v>
      </c>
      <c r="I899" s="13" t="s">
        <v>3736</v>
      </c>
      <c r="J899" s="15" t="s">
        <v>3737</v>
      </c>
      <c r="K899" s="12"/>
      <c r="L899" s="11" t="s">
        <v>34</v>
      </c>
      <c r="M899" s="15" t="s">
        <v>3629</v>
      </c>
      <c r="N899" s="17">
        <v>16500</v>
      </c>
      <c r="O899" s="17"/>
      <c r="P899" s="17"/>
      <c r="Q899" s="48"/>
      <c r="R899" s="11"/>
      <c r="S899" s="48"/>
      <c r="T899" s="85"/>
      <c r="U899" s="88"/>
      <c r="V899" s="32"/>
      <c r="W899" s="25" t="s">
        <v>48</v>
      </c>
      <c r="X899" s="11"/>
      <c r="Y899" s="50" t="s">
        <v>13</v>
      </c>
      <c r="Z899" s="50"/>
      <c r="AA899" s="50"/>
      <c r="AB899" s="50"/>
      <c r="AC899" s="50"/>
      <c r="AD899" s="50"/>
      <c r="AE899" s="50"/>
      <c r="AF899" s="34"/>
      <c r="AG899" s="34"/>
      <c r="AH899" s="34"/>
      <c r="AI899" s="34"/>
      <c r="AJ899" s="34"/>
      <c r="AK899" s="34"/>
      <c r="AL899" s="34"/>
      <c r="AM899" s="34"/>
      <c r="AN899" s="34"/>
      <c r="AO899" s="65"/>
      <c r="AP899" s="69"/>
      <c r="AQ899" s="62"/>
      <c r="AR899" s="34"/>
    </row>
    <row r="900" spans="1:44" customFormat="1">
      <c r="A900" s="39">
        <v>44375</v>
      </c>
      <c r="B900" s="11" t="s">
        <v>49</v>
      </c>
      <c r="C900" s="16" t="s">
        <v>3738</v>
      </c>
      <c r="D900" s="16"/>
      <c r="E900" s="38">
        <v>29693</v>
      </c>
      <c r="F900" s="38"/>
      <c r="G900" s="10" t="s">
        <v>3741</v>
      </c>
      <c r="H900" s="12" t="s">
        <v>3739</v>
      </c>
      <c r="I900" s="13" t="s">
        <v>3740</v>
      </c>
      <c r="J900" s="15" t="s">
        <v>3742</v>
      </c>
      <c r="K900" s="12"/>
      <c r="L900" s="11" t="s">
        <v>33</v>
      </c>
      <c r="M900" s="15" t="s">
        <v>3680</v>
      </c>
      <c r="N900" s="17">
        <v>16500</v>
      </c>
      <c r="O900" s="17"/>
      <c r="P900" s="17"/>
      <c r="Q900" s="48"/>
      <c r="R900" s="11"/>
      <c r="S900" s="48"/>
      <c r="T900" s="85"/>
      <c r="U900" s="88"/>
      <c r="V900" s="32"/>
      <c r="W900" s="25" t="s">
        <v>8</v>
      </c>
      <c r="X900" s="11"/>
      <c r="Y900" s="50" t="s">
        <v>13</v>
      </c>
      <c r="Z900" s="50"/>
      <c r="AA900" s="50"/>
      <c r="AB900" s="50"/>
      <c r="AC900" s="50"/>
      <c r="AD900" s="50"/>
      <c r="AE900" s="50"/>
      <c r="AF900" s="34"/>
      <c r="AG900" s="34"/>
      <c r="AH900" s="34"/>
      <c r="AI900" s="34"/>
      <c r="AJ900" s="34"/>
      <c r="AK900" s="34"/>
      <c r="AL900" s="34"/>
      <c r="AM900" s="34"/>
      <c r="AN900" s="34"/>
      <c r="AO900" s="65"/>
      <c r="AP900" s="69"/>
      <c r="AQ900" s="62"/>
      <c r="AR900" s="34"/>
    </row>
    <row r="901" spans="1:44" customFormat="1">
      <c r="A901" s="39">
        <v>44375</v>
      </c>
      <c r="B901" s="11" t="s">
        <v>22</v>
      </c>
      <c r="C901" s="16" t="s">
        <v>3743</v>
      </c>
      <c r="D901" s="16"/>
      <c r="E901" s="38"/>
      <c r="F901" s="38"/>
      <c r="G901" s="10" t="s">
        <v>3744</v>
      </c>
      <c r="H901" s="12" t="s">
        <v>3745</v>
      </c>
      <c r="I901" s="13" t="s">
        <v>3750</v>
      </c>
      <c r="J901" s="15" t="s">
        <v>3746</v>
      </c>
      <c r="K901" s="12"/>
      <c r="L901" s="11" t="s">
        <v>34</v>
      </c>
      <c r="M901" s="15"/>
      <c r="N901" s="17">
        <v>2200</v>
      </c>
      <c r="O901" s="17"/>
      <c r="P901" s="17"/>
      <c r="Q901" s="48"/>
      <c r="R901" s="11"/>
      <c r="S901" s="48"/>
      <c r="T901" s="85"/>
      <c r="U901" s="88"/>
      <c r="V901" s="32" t="s">
        <v>2267</v>
      </c>
      <c r="W901" s="25"/>
      <c r="X901" s="11"/>
      <c r="Y901" s="50"/>
      <c r="Z901" s="50"/>
      <c r="AA901" s="50"/>
      <c r="AB901" s="50"/>
      <c r="AC901" s="50"/>
      <c r="AD901" s="50"/>
      <c r="AE901" s="50"/>
      <c r="AF901" s="34"/>
      <c r="AG901" s="34"/>
      <c r="AH901" s="34"/>
      <c r="AI901" s="34"/>
      <c r="AJ901" s="34"/>
      <c r="AK901" s="34"/>
      <c r="AL901" s="34"/>
      <c r="AM901" s="34"/>
      <c r="AN901" s="34"/>
      <c r="AO901" s="65"/>
      <c r="AP901" s="69"/>
      <c r="AQ901" s="62"/>
      <c r="AR901" s="34"/>
    </row>
    <row r="902" spans="1:44" customFormat="1">
      <c r="A902" s="39">
        <v>44375</v>
      </c>
      <c r="B902" s="11" t="s">
        <v>22</v>
      </c>
      <c r="C902" s="16" t="s">
        <v>3747</v>
      </c>
      <c r="D902" s="16"/>
      <c r="E902" s="38">
        <v>25903</v>
      </c>
      <c r="F902" s="38"/>
      <c r="G902" s="10" t="s">
        <v>3748</v>
      </c>
      <c r="H902" s="12" t="s">
        <v>3749</v>
      </c>
      <c r="I902" s="13" t="s">
        <v>3126</v>
      </c>
      <c r="J902" s="15" t="s">
        <v>3751</v>
      </c>
      <c r="K902" s="14" t="s">
        <v>3752</v>
      </c>
      <c r="L902" s="11" t="s">
        <v>34</v>
      </c>
      <c r="M902" s="15" t="s">
        <v>3584</v>
      </c>
      <c r="N902" s="17">
        <v>3300</v>
      </c>
      <c r="O902" s="17"/>
      <c r="P902" s="17"/>
      <c r="Q902" s="48"/>
      <c r="R902" s="11"/>
      <c r="S902" s="48"/>
      <c r="T902" s="85"/>
      <c r="U902" s="88"/>
      <c r="V902" s="32"/>
      <c r="W902" s="25" t="s">
        <v>8</v>
      </c>
      <c r="X902" s="11"/>
      <c r="Y902" s="50" t="s">
        <v>12</v>
      </c>
      <c r="Z902" s="50"/>
      <c r="AA902" s="50"/>
      <c r="AB902" s="50"/>
      <c r="AC902" s="50"/>
      <c r="AD902" s="50"/>
      <c r="AE902" s="50"/>
      <c r="AF902" s="34"/>
      <c r="AG902" s="34"/>
      <c r="AH902" s="34"/>
      <c r="AI902" s="34"/>
      <c r="AJ902" s="34"/>
      <c r="AK902" s="34"/>
      <c r="AL902" s="34"/>
      <c r="AM902" s="34"/>
      <c r="AN902" s="34"/>
      <c r="AO902" s="65"/>
      <c r="AP902" s="69"/>
      <c r="AQ902" s="62"/>
      <c r="AR902" s="34"/>
    </row>
    <row r="903" spans="1:44" customFormat="1">
      <c r="A903" s="39">
        <v>44375</v>
      </c>
      <c r="B903" s="11" t="s">
        <v>22</v>
      </c>
      <c r="C903" s="16" t="s">
        <v>3722</v>
      </c>
      <c r="D903" s="16"/>
      <c r="E903" s="38">
        <v>28962</v>
      </c>
      <c r="F903" s="38"/>
      <c r="G903" s="10" t="s">
        <v>987</v>
      </c>
      <c r="H903" s="12" t="s">
        <v>3723</v>
      </c>
      <c r="I903" s="13" t="s">
        <v>3724</v>
      </c>
      <c r="J903" s="15" t="s">
        <v>3721</v>
      </c>
      <c r="K903" s="14" t="s">
        <v>3725</v>
      </c>
      <c r="L903" s="11" t="s">
        <v>33</v>
      </c>
      <c r="M903" s="15" t="s">
        <v>3584</v>
      </c>
      <c r="N903" s="17">
        <v>3300</v>
      </c>
      <c r="O903" s="17"/>
      <c r="P903" s="17"/>
      <c r="Q903" s="48"/>
      <c r="R903" s="11"/>
      <c r="S903" s="48"/>
      <c r="T903" s="85" t="s">
        <v>8079</v>
      </c>
      <c r="U903" s="88"/>
      <c r="V903" s="32" t="s">
        <v>3726</v>
      </c>
      <c r="W903" s="25" t="s">
        <v>8</v>
      </c>
      <c r="X903" s="11"/>
      <c r="Y903" s="50" t="s">
        <v>14</v>
      </c>
      <c r="Z903" s="50"/>
      <c r="AA903" s="50"/>
      <c r="AB903" s="50"/>
      <c r="AC903" s="50"/>
      <c r="AD903" s="50"/>
      <c r="AE903" s="50"/>
      <c r="AF903" s="34"/>
      <c r="AG903" s="34"/>
      <c r="AH903" s="34"/>
      <c r="AI903" s="34"/>
      <c r="AJ903" s="34"/>
      <c r="AK903" s="34"/>
      <c r="AL903" s="34"/>
      <c r="AM903" s="34"/>
      <c r="AN903" s="34"/>
      <c r="AO903" s="65"/>
      <c r="AP903" s="69"/>
      <c r="AQ903" s="62"/>
      <c r="AR903" s="34"/>
    </row>
    <row r="904" spans="1:44" customFormat="1">
      <c r="A904" s="39">
        <v>44378</v>
      </c>
      <c r="B904" s="11" t="s">
        <v>5659</v>
      </c>
      <c r="C904" s="16" t="s">
        <v>3753</v>
      </c>
      <c r="D904" s="16"/>
      <c r="E904" s="38">
        <v>6189</v>
      </c>
      <c r="F904" s="38"/>
      <c r="G904" s="10"/>
      <c r="H904" s="12" t="s">
        <v>3754</v>
      </c>
      <c r="I904" s="13" t="s">
        <v>3755</v>
      </c>
      <c r="J904" s="15" t="s">
        <v>3756</v>
      </c>
      <c r="K904" s="12"/>
      <c r="L904" s="11"/>
      <c r="M904" s="15"/>
      <c r="N904" s="17">
        <v>0</v>
      </c>
      <c r="O904" s="17"/>
      <c r="P904" s="17"/>
      <c r="Q904" s="48"/>
      <c r="R904" s="11"/>
      <c r="S904" s="48"/>
      <c r="T904" s="85"/>
      <c r="U904" s="88"/>
      <c r="V904" s="32" t="s">
        <v>3757</v>
      </c>
      <c r="W904" s="25"/>
      <c r="X904" s="11"/>
      <c r="Y904" s="50"/>
      <c r="Z904" s="50"/>
      <c r="AA904" s="50"/>
      <c r="AB904" s="50"/>
      <c r="AC904" s="50"/>
      <c r="AD904" s="50"/>
      <c r="AE904" s="50"/>
      <c r="AF904" s="34"/>
      <c r="AG904" s="34"/>
      <c r="AH904" s="34"/>
      <c r="AI904" s="34"/>
      <c r="AJ904" s="34"/>
      <c r="AK904" s="34"/>
      <c r="AL904" s="34"/>
      <c r="AM904" s="34"/>
      <c r="AN904" s="34"/>
      <c r="AO904" s="65"/>
      <c r="AP904" s="69"/>
      <c r="AQ904" s="62"/>
      <c r="AR904" s="34"/>
    </row>
    <row r="905" spans="1:44" customFormat="1">
      <c r="A905" s="39">
        <v>44378</v>
      </c>
      <c r="B905" s="11" t="s">
        <v>5659</v>
      </c>
      <c r="C905" s="16" t="s">
        <v>3758</v>
      </c>
      <c r="D905" s="16"/>
      <c r="E905" s="38">
        <v>30218</v>
      </c>
      <c r="F905" s="38"/>
      <c r="G905" s="10" t="s">
        <v>3760</v>
      </c>
      <c r="H905" s="12" t="s">
        <v>3759</v>
      </c>
      <c r="I905" s="13" t="s">
        <v>3761</v>
      </c>
      <c r="J905" s="15" t="s">
        <v>3762</v>
      </c>
      <c r="K905" s="12"/>
      <c r="L905" s="11"/>
      <c r="M905" s="15"/>
      <c r="N905" s="17">
        <v>0</v>
      </c>
      <c r="O905" s="17"/>
      <c r="P905" s="17"/>
      <c r="Q905" s="48"/>
      <c r="R905" s="11"/>
      <c r="S905" s="48"/>
      <c r="T905" s="85"/>
      <c r="U905" s="88"/>
      <c r="V905" s="32" t="s">
        <v>3757</v>
      </c>
      <c r="W905" s="25"/>
      <c r="X905" s="11"/>
      <c r="Y905" s="50"/>
      <c r="Z905" s="50"/>
      <c r="AA905" s="50"/>
      <c r="AB905" s="50"/>
      <c r="AC905" s="50"/>
      <c r="AD905" s="50"/>
      <c r="AE905" s="50"/>
      <c r="AF905" s="34"/>
      <c r="AG905" s="34"/>
      <c r="AH905" s="34"/>
      <c r="AI905" s="34"/>
      <c r="AJ905" s="34"/>
      <c r="AK905" s="34"/>
      <c r="AL905" s="34"/>
      <c r="AM905" s="34"/>
      <c r="AN905" s="34"/>
      <c r="AO905" s="65"/>
      <c r="AP905" s="69"/>
      <c r="AQ905" s="62"/>
      <c r="AR905" s="34"/>
    </row>
    <row r="906" spans="1:44" customFormat="1">
      <c r="A906" s="39">
        <v>44380</v>
      </c>
      <c r="B906" s="11" t="s">
        <v>49</v>
      </c>
      <c r="C906" s="16" t="s">
        <v>3763</v>
      </c>
      <c r="D906" s="16"/>
      <c r="E906" s="38">
        <v>26866</v>
      </c>
      <c r="F906" s="38"/>
      <c r="G906" s="10" t="s">
        <v>2050</v>
      </c>
      <c r="H906" s="12" t="s">
        <v>3767</v>
      </c>
      <c r="I906" s="13" t="s">
        <v>3764</v>
      </c>
      <c r="J906" s="15" t="s">
        <v>3765</v>
      </c>
      <c r="K906" s="12"/>
      <c r="L906" s="11" t="s">
        <v>36</v>
      </c>
      <c r="M906" s="15" t="s">
        <v>3680</v>
      </c>
      <c r="N906" s="17">
        <v>16500</v>
      </c>
      <c r="O906" s="17"/>
      <c r="P906" s="17"/>
      <c r="Q906" s="48"/>
      <c r="R906" s="11"/>
      <c r="S906" s="48"/>
      <c r="T906" s="85"/>
      <c r="U906" s="88"/>
      <c r="V906" s="32"/>
      <c r="W906" s="25" t="s">
        <v>48</v>
      </c>
      <c r="X906" s="11"/>
      <c r="Y906" s="50" t="s">
        <v>13</v>
      </c>
      <c r="Z906" s="50"/>
      <c r="AA906" s="50"/>
      <c r="AB906" s="50"/>
      <c r="AC906" s="50"/>
      <c r="AD906" s="50"/>
      <c r="AE906" s="50"/>
      <c r="AF906" s="34"/>
      <c r="AG906" s="34"/>
      <c r="AH906" s="34"/>
      <c r="AI906" s="34"/>
      <c r="AJ906" s="34"/>
      <c r="AK906" s="34"/>
      <c r="AL906" s="34"/>
      <c r="AM906" s="34"/>
      <c r="AN906" s="34"/>
      <c r="AO906" s="65"/>
      <c r="AP906" s="69"/>
      <c r="AQ906" s="62"/>
      <c r="AR906" s="34"/>
    </row>
    <row r="907" spans="1:44" customFormat="1">
      <c r="A907" s="39">
        <v>44381</v>
      </c>
      <c r="B907" s="11" t="s">
        <v>22</v>
      </c>
      <c r="C907" s="16" t="s">
        <v>3766</v>
      </c>
      <c r="D907" s="16"/>
      <c r="E907" s="38">
        <v>29995</v>
      </c>
      <c r="F907" s="38"/>
      <c r="G907" s="10" t="s">
        <v>78</v>
      </c>
      <c r="H907" s="12" t="s">
        <v>3768</v>
      </c>
      <c r="I907" s="13" t="s">
        <v>3769</v>
      </c>
      <c r="J907" s="15" t="s">
        <v>3770</v>
      </c>
      <c r="K907" s="12"/>
      <c r="L907" s="11" t="s">
        <v>34</v>
      </c>
      <c r="M907" s="15" t="s">
        <v>3599</v>
      </c>
      <c r="N907" s="17">
        <v>3300</v>
      </c>
      <c r="O907" s="17"/>
      <c r="P907" s="17"/>
      <c r="Q907" s="48"/>
      <c r="R907" s="11"/>
      <c r="S907" s="48"/>
      <c r="T907" s="85"/>
      <c r="U907" s="88"/>
      <c r="V907" s="32"/>
      <c r="W907" s="25" t="s">
        <v>10</v>
      </c>
      <c r="X907" s="11"/>
      <c r="Y907" s="50" t="s">
        <v>12</v>
      </c>
      <c r="Z907" s="50"/>
      <c r="AA907" s="50"/>
      <c r="AB907" s="50"/>
      <c r="AC907" s="50"/>
      <c r="AD907" s="50"/>
      <c r="AE907" s="50"/>
      <c r="AF907" s="34"/>
      <c r="AG907" s="34"/>
      <c r="AH907" s="34"/>
      <c r="AI907" s="34"/>
      <c r="AJ907" s="34"/>
      <c r="AK907" s="34"/>
      <c r="AL907" s="34"/>
      <c r="AM907" s="34"/>
      <c r="AN907" s="34"/>
      <c r="AO907" s="65"/>
      <c r="AP907" s="69"/>
      <c r="AQ907" s="62"/>
      <c r="AR907" s="34"/>
    </row>
    <row r="908" spans="1:44" customFormat="1">
      <c r="A908" s="39">
        <v>44381</v>
      </c>
      <c r="B908" s="11" t="s">
        <v>22</v>
      </c>
      <c r="C908" s="16" t="s">
        <v>3771</v>
      </c>
      <c r="D908" s="16"/>
      <c r="E908" s="38">
        <v>23282</v>
      </c>
      <c r="F908" s="38"/>
      <c r="G908" s="10" t="s">
        <v>3772</v>
      </c>
      <c r="H908" s="12" t="s">
        <v>3773</v>
      </c>
      <c r="I908" s="13">
        <v>4</v>
      </c>
      <c r="J908" s="15" t="s">
        <v>3774</v>
      </c>
      <c r="K908" s="14" t="s">
        <v>3775</v>
      </c>
      <c r="L908" s="11" t="s">
        <v>36</v>
      </c>
      <c r="M908" s="15" t="s">
        <v>3584</v>
      </c>
      <c r="N908" s="17">
        <v>3300</v>
      </c>
      <c r="O908" s="17"/>
      <c r="P908" s="17"/>
      <c r="Q908" s="48"/>
      <c r="R908" s="11"/>
      <c r="S908" s="48"/>
      <c r="T908" s="85"/>
      <c r="U908" s="88"/>
      <c r="V908" s="32"/>
      <c r="W908" s="25" t="s">
        <v>8</v>
      </c>
      <c r="X908" s="11"/>
      <c r="Y908" s="50" t="s">
        <v>18</v>
      </c>
      <c r="Z908" s="50"/>
      <c r="AA908" s="50"/>
      <c r="AB908" s="50"/>
      <c r="AC908" s="50"/>
      <c r="AD908" s="50"/>
      <c r="AE908" s="50"/>
      <c r="AF908" s="34"/>
      <c r="AG908" s="34"/>
      <c r="AH908" s="34"/>
      <c r="AI908" s="34"/>
      <c r="AJ908" s="34"/>
      <c r="AK908" s="34"/>
      <c r="AL908" s="34"/>
      <c r="AM908" s="34"/>
      <c r="AN908" s="34"/>
      <c r="AO908" s="65"/>
      <c r="AP908" s="69"/>
      <c r="AQ908" s="62"/>
      <c r="AR908" s="34"/>
    </row>
    <row r="909" spans="1:44" customFormat="1">
      <c r="A909" s="39">
        <v>44382</v>
      </c>
      <c r="B909" s="11" t="s">
        <v>49</v>
      </c>
      <c r="C909" s="16" t="s">
        <v>3777</v>
      </c>
      <c r="D909" s="16"/>
      <c r="E909" s="38">
        <v>28671</v>
      </c>
      <c r="F909" s="38"/>
      <c r="G909" s="10" t="s">
        <v>3776</v>
      </c>
      <c r="H909" s="12" t="s">
        <v>3778</v>
      </c>
      <c r="I909" s="13" t="s">
        <v>3779</v>
      </c>
      <c r="J909" s="15" t="s">
        <v>3780</v>
      </c>
      <c r="K909" s="12"/>
      <c r="L909" s="11" t="s">
        <v>37</v>
      </c>
      <c r="M909" s="15" t="s">
        <v>3599</v>
      </c>
      <c r="N909" s="17">
        <v>22000</v>
      </c>
      <c r="O909" s="17"/>
      <c r="P909" s="17"/>
      <c r="Q909" s="48"/>
      <c r="R909" s="11"/>
      <c r="S909" s="48"/>
      <c r="T909" s="85"/>
      <c r="U909" s="88"/>
      <c r="V909" s="32" t="s">
        <v>3781</v>
      </c>
      <c r="W909" s="25" t="s">
        <v>8</v>
      </c>
      <c r="X909" s="11"/>
      <c r="Y909" s="50"/>
      <c r="Z909" s="50"/>
      <c r="AA909" s="50"/>
      <c r="AB909" s="50"/>
      <c r="AC909" s="50"/>
      <c r="AD909" s="50"/>
      <c r="AE909" s="50"/>
      <c r="AF909" s="34"/>
      <c r="AG909" s="34"/>
      <c r="AH909" s="34"/>
      <c r="AI909" s="34"/>
      <c r="AJ909" s="34"/>
      <c r="AK909" s="34"/>
      <c r="AL909" s="34"/>
      <c r="AM909" s="34"/>
      <c r="AN909" s="34"/>
      <c r="AO909" s="65"/>
      <c r="AP909" s="69"/>
      <c r="AQ909" s="62"/>
      <c r="AR909" s="34"/>
    </row>
    <row r="910" spans="1:44" customFormat="1">
      <c r="A910" s="39">
        <v>44382</v>
      </c>
      <c r="B910" s="11" t="s">
        <v>22</v>
      </c>
      <c r="C910" s="16" t="s">
        <v>3782</v>
      </c>
      <c r="D910" s="16"/>
      <c r="E910" s="38">
        <v>24422</v>
      </c>
      <c r="F910" s="38"/>
      <c r="G910" s="10" t="s">
        <v>2789</v>
      </c>
      <c r="H910" s="12" t="s">
        <v>3783</v>
      </c>
      <c r="I910" s="13" t="s">
        <v>3784</v>
      </c>
      <c r="J910" s="15" t="s">
        <v>3785</v>
      </c>
      <c r="K910" s="12"/>
      <c r="L910" s="11" t="s">
        <v>39</v>
      </c>
      <c r="M910" s="15" t="s">
        <v>3599</v>
      </c>
      <c r="N910" s="17">
        <v>3300</v>
      </c>
      <c r="O910" s="17"/>
      <c r="P910" s="17"/>
      <c r="Q910" s="48"/>
      <c r="R910" s="11"/>
      <c r="S910" s="48"/>
      <c r="T910" s="85"/>
      <c r="U910" s="88"/>
      <c r="V910" s="32"/>
      <c r="W910" s="25" t="s">
        <v>8</v>
      </c>
      <c r="X910" s="11"/>
      <c r="Y910" s="50" t="s">
        <v>11</v>
      </c>
      <c r="Z910" s="50"/>
      <c r="AA910" s="50"/>
      <c r="AB910" s="50"/>
      <c r="AC910" s="50"/>
      <c r="AD910" s="50"/>
      <c r="AE910" s="50"/>
      <c r="AF910" s="34"/>
      <c r="AG910" s="34"/>
      <c r="AH910" s="34"/>
      <c r="AI910" s="34"/>
      <c r="AJ910" s="34"/>
      <c r="AK910" s="34"/>
      <c r="AL910" s="34"/>
      <c r="AM910" s="34"/>
      <c r="AN910" s="34"/>
      <c r="AO910" s="65"/>
      <c r="AP910" s="69"/>
      <c r="AQ910" s="62"/>
      <c r="AR910" s="34"/>
    </row>
    <row r="911" spans="1:44" customFormat="1">
      <c r="A911" s="39">
        <v>44384</v>
      </c>
      <c r="B911" s="11" t="s">
        <v>49</v>
      </c>
      <c r="C911" s="16" t="s">
        <v>381</v>
      </c>
      <c r="D911" s="16"/>
      <c r="E911" s="38">
        <v>29610</v>
      </c>
      <c r="F911" s="38"/>
      <c r="G911" s="10" t="s">
        <v>382</v>
      </c>
      <c r="H911" s="12" t="s">
        <v>383</v>
      </c>
      <c r="I911" s="13" t="s">
        <v>1673</v>
      </c>
      <c r="J911" s="15" t="s">
        <v>384</v>
      </c>
      <c r="K911" s="14" t="s">
        <v>3787</v>
      </c>
      <c r="L911" s="11" t="s">
        <v>39</v>
      </c>
      <c r="M911" s="15" t="s">
        <v>3599</v>
      </c>
      <c r="N911" s="17">
        <v>16500</v>
      </c>
      <c r="O911" s="17"/>
      <c r="P911" s="17"/>
      <c r="Q911" s="48"/>
      <c r="R911" s="57"/>
      <c r="S911" s="48"/>
      <c r="T911" s="85"/>
      <c r="U911" s="88"/>
      <c r="V911" s="96" t="s">
        <v>3786</v>
      </c>
      <c r="W911" s="25" t="s">
        <v>8</v>
      </c>
      <c r="X911" s="11"/>
      <c r="Y911" s="50" t="s">
        <v>12</v>
      </c>
      <c r="Z911" s="50"/>
      <c r="AA911" s="50"/>
      <c r="AB911" s="50"/>
      <c r="AC911" s="50"/>
      <c r="AD911" s="50"/>
      <c r="AE911" s="50"/>
      <c r="AF911" s="34"/>
      <c r="AG911" s="34"/>
      <c r="AH911" s="34"/>
      <c r="AI911" s="34"/>
      <c r="AJ911" s="34"/>
      <c r="AK911" s="34"/>
      <c r="AL911" s="34"/>
      <c r="AM911" s="34"/>
      <c r="AN911" s="34"/>
      <c r="AO911" s="65"/>
      <c r="AP911" s="73"/>
      <c r="AQ911" s="62"/>
      <c r="AR911" s="34"/>
    </row>
    <row r="912" spans="1:44" customFormat="1">
      <c r="A912" s="39">
        <v>44384</v>
      </c>
      <c r="B912" s="11" t="s">
        <v>49</v>
      </c>
      <c r="C912" s="16" t="s">
        <v>3788</v>
      </c>
      <c r="D912" s="16"/>
      <c r="E912" s="38">
        <v>25115</v>
      </c>
      <c r="F912" s="38"/>
      <c r="G912" s="10" t="s">
        <v>3789</v>
      </c>
      <c r="H912" s="12" t="s">
        <v>3790</v>
      </c>
      <c r="I912" s="13" t="s">
        <v>3791</v>
      </c>
      <c r="J912" s="15" t="s">
        <v>3792</v>
      </c>
      <c r="K912" s="12"/>
      <c r="L912" s="11" t="s">
        <v>33</v>
      </c>
      <c r="M912" s="15" t="s">
        <v>3599</v>
      </c>
      <c r="N912" s="17">
        <v>22000</v>
      </c>
      <c r="O912" s="17"/>
      <c r="P912" s="17"/>
      <c r="Q912" s="48"/>
      <c r="R912" s="57"/>
      <c r="S912" s="48"/>
      <c r="T912" s="85"/>
      <c r="U912" s="88"/>
      <c r="V912" s="96"/>
      <c r="W912" s="25" t="s">
        <v>8</v>
      </c>
      <c r="X912" s="11"/>
      <c r="Y912" s="50" t="s">
        <v>12</v>
      </c>
      <c r="Z912" s="50"/>
      <c r="AA912" s="50"/>
      <c r="AB912" s="50"/>
      <c r="AC912" s="50"/>
      <c r="AD912" s="50"/>
      <c r="AE912" s="50"/>
      <c r="AF912" s="34"/>
      <c r="AG912" s="34"/>
      <c r="AH912" s="34"/>
      <c r="AI912" s="34"/>
      <c r="AJ912" s="34"/>
      <c r="AK912" s="34"/>
      <c r="AL912" s="34"/>
      <c r="AM912" s="34"/>
      <c r="AN912" s="34"/>
      <c r="AO912" s="65"/>
      <c r="AP912" s="73"/>
      <c r="AQ912" s="62"/>
      <c r="AR912" s="34"/>
    </row>
    <row r="913" spans="1:44" customFormat="1">
      <c r="A913" s="39">
        <v>44385</v>
      </c>
      <c r="B913" s="11" t="s">
        <v>2170</v>
      </c>
      <c r="C913" s="16" t="s">
        <v>3793</v>
      </c>
      <c r="D913" s="16"/>
      <c r="E913" s="38">
        <v>29399</v>
      </c>
      <c r="F913" s="38"/>
      <c r="G913" s="10" t="s">
        <v>3796</v>
      </c>
      <c r="H913" s="12" t="s">
        <v>3794</v>
      </c>
      <c r="I913" s="13" t="s">
        <v>3795</v>
      </c>
      <c r="J913" s="15" t="s">
        <v>3797</v>
      </c>
      <c r="K913" s="12"/>
      <c r="L913" s="11" t="s">
        <v>33</v>
      </c>
      <c r="M913" s="15" t="s">
        <v>3599</v>
      </c>
      <c r="N913" s="17">
        <v>13200</v>
      </c>
      <c r="O913" s="17"/>
      <c r="P913" s="17"/>
      <c r="Q913" s="48"/>
      <c r="R913" s="11"/>
      <c r="S913" s="48"/>
      <c r="T913" s="85"/>
      <c r="U913" s="88"/>
      <c r="V913" s="32" t="s">
        <v>3391</v>
      </c>
      <c r="W913" s="25" t="s">
        <v>48</v>
      </c>
      <c r="X913" s="11"/>
      <c r="Y913" s="50" t="s">
        <v>11</v>
      </c>
      <c r="Z913" s="50"/>
      <c r="AA913" s="50"/>
      <c r="AB913" s="50"/>
      <c r="AC913" s="50"/>
      <c r="AD913" s="50"/>
      <c r="AE913" s="50"/>
      <c r="AF913" s="34"/>
      <c r="AG913" s="34"/>
      <c r="AH913" s="34"/>
      <c r="AI913" s="34"/>
      <c r="AJ913" s="34"/>
      <c r="AK913" s="34"/>
      <c r="AL913" s="34"/>
      <c r="AM913" s="34"/>
      <c r="AN913" s="34"/>
      <c r="AO913" s="65"/>
      <c r="AP913" s="69"/>
      <c r="AQ913" s="62"/>
      <c r="AR913" s="34"/>
    </row>
    <row r="914" spans="1:44" customFormat="1">
      <c r="A914" s="39">
        <v>44385</v>
      </c>
      <c r="B914" s="11" t="s">
        <v>49</v>
      </c>
      <c r="C914" s="16" t="s">
        <v>3798</v>
      </c>
      <c r="D914" s="16"/>
      <c r="E914" s="38">
        <v>22888</v>
      </c>
      <c r="F914" s="38"/>
      <c r="G914" s="10" t="s">
        <v>3799</v>
      </c>
      <c r="H914" s="12" t="s">
        <v>3800</v>
      </c>
      <c r="I914" s="13" t="s">
        <v>3801</v>
      </c>
      <c r="J914" s="15" t="s">
        <v>3802</v>
      </c>
      <c r="K914" s="12"/>
      <c r="L914" s="11" t="s">
        <v>33</v>
      </c>
      <c r="M914" s="15" t="s">
        <v>3599</v>
      </c>
      <c r="N914" s="17">
        <v>16500</v>
      </c>
      <c r="O914" s="17"/>
      <c r="P914" s="17"/>
      <c r="Q914" s="48"/>
      <c r="R914" s="11"/>
      <c r="S914" s="48"/>
      <c r="T914" s="85"/>
      <c r="U914" s="88"/>
      <c r="V914" s="32"/>
      <c r="W914" s="25" t="s">
        <v>8</v>
      </c>
      <c r="X914" s="11"/>
      <c r="Y914" s="50" t="s">
        <v>13</v>
      </c>
      <c r="Z914" s="50"/>
      <c r="AA914" s="50"/>
      <c r="AB914" s="50"/>
      <c r="AC914" s="50"/>
      <c r="AD914" s="50"/>
      <c r="AE914" s="50"/>
      <c r="AF914" s="34"/>
      <c r="AG914" s="34"/>
      <c r="AH914" s="34"/>
      <c r="AI914" s="34"/>
      <c r="AJ914" s="34"/>
      <c r="AK914" s="34"/>
      <c r="AL914" s="34"/>
      <c r="AM914" s="34"/>
      <c r="AN914" s="34"/>
      <c r="AO914" s="65"/>
      <c r="AP914" s="69"/>
      <c r="AQ914" s="62"/>
      <c r="AR914" s="34"/>
    </row>
    <row r="915" spans="1:44" customFormat="1">
      <c r="A915" s="39">
        <v>44387</v>
      </c>
      <c r="B915" s="11" t="s">
        <v>49</v>
      </c>
      <c r="C915" s="16" t="s">
        <v>3788</v>
      </c>
      <c r="D915" s="16"/>
      <c r="E915" s="38"/>
      <c r="F915" s="38"/>
      <c r="G915" s="10"/>
      <c r="H915" s="12"/>
      <c r="I915" s="13"/>
      <c r="J915" s="15"/>
      <c r="K915" s="12"/>
      <c r="L915" s="11"/>
      <c r="M915" s="15"/>
      <c r="N915" s="17">
        <v>8250</v>
      </c>
      <c r="O915" s="17"/>
      <c r="P915" s="17"/>
      <c r="Q915" s="48"/>
      <c r="R915" s="11"/>
      <c r="S915" s="48"/>
      <c r="T915" s="85"/>
      <c r="U915" s="88"/>
      <c r="V915" s="32" t="s">
        <v>3803</v>
      </c>
      <c r="W915" s="25"/>
      <c r="X915" s="11"/>
      <c r="Y915" s="50"/>
      <c r="Z915" s="50"/>
      <c r="AA915" s="50"/>
      <c r="AB915" s="50"/>
      <c r="AC915" s="50"/>
      <c r="AD915" s="50"/>
      <c r="AE915" s="50"/>
      <c r="AF915" s="34"/>
      <c r="AG915" s="34"/>
      <c r="AH915" s="34"/>
      <c r="AI915" s="34"/>
      <c r="AJ915" s="34"/>
      <c r="AK915" s="34"/>
      <c r="AL915" s="34"/>
      <c r="AM915" s="34"/>
      <c r="AN915" s="34"/>
      <c r="AO915" s="65"/>
      <c r="AP915" s="69"/>
      <c r="AQ915" s="62"/>
      <c r="AR915" s="34"/>
    </row>
    <row r="916" spans="1:44" customFormat="1">
      <c r="A916" s="39">
        <v>44387</v>
      </c>
      <c r="B916" s="11" t="s">
        <v>22</v>
      </c>
      <c r="C916" s="16" t="s">
        <v>3804</v>
      </c>
      <c r="D916" s="16"/>
      <c r="E916" s="38">
        <v>25287</v>
      </c>
      <c r="F916" s="38"/>
      <c r="G916" s="10" t="s">
        <v>3363</v>
      </c>
      <c r="H916" s="12" t="s">
        <v>3805</v>
      </c>
      <c r="I916" s="13" t="s">
        <v>2617</v>
      </c>
      <c r="J916" s="15" t="s">
        <v>3807</v>
      </c>
      <c r="K916" s="14" t="s">
        <v>3806</v>
      </c>
      <c r="L916" s="11" t="s">
        <v>36</v>
      </c>
      <c r="M916" s="15" t="s">
        <v>3584</v>
      </c>
      <c r="N916" s="17">
        <v>3300</v>
      </c>
      <c r="O916" s="17"/>
      <c r="P916" s="17"/>
      <c r="Q916" s="48"/>
      <c r="R916" s="11"/>
      <c r="S916" s="48"/>
      <c r="T916" s="85"/>
      <c r="U916" s="88"/>
      <c r="V916" s="32"/>
      <c r="W916" s="25" t="s">
        <v>9</v>
      </c>
      <c r="X916" s="11"/>
      <c r="Y916" s="50" t="s">
        <v>12</v>
      </c>
      <c r="Z916" s="50"/>
      <c r="AA916" s="50"/>
      <c r="AB916" s="50"/>
      <c r="AC916" s="50"/>
      <c r="AD916" s="50"/>
      <c r="AE916" s="50"/>
      <c r="AF916" s="34"/>
      <c r="AG916" s="34"/>
      <c r="AH916" s="34"/>
      <c r="AI916" s="34"/>
      <c r="AJ916" s="34"/>
      <c r="AK916" s="34"/>
      <c r="AL916" s="34"/>
      <c r="AM916" s="34"/>
      <c r="AN916" s="34"/>
      <c r="AO916" s="65"/>
      <c r="AP916" s="69"/>
      <c r="AQ916" s="62"/>
      <c r="AR916" s="34"/>
    </row>
    <row r="917" spans="1:44" customFormat="1">
      <c r="A917" s="39">
        <v>44388</v>
      </c>
      <c r="B917" s="11" t="s">
        <v>49</v>
      </c>
      <c r="C917" s="16" t="s">
        <v>3808</v>
      </c>
      <c r="D917" s="16"/>
      <c r="E917" s="38">
        <v>24021</v>
      </c>
      <c r="F917" s="38"/>
      <c r="G917" s="10" t="s">
        <v>3809</v>
      </c>
      <c r="H917" s="12" t="s">
        <v>3810</v>
      </c>
      <c r="I917" s="13" t="s">
        <v>3812</v>
      </c>
      <c r="J917" s="15" t="s">
        <v>3811</v>
      </c>
      <c r="K917" s="2"/>
      <c r="L917" s="11"/>
      <c r="M917" s="15" t="s">
        <v>3629</v>
      </c>
      <c r="N917" s="17">
        <v>22000</v>
      </c>
      <c r="O917" s="17"/>
      <c r="P917" s="17"/>
      <c r="Q917" s="48"/>
      <c r="R917" s="11"/>
      <c r="S917" s="48"/>
      <c r="T917" s="85"/>
      <c r="U917" s="88"/>
      <c r="V917" s="32"/>
      <c r="W917" s="25" t="s">
        <v>8</v>
      </c>
      <c r="X917" s="11"/>
      <c r="Y917" s="50" t="s">
        <v>13</v>
      </c>
      <c r="Z917" s="50"/>
      <c r="AA917" s="50"/>
      <c r="AB917" s="50"/>
      <c r="AC917" s="50"/>
      <c r="AD917" s="50"/>
      <c r="AE917" s="50"/>
      <c r="AF917" s="34"/>
      <c r="AG917" s="34"/>
      <c r="AH917" s="34"/>
      <c r="AI917" s="34"/>
      <c r="AJ917" s="34"/>
      <c r="AK917" s="34"/>
      <c r="AL917" s="34"/>
      <c r="AM917" s="34"/>
      <c r="AN917" s="34"/>
      <c r="AO917" s="65"/>
      <c r="AP917" s="69"/>
      <c r="AQ917" s="62"/>
      <c r="AR917" s="34"/>
    </row>
    <row r="918" spans="1:44" customFormat="1">
      <c r="A918" s="39">
        <v>44388</v>
      </c>
      <c r="B918" s="11" t="s">
        <v>49</v>
      </c>
      <c r="C918" s="16" t="s">
        <v>3813</v>
      </c>
      <c r="D918" s="16"/>
      <c r="E918" s="38">
        <v>31114</v>
      </c>
      <c r="F918" s="38"/>
      <c r="G918" s="10" t="s">
        <v>3814</v>
      </c>
      <c r="H918" s="12" t="s">
        <v>3815</v>
      </c>
      <c r="I918" s="13">
        <v>4.2</v>
      </c>
      <c r="J918" s="15" t="s">
        <v>3817</v>
      </c>
      <c r="K918" s="14" t="s">
        <v>3816</v>
      </c>
      <c r="L918" s="11" t="s">
        <v>33</v>
      </c>
      <c r="M918" s="15" t="s">
        <v>3584</v>
      </c>
      <c r="N918" s="17">
        <v>22000</v>
      </c>
      <c r="O918" s="17"/>
      <c r="P918" s="17"/>
      <c r="Q918" s="48"/>
      <c r="R918" s="11"/>
      <c r="S918" s="48"/>
      <c r="T918" s="85"/>
      <c r="U918" s="88"/>
      <c r="V918" s="32"/>
      <c r="W918" s="25" t="s">
        <v>48</v>
      </c>
      <c r="X918" s="11"/>
      <c r="Y918" s="50" t="s">
        <v>13</v>
      </c>
      <c r="Z918" s="50"/>
      <c r="AA918" s="50"/>
      <c r="AB918" s="50"/>
      <c r="AC918" s="50"/>
      <c r="AD918" s="50"/>
      <c r="AE918" s="50"/>
      <c r="AF918" s="34"/>
      <c r="AG918" s="34"/>
      <c r="AH918" s="34"/>
      <c r="AI918" s="34"/>
      <c r="AJ918" s="34"/>
      <c r="AK918" s="34"/>
      <c r="AL918" s="34"/>
      <c r="AM918" s="34"/>
      <c r="AN918" s="34"/>
      <c r="AO918" s="65"/>
      <c r="AP918" s="69"/>
      <c r="AQ918" s="62"/>
      <c r="AR918" s="34"/>
    </row>
    <row r="919" spans="1:44" customFormat="1">
      <c r="A919" s="39">
        <v>44392</v>
      </c>
      <c r="B919" s="11" t="s">
        <v>22</v>
      </c>
      <c r="C919" s="16" t="s">
        <v>3818</v>
      </c>
      <c r="D919" s="16"/>
      <c r="E919" s="38">
        <v>21070</v>
      </c>
      <c r="F919" s="38"/>
      <c r="G919" s="10" t="s">
        <v>3819</v>
      </c>
      <c r="H919" s="12" t="s">
        <v>3820</v>
      </c>
      <c r="I919" s="13" t="s">
        <v>3821</v>
      </c>
      <c r="J919" s="15" t="s">
        <v>3822</v>
      </c>
      <c r="K919" s="12"/>
      <c r="L919" s="11" t="s">
        <v>39</v>
      </c>
      <c r="M919" s="15" t="s">
        <v>3599</v>
      </c>
      <c r="N919" s="17">
        <v>3300</v>
      </c>
      <c r="O919" s="17"/>
      <c r="P919" s="17"/>
      <c r="Q919" s="48"/>
      <c r="R919" s="11"/>
      <c r="S919" s="48"/>
      <c r="T919" s="85"/>
      <c r="U919" s="88"/>
      <c r="V919" s="32" t="s">
        <v>3204</v>
      </c>
      <c r="W919" s="25" t="s">
        <v>10</v>
      </c>
      <c r="X919" s="11"/>
      <c r="Y919" s="50" t="s">
        <v>12</v>
      </c>
      <c r="Z919" s="50"/>
      <c r="AA919" s="50"/>
      <c r="AB919" s="50"/>
      <c r="AC919" s="50"/>
      <c r="AD919" s="50"/>
      <c r="AE919" s="50"/>
      <c r="AF919" s="34"/>
      <c r="AG919" s="34"/>
      <c r="AH919" s="34"/>
      <c r="AI919" s="34"/>
      <c r="AJ919" s="34"/>
      <c r="AK919" s="34"/>
      <c r="AL919" s="34"/>
      <c r="AM919" s="34"/>
      <c r="AN919" s="34"/>
      <c r="AO919" s="65"/>
      <c r="AP919" s="69"/>
      <c r="AQ919" s="62"/>
      <c r="AR919" s="34"/>
    </row>
    <row r="920" spans="1:44" customFormat="1">
      <c r="A920" s="39">
        <v>44392</v>
      </c>
      <c r="B920" s="11" t="s">
        <v>49</v>
      </c>
      <c r="C920" s="16" t="s">
        <v>3823</v>
      </c>
      <c r="D920" s="16"/>
      <c r="E920" s="38">
        <v>27470</v>
      </c>
      <c r="F920" s="38"/>
      <c r="G920" s="10" t="s">
        <v>3824</v>
      </c>
      <c r="H920" s="12" t="s">
        <v>3825</v>
      </c>
      <c r="I920" s="13" t="s">
        <v>3826</v>
      </c>
      <c r="J920" s="15" t="s">
        <v>3827</v>
      </c>
      <c r="K920" s="12"/>
      <c r="L920" s="11" t="s">
        <v>33</v>
      </c>
      <c r="M920" s="15" t="s">
        <v>3599</v>
      </c>
      <c r="N920" s="17">
        <v>22000</v>
      </c>
      <c r="O920" s="17"/>
      <c r="P920" s="17"/>
      <c r="Q920" s="48"/>
      <c r="R920" s="11"/>
      <c r="S920" s="48"/>
      <c r="T920" s="85"/>
      <c r="U920" s="88"/>
      <c r="V920" s="32"/>
      <c r="W920" s="25" t="s">
        <v>48</v>
      </c>
      <c r="X920" s="11"/>
      <c r="Y920" s="50" t="s">
        <v>13</v>
      </c>
      <c r="Z920" s="50"/>
      <c r="AA920" s="50"/>
      <c r="AB920" s="50"/>
      <c r="AC920" s="50"/>
      <c r="AD920" s="50"/>
      <c r="AE920" s="50"/>
      <c r="AF920" s="34"/>
      <c r="AG920" s="34"/>
      <c r="AH920" s="34"/>
      <c r="AI920" s="34"/>
      <c r="AJ920" s="34"/>
      <c r="AK920" s="34"/>
      <c r="AL920" s="34"/>
      <c r="AM920" s="34"/>
      <c r="AN920" s="34"/>
      <c r="AO920" s="65"/>
      <c r="AP920" s="69"/>
      <c r="AQ920" s="62"/>
      <c r="AR920" s="34"/>
    </row>
    <row r="921" spans="1:44" customFormat="1">
      <c r="A921" s="39">
        <v>44393</v>
      </c>
      <c r="B921" s="11" t="s">
        <v>49</v>
      </c>
      <c r="C921" s="16" t="s">
        <v>3828</v>
      </c>
      <c r="D921" s="16"/>
      <c r="E921" s="38">
        <v>30545</v>
      </c>
      <c r="F921" s="38"/>
      <c r="G921" s="10" t="s">
        <v>3829</v>
      </c>
      <c r="H921" s="12" t="s">
        <v>3830</v>
      </c>
      <c r="I921" s="13" t="s">
        <v>3831</v>
      </c>
      <c r="J921" s="15" t="s">
        <v>3832</v>
      </c>
      <c r="K921" s="12"/>
      <c r="L921" s="11" t="s">
        <v>36</v>
      </c>
      <c r="M921" s="15" t="s">
        <v>3599</v>
      </c>
      <c r="N921" s="17">
        <v>16500</v>
      </c>
      <c r="O921" s="17"/>
      <c r="P921" s="17"/>
      <c r="Q921" s="48"/>
      <c r="R921" s="11"/>
      <c r="S921" s="48"/>
      <c r="T921" s="85"/>
      <c r="U921" s="88"/>
      <c r="V921" s="32"/>
      <c r="W921" s="25" t="s">
        <v>48</v>
      </c>
      <c r="X921" s="11"/>
      <c r="Y921" s="50" t="s">
        <v>13</v>
      </c>
      <c r="Z921" s="50"/>
      <c r="AA921" s="50"/>
      <c r="AB921" s="50"/>
      <c r="AC921" s="50"/>
      <c r="AD921" s="50"/>
      <c r="AE921" s="50"/>
      <c r="AF921" s="34"/>
      <c r="AG921" s="34"/>
      <c r="AH921" s="34"/>
      <c r="AI921" s="34"/>
      <c r="AJ921" s="34"/>
      <c r="AK921" s="34"/>
      <c r="AL921" s="34"/>
      <c r="AM921" s="34"/>
      <c r="AN921" s="34"/>
      <c r="AO921" s="65"/>
      <c r="AP921" s="69"/>
      <c r="AQ921" s="62"/>
      <c r="AR921" s="34"/>
    </row>
    <row r="922" spans="1:44" customFormat="1">
      <c r="A922" s="39">
        <v>44395</v>
      </c>
      <c r="B922" s="11" t="s">
        <v>22</v>
      </c>
      <c r="C922" s="16" t="s">
        <v>3833</v>
      </c>
      <c r="D922" s="16"/>
      <c r="E922" s="38">
        <v>26047</v>
      </c>
      <c r="F922" s="38"/>
      <c r="G922" s="10" t="s">
        <v>3835</v>
      </c>
      <c r="H922" s="12" t="s">
        <v>3837</v>
      </c>
      <c r="I922" s="13" t="s">
        <v>3416</v>
      </c>
      <c r="J922" s="15" t="s">
        <v>3840</v>
      </c>
      <c r="K922" s="12"/>
      <c r="L922" s="11" t="s">
        <v>36</v>
      </c>
      <c r="M922" s="15" t="s">
        <v>3599</v>
      </c>
      <c r="N922" s="17">
        <v>2200</v>
      </c>
      <c r="O922" s="17"/>
      <c r="P922" s="17"/>
      <c r="Q922" s="48"/>
      <c r="R922" s="11"/>
      <c r="S922" s="48"/>
      <c r="T922" s="85"/>
      <c r="U922" s="88"/>
      <c r="V922" s="32" t="s">
        <v>3842</v>
      </c>
      <c r="W922" s="25" t="s">
        <v>8</v>
      </c>
      <c r="X922" s="11"/>
      <c r="Y922" s="50" t="s">
        <v>12</v>
      </c>
      <c r="Z922" s="50"/>
      <c r="AA922" s="50"/>
      <c r="AB922" s="50"/>
      <c r="AC922" s="50"/>
      <c r="AD922" s="50"/>
      <c r="AE922" s="50"/>
      <c r="AF922" s="34"/>
      <c r="AG922" s="34"/>
      <c r="AH922" s="34"/>
      <c r="AI922" s="34"/>
      <c r="AJ922" s="34"/>
      <c r="AK922" s="34"/>
      <c r="AL922" s="34"/>
      <c r="AM922" s="34"/>
      <c r="AN922" s="34"/>
      <c r="AO922" s="65"/>
      <c r="AP922" s="69"/>
      <c r="AQ922" s="62"/>
      <c r="AR922" s="34"/>
    </row>
    <row r="923" spans="1:44" customFormat="1">
      <c r="A923" s="39">
        <v>44395</v>
      </c>
      <c r="B923" s="11" t="s">
        <v>22</v>
      </c>
      <c r="C923" s="16" t="s">
        <v>3834</v>
      </c>
      <c r="D923" s="16"/>
      <c r="E923" s="38">
        <v>35159</v>
      </c>
      <c r="F923" s="38"/>
      <c r="G923" s="10" t="s">
        <v>3836</v>
      </c>
      <c r="H923" s="12" t="s">
        <v>3838</v>
      </c>
      <c r="I923" s="13" t="s">
        <v>3839</v>
      </c>
      <c r="J923" s="15" t="s">
        <v>3841</v>
      </c>
      <c r="K923" s="12"/>
      <c r="L923" s="11" t="s">
        <v>36</v>
      </c>
      <c r="M923" s="15" t="s">
        <v>3599</v>
      </c>
      <c r="N923" s="17">
        <v>2200</v>
      </c>
      <c r="O923" s="17"/>
      <c r="P923" s="17"/>
      <c r="Q923" s="48"/>
      <c r="R923" s="11"/>
      <c r="S923" s="48"/>
      <c r="T923" s="85"/>
      <c r="U923" s="88"/>
      <c r="V923" s="32" t="s">
        <v>3842</v>
      </c>
      <c r="W923" s="25" t="s">
        <v>8</v>
      </c>
      <c r="X923" s="11"/>
      <c r="Y923" s="50" t="s">
        <v>18</v>
      </c>
      <c r="Z923" s="50"/>
      <c r="AA923" s="50"/>
      <c r="AB923" s="50"/>
      <c r="AC923" s="50"/>
      <c r="AD923" s="50"/>
      <c r="AE923" s="50"/>
      <c r="AF923" s="34"/>
      <c r="AG923" s="34"/>
      <c r="AH923" s="34"/>
      <c r="AI923" s="34"/>
      <c r="AJ923" s="34"/>
      <c r="AK923" s="34"/>
      <c r="AL923" s="34"/>
      <c r="AM923" s="34"/>
      <c r="AN923" s="34"/>
      <c r="AO923" s="65"/>
      <c r="AP923" s="69"/>
      <c r="AQ923" s="62"/>
      <c r="AR923" s="34"/>
    </row>
    <row r="924" spans="1:44" customFormat="1">
      <c r="A924" s="39">
        <v>44398</v>
      </c>
      <c r="B924" s="11" t="s">
        <v>49</v>
      </c>
      <c r="C924" s="16" t="s">
        <v>3843</v>
      </c>
      <c r="D924" s="16"/>
      <c r="E924" s="38">
        <v>35132</v>
      </c>
      <c r="F924" s="38"/>
      <c r="G924" s="10" t="s">
        <v>3844</v>
      </c>
      <c r="H924" s="12" t="s">
        <v>3845</v>
      </c>
      <c r="I924" s="13" t="s">
        <v>3850</v>
      </c>
      <c r="J924" s="15" t="s">
        <v>3846</v>
      </c>
      <c r="K924" s="12"/>
      <c r="L924" s="11" t="s">
        <v>39</v>
      </c>
      <c r="M924" s="15" t="s">
        <v>3599</v>
      </c>
      <c r="N924" s="17">
        <v>22000</v>
      </c>
      <c r="O924" s="17"/>
      <c r="P924" s="17"/>
      <c r="Q924" s="48"/>
      <c r="R924" s="11"/>
      <c r="S924" s="48"/>
      <c r="T924" s="85"/>
      <c r="U924" s="88"/>
      <c r="V924" s="32"/>
      <c r="W924" s="25" t="s">
        <v>3847</v>
      </c>
      <c r="X924" s="11"/>
      <c r="Y924" s="50" t="s">
        <v>13</v>
      </c>
      <c r="Z924" s="50"/>
      <c r="AA924" s="50"/>
      <c r="AB924" s="50"/>
      <c r="AC924" s="50"/>
      <c r="AD924" s="50"/>
      <c r="AE924" s="50"/>
      <c r="AF924" s="34"/>
      <c r="AG924" s="34"/>
      <c r="AH924" s="34"/>
      <c r="AI924" s="34"/>
      <c r="AJ924" s="34"/>
      <c r="AK924" s="34"/>
      <c r="AL924" s="34"/>
      <c r="AM924" s="34"/>
      <c r="AN924" s="34"/>
      <c r="AO924" s="65"/>
      <c r="AP924" s="69"/>
      <c r="AQ924" s="62"/>
      <c r="AR924" s="34"/>
    </row>
    <row r="925" spans="1:44" customFormat="1">
      <c r="A925" s="39">
        <v>44399</v>
      </c>
      <c r="B925" s="11" t="s">
        <v>22</v>
      </c>
      <c r="C925" s="16" t="s">
        <v>3851</v>
      </c>
      <c r="D925" s="16"/>
      <c r="E925" s="38">
        <v>19789</v>
      </c>
      <c r="F925" s="38"/>
      <c r="G925" s="10" t="s">
        <v>207</v>
      </c>
      <c r="H925" s="12" t="s">
        <v>3853</v>
      </c>
      <c r="I925" s="13" t="s">
        <v>3855</v>
      </c>
      <c r="J925" s="15" t="s">
        <v>3856</v>
      </c>
      <c r="K925" s="12"/>
      <c r="L925" s="11" t="s">
        <v>37</v>
      </c>
      <c r="M925" s="15" t="s">
        <v>3599</v>
      </c>
      <c r="N925" s="17">
        <v>3300</v>
      </c>
      <c r="O925" s="17"/>
      <c r="P925" s="17"/>
      <c r="Q925" s="48"/>
      <c r="R925" s="11"/>
      <c r="S925" s="48"/>
      <c r="T925" s="85"/>
      <c r="U925" s="88"/>
      <c r="V925" s="32"/>
      <c r="W925" s="25" t="s">
        <v>10</v>
      </c>
      <c r="X925" s="11"/>
      <c r="Y925" s="50" t="s">
        <v>11</v>
      </c>
      <c r="Z925" s="50"/>
      <c r="AA925" s="50"/>
      <c r="AB925" s="50"/>
      <c r="AC925" s="50"/>
      <c r="AD925" s="50"/>
      <c r="AE925" s="50"/>
      <c r="AF925" s="34"/>
      <c r="AG925" s="34"/>
      <c r="AH925" s="34"/>
      <c r="AI925" s="34"/>
      <c r="AJ925" s="34"/>
      <c r="AK925" s="34"/>
      <c r="AL925" s="34"/>
      <c r="AM925" s="34"/>
      <c r="AN925" s="34"/>
      <c r="AO925" s="65"/>
      <c r="AP925" s="69"/>
      <c r="AQ925" s="62"/>
      <c r="AR925" s="34"/>
    </row>
    <row r="926" spans="1:44" customFormat="1">
      <c r="A926" s="39">
        <v>44399</v>
      </c>
      <c r="B926" s="11" t="s">
        <v>22</v>
      </c>
      <c r="C926" s="16" t="s">
        <v>3852</v>
      </c>
      <c r="D926" s="16"/>
      <c r="E926" s="38">
        <v>31813</v>
      </c>
      <c r="F926" s="38"/>
      <c r="G926" s="10" t="s">
        <v>358</v>
      </c>
      <c r="H926" s="12" t="s">
        <v>3854</v>
      </c>
      <c r="I926" s="13" t="s">
        <v>2388</v>
      </c>
      <c r="J926" s="15" t="s">
        <v>3857</v>
      </c>
      <c r="K926" s="12"/>
      <c r="L926" s="11" t="s">
        <v>39</v>
      </c>
      <c r="M926" s="15"/>
      <c r="N926" s="17">
        <v>3300</v>
      </c>
      <c r="O926" s="17"/>
      <c r="P926" s="17"/>
      <c r="Q926" s="48"/>
      <c r="R926" s="11"/>
      <c r="S926" s="48"/>
      <c r="T926" s="85"/>
      <c r="U926" s="88"/>
      <c r="V926" s="32"/>
      <c r="W926" s="25" t="s">
        <v>10</v>
      </c>
      <c r="X926" s="11"/>
      <c r="Y926" s="50" t="s">
        <v>18</v>
      </c>
      <c r="Z926" s="50"/>
      <c r="AA926" s="50"/>
      <c r="AB926" s="50"/>
      <c r="AC926" s="50"/>
      <c r="AD926" s="50"/>
      <c r="AE926" s="50"/>
      <c r="AF926" s="34"/>
      <c r="AG926" s="34"/>
      <c r="AH926" s="34"/>
      <c r="AI926" s="34"/>
      <c r="AJ926" s="34"/>
      <c r="AK926" s="34"/>
      <c r="AL926" s="34"/>
      <c r="AM926" s="34"/>
      <c r="AN926" s="34"/>
      <c r="AO926" s="65"/>
      <c r="AP926" s="69"/>
      <c r="AQ926" s="62"/>
      <c r="AR926" s="34"/>
    </row>
    <row r="927" spans="1:44" customFormat="1">
      <c r="A927" s="39">
        <v>44399</v>
      </c>
      <c r="B927" s="11" t="s">
        <v>49</v>
      </c>
      <c r="C927" s="16" t="s">
        <v>3858</v>
      </c>
      <c r="D927" s="16"/>
      <c r="E927" s="38">
        <v>25392</v>
      </c>
      <c r="F927" s="38"/>
      <c r="G927" s="10" t="s">
        <v>3859</v>
      </c>
      <c r="H927" s="12" t="s">
        <v>3860</v>
      </c>
      <c r="I927" s="13" t="s">
        <v>3861</v>
      </c>
      <c r="J927" s="15" t="s">
        <v>3862</v>
      </c>
      <c r="K927" s="12"/>
      <c r="L927" s="11" t="s">
        <v>33</v>
      </c>
      <c r="M927" s="15" t="s">
        <v>3629</v>
      </c>
      <c r="N927" s="17">
        <v>16500</v>
      </c>
      <c r="O927" s="17"/>
      <c r="P927" s="17"/>
      <c r="Q927" s="48"/>
      <c r="R927" s="11"/>
      <c r="S927" s="48"/>
      <c r="T927" s="85"/>
      <c r="U927" s="88"/>
      <c r="V927" s="32"/>
      <c r="W927" s="25" t="s">
        <v>48</v>
      </c>
      <c r="X927" s="11"/>
      <c r="Y927" s="50" t="s">
        <v>13</v>
      </c>
      <c r="Z927" s="50"/>
      <c r="AA927" s="50"/>
      <c r="AB927" s="50"/>
      <c r="AC927" s="50"/>
      <c r="AD927" s="50"/>
      <c r="AE927" s="50"/>
      <c r="AF927" s="34"/>
      <c r="AG927" s="34"/>
      <c r="AH927" s="34"/>
      <c r="AI927" s="34"/>
      <c r="AJ927" s="34"/>
      <c r="AK927" s="34"/>
      <c r="AL927" s="34"/>
      <c r="AM927" s="34"/>
      <c r="AN927" s="34"/>
      <c r="AO927" s="65"/>
      <c r="AP927" s="69"/>
      <c r="AQ927" s="62"/>
      <c r="AR927" s="34"/>
    </row>
    <row r="928" spans="1:44" customFormat="1">
      <c r="A928" s="39">
        <v>44401</v>
      </c>
      <c r="B928" s="11" t="s">
        <v>49</v>
      </c>
      <c r="C928" s="16" t="s">
        <v>3863</v>
      </c>
      <c r="D928" s="16"/>
      <c r="E928" s="38">
        <v>34005</v>
      </c>
      <c r="F928" s="38"/>
      <c r="G928" s="10" t="s">
        <v>3864</v>
      </c>
      <c r="H928" s="12" t="s">
        <v>3865</v>
      </c>
      <c r="I928" s="13" t="s">
        <v>3867</v>
      </c>
      <c r="J928" s="15" t="s">
        <v>3868</v>
      </c>
      <c r="K928" s="14" t="s">
        <v>3866</v>
      </c>
      <c r="L928" s="11" t="s">
        <v>36</v>
      </c>
      <c r="M928" s="15" t="s">
        <v>3599</v>
      </c>
      <c r="N928" s="17">
        <v>22000</v>
      </c>
      <c r="O928" s="17"/>
      <c r="P928" s="17"/>
      <c r="Q928" s="48"/>
      <c r="R928" s="11"/>
      <c r="S928" s="48"/>
      <c r="T928" s="85"/>
      <c r="U928" s="88"/>
      <c r="V928" s="32"/>
      <c r="W928" s="25" t="s">
        <v>48</v>
      </c>
      <c r="X928" s="11"/>
      <c r="Y928" s="50" t="s">
        <v>13</v>
      </c>
      <c r="Z928" s="50"/>
      <c r="AA928" s="50"/>
      <c r="AB928" s="50"/>
      <c r="AC928" s="50"/>
      <c r="AD928" s="50"/>
      <c r="AE928" s="50"/>
      <c r="AF928" s="34"/>
      <c r="AG928" s="34"/>
      <c r="AH928" s="34"/>
      <c r="AI928" s="34"/>
      <c r="AJ928" s="34"/>
      <c r="AK928" s="34"/>
      <c r="AL928" s="34"/>
      <c r="AM928" s="34"/>
      <c r="AN928" s="34"/>
      <c r="AO928" s="65"/>
      <c r="AP928" s="69"/>
      <c r="AQ928" s="62"/>
      <c r="AR928" s="34"/>
    </row>
    <row r="929" spans="1:44" customFormat="1">
      <c r="A929" s="39">
        <v>44401</v>
      </c>
      <c r="B929" s="11" t="s">
        <v>24</v>
      </c>
      <c r="C929" s="16" t="s">
        <v>3617</v>
      </c>
      <c r="D929" s="16"/>
      <c r="E929" s="38">
        <v>27298</v>
      </c>
      <c r="F929" s="38"/>
      <c r="G929" s="10" t="s">
        <v>2223</v>
      </c>
      <c r="H929" s="12" t="s">
        <v>3618</v>
      </c>
      <c r="I929" s="13" t="s">
        <v>3619</v>
      </c>
      <c r="J929" s="15" t="s">
        <v>3621</v>
      </c>
      <c r="K929" s="14" t="s">
        <v>3620</v>
      </c>
      <c r="L929" s="11" t="s">
        <v>33</v>
      </c>
      <c r="M929" s="15" t="s">
        <v>3584</v>
      </c>
      <c r="N929" s="17">
        <v>13750</v>
      </c>
      <c r="O929" s="17"/>
      <c r="P929" s="17"/>
      <c r="Q929" s="48"/>
      <c r="R929" s="58"/>
      <c r="S929" s="48"/>
      <c r="T929" s="85"/>
      <c r="U929" s="88"/>
      <c r="V929" s="97" t="s">
        <v>3869</v>
      </c>
      <c r="W929" s="25" t="s">
        <v>9</v>
      </c>
      <c r="X929" s="11"/>
      <c r="Y929" s="50" t="s">
        <v>12</v>
      </c>
      <c r="Z929" s="50"/>
      <c r="AA929" s="50"/>
      <c r="AB929" s="50"/>
      <c r="AC929" s="50"/>
      <c r="AD929" s="50"/>
      <c r="AE929" s="50"/>
      <c r="AF929" s="34"/>
      <c r="AG929" s="34"/>
      <c r="AH929" s="34"/>
      <c r="AI929" s="34"/>
      <c r="AJ929" s="34"/>
      <c r="AK929" s="34"/>
      <c r="AL929" s="34"/>
      <c r="AM929" s="34"/>
      <c r="AN929" s="34"/>
      <c r="AO929" s="65"/>
      <c r="AP929" s="74"/>
      <c r="AQ929" s="62"/>
      <c r="AR929" s="34"/>
    </row>
    <row r="930" spans="1:44" customFormat="1">
      <c r="A930" s="39">
        <v>44401</v>
      </c>
      <c r="B930" s="11" t="s">
        <v>49</v>
      </c>
      <c r="C930" s="16" t="s">
        <v>3440</v>
      </c>
      <c r="D930" s="16"/>
      <c r="E930" s="38">
        <v>33526</v>
      </c>
      <c r="F930" s="38"/>
      <c r="G930" s="10" t="s">
        <v>3441</v>
      </c>
      <c r="H930" s="12" t="s">
        <v>3442</v>
      </c>
      <c r="I930" s="13" t="s">
        <v>3443</v>
      </c>
      <c r="J930" s="15" t="s">
        <v>3444</v>
      </c>
      <c r="K930" s="12"/>
      <c r="L930" s="11"/>
      <c r="M930" s="15"/>
      <c r="N930" s="17">
        <v>16500</v>
      </c>
      <c r="O930" s="17"/>
      <c r="P930" s="17"/>
      <c r="Q930" s="48"/>
      <c r="R930" s="11"/>
      <c r="S930" s="48"/>
      <c r="T930" s="85"/>
      <c r="U930" s="88"/>
      <c r="V930" s="32" t="s">
        <v>3870</v>
      </c>
      <c r="W930" s="25"/>
      <c r="X930" s="11"/>
      <c r="Y930" s="50"/>
      <c r="Z930" s="50"/>
      <c r="AA930" s="50"/>
      <c r="AB930" s="50"/>
      <c r="AC930" s="50"/>
      <c r="AD930" s="50"/>
      <c r="AE930" s="50"/>
      <c r="AF930" s="34"/>
      <c r="AG930" s="34"/>
      <c r="AH930" s="34"/>
      <c r="AI930" s="34"/>
      <c r="AJ930" s="34"/>
      <c r="AK930" s="34"/>
      <c r="AL930" s="34"/>
      <c r="AM930" s="34"/>
      <c r="AN930" s="34"/>
      <c r="AO930" s="65"/>
      <c r="AP930" s="69"/>
      <c r="AQ930" s="62"/>
      <c r="AR930" s="34"/>
    </row>
    <row r="931" spans="1:44" customFormat="1">
      <c r="A931" s="39">
        <v>44402</v>
      </c>
      <c r="B931" s="11" t="s">
        <v>49</v>
      </c>
      <c r="C931" s="16" t="s">
        <v>1543</v>
      </c>
      <c r="D931" s="16"/>
      <c r="E931" s="38"/>
      <c r="F931" s="38"/>
      <c r="G931" s="10"/>
      <c r="H931" s="12"/>
      <c r="I931" s="13"/>
      <c r="J931" s="15"/>
      <c r="K931" s="12"/>
      <c r="L931" s="11"/>
      <c r="M931" s="15"/>
      <c r="N931" s="17">
        <v>16500</v>
      </c>
      <c r="O931" s="17"/>
      <c r="P931" s="17"/>
      <c r="Q931" s="48"/>
      <c r="R931" s="11"/>
      <c r="S931" s="48"/>
      <c r="T931" s="85"/>
      <c r="U931" s="88"/>
      <c r="V931" s="32" t="s">
        <v>3871</v>
      </c>
      <c r="W931" s="25"/>
      <c r="X931" s="11"/>
      <c r="Y931" s="50"/>
      <c r="Z931" s="50"/>
      <c r="AA931" s="50"/>
      <c r="AB931" s="50"/>
      <c r="AC931" s="50"/>
      <c r="AD931" s="50"/>
      <c r="AE931" s="50"/>
      <c r="AF931" s="34"/>
      <c r="AG931" s="34"/>
      <c r="AH931" s="34"/>
      <c r="AI931" s="34"/>
      <c r="AJ931" s="34"/>
      <c r="AK931" s="34"/>
      <c r="AL931" s="34"/>
      <c r="AM931" s="34"/>
      <c r="AN931" s="34"/>
      <c r="AO931" s="65"/>
      <c r="AP931" s="69"/>
      <c r="AQ931" s="62"/>
      <c r="AR931" s="34"/>
    </row>
    <row r="932" spans="1:44" customFormat="1">
      <c r="A932" s="39">
        <v>44403</v>
      </c>
      <c r="B932" s="11" t="s">
        <v>49</v>
      </c>
      <c r="C932" s="16" t="s">
        <v>3872</v>
      </c>
      <c r="D932" s="16"/>
      <c r="E932" s="38">
        <v>29679</v>
      </c>
      <c r="F932" s="38"/>
      <c r="G932" s="10" t="s">
        <v>3873</v>
      </c>
      <c r="H932" s="12" t="s">
        <v>3874</v>
      </c>
      <c r="I932" s="13" t="s">
        <v>3875</v>
      </c>
      <c r="J932" s="15" t="s">
        <v>3877</v>
      </c>
      <c r="K932" s="14" t="s">
        <v>3876</v>
      </c>
      <c r="L932" s="11" t="s">
        <v>33</v>
      </c>
      <c r="M932" s="15" t="s">
        <v>3584</v>
      </c>
      <c r="N932" s="17">
        <v>16500</v>
      </c>
      <c r="O932" s="17"/>
      <c r="P932" s="17"/>
      <c r="Q932" s="48"/>
      <c r="R932" s="11"/>
      <c r="S932" s="48"/>
      <c r="T932" s="85"/>
      <c r="U932" s="88"/>
      <c r="V932" s="32"/>
      <c r="W932" s="25" t="s">
        <v>48</v>
      </c>
      <c r="X932" s="11"/>
      <c r="Y932" s="50" t="s">
        <v>14</v>
      </c>
      <c r="Z932" s="50"/>
      <c r="AA932" s="50"/>
      <c r="AB932" s="50"/>
      <c r="AC932" s="50"/>
      <c r="AD932" s="50"/>
      <c r="AE932" s="50"/>
      <c r="AF932" s="34"/>
      <c r="AG932" s="34"/>
      <c r="AH932" s="34"/>
      <c r="AI932" s="34"/>
      <c r="AJ932" s="34"/>
      <c r="AK932" s="34"/>
      <c r="AL932" s="34"/>
      <c r="AM932" s="34"/>
      <c r="AN932" s="34"/>
      <c r="AO932" s="65"/>
      <c r="AP932" s="69"/>
      <c r="AQ932" s="62"/>
      <c r="AR932" s="34"/>
    </row>
    <row r="933" spans="1:44" customFormat="1">
      <c r="A933" s="39">
        <v>44406</v>
      </c>
      <c r="B933" s="11" t="s">
        <v>22</v>
      </c>
      <c r="C933" s="16" t="s">
        <v>3878</v>
      </c>
      <c r="D933" s="16"/>
      <c r="E933" s="38">
        <v>24568</v>
      </c>
      <c r="F933" s="38"/>
      <c r="G933" s="10" t="s">
        <v>3879</v>
      </c>
      <c r="H933" s="12" t="s">
        <v>3880</v>
      </c>
      <c r="I933" s="13" t="s">
        <v>3881</v>
      </c>
      <c r="J933" s="15" t="s">
        <v>3883</v>
      </c>
      <c r="K933" s="14" t="s">
        <v>3882</v>
      </c>
      <c r="L933" s="11" t="s">
        <v>36</v>
      </c>
      <c r="M933" s="15" t="s">
        <v>3584</v>
      </c>
      <c r="N933" s="17">
        <v>3300</v>
      </c>
      <c r="O933" s="17"/>
      <c r="P933" s="17"/>
      <c r="Q933" s="48"/>
      <c r="R933" s="11"/>
      <c r="S933" s="48"/>
      <c r="T933" s="85"/>
      <c r="U933" s="88"/>
      <c r="V933" s="32" t="s">
        <v>3884</v>
      </c>
      <c r="W933" s="25" t="s">
        <v>8</v>
      </c>
      <c r="X933" s="11"/>
      <c r="Y933" s="50" t="s">
        <v>11</v>
      </c>
      <c r="Z933" s="50"/>
      <c r="AA933" s="50"/>
      <c r="AB933" s="50"/>
      <c r="AC933" s="50"/>
      <c r="AD933" s="50"/>
      <c r="AE933" s="50"/>
      <c r="AF933" s="34"/>
      <c r="AG933" s="34"/>
      <c r="AH933" s="34"/>
      <c r="AI933" s="34"/>
      <c r="AJ933" s="34"/>
      <c r="AK933" s="34"/>
      <c r="AL933" s="34"/>
      <c r="AM933" s="34"/>
      <c r="AN933" s="34"/>
      <c r="AO933" s="65"/>
      <c r="AP933" s="69"/>
      <c r="AQ933" s="62"/>
      <c r="AR933" s="34"/>
    </row>
    <row r="934" spans="1:44" customFormat="1">
      <c r="A934" s="39">
        <v>44406</v>
      </c>
      <c r="B934" s="11" t="s">
        <v>49</v>
      </c>
      <c r="C934" s="16" t="s">
        <v>3885</v>
      </c>
      <c r="D934" s="16"/>
      <c r="E934" s="38">
        <v>29643</v>
      </c>
      <c r="F934" s="38"/>
      <c r="G934" s="10" t="s">
        <v>3891</v>
      </c>
      <c r="H934" s="12" t="s">
        <v>3887</v>
      </c>
      <c r="I934" s="13" t="s">
        <v>3890</v>
      </c>
      <c r="J934" s="15" t="s">
        <v>3893</v>
      </c>
      <c r="K934" s="12"/>
      <c r="L934" s="11" t="s">
        <v>34</v>
      </c>
      <c r="M934" s="15" t="s">
        <v>3584</v>
      </c>
      <c r="N934" s="17">
        <v>11000</v>
      </c>
      <c r="O934" s="17"/>
      <c r="P934" s="17"/>
      <c r="Q934" s="48"/>
      <c r="R934" s="11"/>
      <c r="S934" s="48"/>
      <c r="T934" s="85"/>
      <c r="U934" s="88"/>
      <c r="V934" s="32" t="s">
        <v>403</v>
      </c>
      <c r="W934" s="25" t="s">
        <v>8</v>
      </c>
      <c r="X934" s="11"/>
      <c r="Y934" s="50"/>
      <c r="Z934" s="50"/>
      <c r="AA934" s="50"/>
      <c r="AB934" s="50"/>
      <c r="AC934" s="50"/>
      <c r="AD934" s="50"/>
      <c r="AE934" s="50"/>
      <c r="AF934" s="34"/>
      <c r="AG934" s="34"/>
      <c r="AH934" s="34"/>
      <c r="AI934" s="34"/>
      <c r="AJ934" s="34"/>
      <c r="AK934" s="34"/>
      <c r="AL934" s="34"/>
      <c r="AM934" s="34"/>
      <c r="AN934" s="34"/>
      <c r="AO934" s="65"/>
      <c r="AP934" s="69"/>
      <c r="AQ934" s="62"/>
      <c r="AR934" s="34"/>
    </row>
    <row r="935" spans="1:44" customFormat="1">
      <c r="A935" s="39">
        <v>44406</v>
      </c>
      <c r="B935" s="11" t="s">
        <v>22</v>
      </c>
      <c r="C935" s="16" t="s">
        <v>3886</v>
      </c>
      <c r="D935" s="16"/>
      <c r="E935" s="38">
        <v>27658</v>
      </c>
      <c r="F935" s="38"/>
      <c r="G935" s="10" t="s">
        <v>3889</v>
      </c>
      <c r="H935" s="12" t="s">
        <v>3888</v>
      </c>
      <c r="I935" s="13" t="s">
        <v>3892</v>
      </c>
      <c r="J935" s="15" t="s">
        <v>3894</v>
      </c>
      <c r="K935" s="12"/>
      <c r="L935" s="11" t="s">
        <v>36</v>
      </c>
      <c r="M935" s="15"/>
      <c r="N935" s="17">
        <v>3300</v>
      </c>
      <c r="O935" s="17"/>
      <c r="P935" s="17"/>
      <c r="Q935" s="48"/>
      <c r="R935" s="11"/>
      <c r="S935" s="48"/>
      <c r="T935" s="85"/>
      <c r="U935" s="88"/>
      <c r="V935" s="32" t="s">
        <v>3895</v>
      </c>
      <c r="W935" s="25" t="s">
        <v>8</v>
      </c>
      <c r="X935" s="11"/>
      <c r="Y935" s="50"/>
      <c r="Z935" s="50"/>
      <c r="AA935" s="50"/>
      <c r="AB935" s="50"/>
      <c r="AC935" s="50"/>
      <c r="AD935" s="50"/>
      <c r="AE935" s="50"/>
      <c r="AF935" s="34"/>
      <c r="AG935" s="34"/>
      <c r="AH935" s="34"/>
      <c r="AI935" s="34"/>
      <c r="AJ935" s="34"/>
      <c r="AK935" s="34"/>
      <c r="AL935" s="34"/>
      <c r="AM935" s="34"/>
      <c r="AN935" s="34"/>
      <c r="AO935" s="65"/>
      <c r="AP935" s="69"/>
      <c r="AQ935" s="62"/>
      <c r="AR935" s="34"/>
    </row>
    <row r="936" spans="1:44" customFormat="1">
      <c r="A936" s="39">
        <v>44410</v>
      </c>
      <c r="B936" s="11" t="s">
        <v>22</v>
      </c>
      <c r="C936" s="16" t="s">
        <v>3896</v>
      </c>
      <c r="D936" s="16"/>
      <c r="E936" s="38">
        <v>37579</v>
      </c>
      <c r="F936" s="38"/>
      <c r="G936" s="10" t="s">
        <v>2716</v>
      </c>
      <c r="H936" s="12" t="s">
        <v>2717</v>
      </c>
      <c r="I936" s="13" t="s">
        <v>2718</v>
      </c>
      <c r="J936" s="15" t="s">
        <v>3897</v>
      </c>
      <c r="K936" s="14" t="s">
        <v>3898</v>
      </c>
      <c r="L936" s="11" t="s">
        <v>38</v>
      </c>
      <c r="M936" s="15" t="s">
        <v>3584</v>
      </c>
      <c r="N936" s="17">
        <v>3300</v>
      </c>
      <c r="O936" s="17"/>
      <c r="P936" s="17"/>
      <c r="Q936" s="48"/>
      <c r="R936" s="11"/>
      <c r="S936" s="48"/>
      <c r="T936" s="85"/>
      <c r="U936" s="88"/>
      <c r="V936" s="32" t="s">
        <v>3899</v>
      </c>
      <c r="W936" s="25" t="s">
        <v>8</v>
      </c>
      <c r="X936" s="11"/>
      <c r="Y936" s="50" t="s">
        <v>17</v>
      </c>
      <c r="Z936" s="50"/>
      <c r="AA936" s="50"/>
      <c r="AB936" s="50"/>
      <c r="AC936" s="50"/>
      <c r="AD936" s="50"/>
      <c r="AE936" s="50"/>
      <c r="AF936" s="34"/>
      <c r="AG936" s="34"/>
      <c r="AH936" s="34"/>
      <c r="AI936" s="34"/>
      <c r="AJ936" s="34"/>
      <c r="AK936" s="34"/>
      <c r="AL936" s="34"/>
      <c r="AM936" s="34"/>
      <c r="AN936" s="34"/>
      <c r="AO936" s="65"/>
      <c r="AP936" s="69"/>
      <c r="AQ936" s="62"/>
      <c r="AR936" s="34"/>
    </row>
    <row r="937" spans="1:44" customFormat="1">
      <c r="A937" s="39">
        <v>44412</v>
      </c>
      <c r="B937" s="11" t="s">
        <v>49</v>
      </c>
      <c r="C937" s="16" t="s">
        <v>3900</v>
      </c>
      <c r="D937" s="16"/>
      <c r="E937" s="38">
        <v>28450</v>
      </c>
      <c r="F937" s="38"/>
      <c r="G937" s="10" t="s">
        <v>3901</v>
      </c>
      <c r="H937" s="12" t="s">
        <v>3902</v>
      </c>
      <c r="I937" s="13" t="s">
        <v>3903</v>
      </c>
      <c r="J937" s="15" t="s">
        <v>3904</v>
      </c>
      <c r="K937" s="12"/>
      <c r="L937" s="11" t="s">
        <v>36</v>
      </c>
      <c r="M937" s="15" t="s">
        <v>3584</v>
      </c>
      <c r="N937" s="17">
        <v>16500</v>
      </c>
      <c r="O937" s="17"/>
      <c r="P937" s="17"/>
      <c r="Q937" s="48"/>
      <c r="R937" s="11"/>
      <c r="S937" s="48"/>
      <c r="T937" s="85"/>
      <c r="U937" s="88"/>
      <c r="V937" s="32" t="s">
        <v>3905</v>
      </c>
      <c r="W937" s="25" t="s">
        <v>8</v>
      </c>
      <c r="X937" s="11"/>
      <c r="Y937" s="50" t="s">
        <v>17</v>
      </c>
      <c r="Z937" s="50"/>
      <c r="AA937" s="50"/>
      <c r="AB937" s="50"/>
      <c r="AC937" s="50"/>
      <c r="AD937" s="50"/>
      <c r="AE937" s="50"/>
      <c r="AF937" s="34"/>
      <c r="AG937" s="34"/>
      <c r="AH937" s="34"/>
      <c r="AI937" s="34"/>
      <c r="AJ937" s="34"/>
      <c r="AK937" s="34"/>
      <c r="AL937" s="34"/>
      <c r="AM937" s="34"/>
      <c r="AN937" s="34"/>
      <c r="AO937" s="65"/>
      <c r="AP937" s="69"/>
      <c r="AQ937" s="62"/>
      <c r="AR937" s="34"/>
    </row>
    <row r="938" spans="1:44" customFormat="1">
      <c r="A938" s="39">
        <v>44413</v>
      </c>
      <c r="B938" s="11" t="s">
        <v>22</v>
      </c>
      <c r="C938" s="16" t="s">
        <v>3911</v>
      </c>
      <c r="D938" s="16"/>
      <c r="E938" s="38">
        <v>25748</v>
      </c>
      <c r="F938" s="38"/>
      <c r="G938" s="10" t="s">
        <v>358</v>
      </c>
      <c r="H938" s="12" t="s">
        <v>3912</v>
      </c>
      <c r="I938" s="13" t="s">
        <v>2334</v>
      </c>
      <c r="J938" s="15" t="s">
        <v>3913</v>
      </c>
      <c r="K938" s="12"/>
      <c r="L938" s="11" t="s">
        <v>34</v>
      </c>
      <c r="M938" s="15" t="s">
        <v>3629</v>
      </c>
      <c r="N938" s="17">
        <v>3300</v>
      </c>
      <c r="O938" s="17"/>
      <c r="P938" s="17"/>
      <c r="Q938" s="48"/>
      <c r="R938" s="11"/>
      <c r="S938" s="48"/>
      <c r="T938" s="85" t="s">
        <v>81</v>
      </c>
      <c r="U938" s="88"/>
      <c r="V938" s="32"/>
      <c r="W938" s="25" t="s">
        <v>48</v>
      </c>
      <c r="X938" s="11"/>
      <c r="Y938" s="50" t="s">
        <v>11</v>
      </c>
      <c r="Z938" s="50"/>
      <c r="AA938" s="50"/>
      <c r="AB938" s="50"/>
      <c r="AC938" s="50"/>
      <c r="AD938" s="50"/>
      <c r="AE938" s="50"/>
      <c r="AF938" s="34"/>
      <c r="AG938" s="34"/>
      <c r="AH938" s="34"/>
      <c r="AI938" s="34"/>
      <c r="AJ938" s="34"/>
      <c r="AK938" s="34"/>
      <c r="AL938" s="34"/>
      <c r="AM938" s="34"/>
      <c r="AN938" s="34"/>
      <c r="AO938" s="65"/>
      <c r="AP938" s="69"/>
      <c r="AQ938" s="62"/>
      <c r="AR938" s="34"/>
    </row>
    <row r="939" spans="1:44" customFormat="1">
      <c r="A939" s="39">
        <v>44413</v>
      </c>
      <c r="B939" s="11" t="s">
        <v>22</v>
      </c>
      <c r="C939" s="16" t="s">
        <v>3906</v>
      </c>
      <c r="D939" s="16"/>
      <c r="E939" s="38">
        <v>23127</v>
      </c>
      <c r="F939" s="38"/>
      <c r="G939" s="10" t="s">
        <v>406</v>
      </c>
      <c r="H939" s="12" t="s">
        <v>3907</v>
      </c>
      <c r="I939" s="13" t="s">
        <v>1844</v>
      </c>
      <c r="J939" s="15" t="s">
        <v>3909</v>
      </c>
      <c r="K939" s="14" t="s">
        <v>3908</v>
      </c>
      <c r="L939" s="11" t="s">
        <v>36</v>
      </c>
      <c r="M939" s="15" t="s">
        <v>3680</v>
      </c>
      <c r="N939" s="17">
        <v>3300</v>
      </c>
      <c r="O939" s="17"/>
      <c r="P939" s="17"/>
      <c r="Q939" s="48"/>
      <c r="R939" s="11"/>
      <c r="S939" s="48"/>
      <c r="T939" s="85"/>
      <c r="U939" s="88"/>
      <c r="V939" s="32" t="s">
        <v>3910</v>
      </c>
      <c r="W939" s="25" t="s">
        <v>10</v>
      </c>
      <c r="X939" s="11"/>
      <c r="Y939" s="50" t="s">
        <v>18</v>
      </c>
      <c r="Z939" s="50"/>
      <c r="AA939" s="50"/>
      <c r="AB939" s="50"/>
      <c r="AC939" s="50"/>
      <c r="AD939" s="50"/>
      <c r="AE939" s="50"/>
      <c r="AF939" s="34"/>
      <c r="AG939" s="34"/>
      <c r="AH939" s="34"/>
      <c r="AI939" s="34"/>
      <c r="AJ939" s="34"/>
      <c r="AK939" s="34"/>
      <c r="AL939" s="34"/>
      <c r="AM939" s="34"/>
      <c r="AN939" s="34"/>
      <c r="AO939" s="65"/>
      <c r="AP939" s="69"/>
      <c r="AQ939" s="62" t="s">
        <v>81</v>
      </c>
      <c r="AR939" s="34"/>
    </row>
    <row r="940" spans="1:44" customFormat="1">
      <c r="A940" s="39">
        <v>44415</v>
      </c>
      <c r="B940" s="11" t="s">
        <v>22</v>
      </c>
      <c r="C940" s="16" t="s">
        <v>3914</v>
      </c>
      <c r="D940" s="16"/>
      <c r="E940" s="38">
        <v>18415</v>
      </c>
      <c r="F940" s="38"/>
      <c r="G940" s="10" t="s">
        <v>3915</v>
      </c>
      <c r="H940" s="12" t="s">
        <v>3916</v>
      </c>
      <c r="I940" s="13" t="s">
        <v>3917</v>
      </c>
      <c r="J940" s="15" t="s">
        <v>3918</v>
      </c>
      <c r="K940" s="12"/>
      <c r="L940" s="11" t="s">
        <v>34</v>
      </c>
      <c r="M940" s="15" t="s">
        <v>3599</v>
      </c>
      <c r="N940" s="17">
        <v>3300</v>
      </c>
      <c r="O940" s="17"/>
      <c r="P940" s="17"/>
      <c r="Q940" s="48"/>
      <c r="R940" s="11"/>
      <c r="S940" s="48"/>
      <c r="T940" s="85"/>
      <c r="U940" s="88"/>
      <c r="V940" s="32"/>
      <c r="W940" s="25" t="s">
        <v>48</v>
      </c>
      <c r="X940" s="11"/>
      <c r="Y940" s="50" t="s">
        <v>11</v>
      </c>
      <c r="Z940" s="50"/>
      <c r="AA940" s="50"/>
      <c r="AB940" s="50"/>
      <c r="AC940" s="50"/>
      <c r="AD940" s="50"/>
      <c r="AE940" s="50"/>
      <c r="AF940" s="34"/>
      <c r="AG940" s="34"/>
      <c r="AH940" s="34"/>
      <c r="AI940" s="34"/>
      <c r="AJ940" s="34"/>
      <c r="AK940" s="34"/>
      <c r="AL940" s="34"/>
      <c r="AM940" s="34"/>
      <c r="AN940" s="34"/>
      <c r="AO940" s="65"/>
      <c r="AP940" s="69"/>
      <c r="AQ940" s="62"/>
      <c r="AR940" s="34"/>
    </row>
    <row r="941" spans="1:44" customFormat="1">
      <c r="A941" s="39">
        <v>44415</v>
      </c>
      <c r="B941" s="11" t="s">
        <v>49</v>
      </c>
      <c r="C941" s="16" t="s">
        <v>3919</v>
      </c>
      <c r="D941" s="16"/>
      <c r="E941" s="38">
        <v>26208</v>
      </c>
      <c r="F941" s="38"/>
      <c r="G941" s="10" t="s">
        <v>3920</v>
      </c>
      <c r="H941" s="12" t="s">
        <v>3921</v>
      </c>
      <c r="I941" s="13" t="s">
        <v>3922</v>
      </c>
      <c r="J941" s="15" t="s">
        <v>3924</v>
      </c>
      <c r="K941" s="14" t="s">
        <v>3923</v>
      </c>
      <c r="L941" s="11" t="s">
        <v>33</v>
      </c>
      <c r="M941" s="15" t="s">
        <v>3599</v>
      </c>
      <c r="N941" s="17">
        <v>16500</v>
      </c>
      <c r="O941" s="17"/>
      <c r="P941" s="17"/>
      <c r="Q941" s="48"/>
      <c r="R941" s="11"/>
      <c r="S941" s="48"/>
      <c r="T941" s="85"/>
      <c r="U941" s="88"/>
      <c r="V941" s="32"/>
      <c r="W941" s="25" t="s">
        <v>48</v>
      </c>
      <c r="X941" s="11"/>
      <c r="Y941" s="50" t="s">
        <v>13</v>
      </c>
      <c r="Z941" s="50"/>
      <c r="AA941" s="50"/>
      <c r="AB941" s="50"/>
      <c r="AC941" s="50"/>
      <c r="AD941" s="50"/>
      <c r="AE941" s="50"/>
      <c r="AF941" s="34"/>
      <c r="AG941" s="34"/>
      <c r="AH941" s="34"/>
      <c r="AI941" s="34"/>
      <c r="AJ941" s="34"/>
      <c r="AK941" s="34"/>
      <c r="AL941" s="34"/>
      <c r="AM941" s="34"/>
      <c r="AN941" s="34"/>
      <c r="AO941" s="65"/>
      <c r="AP941" s="69"/>
      <c r="AQ941" s="62"/>
      <c r="AR941" s="34"/>
    </row>
    <row r="942" spans="1:44" customFormat="1">
      <c r="A942" s="39">
        <v>44415</v>
      </c>
      <c r="B942" s="11" t="s">
        <v>22</v>
      </c>
      <c r="C942" s="16" t="s">
        <v>3925</v>
      </c>
      <c r="D942" s="16"/>
      <c r="E942" s="38">
        <v>28891</v>
      </c>
      <c r="F942" s="38"/>
      <c r="G942" s="10" t="s">
        <v>78</v>
      </c>
      <c r="H942" s="12" t="s">
        <v>3927</v>
      </c>
      <c r="I942" s="13" t="s">
        <v>3079</v>
      </c>
      <c r="J942" s="15" t="s">
        <v>3930</v>
      </c>
      <c r="K942" s="14" t="s">
        <v>3929</v>
      </c>
      <c r="L942" s="11" t="s">
        <v>36</v>
      </c>
      <c r="M942" s="15" t="s">
        <v>3584</v>
      </c>
      <c r="N942" s="17">
        <v>3300</v>
      </c>
      <c r="O942" s="17"/>
      <c r="P942" s="17"/>
      <c r="Q942" s="48"/>
      <c r="R942" s="11"/>
      <c r="S942" s="48"/>
      <c r="T942" s="85"/>
      <c r="U942" s="88"/>
      <c r="V942" s="32"/>
      <c r="W942" s="25" t="s">
        <v>48</v>
      </c>
      <c r="X942" s="11"/>
      <c r="Y942" s="50" t="s">
        <v>12</v>
      </c>
      <c r="Z942" s="50"/>
      <c r="AA942" s="50"/>
      <c r="AB942" s="50"/>
      <c r="AC942" s="50"/>
      <c r="AD942" s="50"/>
      <c r="AE942" s="50"/>
      <c r="AF942" s="34"/>
      <c r="AG942" s="34"/>
      <c r="AH942" s="34"/>
      <c r="AI942" s="34"/>
      <c r="AJ942" s="34"/>
      <c r="AK942" s="34"/>
      <c r="AL942" s="34"/>
      <c r="AM942" s="34"/>
      <c r="AN942" s="34"/>
      <c r="AO942" s="65"/>
      <c r="AP942" s="69"/>
      <c r="AQ942" s="62"/>
      <c r="AR942" s="34"/>
    </row>
    <row r="943" spans="1:44" customFormat="1">
      <c r="A943" s="39">
        <v>44415</v>
      </c>
      <c r="B943" s="11" t="s">
        <v>22</v>
      </c>
      <c r="C943" s="16" t="s">
        <v>3926</v>
      </c>
      <c r="D943" s="16"/>
      <c r="E943" s="38">
        <v>33040</v>
      </c>
      <c r="F943" s="38"/>
      <c r="G943" s="10" t="s">
        <v>1894</v>
      </c>
      <c r="H943" s="12" t="s">
        <v>3928</v>
      </c>
      <c r="I943" s="13" t="s">
        <v>2071</v>
      </c>
      <c r="J943" s="15" t="s">
        <v>3931</v>
      </c>
      <c r="K943" s="12"/>
      <c r="L943" s="11" t="s">
        <v>36</v>
      </c>
      <c r="M943" s="15" t="s">
        <v>3680</v>
      </c>
      <c r="N943" s="17">
        <v>3300</v>
      </c>
      <c r="O943" s="17"/>
      <c r="P943" s="17"/>
      <c r="Q943" s="48"/>
      <c r="R943" s="11"/>
      <c r="S943" s="48"/>
      <c r="T943" s="85"/>
      <c r="U943" s="88"/>
      <c r="V943" s="32"/>
      <c r="W943" s="25" t="s">
        <v>48</v>
      </c>
      <c r="X943" s="11"/>
      <c r="Y943" s="50" t="s">
        <v>18</v>
      </c>
      <c r="Z943" s="50"/>
      <c r="AA943" s="50"/>
      <c r="AB943" s="50"/>
      <c r="AC943" s="50"/>
      <c r="AD943" s="50"/>
      <c r="AE943" s="50"/>
      <c r="AF943" s="34"/>
      <c r="AG943" s="34"/>
      <c r="AH943" s="34"/>
      <c r="AI943" s="34"/>
      <c r="AJ943" s="34"/>
      <c r="AK943" s="34"/>
      <c r="AL943" s="34"/>
      <c r="AM943" s="34"/>
      <c r="AN943" s="34"/>
      <c r="AO943" s="65"/>
      <c r="AP943" s="69"/>
      <c r="AQ943" s="62"/>
      <c r="AR943" s="34"/>
    </row>
    <row r="944" spans="1:44" customFormat="1">
      <c r="A944" s="39">
        <v>44416</v>
      </c>
      <c r="B944" s="11" t="s">
        <v>2170</v>
      </c>
      <c r="C944" s="16" t="s">
        <v>3932</v>
      </c>
      <c r="D944" s="16"/>
      <c r="E944" s="38">
        <v>29962</v>
      </c>
      <c r="F944" s="38"/>
      <c r="G944" s="10" t="s">
        <v>3933</v>
      </c>
      <c r="H944" s="12" t="s">
        <v>3934</v>
      </c>
      <c r="I944" s="13" t="s">
        <v>3603</v>
      </c>
      <c r="J944" s="15" t="s">
        <v>3935</v>
      </c>
      <c r="K944" s="12"/>
      <c r="L944" s="11"/>
      <c r="M944" s="15" t="s">
        <v>3629</v>
      </c>
      <c r="N944" s="17">
        <v>13200</v>
      </c>
      <c r="O944" s="17"/>
      <c r="P944" s="17"/>
      <c r="Q944" s="48"/>
      <c r="R944" s="11"/>
      <c r="S944" s="48"/>
      <c r="T944" s="85"/>
      <c r="U944" s="88"/>
      <c r="V944" s="32" t="s">
        <v>3936</v>
      </c>
      <c r="W944" s="25" t="s">
        <v>8</v>
      </c>
      <c r="X944" s="11"/>
      <c r="Y944" s="50" t="s">
        <v>17</v>
      </c>
      <c r="Z944" s="50"/>
      <c r="AA944" s="50"/>
      <c r="AB944" s="50"/>
      <c r="AC944" s="50"/>
      <c r="AD944" s="50"/>
      <c r="AE944" s="50"/>
      <c r="AF944" s="34"/>
      <c r="AG944" s="34"/>
      <c r="AH944" s="34"/>
      <c r="AI944" s="34"/>
      <c r="AJ944" s="34"/>
      <c r="AK944" s="34"/>
      <c r="AL944" s="34"/>
      <c r="AM944" s="34"/>
      <c r="AN944" s="34"/>
      <c r="AO944" s="65"/>
      <c r="AP944" s="69"/>
      <c r="AQ944" s="62"/>
      <c r="AR944" s="34"/>
    </row>
    <row r="945" spans="1:44" customFormat="1">
      <c r="A945" s="39">
        <v>44420</v>
      </c>
      <c r="B945" s="11" t="s">
        <v>2171</v>
      </c>
      <c r="C945" s="16" t="s">
        <v>3937</v>
      </c>
      <c r="D945" s="16"/>
      <c r="E945" s="38">
        <v>35756</v>
      </c>
      <c r="F945" s="38"/>
      <c r="G945" s="10" t="s">
        <v>2789</v>
      </c>
      <c r="H945" s="12" t="s">
        <v>3938</v>
      </c>
      <c r="I945" s="13" t="s">
        <v>2566</v>
      </c>
      <c r="J945" s="15" t="s">
        <v>3939</v>
      </c>
      <c r="K945" s="12"/>
      <c r="L945" s="11" t="s">
        <v>38</v>
      </c>
      <c r="M945" s="15" t="s">
        <v>3584</v>
      </c>
      <c r="N945" s="17">
        <v>3300</v>
      </c>
      <c r="O945" s="17"/>
      <c r="P945" s="17"/>
      <c r="Q945" s="48"/>
      <c r="R945" s="11"/>
      <c r="S945" s="48"/>
      <c r="T945" s="85"/>
      <c r="U945" s="88"/>
      <c r="V945" s="32" t="s">
        <v>3940</v>
      </c>
      <c r="W945" s="25" t="s">
        <v>8</v>
      </c>
      <c r="X945" s="11"/>
      <c r="Y945" s="50" t="s">
        <v>18</v>
      </c>
      <c r="Z945" s="50"/>
      <c r="AA945" s="50"/>
      <c r="AB945" s="50"/>
      <c r="AC945" s="50"/>
      <c r="AD945" s="50"/>
      <c r="AE945" s="50"/>
      <c r="AF945" s="34"/>
      <c r="AG945" s="34"/>
      <c r="AH945" s="34"/>
      <c r="AI945" s="34"/>
      <c r="AJ945" s="34"/>
      <c r="AK945" s="34"/>
      <c r="AL945" s="34"/>
      <c r="AM945" s="34"/>
      <c r="AN945" s="34"/>
      <c r="AO945" s="65"/>
      <c r="AP945" s="69"/>
      <c r="AQ945" s="62"/>
      <c r="AR945" s="34"/>
    </row>
    <row r="946" spans="1:44" customFormat="1">
      <c r="A946" s="39">
        <v>44420</v>
      </c>
      <c r="B946" s="11" t="s">
        <v>49</v>
      </c>
      <c r="C946" s="16" t="s">
        <v>3941</v>
      </c>
      <c r="D946" s="16"/>
      <c r="E946" s="38">
        <v>22153</v>
      </c>
      <c r="F946" s="38"/>
      <c r="G946" s="10" t="s">
        <v>3942</v>
      </c>
      <c r="H946" s="12" t="s">
        <v>3943</v>
      </c>
      <c r="I946" s="13" t="s">
        <v>3944</v>
      </c>
      <c r="J946" s="15" t="s">
        <v>3945</v>
      </c>
      <c r="K946" s="12"/>
      <c r="L946" s="11" t="s">
        <v>36</v>
      </c>
      <c r="M946" s="15" t="s">
        <v>3584</v>
      </c>
      <c r="N946" s="17">
        <v>16500</v>
      </c>
      <c r="O946" s="17"/>
      <c r="P946" s="17"/>
      <c r="Q946" s="48"/>
      <c r="R946" s="11"/>
      <c r="S946" s="48"/>
      <c r="T946" s="85"/>
      <c r="U946" s="88"/>
      <c r="V946" s="32"/>
      <c r="W946" s="25" t="s">
        <v>48</v>
      </c>
      <c r="X946" s="11"/>
      <c r="Y946" s="50" t="s">
        <v>12</v>
      </c>
      <c r="Z946" s="50"/>
      <c r="AA946" s="50"/>
      <c r="AB946" s="50"/>
      <c r="AC946" s="50"/>
      <c r="AD946" s="50"/>
      <c r="AE946" s="50"/>
      <c r="AF946" s="34"/>
      <c r="AG946" s="34"/>
      <c r="AH946" s="34"/>
      <c r="AI946" s="34"/>
      <c r="AJ946" s="34"/>
      <c r="AK946" s="34"/>
      <c r="AL946" s="34"/>
      <c r="AM946" s="34"/>
      <c r="AN946" s="34"/>
      <c r="AO946" s="65"/>
      <c r="AP946" s="69"/>
      <c r="AQ946" s="62"/>
      <c r="AR946" s="34"/>
    </row>
    <row r="947" spans="1:44" customFormat="1">
      <c r="A947" s="39">
        <v>44422</v>
      </c>
      <c r="B947" s="11" t="s">
        <v>49</v>
      </c>
      <c r="C947" s="16" t="s">
        <v>3946</v>
      </c>
      <c r="D947" s="16"/>
      <c r="E947" s="38">
        <v>24620</v>
      </c>
      <c r="F947" s="38"/>
      <c r="G947" s="10" t="s">
        <v>3947</v>
      </c>
      <c r="H947" s="12" t="s">
        <v>3948</v>
      </c>
      <c r="I947" s="13" t="s">
        <v>3949</v>
      </c>
      <c r="J947" s="15" t="s">
        <v>3951</v>
      </c>
      <c r="K947" s="14" t="s">
        <v>3950</v>
      </c>
      <c r="L947" s="11" t="s">
        <v>33</v>
      </c>
      <c r="M947" s="15" t="s">
        <v>3584</v>
      </c>
      <c r="N947" s="17">
        <v>16500</v>
      </c>
      <c r="O947" s="17"/>
      <c r="P947" s="17"/>
      <c r="Q947" s="48"/>
      <c r="R947" s="11"/>
      <c r="S947" s="48"/>
      <c r="T947" s="85"/>
      <c r="U947" s="88"/>
      <c r="V947" s="32"/>
      <c r="W947" s="25" t="s">
        <v>48</v>
      </c>
      <c r="X947" s="11"/>
      <c r="Y947" s="50"/>
      <c r="Z947" s="50"/>
      <c r="AA947" s="50"/>
      <c r="AB947" s="50"/>
      <c r="AC947" s="50"/>
      <c r="AD947" s="50"/>
      <c r="AE947" s="50"/>
      <c r="AF947" s="34"/>
      <c r="AG947" s="34"/>
      <c r="AH947" s="34"/>
      <c r="AI947" s="34"/>
      <c r="AJ947" s="34"/>
      <c r="AK947" s="34"/>
      <c r="AL947" s="34"/>
      <c r="AM947" s="34"/>
      <c r="AN947" s="34"/>
      <c r="AO947" s="65"/>
      <c r="AP947" s="69"/>
      <c r="AQ947" s="62"/>
      <c r="AR947" s="34"/>
    </row>
    <row r="948" spans="1:44" customFormat="1">
      <c r="A948" s="39">
        <v>44422</v>
      </c>
      <c r="B948" s="11" t="s">
        <v>49</v>
      </c>
      <c r="C948" s="16" t="s">
        <v>3952</v>
      </c>
      <c r="D948" s="16"/>
      <c r="E948" s="38">
        <v>26019</v>
      </c>
      <c r="F948" s="38"/>
      <c r="G948" s="10" t="s">
        <v>3953</v>
      </c>
      <c r="H948" s="12" t="s">
        <v>3954</v>
      </c>
      <c r="I948" s="13" t="s">
        <v>3955</v>
      </c>
      <c r="J948" s="15" t="s">
        <v>3957</v>
      </c>
      <c r="K948" s="14" t="s">
        <v>3956</v>
      </c>
      <c r="L948" s="11" t="s">
        <v>33</v>
      </c>
      <c r="M948" s="15" t="s">
        <v>3584</v>
      </c>
      <c r="N948" s="17">
        <v>11000</v>
      </c>
      <c r="O948" s="17"/>
      <c r="P948" s="17"/>
      <c r="Q948" s="48"/>
      <c r="R948" s="11"/>
      <c r="S948" s="48"/>
      <c r="T948" s="85"/>
      <c r="U948" s="88"/>
      <c r="V948" s="32" t="s">
        <v>3958</v>
      </c>
      <c r="W948" s="25" t="s">
        <v>8</v>
      </c>
      <c r="X948" s="11"/>
      <c r="Y948" s="50" t="s">
        <v>14</v>
      </c>
      <c r="Z948" s="50"/>
      <c r="AA948" s="50"/>
      <c r="AB948" s="50"/>
      <c r="AC948" s="50"/>
      <c r="AD948" s="50"/>
      <c r="AE948" s="50"/>
      <c r="AF948" s="34"/>
      <c r="AG948" s="34"/>
      <c r="AH948" s="34"/>
      <c r="AI948" s="34"/>
      <c r="AJ948" s="34"/>
      <c r="AK948" s="34"/>
      <c r="AL948" s="34"/>
      <c r="AM948" s="34"/>
      <c r="AN948" s="34"/>
      <c r="AO948" s="65"/>
      <c r="AP948" s="69"/>
      <c r="AQ948" s="62"/>
      <c r="AR948" s="34"/>
    </row>
    <row r="949" spans="1:44" customFormat="1">
      <c r="A949" s="39">
        <v>44422</v>
      </c>
      <c r="B949" s="11" t="s">
        <v>22</v>
      </c>
      <c r="C949" s="16" t="s">
        <v>3959</v>
      </c>
      <c r="D949" s="16"/>
      <c r="E949" s="38">
        <v>29205</v>
      </c>
      <c r="F949" s="38"/>
      <c r="G949" s="10" t="s">
        <v>3960</v>
      </c>
      <c r="H949" s="12" t="s">
        <v>3961</v>
      </c>
      <c r="I949" s="13" t="s">
        <v>3962</v>
      </c>
      <c r="J949" s="15" t="s">
        <v>3964</v>
      </c>
      <c r="K949" s="14" t="s">
        <v>3963</v>
      </c>
      <c r="L949" s="11" t="s">
        <v>33</v>
      </c>
      <c r="M949" s="15" t="s">
        <v>3584</v>
      </c>
      <c r="N949" s="17">
        <v>3300</v>
      </c>
      <c r="O949" s="17"/>
      <c r="P949" s="17"/>
      <c r="Q949" s="48"/>
      <c r="R949" s="11"/>
      <c r="S949" s="48"/>
      <c r="T949" s="85"/>
      <c r="U949" s="88"/>
      <c r="V949" s="32"/>
      <c r="W949" s="25" t="s">
        <v>48</v>
      </c>
      <c r="X949" s="11"/>
      <c r="Y949" s="50" t="s">
        <v>19</v>
      </c>
      <c r="Z949" s="50"/>
      <c r="AA949" s="50"/>
      <c r="AB949" s="50"/>
      <c r="AC949" s="50"/>
      <c r="AD949" s="50"/>
      <c r="AE949" s="50"/>
      <c r="AF949" s="34"/>
      <c r="AG949" s="34"/>
      <c r="AH949" s="34"/>
      <c r="AI949" s="34"/>
      <c r="AJ949" s="34"/>
      <c r="AK949" s="34"/>
      <c r="AL949" s="34"/>
      <c r="AM949" s="34"/>
      <c r="AN949" s="34"/>
      <c r="AO949" s="65"/>
      <c r="AP949" s="69"/>
      <c r="AQ949" s="62"/>
      <c r="AR949" s="34"/>
    </row>
    <row r="950" spans="1:44" customFormat="1">
      <c r="A950" s="39">
        <v>44423</v>
      </c>
      <c r="B950" s="11" t="s">
        <v>49</v>
      </c>
      <c r="C950" s="16" t="s">
        <v>3965</v>
      </c>
      <c r="D950" s="16"/>
      <c r="E950" s="38">
        <v>22994</v>
      </c>
      <c r="F950" s="38"/>
      <c r="G950" s="10" t="s">
        <v>3966</v>
      </c>
      <c r="H950" s="12" t="s">
        <v>3967</v>
      </c>
      <c r="I950" s="13" t="s">
        <v>3590</v>
      </c>
      <c r="J950" s="15" t="s">
        <v>3969</v>
      </c>
      <c r="K950" s="14" t="s">
        <v>3968</v>
      </c>
      <c r="L950" s="11" t="s">
        <v>34</v>
      </c>
      <c r="M950" s="15" t="s">
        <v>3584</v>
      </c>
      <c r="N950" s="17">
        <v>16500</v>
      </c>
      <c r="O950" s="17"/>
      <c r="P950" s="17"/>
      <c r="Q950" s="48"/>
      <c r="R950" s="11"/>
      <c r="S950" s="48"/>
      <c r="T950" s="85"/>
      <c r="U950" s="88"/>
      <c r="V950" s="32"/>
      <c r="W950" s="25" t="s">
        <v>3970</v>
      </c>
      <c r="X950" s="11"/>
      <c r="Y950" s="50" t="s">
        <v>12</v>
      </c>
      <c r="Z950" s="50"/>
      <c r="AA950" s="50"/>
      <c r="AB950" s="50"/>
      <c r="AC950" s="50"/>
      <c r="AD950" s="50"/>
      <c r="AE950" s="50"/>
      <c r="AF950" s="34"/>
      <c r="AG950" s="34"/>
      <c r="AH950" s="34"/>
      <c r="AI950" s="34"/>
      <c r="AJ950" s="34"/>
      <c r="AK950" s="34"/>
      <c r="AL950" s="34"/>
      <c r="AM950" s="34"/>
      <c r="AN950" s="34"/>
      <c r="AO950" s="65"/>
      <c r="AP950" s="69"/>
      <c r="AQ950" s="62"/>
      <c r="AR950" s="34"/>
    </row>
    <row r="951" spans="1:44" customFormat="1">
      <c r="A951" s="39">
        <v>44423</v>
      </c>
      <c r="B951" s="11" t="s">
        <v>49</v>
      </c>
      <c r="C951" s="16" t="s">
        <v>3971</v>
      </c>
      <c r="D951" s="16"/>
      <c r="E951" s="38">
        <v>24749</v>
      </c>
      <c r="F951" s="38"/>
      <c r="G951" s="10" t="s">
        <v>52</v>
      </c>
      <c r="H951" s="12" t="s">
        <v>3972</v>
      </c>
      <c r="I951" s="13" t="s">
        <v>3973</v>
      </c>
      <c r="J951" s="15" t="s">
        <v>3974</v>
      </c>
      <c r="K951" s="12"/>
      <c r="L951" s="11" t="s">
        <v>33</v>
      </c>
      <c r="M951" s="15"/>
      <c r="N951" s="17">
        <v>16500</v>
      </c>
      <c r="O951" s="17"/>
      <c r="P951" s="17"/>
      <c r="Q951" s="48"/>
      <c r="R951" s="11"/>
      <c r="S951" s="48"/>
      <c r="T951" s="85"/>
      <c r="U951" s="88"/>
      <c r="V951" s="32"/>
      <c r="W951" s="25" t="s">
        <v>48</v>
      </c>
      <c r="X951" s="11"/>
      <c r="Y951" s="50"/>
      <c r="Z951" s="50"/>
      <c r="AA951" s="50"/>
      <c r="AB951" s="50"/>
      <c r="AC951" s="50"/>
      <c r="AD951" s="50"/>
      <c r="AE951" s="50"/>
      <c r="AF951" s="34"/>
      <c r="AG951" s="34"/>
      <c r="AH951" s="34"/>
      <c r="AI951" s="34"/>
      <c r="AJ951" s="34"/>
      <c r="AK951" s="34"/>
      <c r="AL951" s="34"/>
      <c r="AM951" s="34"/>
      <c r="AN951" s="34"/>
      <c r="AO951" s="65"/>
      <c r="AP951" s="69"/>
      <c r="AQ951" s="62"/>
      <c r="AR951" s="34"/>
    </row>
    <row r="952" spans="1:44" customFormat="1">
      <c r="A952" s="39">
        <v>44424</v>
      </c>
      <c r="B952" s="11" t="s">
        <v>2170</v>
      </c>
      <c r="C952" s="16" t="s">
        <v>2182</v>
      </c>
      <c r="D952" s="16"/>
      <c r="E952" s="38"/>
      <c r="F952" s="38"/>
      <c r="G952" s="10"/>
      <c r="H952" s="12"/>
      <c r="I952" s="13"/>
      <c r="J952" s="15"/>
      <c r="K952" s="12"/>
      <c r="L952" s="11"/>
      <c r="M952" s="15"/>
      <c r="N952" s="17">
        <v>8250</v>
      </c>
      <c r="O952" s="17"/>
      <c r="P952" s="17"/>
      <c r="Q952" s="48"/>
      <c r="R952" s="11"/>
      <c r="S952" s="48"/>
      <c r="T952" s="85"/>
      <c r="U952" s="88"/>
      <c r="V952" s="32"/>
      <c r="W952" s="25"/>
      <c r="X952" s="11"/>
      <c r="Y952" s="50"/>
      <c r="Z952" s="50"/>
      <c r="AA952" s="50"/>
      <c r="AB952" s="50"/>
      <c r="AC952" s="50"/>
      <c r="AD952" s="50"/>
      <c r="AE952" s="50"/>
      <c r="AF952" s="34"/>
      <c r="AG952" s="34"/>
      <c r="AH952" s="34"/>
      <c r="AI952" s="34"/>
      <c r="AJ952" s="34"/>
      <c r="AK952" s="34"/>
      <c r="AL952" s="34"/>
      <c r="AM952" s="34"/>
      <c r="AN952" s="34"/>
      <c r="AO952" s="65"/>
      <c r="AP952" s="69"/>
      <c r="AQ952" s="62" t="s">
        <v>81</v>
      </c>
      <c r="AR952" s="34"/>
    </row>
    <row r="953" spans="1:44" customFormat="1">
      <c r="A953" s="39">
        <v>44424</v>
      </c>
      <c r="B953" s="11" t="s">
        <v>49</v>
      </c>
      <c r="C953" s="16" t="s">
        <v>3979</v>
      </c>
      <c r="D953" s="16"/>
      <c r="E953" s="38">
        <v>26515</v>
      </c>
      <c r="F953" s="38"/>
      <c r="G953" s="10" t="s">
        <v>3980</v>
      </c>
      <c r="H953" s="12" t="s">
        <v>3981</v>
      </c>
      <c r="I953" s="13" t="s">
        <v>3736</v>
      </c>
      <c r="J953" s="15" t="s">
        <v>3982</v>
      </c>
      <c r="K953" s="12"/>
      <c r="L953" s="11" t="s">
        <v>34</v>
      </c>
      <c r="M953" s="15" t="s">
        <v>3629</v>
      </c>
      <c r="N953" s="17">
        <v>16500</v>
      </c>
      <c r="O953" s="17"/>
      <c r="P953" s="17"/>
      <c r="Q953" s="48"/>
      <c r="R953" s="11"/>
      <c r="S953" s="48"/>
      <c r="T953" s="85"/>
      <c r="U953" s="88"/>
      <c r="V953" s="32"/>
      <c r="W953" s="25" t="s">
        <v>48</v>
      </c>
      <c r="X953" s="11"/>
      <c r="Y953" s="50" t="s">
        <v>13</v>
      </c>
      <c r="Z953" s="50"/>
      <c r="AA953" s="50"/>
      <c r="AB953" s="50"/>
      <c r="AC953" s="50"/>
      <c r="AD953" s="50"/>
      <c r="AE953" s="50"/>
      <c r="AF953" s="34"/>
      <c r="AG953" s="34"/>
      <c r="AH953" s="34"/>
      <c r="AI953" s="34"/>
      <c r="AJ953" s="34"/>
      <c r="AK953" s="34"/>
      <c r="AL953" s="34"/>
      <c r="AM953" s="34"/>
      <c r="AN953" s="34"/>
      <c r="AO953" s="65"/>
      <c r="AP953" s="69"/>
      <c r="AQ953" s="62"/>
      <c r="AR953" s="34"/>
    </row>
    <row r="954" spans="1:44" customFormat="1">
      <c r="A954" s="39">
        <v>44424</v>
      </c>
      <c r="B954" s="11" t="s">
        <v>22</v>
      </c>
      <c r="C954" s="16" t="s">
        <v>3983</v>
      </c>
      <c r="D954" s="16"/>
      <c r="E954" s="38">
        <v>28244</v>
      </c>
      <c r="F954" s="38"/>
      <c r="G954" s="10" t="s">
        <v>3984</v>
      </c>
      <c r="H954" s="12" t="s">
        <v>3985</v>
      </c>
      <c r="I954" s="13" t="s">
        <v>2070</v>
      </c>
      <c r="J954" s="15" t="s">
        <v>3986</v>
      </c>
      <c r="K954" s="12"/>
      <c r="L954" s="11" t="s">
        <v>36</v>
      </c>
      <c r="M954" s="15" t="s">
        <v>3599</v>
      </c>
      <c r="N954" s="17">
        <v>3300</v>
      </c>
      <c r="O954" s="17"/>
      <c r="P954" s="17"/>
      <c r="Q954" s="48"/>
      <c r="R954" s="11"/>
      <c r="S954" s="48"/>
      <c r="T954" s="85"/>
      <c r="U954" s="88"/>
      <c r="V954" s="32"/>
      <c r="W954" s="25" t="s">
        <v>48</v>
      </c>
      <c r="X954" s="11"/>
      <c r="Y954" s="50" t="s">
        <v>11</v>
      </c>
      <c r="Z954" s="50"/>
      <c r="AA954" s="50"/>
      <c r="AB954" s="50"/>
      <c r="AC954" s="50"/>
      <c r="AD954" s="50"/>
      <c r="AE954" s="50"/>
      <c r="AF954" s="34"/>
      <c r="AG954" s="34"/>
      <c r="AH954" s="34"/>
      <c r="AI954" s="34"/>
      <c r="AJ954" s="34"/>
      <c r="AK954" s="34"/>
      <c r="AL954" s="34"/>
      <c r="AM954" s="34"/>
      <c r="AN954" s="34"/>
      <c r="AO954" s="65"/>
      <c r="AP954" s="69"/>
      <c r="AQ954" s="62"/>
      <c r="AR954" s="34"/>
    </row>
    <row r="955" spans="1:44" customFormat="1">
      <c r="A955" s="39">
        <v>44424</v>
      </c>
      <c r="B955" s="11" t="s">
        <v>22</v>
      </c>
      <c r="C955" s="16" t="s">
        <v>3975</v>
      </c>
      <c r="D955" s="16"/>
      <c r="E955" s="38">
        <v>25634</v>
      </c>
      <c r="F955" s="38"/>
      <c r="G955" s="10" t="s">
        <v>2740</v>
      </c>
      <c r="H955" s="12" t="s">
        <v>3976</v>
      </c>
      <c r="I955" s="13" t="s">
        <v>2209</v>
      </c>
      <c r="J955" s="15" t="s">
        <v>3978</v>
      </c>
      <c r="K955" s="14" t="s">
        <v>3977</v>
      </c>
      <c r="L955" s="11" t="s">
        <v>33</v>
      </c>
      <c r="M955" s="15" t="s">
        <v>3584</v>
      </c>
      <c r="N955" s="17">
        <v>3300</v>
      </c>
      <c r="O955" s="17"/>
      <c r="P955" s="17"/>
      <c r="Q955" s="48"/>
      <c r="R955" s="11"/>
      <c r="S955" s="48"/>
      <c r="T955" s="85" t="s">
        <v>81</v>
      </c>
      <c r="U955" s="88"/>
      <c r="V955" s="32"/>
      <c r="W955" s="25" t="s">
        <v>48</v>
      </c>
      <c r="X955" s="11"/>
      <c r="Y955" s="50" t="s">
        <v>14</v>
      </c>
      <c r="Z955" s="50"/>
      <c r="AA955" s="50"/>
      <c r="AB955" s="50"/>
      <c r="AC955" s="50"/>
      <c r="AD955" s="50"/>
      <c r="AE955" s="50"/>
      <c r="AF955" s="34"/>
      <c r="AG955" s="34"/>
      <c r="AH955" s="34"/>
      <c r="AI955" s="34"/>
      <c r="AJ955" s="34"/>
      <c r="AK955" s="34"/>
      <c r="AL955" s="34"/>
      <c r="AM955" s="34"/>
      <c r="AN955" s="34"/>
      <c r="AO955" s="65"/>
      <c r="AP955" s="69"/>
      <c r="AQ955" s="62"/>
      <c r="AR955" s="34"/>
    </row>
    <row r="956" spans="1:44" customFormat="1">
      <c r="A956" s="39">
        <v>44427</v>
      </c>
      <c r="B956" s="11" t="s">
        <v>22</v>
      </c>
      <c r="C956" s="16" t="s">
        <v>3992</v>
      </c>
      <c r="D956" s="16"/>
      <c r="E956" s="38">
        <v>22582</v>
      </c>
      <c r="F956" s="38"/>
      <c r="G956" s="10" t="s">
        <v>2034</v>
      </c>
      <c r="H956" s="12" t="s">
        <v>3993</v>
      </c>
      <c r="I956" s="13" t="s">
        <v>2617</v>
      </c>
      <c r="J956" s="15" t="s">
        <v>3995</v>
      </c>
      <c r="K956" s="14" t="s">
        <v>3994</v>
      </c>
      <c r="L956" s="11" t="s">
        <v>36</v>
      </c>
      <c r="M956" s="15" t="s">
        <v>3584</v>
      </c>
      <c r="N956" s="17">
        <v>3300</v>
      </c>
      <c r="O956" s="17"/>
      <c r="P956" s="17"/>
      <c r="Q956" s="48"/>
      <c r="R956" s="11"/>
      <c r="S956" s="48"/>
      <c r="T956" s="85" t="s">
        <v>81</v>
      </c>
      <c r="U956" s="104"/>
      <c r="V956" s="32" t="s">
        <v>279</v>
      </c>
      <c r="W956" s="25" t="s">
        <v>48</v>
      </c>
      <c r="X956" s="11"/>
      <c r="Y956" s="50" t="s">
        <v>15</v>
      </c>
      <c r="Z956" s="50"/>
      <c r="AA956" s="50"/>
      <c r="AB956" s="50"/>
      <c r="AC956" s="50"/>
      <c r="AD956" s="50"/>
      <c r="AE956" s="50"/>
      <c r="AF956" s="34"/>
      <c r="AG956" s="34"/>
      <c r="AH956" s="34"/>
      <c r="AI956" s="34"/>
      <c r="AJ956" s="34"/>
      <c r="AK956" s="34"/>
      <c r="AL956" s="34"/>
      <c r="AM956" s="34"/>
      <c r="AN956" s="34"/>
      <c r="AO956" s="65"/>
      <c r="AP956" s="69"/>
      <c r="AQ956" s="62"/>
      <c r="AR956" s="63"/>
    </row>
    <row r="957" spans="1:44" customFormat="1">
      <c r="A957" s="39">
        <v>44427</v>
      </c>
      <c r="B957" s="11" t="s">
        <v>2171</v>
      </c>
      <c r="C957" s="16" t="s">
        <v>3987</v>
      </c>
      <c r="D957" s="16"/>
      <c r="E957" s="38">
        <v>22823</v>
      </c>
      <c r="F957" s="38"/>
      <c r="G957" s="10" t="s">
        <v>2789</v>
      </c>
      <c r="H957" s="12" t="s">
        <v>3988</v>
      </c>
      <c r="I957" s="13" t="s">
        <v>3989</v>
      </c>
      <c r="J957" s="15" t="s">
        <v>3990</v>
      </c>
      <c r="K957" s="12"/>
      <c r="L957" s="11" t="s">
        <v>36</v>
      </c>
      <c r="M957" s="15"/>
      <c r="N957" s="17">
        <v>3300</v>
      </c>
      <c r="O957" s="17"/>
      <c r="P957" s="17"/>
      <c r="Q957" s="48"/>
      <c r="R957" s="11"/>
      <c r="S957" s="48"/>
      <c r="T957" s="85"/>
      <c r="U957" s="85"/>
      <c r="V957" s="32" t="s">
        <v>3991</v>
      </c>
      <c r="W957" s="25" t="s">
        <v>8</v>
      </c>
      <c r="X957" s="11"/>
      <c r="Y957" s="50" t="s">
        <v>14</v>
      </c>
      <c r="Z957" s="50"/>
      <c r="AA957" s="50"/>
      <c r="AB957" s="50"/>
      <c r="AC957" s="50"/>
      <c r="AD957" s="50"/>
      <c r="AE957" s="50"/>
      <c r="AF957" s="34"/>
      <c r="AG957" s="34"/>
      <c r="AH957" s="34"/>
      <c r="AI957" s="34"/>
      <c r="AJ957" s="34"/>
      <c r="AK957" s="34"/>
      <c r="AL957" s="34"/>
      <c r="AM957" s="34"/>
      <c r="AN957" s="34"/>
      <c r="AO957" s="65"/>
      <c r="AP957" s="69"/>
      <c r="AQ957" s="62" t="s">
        <v>81</v>
      </c>
      <c r="AR957" s="34"/>
    </row>
    <row r="958" spans="1:44" customFormat="1">
      <c r="A958" s="39">
        <v>44429</v>
      </c>
      <c r="B958" s="11" t="s">
        <v>49</v>
      </c>
      <c r="C958" s="16" t="s">
        <v>3996</v>
      </c>
      <c r="D958" s="16"/>
      <c r="E958" s="38">
        <v>40716</v>
      </c>
      <c r="F958" s="38"/>
      <c r="G958" s="10" t="s">
        <v>3997</v>
      </c>
      <c r="H958" s="12" t="s">
        <v>3998</v>
      </c>
      <c r="I958" s="13" t="s">
        <v>2009</v>
      </c>
      <c r="J958" s="15" t="s">
        <v>3999</v>
      </c>
      <c r="K958" s="12"/>
      <c r="L958" s="11" t="s">
        <v>34</v>
      </c>
      <c r="M958" s="15" t="s">
        <v>3599</v>
      </c>
      <c r="N958" s="17">
        <v>22000</v>
      </c>
      <c r="O958" s="17"/>
      <c r="P958" s="17"/>
      <c r="Q958" s="48"/>
      <c r="R958" s="1"/>
      <c r="S958" s="48"/>
      <c r="T958" s="87"/>
      <c r="U958" s="88"/>
      <c r="V958" s="32"/>
      <c r="W958" s="25" t="s">
        <v>48</v>
      </c>
      <c r="X958" s="11"/>
      <c r="Y958" s="50" t="s">
        <v>13</v>
      </c>
      <c r="Z958" s="50"/>
      <c r="AA958" s="50"/>
      <c r="AB958" s="50"/>
      <c r="AC958" s="50"/>
      <c r="AD958" s="50"/>
      <c r="AE958" s="50"/>
      <c r="AF958" s="34"/>
      <c r="AG958" s="34"/>
      <c r="AH958" s="34"/>
      <c r="AI958" s="34"/>
      <c r="AJ958" s="34"/>
      <c r="AK958" s="34"/>
      <c r="AL958" s="34"/>
      <c r="AM958" s="34"/>
      <c r="AN958" s="34"/>
      <c r="AO958" s="65"/>
      <c r="AP958" s="67"/>
      <c r="AQ958" s="63"/>
      <c r="AR958" s="34"/>
    </row>
    <row r="959" spans="1:44" customFormat="1">
      <c r="A959" s="39">
        <v>44434</v>
      </c>
      <c r="B959" s="11" t="s">
        <v>49</v>
      </c>
      <c r="C959" s="16" t="s">
        <v>4000</v>
      </c>
      <c r="D959" s="16"/>
      <c r="E959" s="38">
        <v>25592</v>
      </c>
      <c r="F959" s="38"/>
      <c r="G959" s="10" t="s">
        <v>252</v>
      </c>
      <c r="H959" s="12" t="s">
        <v>4001</v>
      </c>
      <c r="I959" s="13" t="s">
        <v>2175</v>
      </c>
      <c r="J959" s="15" t="s">
        <v>4002</v>
      </c>
      <c r="K959" s="12"/>
      <c r="L959" s="11" t="s">
        <v>34</v>
      </c>
      <c r="M959" s="15"/>
      <c r="N959" s="17">
        <v>14850</v>
      </c>
      <c r="O959" s="17"/>
      <c r="P959" s="17"/>
      <c r="Q959" s="48"/>
      <c r="R959" s="11"/>
      <c r="S959" s="48"/>
      <c r="T959" s="85" t="s">
        <v>8073</v>
      </c>
      <c r="U959" s="88"/>
      <c r="V959" s="32" t="s">
        <v>4003</v>
      </c>
      <c r="W959" s="25" t="s">
        <v>10</v>
      </c>
      <c r="X959" s="11"/>
      <c r="Y959" s="50"/>
      <c r="Z959" s="50"/>
      <c r="AA959" s="50"/>
      <c r="AB959" s="50"/>
      <c r="AC959" s="50"/>
      <c r="AD959" s="50"/>
      <c r="AE959" s="50"/>
      <c r="AF959" s="34"/>
      <c r="AG959" s="34"/>
      <c r="AH959" s="34"/>
      <c r="AI959" s="34"/>
      <c r="AJ959" s="34"/>
      <c r="AK959" s="34"/>
      <c r="AL959" s="34"/>
      <c r="AM959" s="34"/>
      <c r="AN959" s="34"/>
      <c r="AO959" s="65"/>
      <c r="AP959" s="69"/>
      <c r="AQ959" s="62" t="s">
        <v>8073</v>
      </c>
      <c r="AR959" s="34"/>
    </row>
    <row r="960" spans="1:44" customFormat="1">
      <c r="A960" s="39">
        <v>44434</v>
      </c>
      <c r="B960" s="11" t="s">
        <v>22</v>
      </c>
      <c r="C960" s="16" t="s">
        <v>4004</v>
      </c>
      <c r="D960" s="16"/>
      <c r="E960" s="38">
        <v>35272</v>
      </c>
      <c r="F960" s="38"/>
      <c r="G960" s="10" t="s">
        <v>4009</v>
      </c>
      <c r="H960" s="12" t="s">
        <v>4005</v>
      </c>
      <c r="I960" s="13" t="s">
        <v>2142</v>
      </c>
      <c r="J960" s="15" t="s">
        <v>4007</v>
      </c>
      <c r="K960" s="14" t="s">
        <v>4006</v>
      </c>
      <c r="L960" s="11" t="s">
        <v>34</v>
      </c>
      <c r="M960" s="15" t="s">
        <v>3584</v>
      </c>
      <c r="N960" s="17">
        <v>3300</v>
      </c>
      <c r="O960" s="17"/>
      <c r="P960" s="17"/>
      <c r="Q960" s="48"/>
      <c r="R960" s="11"/>
      <c r="S960" s="48"/>
      <c r="T960" s="85"/>
      <c r="U960" s="88"/>
      <c r="V960" s="32"/>
      <c r="W960" s="25" t="s">
        <v>48</v>
      </c>
      <c r="X960" s="11"/>
      <c r="Y960" s="50" t="s">
        <v>11</v>
      </c>
      <c r="Z960" s="50"/>
      <c r="AA960" s="50"/>
      <c r="AB960" s="50"/>
      <c r="AC960" s="50"/>
      <c r="AD960" s="50"/>
      <c r="AE960" s="50"/>
      <c r="AF960" s="34"/>
      <c r="AG960" s="34"/>
      <c r="AH960" s="34"/>
      <c r="AI960" s="34"/>
      <c r="AJ960" s="34"/>
      <c r="AK960" s="34"/>
      <c r="AL960" s="34"/>
      <c r="AM960" s="34"/>
      <c r="AN960" s="34"/>
      <c r="AO960" s="65"/>
      <c r="AP960" s="69"/>
      <c r="AQ960" s="62"/>
      <c r="AR960" s="34"/>
    </row>
    <row r="961" spans="1:44" customFormat="1">
      <c r="A961" s="39">
        <v>44435</v>
      </c>
      <c r="B961" s="11" t="s">
        <v>49</v>
      </c>
      <c r="C961" s="16" t="s">
        <v>4008</v>
      </c>
      <c r="D961" s="16"/>
      <c r="E961" s="38">
        <v>28140</v>
      </c>
      <c r="F961" s="38"/>
      <c r="G961" s="10" t="s">
        <v>4010</v>
      </c>
      <c r="H961" s="12" t="s">
        <v>4011</v>
      </c>
      <c r="I961" s="13" t="s">
        <v>4012</v>
      </c>
      <c r="J961" s="15" t="s">
        <v>4013</v>
      </c>
      <c r="K961" s="12"/>
      <c r="L961" s="11" t="s">
        <v>36</v>
      </c>
      <c r="M961" s="15"/>
      <c r="N961" s="17">
        <v>16500</v>
      </c>
      <c r="O961" s="17"/>
      <c r="P961" s="17"/>
      <c r="Q961" s="48"/>
      <c r="R961" s="11"/>
      <c r="S961" s="48"/>
      <c r="T961" s="85"/>
      <c r="U961" s="88"/>
      <c r="V961" s="32" t="s">
        <v>4014</v>
      </c>
      <c r="W961" s="25" t="s">
        <v>8</v>
      </c>
      <c r="X961" s="11"/>
      <c r="Y961" s="50" t="s">
        <v>13</v>
      </c>
      <c r="Z961" s="50"/>
      <c r="AA961" s="50"/>
      <c r="AB961" s="50"/>
      <c r="AC961" s="50"/>
      <c r="AD961" s="50"/>
      <c r="AE961" s="50"/>
      <c r="AF961" s="34"/>
      <c r="AG961" s="34"/>
      <c r="AH961" s="34"/>
      <c r="AI961" s="34"/>
      <c r="AJ961" s="34"/>
      <c r="AK961" s="34"/>
      <c r="AL961" s="34"/>
      <c r="AM961" s="34"/>
      <c r="AN961" s="34"/>
      <c r="AO961" s="65"/>
      <c r="AP961" s="69"/>
      <c r="AQ961" s="62"/>
      <c r="AR961" s="34"/>
    </row>
    <row r="962" spans="1:44" customFormat="1">
      <c r="A962" s="39">
        <v>44435</v>
      </c>
      <c r="B962" s="11" t="s">
        <v>22</v>
      </c>
      <c r="C962" s="16" t="s">
        <v>4015</v>
      </c>
      <c r="D962" s="16"/>
      <c r="E962" s="38">
        <v>26957</v>
      </c>
      <c r="F962" s="38"/>
      <c r="G962" s="10" t="s">
        <v>650</v>
      </c>
      <c r="H962" s="12" t="s">
        <v>4016</v>
      </c>
      <c r="I962" s="13" t="s">
        <v>2072</v>
      </c>
      <c r="J962" s="15" t="s">
        <v>4018</v>
      </c>
      <c r="K962" s="14" t="s">
        <v>4017</v>
      </c>
      <c r="L962" s="11" t="s">
        <v>36</v>
      </c>
      <c r="M962" s="15" t="s">
        <v>3584</v>
      </c>
      <c r="N962" s="17">
        <v>3300</v>
      </c>
      <c r="O962" s="17"/>
      <c r="P962" s="17"/>
      <c r="Q962" s="48"/>
      <c r="R962" s="11"/>
      <c r="S962" s="48"/>
      <c r="T962" s="85" t="s">
        <v>81</v>
      </c>
      <c r="U962" s="88"/>
      <c r="V962" s="32" t="s">
        <v>4019</v>
      </c>
      <c r="W962" s="25" t="s">
        <v>8</v>
      </c>
      <c r="X962" s="11"/>
      <c r="Y962" s="50" t="s">
        <v>17</v>
      </c>
      <c r="Z962" s="50"/>
      <c r="AA962" s="50"/>
      <c r="AB962" s="50"/>
      <c r="AC962" s="50"/>
      <c r="AD962" s="50"/>
      <c r="AE962" s="50"/>
      <c r="AF962" s="34"/>
      <c r="AG962" s="34"/>
      <c r="AH962" s="34"/>
      <c r="AI962" s="34"/>
      <c r="AJ962" s="34"/>
      <c r="AK962" s="34"/>
      <c r="AL962" s="34"/>
      <c r="AM962" s="34"/>
      <c r="AN962" s="34"/>
      <c r="AO962" s="65"/>
      <c r="AP962" s="69"/>
      <c r="AQ962" s="62" t="s">
        <v>81</v>
      </c>
      <c r="AR962" s="34"/>
    </row>
    <row r="963" spans="1:44" customFormat="1">
      <c r="A963" s="39">
        <v>44442</v>
      </c>
      <c r="B963" s="11" t="s">
        <v>22</v>
      </c>
      <c r="C963" s="16" t="s">
        <v>4020</v>
      </c>
      <c r="D963" s="16"/>
      <c r="E963" s="38">
        <v>22530</v>
      </c>
      <c r="F963" s="38"/>
      <c r="G963" s="10" t="s">
        <v>4021</v>
      </c>
      <c r="H963" s="12" t="s">
        <v>4022</v>
      </c>
      <c r="I963" s="13" t="s">
        <v>4023</v>
      </c>
      <c r="J963" s="15" t="s">
        <v>4024</v>
      </c>
      <c r="K963" s="14" t="s">
        <v>4025</v>
      </c>
      <c r="L963" s="11" t="s">
        <v>33</v>
      </c>
      <c r="M963" s="15" t="s">
        <v>3584</v>
      </c>
      <c r="N963" s="17">
        <v>8800</v>
      </c>
      <c r="O963" s="17"/>
      <c r="P963" s="17"/>
      <c r="Q963" s="48"/>
      <c r="R963" s="11"/>
      <c r="S963" s="48"/>
      <c r="T963" s="85"/>
      <c r="U963" s="88"/>
      <c r="V963" s="32" t="s">
        <v>4026</v>
      </c>
      <c r="W963" s="25" t="s">
        <v>48</v>
      </c>
      <c r="X963" s="11"/>
      <c r="Y963" s="50" t="s">
        <v>13</v>
      </c>
      <c r="Z963" s="50"/>
      <c r="AA963" s="50"/>
      <c r="AB963" s="50"/>
      <c r="AC963" s="50"/>
      <c r="AD963" s="50"/>
      <c r="AE963" s="50"/>
      <c r="AF963" s="34"/>
      <c r="AG963" s="34"/>
      <c r="AH963" s="34"/>
      <c r="AI963" s="34"/>
      <c r="AJ963" s="34"/>
      <c r="AK963" s="34"/>
      <c r="AL963" s="34"/>
      <c r="AM963" s="34"/>
      <c r="AN963" s="34"/>
      <c r="AO963" s="65"/>
      <c r="AP963" s="69"/>
      <c r="AQ963" s="62"/>
      <c r="AR963" s="34"/>
    </row>
    <row r="964" spans="1:44" customFormat="1">
      <c r="A964" s="39">
        <v>44444</v>
      </c>
      <c r="B964" s="11" t="s">
        <v>22</v>
      </c>
      <c r="C964" s="16" t="s">
        <v>4027</v>
      </c>
      <c r="D964" s="16"/>
      <c r="E964" s="38">
        <v>24675</v>
      </c>
      <c r="F964" s="38"/>
      <c r="G964" s="10" t="s">
        <v>1028</v>
      </c>
      <c r="H964" s="12" t="s">
        <v>4028</v>
      </c>
      <c r="I964" s="13" t="s">
        <v>3089</v>
      </c>
      <c r="J964" s="15" t="s">
        <v>4029</v>
      </c>
      <c r="K964" s="12"/>
      <c r="L964" s="11" t="s">
        <v>34</v>
      </c>
      <c r="M964" s="15" t="s">
        <v>3629</v>
      </c>
      <c r="N964" s="17">
        <v>3300</v>
      </c>
      <c r="O964" s="17"/>
      <c r="P964" s="17"/>
      <c r="Q964" s="48"/>
      <c r="R964" s="11"/>
      <c r="S964" s="48"/>
      <c r="T964" s="85"/>
      <c r="U964" s="88"/>
      <c r="V964" s="32"/>
      <c r="W964" s="25" t="s">
        <v>48</v>
      </c>
      <c r="X964" s="11"/>
      <c r="Y964" s="50" t="s">
        <v>11</v>
      </c>
      <c r="Z964" s="50"/>
      <c r="AA964" s="50"/>
      <c r="AB964" s="50"/>
      <c r="AC964" s="50"/>
      <c r="AD964" s="50"/>
      <c r="AE964" s="50"/>
      <c r="AF964" s="34"/>
      <c r="AG964" s="34"/>
      <c r="AH964" s="34"/>
      <c r="AI964" s="34"/>
      <c r="AJ964" s="34"/>
      <c r="AK964" s="34"/>
      <c r="AL964" s="34"/>
      <c r="AM964" s="34"/>
      <c r="AN964" s="34"/>
      <c r="AO964" s="65"/>
      <c r="AP964" s="69"/>
      <c r="AQ964" s="62"/>
      <c r="AR964" s="34"/>
    </row>
    <row r="965" spans="1:44" customFormat="1">
      <c r="A965" s="39">
        <v>44444</v>
      </c>
      <c r="B965" s="11" t="s">
        <v>22</v>
      </c>
      <c r="C965" s="16" t="s">
        <v>4030</v>
      </c>
      <c r="D965" s="16"/>
      <c r="E965" s="38">
        <v>33859</v>
      </c>
      <c r="F965" s="38"/>
      <c r="G965" s="10" t="s">
        <v>4031</v>
      </c>
      <c r="H965" s="12" t="s">
        <v>4032</v>
      </c>
      <c r="I965" s="13" t="s">
        <v>4033</v>
      </c>
      <c r="J965" s="15" t="s">
        <v>4034</v>
      </c>
      <c r="K965" s="12"/>
      <c r="L965" s="11" t="s">
        <v>34</v>
      </c>
      <c r="M965" s="15" t="s">
        <v>3629</v>
      </c>
      <c r="N965" s="17">
        <v>3300</v>
      </c>
      <c r="O965" s="17"/>
      <c r="P965" s="17"/>
      <c r="Q965" s="48"/>
      <c r="R965" s="11"/>
      <c r="S965" s="48"/>
      <c r="T965" s="85"/>
      <c r="U965" s="88"/>
      <c r="V965" s="32" t="s">
        <v>4035</v>
      </c>
      <c r="W965" s="25" t="s">
        <v>8</v>
      </c>
      <c r="X965" s="11"/>
      <c r="Y965" s="50" t="s">
        <v>15</v>
      </c>
      <c r="Z965" s="50"/>
      <c r="AA965" s="50"/>
      <c r="AB965" s="50"/>
      <c r="AC965" s="50"/>
      <c r="AD965" s="50"/>
      <c r="AE965" s="50"/>
      <c r="AF965" s="34"/>
      <c r="AG965" s="34"/>
      <c r="AH965" s="34"/>
      <c r="AI965" s="34"/>
      <c r="AJ965" s="34"/>
      <c r="AK965" s="34"/>
      <c r="AL965" s="34"/>
      <c r="AM965" s="34"/>
      <c r="AN965" s="34"/>
      <c r="AO965" s="65"/>
      <c r="AP965" s="69"/>
      <c r="AQ965" s="62"/>
      <c r="AR965" s="34"/>
    </row>
    <row r="966" spans="1:44" customFormat="1">
      <c r="A966" s="39">
        <v>44444</v>
      </c>
      <c r="B966" s="11" t="s">
        <v>22</v>
      </c>
      <c r="C966" s="16" t="s">
        <v>4036</v>
      </c>
      <c r="D966" s="16"/>
      <c r="E966" s="38">
        <v>35310</v>
      </c>
      <c r="F966" s="38"/>
      <c r="G966" s="10" t="s">
        <v>4038</v>
      </c>
      <c r="H966" s="12" t="s">
        <v>4039</v>
      </c>
      <c r="I966" s="13" t="s">
        <v>1819</v>
      </c>
      <c r="J966" s="15" t="s">
        <v>4041</v>
      </c>
      <c r="K966" s="12"/>
      <c r="L966" s="11" t="s">
        <v>35</v>
      </c>
      <c r="M966" s="15" t="s">
        <v>3599</v>
      </c>
      <c r="N966" s="17">
        <v>3300</v>
      </c>
      <c r="O966" s="17"/>
      <c r="P966" s="17"/>
      <c r="Q966" s="48"/>
      <c r="R966" s="11"/>
      <c r="S966" s="48"/>
      <c r="T966" s="85"/>
      <c r="U966" s="88"/>
      <c r="V966" s="32" t="s">
        <v>4043</v>
      </c>
      <c r="W966" s="25" t="s">
        <v>10</v>
      </c>
      <c r="X966" s="11"/>
      <c r="Y966" s="50" t="s">
        <v>12</v>
      </c>
      <c r="Z966" s="50"/>
      <c r="AA966" s="50"/>
      <c r="AB966" s="50"/>
      <c r="AC966" s="50"/>
      <c r="AD966" s="50"/>
      <c r="AE966" s="50"/>
      <c r="AF966" s="34"/>
      <c r="AG966" s="34"/>
      <c r="AH966" s="34"/>
      <c r="AI966" s="34"/>
      <c r="AJ966" s="34"/>
      <c r="AK966" s="34"/>
      <c r="AL966" s="34"/>
      <c r="AM966" s="34"/>
      <c r="AN966" s="34"/>
      <c r="AO966" s="65"/>
      <c r="AP966" s="69"/>
      <c r="AQ966" s="62"/>
      <c r="AR966" s="34"/>
    </row>
    <row r="967" spans="1:44" customFormat="1">
      <c r="A967" s="39">
        <v>44444</v>
      </c>
      <c r="B967" s="11" t="s">
        <v>22</v>
      </c>
      <c r="C967" s="16" t="s">
        <v>4037</v>
      </c>
      <c r="D967" s="16"/>
      <c r="E967" s="38">
        <v>34981</v>
      </c>
      <c r="F967" s="38"/>
      <c r="G967" s="10" t="s">
        <v>4038</v>
      </c>
      <c r="H967" s="12" t="s">
        <v>4040</v>
      </c>
      <c r="I967" s="13" t="s">
        <v>1819</v>
      </c>
      <c r="J967" s="15" t="s">
        <v>4042</v>
      </c>
      <c r="K967" s="12"/>
      <c r="L967" s="11" t="s">
        <v>35</v>
      </c>
      <c r="M967" s="15" t="s">
        <v>3629</v>
      </c>
      <c r="N967" s="17">
        <v>3300</v>
      </c>
      <c r="O967" s="17"/>
      <c r="P967" s="17"/>
      <c r="Q967" s="48"/>
      <c r="R967" s="11"/>
      <c r="S967" s="48"/>
      <c r="T967" s="85"/>
      <c r="U967" s="88"/>
      <c r="V967" s="32"/>
      <c r="W967" s="25" t="s">
        <v>8</v>
      </c>
      <c r="X967" s="11"/>
      <c r="Y967" s="50" t="s">
        <v>15</v>
      </c>
      <c r="Z967" s="50"/>
      <c r="AA967" s="50"/>
      <c r="AB967" s="50"/>
      <c r="AC967" s="50"/>
      <c r="AD967" s="50"/>
      <c r="AE967" s="50"/>
      <c r="AF967" s="34"/>
      <c r="AG967" s="34"/>
      <c r="AH967" s="34"/>
      <c r="AI967" s="34"/>
      <c r="AJ967" s="34"/>
      <c r="AK967" s="34"/>
      <c r="AL967" s="34"/>
      <c r="AM967" s="34"/>
      <c r="AN967" s="34"/>
      <c r="AO967" s="65"/>
      <c r="AP967" s="69"/>
      <c r="AQ967" s="62"/>
      <c r="AR967" s="34"/>
    </row>
    <row r="968" spans="1:44" customFormat="1">
      <c r="A968" s="39">
        <v>44445</v>
      </c>
      <c r="B968" s="11" t="s">
        <v>49</v>
      </c>
      <c r="C968" s="16" t="s">
        <v>4044</v>
      </c>
      <c r="D968" s="16"/>
      <c r="E968" s="38">
        <v>23748</v>
      </c>
      <c r="F968" s="38"/>
      <c r="G968" s="10" t="s">
        <v>4045</v>
      </c>
      <c r="H968" s="12" t="s">
        <v>4047</v>
      </c>
      <c r="I968" s="13" t="s">
        <v>4046</v>
      </c>
      <c r="J968" s="15" t="s">
        <v>4048</v>
      </c>
      <c r="K968" s="12"/>
      <c r="L968" s="11" t="s">
        <v>34</v>
      </c>
      <c r="M968" s="15" t="s">
        <v>3599</v>
      </c>
      <c r="N968" s="17">
        <v>22000</v>
      </c>
      <c r="O968" s="17"/>
      <c r="P968" s="17"/>
      <c r="Q968" s="48"/>
      <c r="R968" s="11"/>
      <c r="S968" s="48"/>
      <c r="T968" s="85"/>
      <c r="U968" s="88"/>
      <c r="V968" s="32"/>
      <c r="W968" s="25" t="s">
        <v>8</v>
      </c>
      <c r="X968" s="11"/>
      <c r="Y968" s="50" t="s">
        <v>13</v>
      </c>
      <c r="Z968" s="50"/>
      <c r="AA968" s="50"/>
      <c r="AB968" s="50"/>
      <c r="AC968" s="50"/>
      <c r="AD968" s="50"/>
      <c r="AE968" s="50"/>
      <c r="AF968" s="34"/>
      <c r="AG968" s="34"/>
      <c r="AH968" s="34"/>
      <c r="AI968" s="34"/>
      <c r="AJ968" s="34"/>
      <c r="AK968" s="34"/>
      <c r="AL968" s="34"/>
      <c r="AM968" s="34"/>
      <c r="AN968" s="34"/>
      <c r="AO968" s="65"/>
      <c r="AP968" s="69"/>
      <c r="AQ968" s="62"/>
      <c r="AR968" s="34"/>
    </row>
    <row r="969" spans="1:44" customFormat="1">
      <c r="A969" s="39">
        <v>44447</v>
      </c>
      <c r="B969" s="11" t="s">
        <v>49</v>
      </c>
      <c r="C969" s="16" t="s">
        <v>4049</v>
      </c>
      <c r="D969" s="16"/>
      <c r="E969" s="38">
        <v>30793</v>
      </c>
      <c r="F969" s="38"/>
      <c r="G969" s="10" t="s">
        <v>4050</v>
      </c>
      <c r="H969" s="12" t="s">
        <v>4051</v>
      </c>
      <c r="I969" s="13" t="s">
        <v>2311</v>
      </c>
      <c r="J969" s="15" t="s">
        <v>4053</v>
      </c>
      <c r="K969" s="14" t="s">
        <v>4052</v>
      </c>
      <c r="L969" s="11" t="s">
        <v>33</v>
      </c>
      <c r="M969" s="15" t="s">
        <v>3584</v>
      </c>
      <c r="N969" s="17">
        <v>16500</v>
      </c>
      <c r="O969" s="17"/>
      <c r="P969" s="17"/>
      <c r="Q969" s="48"/>
      <c r="R969" s="11"/>
      <c r="S969" s="48"/>
      <c r="T969" s="85"/>
      <c r="U969" s="88"/>
      <c r="V969" s="32"/>
      <c r="W969" s="25" t="s">
        <v>48</v>
      </c>
      <c r="X969" s="11"/>
      <c r="Y969" s="50" t="s">
        <v>12</v>
      </c>
      <c r="Z969" s="50"/>
      <c r="AA969" s="50"/>
      <c r="AB969" s="50"/>
      <c r="AC969" s="50"/>
      <c r="AD969" s="50"/>
      <c r="AE969" s="50"/>
      <c r="AF969" s="34"/>
      <c r="AG969" s="34"/>
      <c r="AH969" s="34"/>
      <c r="AI969" s="34"/>
      <c r="AJ969" s="34"/>
      <c r="AK969" s="34"/>
      <c r="AL969" s="34"/>
      <c r="AM969" s="34"/>
      <c r="AN969" s="34"/>
      <c r="AO969" s="65"/>
      <c r="AP969" s="69"/>
      <c r="AQ969" s="62"/>
      <c r="AR969" s="34"/>
    </row>
    <row r="970" spans="1:44" customFormat="1">
      <c r="A970" s="39">
        <v>44448</v>
      </c>
      <c r="B970" s="11" t="s">
        <v>49</v>
      </c>
      <c r="C970" s="16" t="s">
        <v>4054</v>
      </c>
      <c r="D970" s="16"/>
      <c r="E970" s="38">
        <v>34498</v>
      </c>
      <c r="F970" s="38"/>
      <c r="G970" s="10" t="s">
        <v>4057</v>
      </c>
      <c r="H970" s="12" t="s">
        <v>4055</v>
      </c>
      <c r="I970" s="13" t="s">
        <v>4056</v>
      </c>
      <c r="J970" s="15" t="s">
        <v>4059</v>
      </c>
      <c r="K970" s="14" t="s">
        <v>4058</v>
      </c>
      <c r="L970" s="11" t="s">
        <v>33</v>
      </c>
      <c r="M970" s="15" t="s">
        <v>3584</v>
      </c>
      <c r="N970" s="17">
        <v>22000</v>
      </c>
      <c r="O970" s="17"/>
      <c r="P970" s="17"/>
      <c r="Q970" s="48"/>
      <c r="R970" s="11"/>
      <c r="S970" s="48"/>
      <c r="T970" s="85"/>
      <c r="U970" s="88"/>
      <c r="V970" s="32"/>
      <c r="W970" s="25" t="s">
        <v>3847</v>
      </c>
      <c r="X970" s="11"/>
      <c r="Y970" s="50" t="s">
        <v>13</v>
      </c>
      <c r="Z970" s="50"/>
      <c r="AA970" s="50"/>
      <c r="AB970" s="50"/>
      <c r="AC970" s="50"/>
      <c r="AD970" s="50"/>
      <c r="AE970" s="50"/>
      <c r="AF970" s="34"/>
      <c r="AG970" s="34"/>
      <c r="AH970" s="34"/>
      <c r="AI970" s="34"/>
      <c r="AJ970" s="34"/>
      <c r="AK970" s="34"/>
      <c r="AL970" s="34"/>
      <c r="AM970" s="34"/>
      <c r="AN970" s="34"/>
      <c r="AO970" s="65"/>
      <c r="AP970" s="69"/>
      <c r="AQ970" s="62"/>
      <c r="AR970" s="34"/>
    </row>
    <row r="971" spans="1:44" customFormat="1">
      <c r="A971" s="39">
        <v>44449</v>
      </c>
      <c r="B971" s="11" t="s">
        <v>22</v>
      </c>
      <c r="C971" s="16" t="s">
        <v>4060</v>
      </c>
      <c r="D971" s="16"/>
      <c r="E971" s="38">
        <v>27497</v>
      </c>
      <c r="F971" s="38"/>
      <c r="G971" s="10" t="s">
        <v>3404</v>
      </c>
      <c r="H971" s="12" t="s">
        <v>4061</v>
      </c>
      <c r="I971" s="13" t="s">
        <v>1787</v>
      </c>
      <c r="J971" s="15" t="s">
        <v>4062</v>
      </c>
      <c r="K971" s="12"/>
      <c r="L971" s="11" t="s">
        <v>36</v>
      </c>
      <c r="M971" s="15" t="s">
        <v>3629</v>
      </c>
      <c r="N971" s="17">
        <v>3300</v>
      </c>
      <c r="O971" s="17"/>
      <c r="P971" s="17"/>
      <c r="Q971" s="48"/>
      <c r="R971" s="11"/>
      <c r="S971" s="48"/>
      <c r="T971" s="85"/>
      <c r="U971" s="88"/>
      <c r="V971" s="32"/>
      <c r="W971" s="25" t="s">
        <v>48</v>
      </c>
      <c r="X971" s="11"/>
      <c r="Y971" s="50" t="s">
        <v>12</v>
      </c>
      <c r="Z971" s="50"/>
      <c r="AA971" s="50"/>
      <c r="AB971" s="50"/>
      <c r="AC971" s="50"/>
      <c r="AD971" s="50"/>
      <c r="AE971" s="50"/>
      <c r="AF971" s="34"/>
      <c r="AG971" s="34"/>
      <c r="AH971" s="34"/>
      <c r="AI971" s="34"/>
      <c r="AJ971" s="34"/>
      <c r="AK971" s="34"/>
      <c r="AL971" s="34"/>
      <c r="AM971" s="34"/>
      <c r="AN971" s="34"/>
      <c r="AO971" s="65"/>
      <c r="AP971" s="69"/>
      <c r="AQ971" s="62"/>
      <c r="AR971" s="34"/>
    </row>
    <row r="972" spans="1:44" customFormat="1">
      <c r="A972" s="39">
        <v>44451</v>
      </c>
      <c r="B972" s="11" t="s">
        <v>22</v>
      </c>
      <c r="C972" s="16" t="s">
        <v>4063</v>
      </c>
      <c r="D972" s="16"/>
      <c r="E972" s="38">
        <v>35892</v>
      </c>
      <c r="F972" s="38"/>
      <c r="G972" s="10" t="s">
        <v>4064</v>
      </c>
      <c r="H972" s="12" t="s">
        <v>4068</v>
      </c>
      <c r="I972" s="13" t="s">
        <v>4065</v>
      </c>
      <c r="J972" s="15" t="s">
        <v>4066</v>
      </c>
      <c r="K972" s="12"/>
      <c r="L972" s="11" t="s">
        <v>36</v>
      </c>
      <c r="M972" s="15" t="s">
        <v>3599</v>
      </c>
      <c r="N972" s="17">
        <v>3300</v>
      </c>
      <c r="O972" s="17"/>
      <c r="P972" s="17"/>
      <c r="Q972" s="48"/>
      <c r="R972" s="11"/>
      <c r="S972" s="48"/>
      <c r="T972" s="85"/>
      <c r="U972" s="88"/>
      <c r="V972" s="32" t="s">
        <v>4067</v>
      </c>
      <c r="W972" s="25" t="s">
        <v>8</v>
      </c>
      <c r="X972" s="11"/>
      <c r="Y972" s="50" t="s">
        <v>12</v>
      </c>
      <c r="Z972" s="50"/>
      <c r="AA972" s="50"/>
      <c r="AB972" s="50"/>
      <c r="AC972" s="50"/>
      <c r="AD972" s="50"/>
      <c r="AE972" s="50"/>
      <c r="AF972" s="34"/>
      <c r="AG972" s="34"/>
      <c r="AH972" s="34"/>
      <c r="AI972" s="34"/>
      <c r="AJ972" s="34"/>
      <c r="AK972" s="34"/>
      <c r="AL972" s="34"/>
      <c r="AM972" s="34"/>
      <c r="AN972" s="34"/>
      <c r="AO972" s="65"/>
      <c r="AP972" s="69"/>
      <c r="AQ972" s="62"/>
      <c r="AR972" s="34"/>
    </row>
    <row r="973" spans="1:44" customFormat="1">
      <c r="A973" s="39">
        <v>44455</v>
      </c>
      <c r="B973" s="11" t="s">
        <v>22</v>
      </c>
      <c r="C973" s="16" t="s">
        <v>4069</v>
      </c>
      <c r="D973" s="16"/>
      <c r="E973" s="38">
        <v>27659</v>
      </c>
      <c r="F973" s="38"/>
      <c r="G973" s="10" t="s">
        <v>358</v>
      </c>
      <c r="H973" s="12" t="s">
        <v>4070</v>
      </c>
      <c r="I973" s="13" t="s">
        <v>2438</v>
      </c>
      <c r="J973" s="15" t="s">
        <v>4072</v>
      </c>
      <c r="K973" s="14" t="s">
        <v>4071</v>
      </c>
      <c r="L973" s="11" t="s">
        <v>33</v>
      </c>
      <c r="M973" s="15" t="s">
        <v>3629</v>
      </c>
      <c r="N973" s="17">
        <v>3300</v>
      </c>
      <c r="O973" s="17"/>
      <c r="P973" s="17"/>
      <c r="Q973" s="48"/>
      <c r="R973" s="11"/>
      <c r="S973" s="48"/>
      <c r="T973" s="85"/>
      <c r="U973" s="88"/>
      <c r="V973" s="32" t="s">
        <v>4073</v>
      </c>
      <c r="W973" s="25" t="s">
        <v>10</v>
      </c>
      <c r="X973" s="11"/>
      <c r="Y973" s="50" t="s">
        <v>18</v>
      </c>
      <c r="Z973" s="50"/>
      <c r="AA973" s="50"/>
      <c r="AB973" s="50"/>
      <c r="AC973" s="50"/>
      <c r="AD973" s="50"/>
      <c r="AE973" s="50"/>
      <c r="AF973" s="34"/>
      <c r="AG973" s="34"/>
      <c r="AH973" s="34"/>
      <c r="AI973" s="34"/>
      <c r="AJ973" s="34"/>
      <c r="AK973" s="34"/>
      <c r="AL973" s="34"/>
      <c r="AM973" s="34"/>
      <c r="AN973" s="34"/>
      <c r="AO973" s="65"/>
      <c r="AP973" s="69"/>
      <c r="AQ973" s="62"/>
      <c r="AR973" s="34"/>
    </row>
    <row r="974" spans="1:44" customFormat="1">
      <c r="A974" s="39">
        <v>44456</v>
      </c>
      <c r="B974" s="11" t="s">
        <v>49</v>
      </c>
      <c r="C974" s="16" t="s">
        <v>4074</v>
      </c>
      <c r="D974" s="16"/>
      <c r="E974" s="38">
        <v>25137</v>
      </c>
      <c r="F974" s="38"/>
      <c r="G974" s="10" t="s">
        <v>4076</v>
      </c>
      <c r="H974" s="12" t="s">
        <v>4075</v>
      </c>
      <c r="I974" s="13" t="s">
        <v>2098</v>
      </c>
      <c r="J974" s="15" t="s">
        <v>4077</v>
      </c>
      <c r="K974" s="12"/>
      <c r="L974" s="11" t="s">
        <v>33</v>
      </c>
      <c r="M974" s="15" t="s">
        <v>3584</v>
      </c>
      <c r="N974" s="17">
        <v>16500</v>
      </c>
      <c r="O974" s="17"/>
      <c r="P974" s="17"/>
      <c r="Q974" s="48"/>
      <c r="R974" s="11"/>
      <c r="S974" s="48"/>
      <c r="T974" s="85"/>
      <c r="U974" s="88"/>
      <c r="V974" s="32"/>
      <c r="W974" s="25" t="s">
        <v>10</v>
      </c>
      <c r="X974" s="11"/>
      <c r="Y974" s="50" t="s">
        <v>13</v>
      </c>
      <c r="Z974" s="50"/>
      <c r="AA974" s="50"/>
      <c r="AB974" s="50"/>
      <c r="AC974" s="50"/>
      <c r="AD974" s="50"/>
      <c r="AE974" s="50"/>
      <c r="AF974" s="34"/>
      <c r="AG974" s="34"/>
      <c r="AH974" s="34"/>
      <c r="AI974" s="34"/>
      <c r="AJ974" s="34"/>
      <c r="AK974" s="34"/>
      <c r="AL974" s="34"/>
      <c r="AM974" s="34"/>
      <c r="AN974" s="34"/>
      <c r="AO974" s="65"/>
      <c r="AP974" s="69"/>
      <c r="AQ974" s="62"/>
      <c r="AR974" s="34"/>
    </row>
    <row r="975" spans="1:44" customFormat="1">
      <c r="A975" s="39">
        <v>44456</v>
      </c>
      <c r="B975" s="11" t="s">
        <v>49</v>
      </c>
      <c r="C975" s="16" t="s">
        <v>4078</v>
      </c>
      <c r="D975" s="16"/>
      <c r="E975" s="38">
        <v>23970</v>
      </c>
      <c r="F975" s="38"/>
      <c r="G975" s="10" t="s">
        <v>4079</v>
      </c>
      <c r="H975" s="12" t="s">
        <v>4080</v>
      </c>
      <c r="I975" s="13" t="s">
        <v>4081</v>
      </c>
      <c r="J975" s="15" t="s">
        <v>4083</v>
      </c>
      <c r="K975" s="14" t="s">
        <v>4082</v>
      </c>
      <c r="L975" s="11" t="s">
        <v>33</v>
      </c>
      <c r="M975" s="15" t="s">
        <v>3584</v>
      </c>
      <c r="N975" s="17">
        <v>16500</v>
      </c>
      <c r="O975" s="17"/>
      <c r="P975" s="17"/>
      <c r="Q975" s="48"/>
      <c r="R975" s="11"/>
      <c r="S975" s="48"/>
      <c r="T975" s="85"/>
      <c r="U975" s="88"/>
      <c r="V975" s="32"/>
      <c r="W975" s="25" t="s">
        <v>48</v>
      </c>
      <c r="X975" s="11"/>
      <c r="Y975" s="50" t="s">
        <v>13</v>
      </c>
      <c r="Z975" s="50"/>
      <c r="AA975" s="50"/>
      <c r="AB975" s="50"/>
      <c r="AC975" s="50"/>
      <c r="AD975" s="50"/>
      <c r="AE975" s="50"/>
      <c r="AF975" s="34"/>
      <c r="AG975" s="34"/>
      <c r="AH975" s="34"/>
      <c r="AI975" s="34"/>
      <c r="AJ975" s="34"/>
      <c r="AK975" s="34"/>
      <c r="AL975" s="34"/>
      <c r="AM975" s="34"/>
      <c r="AN975" s="34"/>
      <c r="AO975" s="65"/>
      <c r="AP975" s="69"/>
      <c r="AQ975" s="62"/>
      <c r="AR975" s="34"/>
    </row>
    <row r="976" spans="1:44" customFormat="1">
      <c r="A976" s="39">
        <v>44457</v>
      </c>
      <c r="B976" s="11" t="s">
        <v>22</v>
      </c>
      <c r="C976" s="16" t="s">
        <v>4084</v>
      </c>
      <c r="D976" s="16"/>
      <c r="E976" s="38">
        <v>30371</v>
      </c>
      <c r="F976" s="38"/>
      <c r="G976" s="10" t="s">
        <v>4085</v>
      </c>
      <c r="H976" s="12" t="s">
        <v>4254</v>
      </c>
      <c r="I976" s="13" t="s">
        <v>2444</v>
      </c>
      <c r="J976" s="15" t="s">
        <v>4087</v>
      </c>
      <c r="K976" s="14" t="s">
        <v>4086</v>
      </c>
      <c r="L976" s="11" t="s">
        <v>33</v>
      </c>
      <c r="M976" s="15" t="s">
        <v>3584</v>
      </c>
      <c r="N976" s="17">
        <v>3300</v>
      </c>
      <c r="O976" s="17"/>
      <c r="P976" s="17"/>
      <c r="Q976" s="48"/>
      <c r="R976" s="11"/>
      <c r="S976" s="48"/>
      <c r="T976" s="85"/>
      <c r="U976" s="88"/>
      <c r="V976" s="32"/>
      <c r="W976" s="25" t="s">
        <v>48</v>
      </c>
      <c r="X976" s="11"/>
      <c r="Y976" s="50" t="s">
        <v>12</v>
      </c>
      <c r="Z976" s="50"/>
      <c r="AA976" s="50"/>
      <c r="AB976" s="50"/>
      <c r="AC976" s="50"/>
      <c r="AD976" s="50"/>
      <c r="AE976" s="50"/>
      <c r="AF976" s="34"/>
      <c r="AG976" s="34"/>
      <c r="AH976" s="34"/>
      <c r="AI976" s="34"/>
      <c r="AJ976" s="34"/>
      <c r="AK976" s="34"/>
      <c r="AL976" s="34"/>
      <c r="AM976" s="34"/>
      <c r="AN976" s="34"/>
      <c r="AO976" s="65"/>
      <c r="AP976" s="69"/>
      <c r="AQ976" s="62"/>
      <c r="AR976" s="34"/>
    </row>
    <row r="977" spans="1:44" customFormat="1">
      <c r="A977" s="39">
        <v>44457</v>
      </c>
      <c r="B977" s="11" t="s">
        <v>49</v>
      </c>
      <c r="C977" s="16" t="s">
        <v>4088</v>
      </c>
      <c r="D977" s="16"/>
      <c r="E977" s="38">
        <v>30007</v>
      </c>
      <c r="F977" s="38"/>
      <c r="G977" s="10" t="s">
        <v>4089</v>
      </c>
      <c r="H977" s="12" t="s">
        <v>4090</v>
      </c>
      <c r="I977" s="13" t="s">
        <v>3801</v>
      </c>
      <c r="J977" s="15" t="s">
        <v>4092</v>
      </c>
      <c r="K977" s="14" t="s">
        <v>4091</v>
      </c>
      <c r="L977" s="11" t="s">
        <v>36</v>
      </c>
      <c r="M977" s="15" t="s">
        <v>3584</v>
      </c>
      <c r="N977" s="17">
        <v>16500</v>
      </c>
      <c r="O977" s="17"/>
      <c r="P977" s="17"/>
      <c r="Q977" s="48"/>
      <c r="R977" s="11"/>
      <c r="S977" s="48"/>
      <c r="T977" s="85"/>
      <c r="U977" s="88"/>
      <c r="V977" s="32"/>
      <c r="W977" s="25" t="s">
        <v>48</v>
      </c>
      <c r="X977" s="11"/>
      <c r="Y977" s="50" t="s">
        <v>13</v>
      </c>
      <c r="Z977" s="50"/>
      <c r="AA977" s="50"/>
      <c r="AB977" s="50"/>
      <c r="AC977" s="50"/>
      <c r="AD977" s="50"/>
      <c r="AE977" s="50"/>
      <c r="AF977" s="34"/>
      <c r="AG977" s="34"/>
      <c r="AH977" s="34"/>
      <c r="AI977" s="34"/>
      <c r="AJ977" s="34"/>
      <c r="AK977" s="34"/>
      <c r="AL977" s="34"/>
      <c r="AM977" s="34"/>
      <c r="AN977" s="34"/>
      <c r="AO977" s="65"/>
      <c r="AP977" s="69"/>
      <c r="AQ977" s="62"/>
      <c r="AR977" s="34"/>
    </row>
    <row r="978" spans="1:44" customFormat="1">
      <c r="A978" s="39">
        <v>44457</v>
      </c>
      <c r="B978" s="11" t="s">
        <v>49</v>
      </c>
      <c r="C978" s="16" t="s">
        <v>2207</v>
      </c>
      <c r="D978" s="16"/>
      <c r="E978" s="38">
        <v>30368</v>
      </c>
      <c r="F978" s="38"/>
      <c r="G978" s="10" t="s">
        <v>358</v>
      </c>
      <c r="H978" s="12" t="s">
        <v>4093</v>
      </c>
      <c r="I978" s="13" t="s">
        <v>2334</v>
      </c>
      <c r="J978" s="15" t="s">
        <v>2206</v>
      </c>
      <c r="K978" s="12"/>
      <c r="L978" s="11" t="s">
        <v>33</v>
      </c>
      <c r="M978" s="15" t="s">
        <v>3599</v>
      </c>
      <c r="N978" s="17">
        <v>16500</v>
      </c>
      <c r="O978" s="17"/>
      <c r="P978" s="17"/>
      <c r="Q978" s="48"/>
      <c r="R978" s="11"/>
      <c r="S978" s="48"/>
      <c r="T978" s="85"/>
      <c r="U978" s="88"/>
      <c r="V978" s="32" t="s">
        <v>4094</v>
      </c>
      <c r="W978" s="25" t="s">
        <v>48</v>
      </c>
      <c r="X978" s="11"/>
      <c r="Y978" s="50"/>
      <c r="Z978" s="50"/>
      <c r="AA978" s="50"/>
      <c r="AB978" s="50"/>
      <c r="AC978" s="50"/>
      <c r="AD978" s="50"/>
      <c r="AE978" s="50"/>
      <c r="AF978" s="34"/>
      <c r="AG978" s="34"/>
      <c r="AH978" s="34"/>
      <c r="AI978" s="34"/>
      <c r="AJ978" s="34"/>
      <c r="AK978" s="34"/>
      <c r="AL978" s="34"/>
      <c r="AM978" s="34"/>
      <c r="AN978" s="34"/>
      <c r="AO978" s="65"/>
      <c r="AP978" s="69"/>
      <c r="AQ978" s="62"/>
      <c r="AR978" s="34"/>
    </row>
    <row r="979" spans="1:44" customFormat="1">
      <c r="A979" s="39">
        <v>44457</v>
      </c>
      <c r="B979" s="11" t="s">
        <v>49</v>
      </c>
      <c r="C979" s="16" t="s">
        <v>4095</v>
      </c>
      <c r="D979" s="16"/>
      <c r="E979" s="38">
        <v>29512</v>
      </c>
      <c r="F979" s="38"/>
      <c r="G979" s="10" t="s">
        <v>4096</v>
      </c>
      <c r="H979" s="12" t="s">
        <v>4097</v>
      </c>
      <c r="I979" s="13" t="s">
        <v>4098</v>
      </c>
      <c r="J979" s="15" t="s">
        <v>4099</v>
      </c>
      <c r="K979" s="12"/>
      <c r="L979" s="11" t="s">
        <v>36</v>
      </c>
      <c r="M979" s="15" t="s">
        <v>3599</v>
      </c>
      <c r="N979" s="17">
        <v>22000</v>
      </c>
      <c r="O979" s="17"/>
      <c r="P979" s="17"/>
      <c r="Q979" s="48"/>
      <c r="R979" s="11"/>
      <c r="S979" s="48"/>
      <c r="T979" s="85"/>
      <c r="U979" s="88"/>
      <c r="V979" s="32"/>
      <c r="W979" s="25" t="s">
        <v>48</v>
      </c>
      <c r="X979" s="11"/>
      <c r="Y979" s="50" t="s">
        <v>13</v>
      </c>
      <c r="Z979" s="50"/>
      <c r="AA979" s="50"/>
      <c r="AB979" s="50"/>
      <c r="AC979" s="50"/>
      <c r="AD979" s="50"/>
      <c r="AE979" s="50"/>
      <c r="AF979" s="34"/>
      <c r="AG979" s="34"/>
      <c r="AH979" s="34"/>
      <c r="AI979" s="34"/>
      <c r="AJ979" s="34"/>
      <c r="AK979" s="34"/>
      <c r="AL979" s="34"/>
      <c r="AM979" s="34"/>
      <c r="AN979" s="34"/>
      <c r="AO979" s="65"/>
      <c r="AP979" s="69"/>
      <c r="AQ979" s="62"/>
      <c r="AR979" s="34"/>
    </row>
    <row r="980" spans="1:44" customFormat="1">
      <c r="A980" s="39">
        <v>44459</v>
      </c>
      <c r="B980" s="11" t="s">
        <v>49</v>
      </c>
      <c r="C980" s="16" t="s">
        <v>4100</v>
      </c>
      <c r="D980" s="16"/>
      <c r="E980" s="38">
        <v>22111</v>
      </c>
      <c r="F980" s="38"/>
      <c r="G980" s="10" t="s">
        <v>3789</v>
      </c>
      <c r="H980" s="12" t="s">
        <v>4102</v>
      </c>
      <c r="I980" s="13" t="s">
        <v>4101</v>
      </c>
      <c r="J980" s="15" t="s">
        <v>4103</v>
      </c>
      <c r="K980" s="12"/>
      <c r="L980" s="11" t="s">
        <v>33</v>
      </c>
      <c r="M980" s="15" t="s">
        <v>3599</v>
      </c>
      <c r="N980" s="17">
        <v>22000</v>
      </c>
      <c r="O980" s="17"/>
      <c r="P980" s="17"/>
      <c r="Q980" s="48"/>
      <c r="R980" s="11"/>
      <c r="S980" s="48"/>
      <c r="T980" s="85"/>
      <c r="U980" s="88"/>
      <c r="V980" s="32" t="s">
        <v>4105</v>
      </c>
      <c r="W980" s="25" t="s">
        <v>8</v>
      </c>
      <c r="X980" s="11"/>
      <c r="Y980" s="50" t="s">
        <v>14</v>
      </c>
      <c r="Z980" s="50"/>
      <c r="AA980" s="50"/>
      <c r="AB980" s="50"/>
      <c r="AC980" s="50"/>
      <c r="AD980" s="50"/>
      <c r="AE980" s="50"/>
      <c r="AF980" s="34"/>
      <c r="AG980" s="34"/>
      <c r="AH980" s="34"/>
      <c r="AI980" s="34"/>
      <c r="AJ980" s="34"/>
      <c r="AK980" s="34"/>
      <c r="AL980" s="34"/>
      <c r="AM980" s="34"/>
      <c r="AN980" s="34"/>
      <c r="AO980" s="65"/>
      <c r="AP980" s="69"/>
      <c r="AQ980" s="62"/>
      <c r="AR980" s="34"/>
    </row>
    <row r="981" spans="1:44" customFormat="1">
      <c r="A981" s="39">
        <v>44462</v>
      </c>
      <c r="B981" s="11" t="s">
        <v>49</v>
      </c>
      <c r="C981" s="16" t="s">
        <v>4104</v>
      </c>
      <c r="D981" s="16"/>
      <c r="E981" s="38"/>
      <c r="F981" s="38"/>
      <c r="G981" s="10"/>
      <c r="H981" s="12"/>
      <c r="I981" s="13"/>
      <c r="J981" s="15"/>
      <c r="K981" s="12"/>
      <c r="L981" s="11"/>
      <c r="M981" s="15"/>
      <c r="N981" s="17">
        <v>22000</v>
      </c>
      <c r="O981" s="17"/>
      <c r="P981" s="17"/>
      <c r="Q981" s="48"/>
      <c r="R981" s="11"/>
      <c r="S981" s="48"/>
      <c r="T981" s="85"/>
      <c r="U981" s="88"/>
      <c r="V981" s="32" t="s">
        <v>4106</v>
      </c>
      <c r="W981" s="25"/>
      <c r="X981" s="11"/>
      <c r="Y981" s="50"/>
      <c r="Z981" s="50"/>
      <c r="AA981" s="50"/>
      <c r="AB981" s="50"/>
      <c r="AC981" s="50"/>
      <c r="AD981" s="50"/>
      <c r="AE981" s="50"/>
      <c r="AF981" s="34"/>
      <c r="AG981" s="34"/>
      <c r="AH981" s="34"/>
      <c r="AI981" s="34"/>
      <c r="AJ981" s="34"/>
      <c r="AK981" s="34"/>
      <c r="AL981" s="34"/>
      <c r="AM981" s="34"/>
      <c r="AN981" s="34"/>
      <c r="AO981" s="65"/>
      <c r="AP981" s="69"/>
      <c r="AQ981" s="62"/>
      <c r="AR981" s="34"/>
    </row>
    <row r="982" spans="1:44" customFormat="1">
      <c r="A982" s="39">
        <v>44462</v>
      </c>
      <c r="B982" s="11" t="s">
        <v>22</v>
      </c>
      <c r="C982" s="16" t="s">
        <v>4107</v>
      </c>
      <c r="D982" s="16"/>
      <c r="E982" s="38">
        <v>23085</v>
      </c>
      <c r="F982" s="38"/>
      <c r="G982" s="10" t="s">
        <v>406</v>
      </c>
      <c r="H982" s="12" t="s">
        <v>4108</v>
      </c>
      <c r="I982" s="13" t="s">
        <v>2596</v>
      </c>
      <c r="J982" s="15" t="s">
        <v>4110</v>
      </c>
      <c r="K982" s="14" t="s">
        <v>4109</v>
      </c>
      <c r="L982" s="11" t="s">
        <v>36</v>
      </c>
      <c r="M982" s="15" t="s">
        <v>3584</v>
      </c>
      <c r="N982" s="17">
        <v>3300</v>
      </c>
      <c r="O982" s="17"/>
      <c r="P982" s="17"/>
      <c r="Q982" s="48"/>
      <c r="R982" s="11"/>
      <c r="S982" s="48"/>
      <c r="T982" s="85"/>
      <c r="U982" s="88"/>
      <c r="V982" s="32"/>
      <c r="W982" s="25" t="s">
        <v>48</v>
      </c>
      <c r="X982" s="11"/>
      <c r="Y982" s="50" t="s">
        <v>12</v>
      </c>
      <c r="Z982" s="50"/>
      <c r="AA982" s="50"/>
      <c r="AB982" s="50"/>
      <c r="AC982" s="50"/>
      <c r="AD982" s="50"/>
      <c r="AE982" s="50"/>
      <c r="AF982" s="34"/>
      <c r="AG982" s="34"/>
      <c r="AH982" s="34"/>
      <c r="AI982" s="34"/>
      <c r="AJ982" s="34"/>
      <c r="AK982" s="34"/>
      <c r="AL982" s="34"/>
      <c r="AM982" s="34"/>
      <c r="AN982" s="34"/>
      <c r="AO982" s="65"/>
      <c r="AP982" s="69"/>
      <c r="AQ982" s="62"/>
      <c r="AR982" s="34"/>
    </row>
    <row r="983" spans="1:44" customFormat="1">
      <c r="A983" s="39">
        <v>44463</v>
      </c>
      <c r="B983" s="11" t="s">
        <v>49</v>
      </c>
      <c r="C983" s="16" t="s">
        <v>4111</v>
      </c>
      <c r="D983" s="16"/>
      <c r="E983" s="38"/>
      <c r="F983" s="38"/>
      <c r="G983" s="10" t="s">
        <v>1854</v>
      </c>
      <c r="H983" s="12" t="s">
        <v>4112</v>
      </c>
      <c r="I983" s="13" t="s">
        <v>4113</v>
      </c>
      <c r="J983" s="15" t="s">
        <v>4114</v>
      </c>
      <c r="K983" s="12"/>
      <c r="L983" s="11" t="s">
        <v>33</v>
      </c>
      <c r="M983" s="15" t="s">
        <v>3599</v>
      </c>
      <c r="N983" s="17">
        <v>16500</v>
      </c>
      <c r="O983" s="17"/>
      <c r="P983" s="17"/>
      <c r="Q983" s="48"/>
      <c r="R983" s="11"/>
      <c r="S983" s="48"/>
      <c r="T983" s="85"/>
      <c r="U983" s="88"/>
      <c r="V983" s="32"/>
      <c r="W983" s="25" t="s">
        <v>8</v>
      </c>
      <c r="X983" s="11"/>
      <c r="Y983" s="50" t="s">
        <v>14</v>
      </c>
      <c r="Z983" s="50"/>
      <c r="AA983" s="50"/>
      <c r="AB983" s="50"/>
      <c r="AC983" s="50"/>
      <c r="AD983" s="50"/>
      <c r="AE983" s="50"/>
      <c r="AF983" s="34"/>
      <c r="AG983" s="34"/>
      <c r="AH983" s="34"/>
      <c r="AI983" s="34"/>
      <c r="AJ983" s="34"/>
      <c r="AK983" s="34"/>
      <c r="AL983" s="34"/>
      <c r="AM983" s="34"/>
      <c r="AN983" s="34"/>
      <c r="AO983" s="65"/>
      <c r="AP983" s="69"/>
      <c r="AQ983" s="62"/>
      <c r="AR983" s="34"/>
    </row>
    <row r="984" spans="1:44" customFormat="1">
      <c r="A984" s="39">
        <v>44464</v>
      </c>
      <c r="B984" s="11" t="s">
        <v>49</v>
      </c>
      <c r="C984" s="16" t="s">
        <v>4115</v>
      </c>
      <c r="D984" s="16"/>
      <c r="E984" s="38">
        <v>38962</v>
      </c>
      <c r="F984" s="38"/>
      <c r="G984" s="10" t="s">
        <v>4116</v>
      </c>
      <c r="H984" s="12" t="s">
        <v>4117</v>
      </c>
      <c r="I984" s="13" t="s">
        <v>4118</v>
      </c>
      <c r="J984" s="15" t="s">
        <v>4119</v>
      </c>
      <c r="K984" s="12"/>
      <c r="L984" s="11" t="s">
        <v>38</v>
      </c>
      <c r="M984" s="15" t="s">
        <v>3599</v>
      </c>
      <c r="N984" s="17">
        <v>16500</v>
      </c>
      <c r="O984" s="17"/>
      <c r="P984" s="17"/>
      <c r="Q984" s="48"/>
      <c r="R984" s="11"/>
      <c r="S984" s="48"/>
      <c r="T984" s="85"/>
      <c r="U984" s="88"/>
      <c r="V984" s="32"/>
      <c r="W984" s="25" t="s">
        <v>48</v>
      </c>
      <c r="X984" s="11"/>
      <c r="Y984" s="50" t="s">
        <v>12</v>
      </c>
      <c r="Z984" s="50"/>
      <c r="AA984" s="50"/>
      <c r="AB984" s="50"/>
      <c r="AC984" s="50"/>
      <c r="AD984" s="50"/>
      <c r="AE984" s="50"/>
      <c r="AF984" s="34"/>
      <c r="AG984" s="34"/>
      <c r="AH984" s="34"/>
      <c r="AI984" s="34"/>
      <c r="AJ984" s="34"/>
      <c r="AK984" s="34"/>
      <c r="AL984" s="34"/>
      <c r="AM984" s="34"/>
      <c r="AN984" s="34"/>
      <c r="AO984" s="65"/>
      <c r="AP984" s="69"/>
      <c r="AQ984" s="62"/>
      <c r="AR984" s="34"/>
    </row>
    <row r="985" spans="1:44" customFormat="1">
      <c r="A985" s="39">
        <v>44466</v>
      </c>
      <c r="B985" s="11" t="s">
        <v>22</v>
      </c>
      <c r="C985" s="16" t="s">
        <v>4120</v>
      </c>
      <c r="D985" s="16"/>
      <c r="E985" s="38">
        <v>30380</v>
      </c>
      <c r="F985" s="38"/>
      <c r="G985" s="10" t="s">
        <v>4122</v>
      </c>
      <c r="H985" s="12" t="s">
        <v>4123</v>
      </c>
      <c r="I985" s="13" t="s">
        <v>1911</v>
      </c>
      <c r="J985" s="15" t="s">
        <v>4121</v>
      </c>
      <c r="K985" s="12"/>
      <c r="L985" s="11" t="s">
        <v>33</v>
      </c>
      <c r="M985" s="15" t="s">
        <v>3599</v>
      </c>
      <c r="N985" s="17">
        <v>3300</v>
      </c>
      <c r="O985" s="17"/>
      <c r="P985" s="17"/>
      <c r="Q985" s="48"/>
      <c r="R985" s="11"/>
      <c r="S985" s="48"/>
      <c r="T985" s="85" t="s">
        <v>81</v>
      </c>
      <c r="U985" s="88"/>
      <c r="V985" s="32"/>
      <c r="W985" s="25" t="s">
        <v>48</v>
      </c>
      <c r="X985" s="11"/>
      <c r="Y985" s="50" t="s">
        <v>18</v>
      </c>
      <c r="Z985" s="50"/>
      <c r="AA985" s="50"/>
      <c r="AB985" s="50"/>
      <c r="AC985" s="50"/>
      <c r="AD985" s="50"/>
      <c r="AE985" s="50"/>
      <c r="AF985" s="34"/>
      <c r="AG985" s="34"/>
      <c r="AH985" s="34"/>
      <c r="AI985" s="34"/>
      <c r="AJ985" s="34"/>
      <c r="AK985" s="34"/>
      <c r="AL985" s="34"/>
      <c r="AM985" s="34"/>
      <c r="AN985" s="34"/>
      <c r="AO985" s="65"/>
      <c r="AP985" s="69"/>
      <c r="AQ985" s="62" t="s">
        <v>81</v>
      </c>
      <c r="AR985" s="34"/>
    </row>
    <row r="986" spans="1:44" customFormat="1">
      <c r="A986" s="39">
        <v>44467</v>
      </c>
      <c r="B986" s="11" t="s">
        <v>49</v>
      </c>
      <c r="C986" s="16" t="s">
        <v>4124</v>
      </c>
      <c r="D986" s="16"/>
      <c r="E986" s="38">
        <v>29233</v>
      </c>
      <c r="F986" s="38"/>
      <c r="G986" s="10" t="s">
        <v>4126</v>
      </c>
      <c r="H986" s="12" t="s">
        <v>4127</v>
      </c>
      <c r="I986" s="13" t="s">
        <v>4128</v>
      </c>
      <c r="J986" s="15" t="s">
        <v>4125</v>
      </c>
      <c r="K986" s="12"/>
      <c r="L986" s="11" t="s">
        <v>39</v>
      </c>
      <c r="M986" s="15"/>
      <c r="N986" s="17">
        <v>0</v>
      </c>
      <c r="O986" s="17"/>
      <c r="P986" s="17"/>
      <c r="Q986" s="48"/>
      <c r="R986" s="11"/>
      <c r="S986" s="48"/>
      <c r="T986" s="85"/>
      <c r="U986" s="88"/>
      <c r="V986" s="32" t="s">
        <v>4129</v>
      </c>
      <c r="W986" s="25"/>
      <c r="X986" s="11"/>
      <c r="Y986" s="50"/>
      <c r="Z986" s="50"/>
      <c r="AA986" s="50"/>
      <c r="AB986" s="50"/>
      <c r="AC986" s="50"/>
      <c r="AD986" s="50"/>
      <c r="AE986" s="50"/>
      <c r="AF986" s="34"/>
      <c r="AG986" s="34"/>
      <c r="AH986" s="34"/>
      <c r="AI986" s="34"/>
      <c r="AJ986" s="34"/>
      <c r="AK986" s="34"/>
      <c r="AL986" s="34"/>
      <c r="AM986" s="34"/>
      <c r="AN986" s="34"/>
      <c r="AO986" s="65"/>
      <c r="AP986" s="69"/>
      <c r="AQ986" s="62"/>
      <c r="AR986" s="34"/>
    </row>
    <row r="987" spans="1:44" customFormat="1">
      <c r="A987" s="39">
        <v>44471</v>
      </c>
      <c r="B987" s="11" t="s">
        <v>49</v>
      </c>
      <c r="C987" s="16" t="s">
        <v>4130</v>
      </c>
      <c r="D987" s="16"/>
      <c r="E987" s="38">
        <v>32723</v>
      </c>
      <c r="F987" s="38"/>
      <c r="G987" s="10" t="s">
        <v>4131</v>
      </c>
      <c r="H987" s="12" t="s">
        <v>4132</v>
      </c>
      <c r="I987" s="13" t="s">
        <v>4135</v>
      </c>
      <c r="J987" s="15" t="s">
        <v>4134</v>
      </c>
      <c r="K987" s="14" t="s">
        <v>4133</v>
      </c>
      <c r="L987" s="11" t="s">
        <v>36</v>
      </c>
      <c r="M987" s="15" t="s">
        <v>3584</v>
      </c>
      <c r="N987" s="17">
        <v>16500</v>
      </c>
      <c r="O987" s="17"/>
      <c r="P987" s="17"/>
      <c r="Q987" s="48"/>
      <c r="R987" s="11"/>
      <c r="S987" s="48"/>
      <c r="T987" s="85"/>
      <c r="U987" s="88"/>
      <c r="V987" s="32"/>
      <c r="W987" s="25" t="s">
        <v>8</v>
      </c>
      <c r="X987" s="11"/>
      <c r="Y987" s="50" t="s">
        <v>13</v>
      </c>
      <c r="Z987" s="50"/>
      <c r="AA987" s="50"/>
      <c r="AB987" s="50"/>
      <c r="AC987" s="50"/>
      <c r="AD987" s="50"/>
      <c r="AE987" s="50"/>
      <c r="AF987" s="34"/>
      <c r="AG987" s="34"/>
      <c r="AH987" s="34"/>
      <c r="AI987" s="34"/>
      <c r="AJ987" s="34"/>
      <c r="AK987" s="34"/>
      <c r="AL987" s="34"/>
      <c r="AM987" s="34"/>
      <c r="AN987" s="34"/>
      <c r="AO987" s="65"/>
      <c r="AP987" s="69"/>
      <c r="AQ987" s="62"/>
      <c r="AR987" s="34"/>
    </row>
    <row r="988" spans="1:44" customFormat="1">
      <c r="A988" s="39">
        <v>44471</v>
      </c>
      <c r="B988" s="11" t="s">
        <v>49</v>
      </c>
      <c r="C988" s="16" t="s">
        <v>4136</v>
      </c>
      <c r="D988" s="16"/>
      <c r="E988" s="38">
        <v>33432</v>
      </c>
      <c r="F988" s="38"/>
      <c r="G988" s="10" t="s">
        <v>4137</v>
      </c>
      <c r="H988" s="12" t="s">
        <v>4138</v>
      </c>
      <c r="I988" s="13" t="s">
        <v>2317</v>
      </c>
      <c r="J988" s="15" t="s">
        <v>4139</v>
      </c>
      <c r="K988" s="12"/>
      <c r="L988" s="11" t="s">
        <v>33</v>
      </c>
      <c r="M988" s="15" t="s">
        <v>3629</v>
      </c>
      <c r="N988" s="17">
        <v>16500</v>
      </c>
      <c r="O988" s="17"/>
      <c r="P988" s="17"/>
      <c r="Q988" s="48"/>
      <c r="R988" s="11"/>
      <c r="S988" s="48"/>
      <c r="T988" s="85"/>
      <c r="U988" s="88"/>
      <c r="V988" s="32"/>
      <c r="W988" s="25" t="s">
        <v>48</v>
      </c>
      <c r="X988" s="11"/>
      <c r="Y988" s="50" t="s">
        <v>13</v>
      </c>
      <c r="Z988" s="50"/>
      <c r="AA988" s="50"/>
      <c r="AB988" s="50"/>
      <c r="AC988" s="50"/>
      <c r="AD988" s="50"/>
      <c r="AE988" s="50"/>
      <c r="AF988" s="34"/>
      <c r="AG988" s="34"/>
      <c r="AH988" s="34"/>
      <c r="AI988" s="34"/>
      <c r="AJ988" s="34"/>
      <c r="AK988" s="34"/>
      <c r="AL988" s="34"/>
      <c r="AM988" s="34"/>
      <c r="AN988" s="34"/>
      <c r="AO988" s="65"/>
      <c r="AP988" s="69"/>
      <c r="AQ988" s="62"/>
      <c r="AR988" s="34"/>
    </row>
    <row r="989" spans="1:44" customFormat="1">
      <c r="A989" s="39">
        <v>44473</v>
      </c>
      <c r="B989" s="11" t="s">
        <v>22</v>
      </c>
      <c r="C989" s="16" t="s">
        <v>4140</v>
      </c>
      <c r="D989" s="16"/>
      <c r="E989" s="38">
        <v>27600</v>
      </c>
      <c r="F989" s="38"/>
      <c r="G989" s="10" t="s">
        <v>4141</v>
      </c>
      <c r="H989" s="12" t="s">
        <v>4142</v>
      </c>
      <c r="I989" s="13" t="s">
        <v>2069</v>
      </c>
      <c r="J989" s="15" t="s">
        <v>4143</v>
      </c>
      <c r="K989" s="12"/>
      <c r="L989" s="11" t="s">
        <v>36</v>
      </c>
      <c r="M989" s="15" t="s">
        <v>3629</v>
      </c>
      <c r="N989" s="17">
        <v>3300</v>
      </c>
      <c r="O989" s="17"/>
      <c r="P989" s="17"/>
      <c r="Q989" s="48"/>
      <c r="R989" s="11"/>
      <c r="S989" s="48"/>
      <c r="T989" s="85" t="s">
        <v>81</v>
      </c>
      <c r="U989" s="88"/>
      <c r="V989" s="32"/>
      <c r="W989" s="25" t="s">
        <v>48</v>
      </c>
      <c r="X989" s="11"/>
      <c r="Y989" s="50" t="s">
        <v>18</v>
      </c>
      <c r="Z989" s="50"/>
      <c r="AA989" s="50"/>
      <c r="AB989" s="50"/>
      <c r="AC989" s="50"/>
      <c r="AD989" s="50"/>
      <c r="AE989" s="50"/>
      <c r="AF989" s="34"/>
      <c r="AG989" s="34"/>
      <c r="AH989" s="34"/>
      <c r="AI989" s="34"/>
      <c r="AJ989" s="34"/>
      <c r="AK989" s="34"/>
      <c r="AL989" s="34"/>
      <c r="AM989" s="34"/>
      <c r="AN989" s="34"/>
      <c r="AO989" s="65"/>
      <c r="AP989" s="69"/>
      <c r="AQ989" s="62" t="s">
        <v>81</v>
      </c>
      <c r="AR989" s="34"/>
    </row>
    <row r="990" spans="1:44" customFormat="1">
      <c r="A990" s="39">
        <v>44475</v>
      </c>
      <c r="B990" s="11" t="s">
        <v>49</v>
      </c>
      <c r="C990" s="16" t="s">
        <v>4144</v>
      </c>
      <c r="D990" s="16"/>
      <c r="E990" s="38"/>
      <c r="F990" s="38"/>
      <c r="G990" s="10"/>
      <c r="H990" s="12"/>
      <c r="I990" s="13"/>
      <c r="J990" s="15" t="s">
        <v>2517</v>
      </c>
      <c r="K990" s="12"/>
      <c r="L990" s="11"/>
      <c r="M990" s="15"/>
      <c r="N990" s="17">
        <v>16500</v>
      </c>
      <c r="O990" s="17"/>
      <c r="P990" s="17"/>
      <c r="Q990" s="48"/>
      <c r="R990" s="11"/>
      <c r="S990" s="48"/>
      <c r="T990" s="85"/>
      <c r="U990" s="88"/>
      <c r="V990" s="32"/>
      <c r="W990" s="25"/>
      <c r="X990" s="11"/>
      <c r="Y990" s="50"/>
      <c r="Z990" s="50"/>
      <c r="AA990" s="50"/>
      <c r="AB990" s="50"/>
      <c r="AC990" s="50"/>
      <c r="AD990" s="50"/>
      <c r="AE990" s="50"/>
      <c r="AF990" s="34"/>
      <c r="AG990" s="34"/>
      <c r="AH990" s="34"/>
      <c r="AI990" s="34"/>
      <c r="AJ990" s="34"/>
      <c r="AK990" s="34"/>
      <c r="AL990" s="34"/>
      <c r="AM990" s="34"/>
      <c r="AN990" s="34"/>
      <c r="AO990" s="65"/>
      <c r="AP990" s="69"/>
      <c r="AQ990" s="62"/>
      <c r="AR990" s="34"/>
    </row>
    <row r="991" spans="1:44" customFormat="1">
      <c r="A991" s="39">
        <v>44476</v>
      </c>
      <c r="B991" s="11" t="s">
        <v>49</v>
      </c>
      <c r="C991" s="16" t="s">
        <v>4149</v>
      </c>
      <c r="D991" s="16"/>
      <c r="E991" s="38">
        <v>31971</v>
      </c>
      <c r="F991" s="38"/>
      <c r="G991" s="10" t="s">
        <v>4145</v>
      </c>
      <c r="H991" s="12" t="s">
        <v>4146</v>
      </c>
      <c r="I991" s="13" t="s">
        <v>4147</v>
      </c>
      <c r="J991" s="15" t="s">
        <v>4148</v>
      </c>
      <c r="K991" s="12"/>
      <c r="L991" s="11"/>
      <c r="M991" s="15" t="s">
        <v>3599</v>
      </c>
      <c r="N991" s="17">
        <v>22000</v>
      </c>
      <c r="O991" s="17"/>
      <c r="P991" s="17"/>
      <c r="Q991" s="48"/>
      <c r="R991" s="11"/>
      <c r="S991" s="48"/>
      <c r="T991" s="85"/>
      <c r="U991" s="88"/>
      <c r="V991" s="32"/>
      <c r="W991" s="25" t="s">
        <v>48</v>
      </c>
      <c r="X991" s="11"/>
      <c r="Y991" s="50" t="s">
        <v>12</v>
      </c>
      <c r="Z991" s="50"/>
      <c r="AA991" s="50"/>
      <c r="AB991" s="50"/>
      <c r="AC991" s="50"/>
      <c r="AD991" s="50"/>
      <c r="AE991" s="50"/>
      <c r="AF991" s="34"/>
      <c r="AG991" s="34"/>
      <c r="AH991" s="34"/>
      <c r="AI991" s="34"/>
      <c r="AJ991" s="34"/>
      <c r="AK991" s="34"/>
      <c r="AL991" s="34"/>
      <c r="AM991" s="34"/>
      <c r="AN991" s="34"/>
      <c r="AO991" s="65"/>
      <c r="AP991" s="69"/>
      <c r="AQ991" s="62"/>
      <c r="AR991" s="34"/>
    </row>
    <row r="992" spans="1:44" customFormat="1">
      <c r="A992" s="39">
        <v>44477</v>
      </c>
      <c r="B992" s="11" t="s">
        <v>49</v>
      </c>
      <c r="C992" s="16" t="s">
        <v>4150</v>
      </c>
      <c r="D992" s="16"/>
      <c r="E992" s="38">
        <v>25628</v>
      </c>
      <c r="F992" s="38"/>
      <c r="G992" s="10" t="s">
        <v>2013</v>
      </c>
      <c r="H992" s="12" t="s">
        <v>4151</v>
      </c>
      <c r="I992" s="13" t="s">
        <v>2015</v>
      </c>
      <c r="J992" s="15" t="s">
        <v>4152</v>
      </c>
      <c r="K992" s="12"/>
      <c r="L992" s="11" t="s">
        <v>33</v>
      </c>
      <c r="M992" s="15" t="s">
        <v>3629</v>
      </c>
      <c r="N992" s="17">
        <v>16500</v>
      </c>
      <c r="O992" s="17"/>
      <c r="P992" s="17"/>
      <c r="Q992" s="48"/>
      <c r="R992" s="11"/>
      <c r="S992" s="48"/>
      <c r="T992" s="85"/>
      <c r="U992" s="88"/>
      <c r="V992" s="32"/>
      <c r="W992" s="25" t="s">
        <v>10</v>
      </c>
      <c r="X992" s="11"/>
      <c r="Y992" s="50" t="s">
        <v>13</v>
      </c>
      <c r="Z992" s="50"/>
      <c r="AA992" s="50"/>
      <c r="AB992" s="50"/>
      <c r="AC992" s="50"/>
      <c r="AD992" s="50"/>
      <c r="AE992" s="50"/>
      <c r="AF992" s="34"/>
      <c r="AG992" s="34"/>
      <c r="AH992" s="34"/>
      <c r="AI992" s="34"/>
      <c r="AJ992" s="34"/>
      <c r="AK992" s="34"/>
      <c r="AL992" s="34"/>
      <c r="AM992" s="34"/>
      <c r="AN992" s="34"/>
      <c r="AO992" s="65"/>
      <c r="AP992" s="69"/>
      <c r="AQ992" s="62"/>
      <c r="AR992" s="34"/>
    </row>
    <row r="993" spans="1:44" customFormat="1">
      <c r="A993" s="39">
        <v>44478</v>
      </c>
      <c r="B993" s="11" t="s">
        <v>49</v>
      </c>
      <c r="C993" s="16" t="s">
        <v>4443</v>
      </c>
      <c r="D993" s="16"/>
      <c r="E993" s="38">
        <v>37558</v>
      </c>
      <c r="F993" s="38"/>
      <c r="G993" s="10" t="s">
        <v>4153</v>
      </c>
      <c r="H993" s="12" t="s">
        <v>4154</v>
      </c>
      <c r="I993" s="13" t="s">
        <v>4155</v>
      </c>
      <c r="J993" s="15" t="s">
        <v>4156</v>
      </c>
      <c r="K993" s="12"/>
      <c r="L993" s="11" t="s">
        <v>38</v>
      </c>
      <c r="M993" s="15" t="s">
        <v>3599</v>
      </c>
      <c r="N993" s="17">
        <v>16500</v>
      </c>
      <c r="O993" s="17"/>
      <c r="P993" s="17"/>
      <c r="Q993" s="48"/>
      <c r="R993" s="11"/>
      <c r="S993" s="48"/>
      <c r="T993" s="85"/>
      <c r="U993" s="88"/>
      <c r="V993" s="32"/>
      <c r="W993" s="25" t="s">
        <v>8</v>
      </c>
      <c r="X993" s="11"/>
      <c r="Y993" s="50" t="s">
        <v>13</v>
      </c>
      <c r="Z993" s="50"/>
      <c r="AA993" s="50"/>
      <c r="AB993" s="50"/>
      <c r="AC993" s="50"/>
      <c r="AD993" s="50"/>
      <c r="AE993" s="50"/>
      <c r="AF993" s="34"/>
      <c r="AG993" s="34"/>
      <c r="AH993" s="34"/>
      <c r="AI993" s="34"/>
      <c r="AJ993" s="34"/>
      <c r="AK993" s="34"/>
      <c r="AL993" s="34"/>
      <c r="AM993" s="34"/>
      <c r="AN993" s="34"/>
      <c r="AO993" s="65"/>
      <c r="AP993" s="69"/>
      <c r="AQ993" s="62"/>
      <c r="AR993" s="34"/>
    </row>
    <row r="994" spans="1:44" customFormat="1">
      <c r="A994" s="39">
        <v>44478</v>
      </c>
      <c r="B994" s="11" t="s">
        <v>22</v>
      </c>
      <c r="C994" s="16" t="s">
        <v>2210</v>
      </c>
      <c r="D994" s="16"/>
      <c r="E994" s="38"/>
      <c r="F994" s="38"/>
      <c r="G994" s="10"/>
      <c r="H994" s="12"/>
      <c r="I994" s="13"/>
      <c r="J994" s="15"/>
      <c r="K994" s="12"/>
      <c r="L994" s="11"/>
      <c r="M994" s="15"/>
      <c r="N994" s="17">
        <v>3300</v>
      </c>
      <c r="O994" s="17"/>
      <c r="P994" s="17"/>
      <c r="Q994" s="48"/>
      <c r="R994" s="11"/>
      <c r="S994" s="48"/>
      <c r="T994" s="85"/>
      <c r="U994" s="88"/>
      <c r="V994" s="32" t="s">
        <v>4157</v>
      </c>
      <c r="W994" s="25"/>
      <c r="X994" s="11"/>
      <c r="Y994" s="50"/>
      <c r="Z994" s="50"/>
      <c r="AA994" s="50"/>
      <c r="AB994" s="50"/>
      <c r="AC994" s="50"/>
      <c r="AD994" s="50"/>
      <c r="AE994" s="50"/>
      <c r="AF994" s="34"/>
      <c r="AG994" s="34"/>
      <c r="AH994" s="34"/>
      <c r="AI994" s="34"/>
      <c r="AJ994" s="34"/>
      <c r="AK994" s="34"/>
      <c r="AL994" s="34"/>
      <c r="AM994" s="34"/>
      <c r="AN994" s="34"/>
      <c r="AO994" s="65"/>
      <c r="AP994" s="69"/>
      <c r="AQ994" s="62"/>
      <c r="AR994" s="34"/>
    </row>
    <row r="995" spans="1:44" customFormat="1">
      <c r="A995" s="39">
        <v>44479</v>
      </c>
      <c r="B995" s="11" t="s">
        <v>49</v>
      </c>
      <c r="C995" s="16" t="s">
        <v>4158</v>
      </c>
      <c r="D995" s="16"/>
      <c r="E995" s="38">
        <v>23846</v>
      </c>
      <c r="F995" s="38"/>
      <c r="G995" s="10" t="s">
        <v>4159</v>
      </c>
      <c r="H995" s="12" t="s">
        <v>4160</v>
      </c>
      <c r="I995" s="13" t="s">
        <v>4161</v>
      </c>
      <c r="J995" s="15" t="s">
        <v>4162</v>
      </c>
      <c r="K995" s="12"/>
      <c r="L995" s="11" t="s">
        <v>33</v>
      </c>
      <c r="M995" s="15" t="s">
        <v>3629</v>
      </c>
      <c r="N995" s="17">
        <v>16500</v>
      </c>
      <c r="O995" s="17"/>
      <c r="P995" s="17"/>
      <c r="Q995" s="48"/>
      <c r="R995" s="11"/>
      <c r="S995" s="48"/>
      <c r="T995" s="85"/>
      <c r="U995" s="88"/>
      <c r="V995" s="32"/>
      <c r="W995" s="25" t="s">
        <v>48</v>
      </c>
      <c r="X995" s="11"/>
      <c r="Y995" s="50" t="s">
        <v>14</v>
      </c>
      <c r="Z995" s="50"/>
      <c r="AA995" s="50"/>
      <c r="AB995" s="50"/>
      <c r="AC995" s="50"/>
      <c r="AD995" s="50"/>
      <c r="AE995" s="50"/>
      <c r="AF995" s="34"/>
      <c r="AG995" s="34"/>
      <c r="AH995" s="34"/>
      <c r="AI995" s="34"/>
      <c r="AJ995" s="34"/>
      <c r="AK995" s="34"/>
      <c r="AL995" s="34"/>
      <c r="AM995" s="34"/>
      <c r="AN995" s="34"/>
      <c r="AO995" s="65"/>
      <c r="AP995" s="69"/>
      <c r="AQ995" s="62"/>
      <c r="AR995" s="34"/>
    </row>
    <row r="996" spans="1:44" customFormat="1">
      <c r="A996" s="39">
        <v>44479</v>
      </c>
      <c r="B996" s="11" t="s">
        <v>49</v>
      </c>
      <c r="C996" s="16" t="s">
        <v>4084</v>
      </c>
      <c r="D996" s="16"/>
      <c r="E996" s="38">
        <v>30371</v>
      </c>
      <c r="F996" s="38"/>
      <c r="G996" s="10" t="s">
        <v>4085</v>
      </c>
      <c r="H996" s="12" t="s">
        <v>4255</v>
      </c>
      <c r="I996" s="13" t="s">
        <v>2444</v>
      </c>
      <c r="J996" s="15" t="s">
        <v>4087</v>
      </c>
      <c r="K996" s="14" t="s">
        <v>4086</v>
      </c>
      <c r="L996" s="11" t="s">
        <v>33</v>
      </c>
      <c r="M996" s="15" t="s">
        <v>3584</v>
      </c>
      <c r="N996" s="17">
        <v>16.5</v>
      </c>
      <c r="O996" s="17"/>
      <c r="P996" s="17"/>
      <c r="Q996" s="48"/>
      <c r="R996" s="11"/>
      <c r="S996" s="48"/>
      <c r="T996" s="85"/>
      <c r="U996" s="88"/>
      <c r="V996" s="32" t="s">
        <v>4163</v>
      </c>
      <c r="W996" s="25" t="s">
        <v>48</v>
      </c>
      <c r="X996" s="11"/>
      <c r="Y996" s="50" t="s">
        <v>12</v>
      </c>
      <c r="Z996" s="50"/>
      <c r="AA996" s="50"/>
      <c r="AB996" s="50"/>
      <c r="AC996" s="50"/>
      <c r="AD996" s="50"/>
      <c r="AE996" s="50"/>
      <c r="AF996" s="34"/>
      <c r="AG996" s="34"/>
      <c r="AH996" s="34"/>
      <c r="AI996" s="34"/>
      <c r="AJ996" s="34"/>
      <c r="AK996" s="34"/>
      <c r="AL996" s="34"/>
      <c r="AM996" s="34"/>
      <c r="AN996" s="34"/>
      <c r="AO996" s="65"/>
      <c r="AP996" s="69"/>
      <c r="AQ996" s="62"/>
      <c r="AR996" s="34"/>
    </row>
    <row r="997" spans="1:44" customFormat="1">
      <c r="A997" s="39">
        <v>44485</v>
      </c>
      <c r="B997" s="11" t="s">
        <v>22</v>
      </c>
      <c r="C997" s="16" t="s">
        <v>4164</v>
      </c>
      <c r="D997" s="16"/>
      <c r="E997" s="38">
        <v>30230</v>
      </c>
      <c r="F997" s="38"/>
      <c r="G997" s="10" t="s">
        <v>4165</v>
      </c>
      <c r="H997" s="12" t="s">
        <v>4166</v>
      </c>
      <c r="I997" s="13">
        <v>24.8</v>
      </c>
      <c r="J997" s="15" t="s">
        <v>4167</v>
      </c>
      <c r="K997" s="12"/>
      <c r="L997" s="11" t="s">
        <v>39</v>
      </c>
      <c r="M997" s="15"/>
      <c r="N997" s="17">
        <v>2200</v>
      </c>
      <c r="O997" s="17"/>
      <c r="P997" s="17"/>
      <c r="Q997" s="48"/>
      <c r="R997" s="11"/>
      <c r="S997" s="48"/>
      <c r="T997" s="85"/>
      <c r="U997" s="88"/>
      <c r="V997" s="32" t="s">
        <v>4168</v>
      </c>
      <c r="W997" s="25" t="s">
        <v>8</v>
      </c>
      <c r="X997" s="11"/>
      <c r="Y997" s="50"/>
      <c r="Z997" s="50"/>
      <c r="AA997" s="50"/>
      <c r="AB997" s="50"/>
      <c r="AC997" s="50"/>
      <c r="AD997" s="50"/>
      <c r="AE997" s="50"/>
      <c r="AF997" s="34"/>
      <c r="AG997" s="34"/>
      <c r="AH997" s="34"/>
      <c r="AI997" s="34"/>
      <c r="AJ997" s="34"/>
      <c r="AK997" s="34"/>
      <c r="AL997" s="34"/>
      <c r="AM997" s="34"/>
      <c r="AN997" s="34"/>
      <c r="AO997" s="65"/>
      <c r="AP997" s="69"/>
      <c r="AQ997" s="62"/>
      <c r="AR997" s="34"/>
    </row>
    <row r="998" spans="1:44" customFormat="1">
      <c r="A998" s="39">
        <v>44485</v>
      </c>
      <c r="B998" s="11" t="s">
        <v>22</v>
      </c>
      <c r="C998" s="16" t="s">
        <v>4169</v>
      </c>
      <c r="D998" s="16"/>
      <c r="E998" s="38">
        <v>28880</v>
      </c>
      <c r="F998" s="38"/>
      <c r="G998" s="10" t="s">
        <v>4170</v>
      </c>
      <c r="H998" s="12" t="s">
        <v>4171</v>
      </c>
      <c r="I998" s="13">
        <v>32.200000000000003</v>
      </c>
      <c r="J998" s="15" t="s">
        <v>4172</v>
      </c>
      <c r="K998" s="12"/>
      <c r="L998" s="11" t="s">
        <v>33</v>
      </c>
      <c r="M998" s="15" t="s">
        <v>3680</v>
      </c>
      <c r="N998" s="17">
        <v>2200</v>
      </c>
      <c r="O998" s="17"/>
      <c r="P998" s="17"/>
      <c r="Q998" s="48"/>
      <c r="R998" s="11"/>
      <c r="S998" s="48"/>
      <c r="T998" s="85"/>
      <c r="U998" s="88"/>
      <c r="V998" s="32" t="s">
        <v>4168</v>
      </c>
      <c r="W998" s="25" t="s">
        <v>3847</v>
      </c>
      <c r="X998" s="11"/>
      <c r="Y998" s="50"/>
      <c r="Z998" s="50"/>
      <c r="AA998" s="50"/>
      <c r="AB998" s="50"/>
      <c r="AC998" s="50"/>
      <c r="AD998" s="50"/>
      <c r="AE998" s="50"/>
      <c r="AF998" s="34"/>
      <c r="AG998" s="34"/>
      <c r="AH998" s="34"/>
      <c r="AI998" s="34"/>
      <c r="AJ998" s="34"/>
      <c r="AK998" s="34"/>
      <c r="AL998" s="34"/>
      <c r="AM998" s="34"/>
      <c r="AN998" s="34"/>
      <c r="AO998" s="65"/>
      <c r="AP998" s="69"/>
      <c r="AQ998" s="62"/>
      <c r="AR998" s="34"/>
    </row>
    <row r="999" spans="1:44" customFormat="1">
      <c r="A999" s="39">
        <v>44485</v>
      </c>
      <c r="B999" s="11" t="s">
        <v>22</v>
      </c>
      <c r="C999" s="16" t="s">
        <v>4173</v>
      </c>
      <c r="D999" s="16"/>
      <c r="E999" s="38">
        <v>25274</v>
      </c>
      <c r="F999" s="38"/>
      <c r="G999" s="10" t="s">
        <v>358</v>
      </c>
      <c r="H999" s="12" t="s">
        <v>4174</v>
      </c>
      <c r="I999" s="13">
        <v>3.5</v>
      </c>
      <c r="J999" s="15" t="s">
        <v>4176</v>
      </c>
      <c r="K999" s="14" t="s">
        <v>4175</v>
      </c>
      <c r="L999" s="11" t="s">
        <v>33</v>
      </c>
      <c r="M999" s="15" t="s">
        <v>3599</v>
      </c>
      <c r="N999" s="17">
        <v>3300</v>
      </c>
      <c r="O999" s="17"/>
      <c r="P999" s="17"/>
      <c r="Q999" s="48"/>
      <c r="R999" s="11"/>
      <c r="S999" s="48"/>
      <c r="T999" s="85"/>
      <c r="U999" s="88"/>
      <c r="V999" s="32"/>
      <c r="W999" s="25" t="s">
        <v>48</v>
      </c>
      <c r="X999" s="11"/>
      <c r="Y999" s="50"/>
      <c r="Z999" s="50"/>
      <c r="AA999" s="50"/>
      <c r="AB999" s="50"/>
      <c r="AC999" s="50"/>
      <c r="AD999" s="50"/>
      <c r="AE999" s="50"/>
      <c r="AF999" s="34"/>
      <c r="AG999" s="34"/>
      <c r="AH999" s="34"/>
      <c r="AI999" s="34"/>
      <c r="AJ999" s="34"/>
      <c r="AK999" s="34"/>
      <c r="AL999" s="34"/>
      <c r="AM999" s="34"/>
      <c r="AN999" s="34"/>
      <c r="AO999" s="65"/>
      <c r="AP999" s="69"/>
      <c r="AQ999" s="62"/>
      <c r="AR999" s="34"/>
    </row>
    <row r="1000" spans="1:44" customFormat="1">
      <c r="A1000" s="39">
        <v>44485</v>
      </c>
      <c r="B1000" s="11" t="s">
        <v>49</v>
      </c>
      <c r="C1000" s="16" t="s">
        <v>4177</v>
      </c>
      <c r="D1000" s="16"/>
      <c r="E1000" s="38">
        <v>29121</v>
      </c>
      <c r="F1000" s="38"/>
      <c r="G1000" s="10" t="s">
        <v>4182</v>
      </c>
      <c r="H1000" s="12" t="s">
        <v>4178</v>
      </c>
      <c r="I1000" s="13">
        <v>57.1</v>
      </c>
      <c r="J1000" s="15" t="s">
        <v>4184</v>
      </c>
      <c r="K1000" s="12"/>
      <c r="L1000" s="11" t="s">
        <v>33</v>
      </c>
      <c r="M1000" s="15" t="s">
        <v>3584</v>
      </c>
      <c r="N1000" s="17">
        <v>16500</v>
      </c>
      <c r="O1000" s="17"/>
      <c r="P1000" s="17"/>
      <c r="Q1000" s="48"/>
      <c r="R1000" s="11"/>
      <c r="S1000" s="48"/>
      <c r="T1000" s="85"/>
      <c r="U1000" s="88"/>
      <c r="V1000" s="32" t="s">
        <v>4186</v>
      </c>
      <c r="W1000" s="25" t="s">
        <v>8</v>
      </c>
      <c r="X1000" s="11"/>
      <c r="Y1000" s="50"/>
      <c r="Z1000" s="50"/>
      <c r="AA1000" s="50"/>
      <c r="AB1000" s="50"/>
      <c r="AC1000" s="50"/>
      <c r="AD1000" s="50"/>
      <c r="AE1000" s="50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65"/>
      <c r="AP1000" s="69"/>
      <c r="AQ1000" s="62"/>
      <c r="AR1000" s="34"/>
    </row>
    <row r="1001" spans="1:44" customFormat="1">
      <c r="A1001" s="39">
        <v>44485</v>
      </c>
      <c r="B1001" s="11" t="s">
        <v>49</v>
      </c>
      <c r="C1001" s="16" t="s">
        <v>4179</v>
      </c>
      <c r="D1001" s="16"/>
      <c r="E1001" s="38">
        <v>29688</v>
      </c>
      <c r="F1001" s="38"/>
      <c r="G1001" s="10" t="s">
        <v>4180</v>
      </c>
      <c r="H1001" s="12" t="s">
        <v>4181</v>
      </c>
      <c r="I1001" s="13" t="s">
        <v>4183</v>
      </c>
      <c r="J1001" s="15" t="s">
        <v>4185</v>
      </c>
      <c r="K1001" s="12"/>
      <c r="L1001" s="11" t="s">
        <v>33</v>
      </c>
      <c r="M1001" s="15" t="s">
        <v>3629</v>
      </c>
      <c r="N1001" s="17">
        <v>16500</v>
      </c>
      <c r="O1001" s="17"/>
      <c r="P1001" s="17"/>
      <c r="Q1001" s="48"/>
      <c r="R1001" s="11"/>
      <c r="S1001" s="48"/>
      <c r="T1001" s="85"/>
      <c r="U1001" s="88"/>
      <c r="V1001" s="32" t="s">
        <v>4186</v>
      </c>
      <c r="W1001" s="25" t="s">
        <v>8</v>
      </c>
      <c r="X1001" s="11"/>
      <c r="Y1001" s="50"/>
      <c r="Z1001" s="50"/>
      <c r="AA1001" s="50"/>
      <c r="AB1001" s="50"/>
      <c r="AC1001" s="50"/>
      <c r="AD1001" s="50"/>
      <c r="AE1001" s="50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65"/>
      <c r="AP1001" s="69"/>
      <c r="AQ1001" s="62"/>
      <c r="AR1001" s="34"/>
    </row>
    <row r="1002" spans="1:44" customFormat="1">
      <c r="A1002" s="39">
        <v>44486</v>
      </c>
      <c r="B1002" s="11" t="s">
        <v>24</v>
      </c>
      <c r="C1002" s="16" t="s">
        <v>4187</v>
      </c>
      <c r="D1002" s="16"/>
      <c r="E1002" s="38">
        <v>19537</v>
      </c>
      <c r="F1002" s="38"/>
      <c r="G1002" s="10" t="s">
        <v>4188</v>
      </c>
      <c r="H1002" s="12" t="s">
        <v>4189</v>
      </c>
      <c r="I1002" s="13" t="s">
        <v>4190</v>
      </c>
      <c r="J1002" s="15" t="s">
        <v>4191</v>
      </c>
      <c r="K1002" s="12"/>
      <c r="L1002" s="11" t="s">
        <v>34</v>
      </c>
      <c r="M1002" s="15" t="s">
        <v>3599</v>
      </c>
      <c r="N1002" s="17">
        <v>0</v>
      </c>
      <c r="O1002" s="17"/>
      <c r="P1002" s="17"/>
      <c r="Q1002" s="48"/>
      <c r="R1002" s="11"/>
      <c r="S1002" s="48"/>
      <c r="T1002" s="85"/>
      <c r="U1002" s="88"/>
      <c r="V1002" s="32" t="s">
        <v>4192</v>
      </c>
      <c r="W1002" s="25" t="s">
        <v>10</v>
      </c>
      <c r="X1002" s="11"/>
      <c r="Y1002" s="50"/>
      <c r="Z1002" s="50"/>
      <c r="AA1002" s="50"/>
      <c r="AB1002" s="50"/>
      <c r="AC1002" s="50"/>
      <c r="AD1002" s="50"/>
      <c r="AE1002" s="50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65"/>
      <c r="AP1002" s="69"/>
      <c r="AQ1002" s="62"/>
      <c r="AR1002" s="34"/>
    </row>
    <row r="1003" spans="1:44" customFormat="1">
      <c r="A1003" s="39">
        <v>44486</v>
      </c>
      <c r="B1003" s="11" t="s">
        <v>49</v>
      </c>
      <c r="C1003" s="16" t="s">
        <v>4193</v>
      </c>
      <c r="D1003" s="16"/>
      <c r="E1003" s="38">
        <v>33796</v>
      </c>
      <c r="F1003" s="38"/>
      <c r="G1003" s="10" t="s">
        <v>4194</v>
      </c>
      <c r="H1003" s="12" t="s">
        <v>4195</v>
      </c>
      <c r="I1003" s="13" t="s">
        <v>4196</v>
      </c>
      <c r="J1003" s="15" t="s">
        <v>4197</v>
      </c>
      <c r="K1003" s="12"/>
      <c r="L1003" s="11" t="s">
        <v>36</v>
      </c>
      <c r="M1003" s="15" t="s">
        <v>3584</v>
      </c>
      <c r="N1003" s="17">
        <v>16500</v>
      </c>
      <c r="O1003" s="17"/>
      <c r="P1003" s="17"/>
      <c r="Q1003" s="48"/>
      <c r="R1003" s="11"/>
      <c r="S1003" s="48"/>
      <c r="T1003" s="85"/>
      <c r="U1003" s="88"/>
      <c r="V1003" s="32"/>
      <c r="W1003" s="25" t="s">
        <v>3847</v>
      </c>
      <c r="X1003" s="11"/>
      <c r="Y1003" s="50" t="s">
        <v>13</v>
      </c>
      <c r="Z1003" s="50"/>
      <c r="AA1003" s="50"/>
      <c r="AB1003" s="50"/>
      <c r="AC1003" s="50"/>
      <c r="AD1003" s="50"/>
      <c r="AE1003" s="50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65"/>
      <c r="AP1003" s="69"/>
      <c r="AQ1003" s="62"/>
      <c r="AR1003" s="34"/>
    </row>
    <row r="1004" spans="1:44" customFormat="1">
      <c r="A1004" s="39">
        <v>44489</v>
      </c>
      <c r="B1004" s="11" t="s">
        <v>22</v>
      </c>
      <c r="C1004" s="16" t="s">
        <v>4198</v>
      </c>
      <c r="D1004" s="16"/>
      <c r="E1004" s="38">
        <v>26652</v>
      </c>
      <c r="F1004" s="38"/>
      <c r="G1004" s="10" t="s">
        <v>4200</v>
      </c>
      <c r="H1004" s="12" t="s">
        <v>4201</v>
      </c>
      <c r="I1004" s="13">
        <v>87.9</v>
      </c>
      <c r="J1004" s="15" t="s">
        <v>4202</v>
      </c>
      <c r="K1004" s="12"/>
      <c r="L1004" s="11" t="s">
        <v>33</v>
      </c>
      <c r="M1004" s="15" t="s">
        <v>3629</v>
      </c>
      <c r="N1004" s="17">
        <v>3300</v>
      </c>
      <c r="O1004" s="17"/>
      <c r="P1004" s="17"/>
      <c r="Q1004" s="48"/>
      <c r="R1004" s="11"/>
      <c r="S1004" s="48"/>
      <c r="T1004" s="85"/>
      <c r="U1004" s="88"/>
      <c r="V1004" s="32" t="s">
        <v>4204</v>
      </c>
      <c r="W1004" s="25" t="s">
        <v>48</v>
      </c>
      <c r="X1004" s="11"/>
      <c r="Y1004" s="50" t="s">
        <v>11</v>
      </c>
      <c r="Z1004" s="50"/>
      <c r="AA1004" s="50"/>
      <c r="AB1004" s="50"/>
      <c r="AC1004" s="50"/>
      <c r="AD1004" s="50"/>
      <c r="AE1004" s="50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65"/>
      <c r="AP1004" s="69"/>
      <c r="AQ1004" s="62"/>
      <c r="AR1004" s="34"/>
    </row>
    <row r="1005" spans="1:44" customFormat="1">
      <c r="A1005" s="39">
        <v>44489</v>
      </c>
      <c r="B1005" s="11" t="s">
        <v>22</v>
      </c>
      <c r="C1005" s="16" t="s">
        <v>4199</v>
      </c>
      <c r="D1005" s="16"/>
      <c r="E1005" s="38">
        <v>37407</v>
      </c>
      <c r="F1005" s="38"/>
      <c r="G1005" s="10" t="s">
        <v>4200</v>
      </c>
      <c r="H1005" s="12" t="s">
        <v>4201</v>
      </c>
      <c r="I1005" s="13">
        <v>87.9</v>
      </c>
      <c r="J1005" s="15" t="s">
        <v>4203</v>
      </c>
      <c r="K1005" s="12"/>
      <c r="L1005" s="11" t="s">
        <v>38</v>
      </c>
      <c r="M1005" s="15" t="s">
        <v>3629</v>
      </c>
      <c r="N1005" s="17">
        <v>3300</v>
      </c>
      <c r="O1005" s="17"/>
      <c r="P1005" s="17"/>
      <c r="Q1005" s="48"/>
      <c r="R1005" s="11"/>
      <c r="S1005" s="48"/>
      <c r="T1005" s="85"/>
      <c r="U1005" s="88"/>
      <c r="V1005" s="32" t="s">
        <v>4204</v>
      </c>
      <c r="W1005" s="25" t="s">
        <v>48</v>
      </c>
      <c r="X1005" s="11"/>
      <c r="Y1005" s="50" t="s">
        <v>11</v>
      </c>
      <c r="Z1005" s="50"/>
      <c r="AA1005" s="50"/>
      <c r="AB1005" s="50"/>
      <c r="AC1005" s="50"/>
      <c r="AD1005" s="50"/>
      <c r="AE1005" s="50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65"/>
      <c r="AP1005" s="69"/>
      <c r="AQ1005" s="62"/>
      <c r="AR1005" s="34"/>
    </row>
    <row r="1006" spans="1:44" customFormat="1">
      <c r="A1006" s="39">
        <v>44492</v>
      </c>
      <c r="B1006" s="11" t="s">
        <v>49</v>
      </c>
      <c r="C1006" s="16" t="s">
        <v>4205</v>
      </c>
      <c r="D1006" s="16"/>
      <c r="E1006" s="38">
        <v>29253</v>
      </c>
      <c r="F1006" s="38"/>
      <c r="G1006" s="10" t="s">
        <v>4207</v>
      </c>
      <c r="H1006" s="12" t="s">
        <v>4211</v>
      </c>
      <c r="I1006" s="13">
        <v>11.7</v>
      </c>
      <c r="J1006" s="15" t="s">
        <v>4210</v>
      </c>
      <c r="K1006" s="12"/>
      <c r="L1006" s="11" t="s">
        <v>36</v>
      </c>
      <c r="M1006" s="15" t="s">
        <v>3599</v>
      </c>
      <c r="N1006" s="17">
        <v>16500</v>
      </c>
      <c r="O1006" s="17"/>
      <c r="P1006" s="17"/>
      <c r="Q1006" s="48"/>
      <c r="R1006" s="11"/>
      <c r="S1006" s="48"/>
      <c r="T1006" s="85"/>
      <c r="U1006" s="88"/>
      <c r="V1006" s="32"/>
      <c r="W1006" s="25" t="s">
        <v>8</v>
      </c>
      <c r="X1006" s="11"/>
      <c r="Y1006" s="50" t="s">
        <v>12</v>
      </c>
      <c r="Z1006" s="50"/>
      <c r="AA1006" s="50"/>
      <c r="AB1006" s="50"/>
      <c r="AC1006" s="50"/>
      <c r="AD1006" s="50"/>
      <c r="AE1006" s="50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65"/>
      <c r="AP1006" s="69"/>
      <c r="AQ1006" s="62"/>
      <c r="AR1006" s="34"/>
    </row>
    <row r="1007" spans="1:44" customFormat="1">
      <c r="A1007" s="39">
        <v>44492</v>
      </c>
      <c r="B1007" s="11" t="s">
        <v>22</v>
      </c>
      <c r="C1007" s="16" t="s">
        <v>4206</v>
      </c>
      <c r="D1007" s="16"/>
      <c r="E1007" s="38">
        <v>27615</v>
      </c>
      <c r="F1007" s="38"/>
      <c r="G1007" s="10" t="s">
        <v>44</v>
      </c>
      <c r="H1007" s="12" t="s">
        <v>4208</v>
      </c>
      <c r="I1007" s="13">
        <v>3.4</v>
      </c>
      <c r="J1007" s="15" t="s">
        <v>4209</v>
      </c>
      <c r="K1007" s="12"/>
      <c r="L1007" s="11" t="s">
        <v>36</v>
      </c>
      <c r="M1007" s="15" t="s">
        <v>3599</v>
      </c>
      <c r="N1007" s="17">
        <v>3300</v>
      </c>
      <c r="O1007" s="17"/>
      <c r="P1007" s="17"/>
      <c r="Q1007" s="48"/>
      <c r="R1007" s="11"/>
      <c r="S1007" s="48"/>
      <c r="T1007" s="85"/>
      <c r="U1007" s="88"/>
      <c r="V1007" s="32"/>
      <c r="W1007" s="25" t="s">
        <v>48</v>
      </c>
      <c r="X1007" s="11"/>
      <c r="Y1007" s="50" t="s">
        <v>18</v>
      </c>
      <c r="Z1007" s="50"/>
      <c r="AA1007" s="50"/>
      <c r="AB1007" s="50"/>
      <c r="AC1007" s="50"/>
      <c r="AD1007" s="50"/>
      <c r="AE1007" s="50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65"/>
      <c r="AP1007" s="69"/>
      <c r="AQ1007" s="62"/>
      <c r="AR1007" s="34"/>
    </row>
    <row r="1008" spans="1:44" customFormat="1">
      <c r="A1008" s="39">
        <v>44492</v>
      </c>
      <c r="B1008" s="11" t="s">
        <v>49</v>
      </c>
      <c r="C1008" s="16" t="s">
        <v>4212</v>
      </c>
      <c r="D1008" s="16"/>
      <c r="E1008" s="38">
        <v>26386</v>
      </c>
      <c r="F1008" s="38"/>
      <c r="G1008" s="10" t="s">
        <v>4213</v>
      </c>
      <c r="H1008" s="12" t="s">
        <v>4214</v>
      </c>
      <c r="I1008" s="13" t="s">
        <v>4215</v>
      </c>
      <c r="J1008" s="15" t="s">
        <v>4216</v>
      </c>
      <c r="K1008" s="14" t="s">
        <v>4217</v>
      </c>
      <c r="L1008" s="11" t="s">
        <v>33</v>
      </c>
      <c r="M1008" s="15" t="s">
        <v>3584</v>
      </c>
      <c r="N1008" s="17">
        <v>16500</v>
      </c>
      <c r="O1008" s="17"/>
      <c r="P1008" s="17"/>
      <c r="Q1008" s="48"/>
      <c r="R1008" s="11"/>
      <c r="S1008" s="48"/>
      <c r="T1008" s="85"/>
      <c r="U1008" s="88"/>
      <c r="V1008" s="32"/>
      <c r="W1008" s="25" t="s">
        <v>3847</v>
      </c>
      <c r="X1008" s="11"/>
      <c r="Y1008" s="50" t="s">
        <v>13</v>
      </c>
      <c r="Z1008" s="50"/>
      <c r="AA1008" s="50"/>
      <c r="AB1008" s="50"/>
      <c r="AC1008" s="50"/>
      <c r="AD1008" s="50"/>
      <c r="AE1008" s="50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65"/>
      <c r="AP1008" s="69"/>
      <c r="AQ1008" s="62"/>
      <c r="AR1008" s="34"/>
    </row>
    <row r="1009" spans="1:44" customFormat="1">
      <c r="A1009" s="39">
        <v>44493</v>
      </c>
      <c r="B1009" s="11" t="s">
        <v>22</v>
      </c>
      <c r="C1009" s="16" t="s">
        <v>4218</v>
      </c>
      <c r="D1009" s="16"/>
      <c r="E1009" s="38">
        <v>31190</v>
      </c>
      <c r="F1009" s="38"/>
      <c r="G1009" s="10" t="s">
        <v>196</v>
      </c>
      <c r="H1009" s="12" t="s">
        <v>4219</v>
      </c>
      <c r="I1009" s="13" t="s">
        <v>2596</v>
      </c>
      <c r="J1009" s="15" t="s">
        <v>4221</v>
      </c>
      <c r="K1009" s="14" t="s">
        <v>4220</v>
      </c>
      <c r="L1009" s="11" t="s">
        <v>36</v>
      </c>
      <c r="M1009" s="15" t="s">
        <v>3584</v>
      </c>
      <c r="N1009" s="17">
        <v>2200</v>
      </c>
      <c r="O1009" s="17"/>
      <c r="P1009" s="17"/>
      <c r="Q1009" s="48"/>
      <c r="R1009" s="11"/>
      <c r="S1009" s="48"/>
      <c r="T1009" s="85"/>
      <c r="U1009" s="88"/>
      <c r="V1009" s="32" t="s">
        <v>1883</v>
      </c>
      <c r="W1009" s="25" t="s">
        <v>10</v>
      </c>
      <c r="X1009" s="11"/>
      <c r="Y1009" s="50" t="s">
        <v>18</v>
      </c>
      <c r="Z1009" s="50"/>
      <c r="AA1009" s="50"/>
      <c r="AB1009" s="50"/>
      <c r="AC1009" s="50"/>
      <c r="AD1009" s="50"/>
      <c r="AE1009" s="50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65"/>
      <c r="AP1009" s="69"/>
      <c r="AQ1009" s="62"/>
      <c r="AR1009" s="34"/>
    </row>
    <row r="1010" spans="1:44" customFormat="1">
      <c r="A1010" s="39">
        <v>44493</v>
      </c>
      <c r="B1010" s="11" t="s">
        <v>22</v>
      </c>
      <c r="C1010" s="16" t="s">
        <v>4222</v>
      </c>
      <c r="D1010" s="16"/>
      <c r="E1010" s="38">
        <v>34984</v>
      </c>
      <c r="F1010" s="38"/>
      <c r="G1010" s="10" t="s">
        <v>328</v>
      </c>
      <c r="H1010" s="12" t="s">
        <v>4223</v>
      </c>
      <c r="I1010" s="13" t="s">
        <v>3855</v>
      </c>
      <c r="J1010" s="15" t="s">
        <v>4226</v>
      </c>
      <c r="K1010" s="14" t="s">
        <v>4225</v>
      </c>
      <c r="L1010" s="11" t="s">
        <v>36</v>
      </c>
      <c r="M1010" s="15" t="s">
        <v>3599</v>
      </c>
      <c r="N1010" s="17">
        <v>3300</v>
      </c>
      <c r="O1010" s="17"/>
      <c r="P1010" s="17"/>
      <c r="Q1010" s="48"/>
      <c r="R1010" s="11"/>
      <c r="S1010" s="48"/>
      <c r="T1010" s="85"/>
      <c r="U1010" s="88"/>
      <c r="V1010" s="32"/>
      <c r="W1010" s="25" t="s">
        <v>8</v>
      </c>
      <c r="X1010" s="11"/>
      <c r="Y1010" s="50" t="s">
        <v>12</v>
      </c>
      <c r="Z1010" s="50"/>
      <c r="AA1010" s="50"/>
      <c r="AB1010" s="50"/>
      <c r="AC1010" s="50"/>
      <c r="AD1010" s="50"/>
      <c r="AE1010" s="50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65"/>
      <c r="AP1010" s="69"/>
      <c r="AQ1010" s="62"/>
      <c r="AR1010" s="34"/>
    </row>
    <row r="1011" spans="1:44" customFormat="1">
      <c r="A1011" s="39">
        <v>44493</v>
      </c>
      <c r="B1011" s="11" t="s">
        <v>22</v>
      </c>
      <c r="C1011" s="16" t="s">
        <v>4224</v>
      </c>
      <c r="D1011" s="16"/>
      <c r="E1011" s="38">
        <v>22569</v>
      </c>
      <c r="F1011" s="38"/>
      <c r="G1011" s="10" t="s">
        <v>328</v>
      </c>
      <c r="H1011" s="12" t="s">
        <v>4223</v>
      </c>
      <c r="I1011" s="13" t="s">
        <v>3855</v>
      </c>
      <c r="J1011" s="15" t="s">
        <v>4227</v>
      </c>
      <c r="K1011" s="12"/>
      <c r="L1011" s="11" t="s">
        <v>34</v>
      </c>
      <c r="M1011" s="15" t="s">
        <v>3629</v>
      </c>
      <c r="N1011" s="17">
        <v>3300</v>
      </c>
      <c r="O1011" s="17"/>
      <c r="P1011" s="17"/>
      <c r="Q1011" s="48"/>
      <c r="R1011" s="11"/>
      <c r="S1011" s="48"/>
      <c r="T1011" s="85"/>
      <c r="U1011" s="88"/>
      <c r="V1011" s="32"/>
      <c r="W1011" s="25" t="s">
        <v>10</v>
      </c>
      <c r="X1011" s="11"/>
      <c r="Y1011" s="50" t="s">
        <v>12</v>
      </c>
      <c r="Z1011" s="50"/>
      <c r="AA1011" s="50"/>
      <c r="AB1011" s="50"/>
      <c r="AC1011" s="50"/>
      <c r="AD1011" s="50"/>
      <c r="AE1011" s="50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65"/>
      <c r="AP1011" s="69"/>
      <c r="AQ1011" s="62"/>
      <c r="AR1011" s="34"/>
    </row>
    <row r="1012" spans="1:44" customFormat="1">
      <c r="A1012" s="39">
        <v>44493</v>
      </c>
      <c r="B1012" s="11" t="s">
        <v>24</v>
      </c>
      <c r="C1012" s="16" t="s">
        <v>4193</v>
      </c>
      <c r="D1012" s="16"/>
      <c r="E1012" s="38"/>
      <c r="F1012" s="38"/>
      <c r="G1012" s="10"/>
      <c r="H1012" s="12"/>
      <c r="I1012" s="13"/>
      <c r="J1012" s="15"/>
      <c r="K1012" s="12"/>
      <c r="L1012" s="11"/>
      <c r="M1012" s="15"/>
      <c r="N1012" s="17">
        <v>5500</v>
      </c>
      <c r="O1012" s="17"/>
      <c r="P1012" s="17"/>
      <c r="Q1012" s="48"/>
      <c r="R1012" s="11"/>
      <c r="S1012" s="48"/>
      <c r="T1012" s="85"/>
      <c r="U1012" s="88"/>
      <c r="V1012" s="32" t="s">
        <v>4228</v>
      </c>
      <c r="W1012" s="25"/>
      <c r="X1012" s="11"/>
      <c r="Y1012" s="50"/>
      <c r="Z1012" s="50"/>
      <c r="AA1012" s="50"/>
      <c r="AB1012" s="50"/>
      <c r="AC1012" s="50"/>
      <c r="AD1012" s="50"/>
      <c r="AE1012" s="50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65"/>
      <c r="AP1012" s="69"/>
      <c r="AQ1012" s="62"/>
      <c r="AR1012" s="34"/>
    </row>
    <row r="1013" spans="1:44" customFormat="1">
      <c r="A1013" s="39">
        <v>44496</v>
      </c>
      <c r="B1013" s="11" t="s">
        <v>22</v>
      </c>
      <c r="C1013" s="16" t="s">
        <v>4229</v>
      </c>
      <c r="D1013" s="16"/>
      <c r="E1013" s="38">
        <v>25734</v>
      </c>
      <c r="F1013" s="38"/>
      <c r="G1013" s="10" t="s">
        <v>4230</v>
      </c>
      <c r="H1013" s="12" t="s">
        <v>4231</v>
      </c>
      <c r="I1013" s="13">
        <v>4.7</v>
      </c>
      <c r="J1013" s="15" t="s">
        <v>4232</v>
      </c>
      <c r="K1013" s="12"/>
      <c r="L1013" s="11" t="s">
        <v>36</v>
      </c>
      <c r="M1013" s="15" t="s">
        <v>3599</v>
      </c>
      <c r="N1013" s="17">
        <v>3300</v>
      </c>
      <c r="O1013" s="17"/>
      <c r="P1013" s="17"/>
      <c r="Q1013" s="48"/>
      <c r="R1013" s="11"/>
      <c r="S1013" s="48"/>
      <c r="T1013" s="85"/>
      <c r="U1013" s="88"/>
      <c r="V1013" s="32"/>
      <c r="W1013" s="25" t="s">
        <v>10</v>
      </c>
      <c r="X1013" s="11"/>
      <c r="Y1013" s="50"/>
      <c r="Z1013" s="50"/>
      <c r="AA1013" s="50"/>
      <c r="AB1013" s="50"/>
      <c r="AC1013" s="50"/>
      <c r="AD1013" s="50"/>
      <c r="AE1013" s="50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65"/>
      <c r="AP1013" s="69"/>
      <c r="AQ1013" s="62"/>
      <c r="AR1013" s="34"/>
    </row>
    <row r="1014" spans="1:44" customFormat="1">
      <c r="A1014" s="39">
        <v>44498</v>
      </c>
      <c r="B1014" s="11" t="s">
        <v>49</v>
      </c>
      <c r="C1014" s="16" t="s">
        <v>456</v>
      </c>
      <c r="D1014" s="16"/>
      <c r="E1014" s="38">
        <v>24536</v>
      </c>
      <c r="F1014" s="38"/>
      <c r="G1014" s="10" t="s">
        <v>148</v>
      </c>
      <c r="H1014" s="12" t="s">
        <v>458</v>
      </c>
      <c r="I1014" s="13" t="s">
        <v>4233</v>
      </c>
      <c r="J1014" s="15" t="s">
        <v>4234</v>
      </c>
      <c r="K1014" s="12"/>
      <c r="L1014" s="11"/>
      <c r="M1014" s="15" t="s">
        <v>3629</v>
      </c>
      <c r="N1014" s="17">
        <v>16500</v>
      </c>
      <c r="O1014" s="17"/>
      <c r="P1014" s="17"/>
      <c r="Q1014" s="48"/>
      <c r="R1014" s="11"/>
      <c r="S1014" s="48"/>
      <c r="T1014" s="85"/>
      <c r="U1014" s="88"/>
      <c r="V1014" s="32"/>
      <c r="W1014" s="25" t="s">
        <v>8</v>
      </c>
      <c r="X1014" s="11"/>
      <c r="Y1014" s="50" t="s">
        <v>11</v>
      </c>
      <c r="Z1014" s="50"/>
      <c r="AA1014" s="50"/>
      <c r="AB1014" s="50"/>
      <c r="AC1014" s="50"/>
      <c r="AD1014" s="50"/>
      <c r="AE1014" s="50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65"/>
      <c r="AP1014" s="69"/>
      <c r="AQ1014" s="62"/>
      <c r="AR1014" s="34"/>
    </row>
    <row r="1015" spans="1:44" customFormat="1">
      <c r="A1015" s="39">
        <v>44498</v>
      </c>
      <c r="B1015" s="11" t="s">
        <v>49</v>
      </c>
      <c r="C1015" s="16" t="s">
        <v>4235</v>
      </c>
      <c r="D1015" s="16"/>
      <c r="E1015" s="38">
        <v>30244</v>
      </c>
      <c r="F1015" s="38"/>
      <c r="G1015" s="10" t="s">
        <v>4236</v>
      </c>
      <c r="H1015" s="12" t="s">
        <v>4237</v>
      </c>
      <c r="I1015" s="13" t="s">
        <v>4238</v>
      </c>
      <c r="J1015" s="15" t="s">
        <v>4239</v>
      </c>
      <c r="K1015" s="12"/>
      <c r="L1015" s="11" t="s">
        <v>33</v>
      </c>
      <c r="M1015" s="15" t="s">
        <v>3599</v>
      </c>
      <c r="N1015" s="17">
        <v>22000</v>
      </c>
      <c r="O1015" s="17"/>
      <c r="P1015" s="17"/>
      <c r="Q1015" s="48"/>
      <c r="R1015" s="11"/>
      <c r="S1015" s="48"/>
      <c r="T1015" s="85"/>
      <c r="U1015" s="88"/>
      <c r="V1015" s="32" t="s">
        <v>2372</v>
      </c>
      <c r="W1015" s="25" t="s">
        <v>3847</v>
      </c>
      <c r="X1015" s="11"/>
      <c r="Y1015" s="50" t="s">
        <v>12</v>
      </c>
      <c r="Z1015" s="50"/>
      <c r="AA1015" s="50"/>
      <c r="AB1015" s="50"/>
      <c r="AC1015" s="50"/>
      <c r="AD1015" s="50"/>
      <c r="AE1015" s="50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65"/>
      <c r="AP1015" s="69"/>
      <c r="AQ1015" s="62"/>
      <c r="AR1015" s="34"/>
    </row>
    <row r="1016" spans="1:44" customFormat="1">
      <c r="A1016" s="39">
        <v>44501</v>
      </c>
      <c r="B1016" s="11" t="s">
        <v>22</v>
      </c>
      <c r="C1016" s="16" t="s">
        <v>4240</v>
      </c>
      <c r="D1016" s="16"/>
      <c r="E1016" s="38">
        <v>31279</v>
      </c>
      <c r="F1016" s="38"/>
      <c r="G1016" s="10" t="s">
        <v>4241</v>
      </c>
      <c r="H1016" s="12" t="s">
        <v>4242</v>
      </c>
      <c r="I1016" s="13">
        <v>178</v>
      </c>
      <c r="J1016" s="15" t="s">
        <v>4243</v>
      </c>
      <c r="K1016" s="12"/>
      <c r="L1016" s="11" t="s">
        <v>34</v>
      </c>
      <c r="M1016" s="15" t="s">
        <v>3599</v>
      </c>
      <c r="N1016" s="17">
        <v>3300</v>
      </c>
      <c r="O1016" s="17"/>
      <c r="P1016" s="17"/>
      <c r="Q1016" s="48"/>
      <c r="R1016" s="11"/>
      <c r="S1016" s="48"/>
      <c r="T1016" s="85"/>
      <c r="U1016" s="88"/>
      <c r="V1016" s="32" t="s">
        <v>4244</v>
      </c>
      <c r="W1016" s="25" t="s">
        <v>10</v>
      </c>
      <c r="X1016" s="11"/>
      <c r="Y1016" s="50"/>
      <c r="Z1016" s="50"/>
      <c r="AA1016" s="50"/>
      <c r="AB1016" s="50"/>
      <c r="AC1016" s="50"/>
      <c r="AD1016" s="50"/>
      <c r="AE1016" s="50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65"/>
      <c r="AP1016" s="69"/>
      <c r="AQ1016" s="62"/>
      <c r="AR1016" s="34"/>
    </row>
    <row r="1017" spans="1:44" customFormat="1">
      <c r="A1017" s="39">
        <v>44501</v>
      </c>
      <c r="B1017" s="11" t="s">
        <v>22</v>
      </c>
      <c r="C1017" s="16" t="s">
        <v>4246</v>
      </c>
      <c r="D1017" s="16"/>
      <c r="E1017" s="38">
        <v>30097</v>
      </c>
      <c r="F1017" s="38"/>
      <c r="G1017" s="10" t="s">
        <v>4248</v>
      </c>
      <c r="H1017" s="12" t="s">
        <v>4247</v>
      </c>
      <c r="I1017" s="13">
        <v>178</v>
      </c>
      <c r="J1017" s="15" t="s">
        <v>4245</v>
      </c>
      <c r="K1017" s="12"/>
      <c r="L1017" s="11"/>
      <c r="M1017" s="15" t="s">
        <v>3599</v>
      </c>
      <c r="N1017" s="17">
        <v>3300</v>
      </c>
      <c r="O1017" s="17"/>
      <c r="P1017" s="17"/>
      <c r="Q1017" s="48"/>
      <c r="R1017" s="11"/>
      <c r="S1017" s="48"/>
      <c r="T1017" s="85"/>
      <c r="U1017" s="88"/>
      <c r="V1017" s="32"/>
      <c r="W1017" s="25" t="s">
        <v>48</v>
      </c>
      <c r="X1017" s="11"/>
      <c r="Y1017" s="50" t="s">
        <v>15</v>
      </c>
      <c r="Z1017" s="50"/>
      <c r="AA1017" s="50"/>
      <c r="AB1017" s="50"/>
      <c r="AC1017" s="50"/>
      <c r="AD1017" s="50"/>
      <c r="AE1017" s="50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65"/>
      <c r="AP1017" s="69"/>
      <c r="AQ1017" s="62"/>
      <c r="AR1017" s="34"/>
    </row>
    <row r="1018" spans="1:44" customFormat="1">
      <c r="A1018" s="39">
        <v>44501</v>
      </c>
      <c r="B1018" s="11" t="s">
        <v>49</v>
      </c>
      <c r="C1018" s="16" t="s">
        <v>4249</v>
      </c>
      <c r="D1018" s="16"/>
      <c r="E1018" s="38">
        <v>30641</v>
      </c>
      <c r="F1018" s="38"/>
      <c r="G1018" s="10" t="s">
        <v>4250</v>
      </c>
      <c r="H1018" s="12" t="s">
        <v>4251</v>
      </c>
      <c r="I1018" s="13">
        <v>210</v>
      </c>
      <c r="J1018" s="15" t="s">
        <v>4253</v>
      </c>
      <c r="K1018" s="14" t="s">
        <v>4252</v>
      </c>
      <c r="L1018" s="11" t="s">
        <v>36</v>
      </c>
      <c r="M1018" s="15" t="s">
        <v>3584</v>
      </c>
      <c r="N1018" s="17">
        <v>16500</v>
      </c>
      <c r="O1018" s="17"/>
      <c r="P1018" s="17"/>
      <c r="Q1018" s="48"/>
      <c r="R1018" s="11"/>
      <c r="S1018" s="48"/>
      <c r="T1018" s="85"/>
      <c r="U1018" s="88"/>
      <c r="V1018" s="32"/>
      <c r="W1018" s="25" t="s">
        <v>48</v>
      </c>
      <c r="X1018" s="11"/>
      <c r="Y1018" s="50" t="s">
        <v>13</v>
      </c>
      <c r="Z1018" s="50"/>
      <c r="AA1018" s="50"/>
      <c r="AB1018" s="50"/>
      <c r="AC1018" s="50"/>
      <c r="AD1018" s="50"/>
      <c r="AE1018" s="50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65"/>
      <c r="AP1018" s="69"/>
      <c r="AQ1018" s="62"/>
      <c r="AR1018" s="34"/>
    </row>
    <row r="1019" spans="1:44" customFormat="1">
      <c r="A1019" s="39">
        <v>44503</v>
      </c>
      <c r="B1019" s="11" t="s">
        <v>2170</v>
      </c>
      <c r="C1019" s="16" t="s">
        <v>4084</v>
      </c>
      <c r="D1019" s="16"/>
      <c r="E1019" s="38">
        <v>30371</v>
      </c>
      <c r="F1019" s="38"/>
      <c r="G1019" s="10" t="s">
        <v>4085</v>
      </c>
      <c r="H1019" s="12" t="s">
        <v>4256</v>
      </c>
      <c r="I1019" s="13" t="s">
        <v>2444</v>
      </c>
      <c r="J1019" s="15" t="s">
        <v>4087</v>
      </c>
      <c r="K1019" s="14" t="s">
        <v>4086</v>
      </c>
      <c r="L1019" s="11" t="s">
        <v>33</v>
      </c>
      <c r="M1019" s="15" t="s">
        <v>3584</v>
      </c>
      <c r="N1019" s="17">
        <v>8250</v>
      </c>
      <c r="O1019" s="17"/>
      <c r="P1019" s="17"/>
      <c r="Q1019" s="48"/>
      <c r="R1019" s="11"/>
      <c r="S1019" s="48"/>
      <c r="T1019" s="85"/>
      <c r="U1019" s="88"/>
      <c r="V1019" s="32"/>
      <c r="W1019" s="25" t="s">
        <v>48</v>
      </c>
      <c r="X1019" s="11"/>
      <c r="Y1019" s="50" t="s">
        <v>12</v>
      </c>
      <c r="Z1019" s="50"/>
      <c r="AA1019" s="50"/>
      <c r="AB1019" s="50"/>
      <c r="AC1019" s="50"/>
      <c r="AD1019" s="50"/>
      <c r="AE1019" s="50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65"/>
      <c r="AP1019" s="69"/>
      <c r="AQ1019" s="62"/>
      <c r="AR1019" s="34"/>
    </row>
    <row r="1020" spans="1:44" customFormat="1">
      <c r="A1020" s="39">
        <v>44504</v>
      </c>
      <c r="B1020" s="11" t="s">
        <v>22</v>
      </c>
      <c r="C1020" s="16" t="s">
        <v>4257</v>
      </c>
      <c r="D1020" s="16"/>
      <c r="E1020" s="38">
        <v>16479</v>
      </c>
      <c r="F1020" s="38"/>
      <c r="G1020" s="10" t="s">
        <v>636</v>
      </c>
      <c r="H1020" s="12" t="s">
        <v>4258</v>
      </c>
      <c r="I1020" s="13" t="s">
        <v>2527</v>
      </c>
      <c r="J1020" s="15" t="s">
        <v>4259</v>
      </c>
      <c r="K1020" s="12"/>
      <c r="L1020" s="11" t="s">
        <v>33</v>
      </c>
      <c r="M1020" s="15" t="s">
        <v>3599</v>
      </c>
      <c r="N1020" s="17">
        <v>3300</v>
      </c>
      <c r="O1020" s="17"/>
      <c r="P1020" s="17"/>
      <c r="Q1020" s="48"/>
      <c r="R1020" s="11"/>
      <c r="S1020" s="48"/>
      <c r="T1020" s="85"/>
      <c r="U1020" s="88"/>
      <c r="V1020" s="32"/>
      <c r="W1020" s="25" t="s">
        <v>10</v>
      </c>
      <c r="X1020" s="11"/>
      <c r="Y1020" s="50" t="s">
        <v>15</v>
      </c>
      <c r="Z1020" s="50"/>
      <c r="AA1020" s="50"/>
      <c r="AB1020" s="50"/>
      <c r="AC1020" s="50"/>
      <c r="AD1020" s="50"/>
      <c r="AE1020" s="50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65"/>
      <c r="AP1020" s="69"/>
      <c r="AQ1020" s="62"/>
      <c r="AR1020" s="34"/>
    </row>
    <row r="1021" spans="1:44" customFormat="1">
      <c r="A1021" s="39">
        <v>44504</v>
      </c>
      <c r="B1021" s="29" t="s">
        <v>4266</v>
      </c>
      <c r="C1021" s="16" t="s">
        <v>4260</v>
      </c>
      <c r="D1021" s="16"/>
      <c r="E1021" s="38">
        <v>28275</v>
      </c>
      <c r="F1021" s="38"/>
      <c r="G1021" s="10" t="s">
        <v>4261</v>
      </c>
      <c r="H1021" s="12" t="s">
        <v>4262</v>
      </c>
      <c r="I1021" s="13" t="s">
        <v>4263</v>
      </c>
      <c r="J1021" s="15" t="s">
        <v>4265</v>
      </c>
      <c r="K1021" s="14" t="s">
        <v>4264</v>
      </c>
      <c r="L1021" s="11" t="s">
        <v>33</v>
      </c>
      <c r="M1021" s="15" t="s">
        <v>3599</v>
      </c>
      <c r="N1021" s="17">
        <v>13200</v>
      </c>
      <c r="O1021" s="17"/>
      <c r="P1021" s="17"/>
      <c r="Q1021" s="48"/>
      <c r="R1021" s="11"/>
      <c r="S1021" s="48"/>
      <c r="T1021" s="85"/>
      <c r="U1021" s="88"/>
      <c r="V1021" s="32"/>
      <c r="W1021" s="25" t="s">
        <v>8</v>
      </c>
      <c r="X1021" s="11"/>
      <c r="Y1021" s="50"/>
      <c r="Z1021" s="50"/>
      <c r="AA1021" s="50"/>
      <c r="AB1021" s="50"/>
      <c r="AC1021" s="50"/>
      <c r="AD1021" s="50"/>
      <c r="AE1021" s="50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65"/>
      <c r="AP1021" s="69"/>
      <c r="AQ1021" s="62"/>
      <c r="AR1021" s="34"/>
    </row>
    <row r="1022" spans="1:44" customFormat="1">
      <c r="A1022" s="39">
        <v>44505</v>
      </c>
      <c r="B1022" s="11" t="s">
        <v>49</v>
      </c>
      <c r="C1022" s="16" t="s">
        <v>4267</v>
      </c>
      <c r="D1022" s="16"/>
      <c r="E1022" s="38">
        <v>26875</v>
      </c>
      <c r="F1022" s="38"/>
      <c r="G1022" s="10" t="s">
        <v>4268</v>
      </c>
      <c r="H1022" s="12" t="s">
        <v>4269</v>
      </c>
      <c r="I1022" s="13" t="s">
        <v>4270</v>
      </c>
      <c r="J1022" s="15" t="s">
        <v>4272</v>
      </c>
      <c r="K1022" s="14" t="s">
        <v>4271</v>
      </c>
      <c r="L1022" s="11" t="s">
        <v>33</v>
      </c>
      <c r="M1022" s="15" t="s">
        <v>3584</v>
      </c>
      <c r="N1022" s="17">
        <v>11000</v>
      </c>
      <c r="O1022" s="17"/>
      <c r="P1022" s="17"/>
      <c r="Q1022" s="48"/>
      <c r="R1022" s="11"/>
      <c r="S1022" s="48"/>
      <c r="T1022" s="85"/>
      <c r="U1022" s="88"/>
      <c r="V1022" s="32"/>
      <c r="W1022" s="25" t="s">
        <v>8</v>
      </c>
      <c r="X1022" s="11"/>
      <c r="Y1022" s="50"/>
      <c r="Z1022" s="50"/>
      <c r="AA1022" s="50"/>
      <c r="AB1022" s="50"/>
      <c r="AC1022" s="50"/>
      <c r="AD1022" s="50"/>
      <c r="AE1022" s="50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65"/>
      <c r="AP1022" s="69"/>
      <c r="AQ1022" s="62"/>
      <c r="AR1022" s="34"/>
    </row>
    <row r="1023" spans="1:44" customFormat="1">
      <c r="A1023" s="39">
        <v>44505</v>
      </c>
      <c r="B1023" s="11" t="s">
        <v>22</v>
      </c>
      <c r="C1023" s="16" t="s">
        <v>4273</v>
      </c>
      <c r="D1023" s="16"/>
      <c r="E1023" s="38">
        <v>38814</v>
      </c>
      <c r="F1023" s="38"/>
      <c r="G1023" s="10" t="s">
        <v>301</v>
      </c>
      <c r="H1023" s="12" t="s">
        <v>4274</v>
      </c>
      <c r="I1023" s="13" t="s">
        <v>4275</v>
      </c>
      <c r="J1023" s="15" t="s">
        <v>4277</v>
      </c>
      <c r="K1023" s="14" t="s">
        <v>4276</v>
      </c>
      <c r="L1023" s="11" t="s">
        <v>38</v>
      </c>
      <c r="M1023" s="15" t="s">
        <v>3584</v>
      </c>
      <c r="N1023" s="17">
        <v>0</v>
      </c>
      <c r="O1023" s="17"/>
      <c r="P1023" s="17"/>
      <c r="Q1023" s="48"/>
      <c r="R1023" s="11"/>
      <c r="S1023" s="48"/>
      <c r="T1023" s="85"/>
      <c r="U1023" s="88"/>
      <c r="V1023" s="32"/>
      <c r="W1023" s="25" t="s">
        <v>10</v>
      </c>
      <c r="X1023" s="11"/>
      <c r="Y1023" s="50" t="s">
        <v>12</v>
      </c>
      <c r="Z1023" s="50"/>
      <c r="AA1023" s="50"/>
      <c r="AB1023" s="50"/>
      <c r="AC1023" s="50"/>
      <c r="AD1023" s="50"/>
      <c r="AE1023" s="50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65"/>
      <c r="AP1023" s="69"/>
      <c r="AQ1023" s="62"/>
      <c r="AR1023" s="34"/>
    </row>
    <row r="1024" spans="1:44" customFormat="1">
      <c r="A1024" s="39">
        <v>44512</v>
      </c>
      <c r="B1024" s="11" t="s">
        <v>22</v>
      </c>
      <c r="C1024" s="16" t="s">
        <v>4278</v>
      </c>
      <c r="D1024" s="16"/>
      <c r="E1024" s="38">
        <v>28111</v>
      </c>
      <c r="F1024" s="38"/>
      <c r="G1024" s="10" t="s">
        <v>460</v>
      </c>
      <c r="H1024" s="12" t="s">
        <v>4279</v>
      </c>
      <c r="I1024" s="13" t="s">
        <v>2072</v>
      </c>
      <c r="J1024" s="15" t="s">
        <v>4281</v>
      </c>
      <c r="K1024" s="14" t="s">
        <v>4280</v>
      </c>
      <c r="L1024" s="11" t="s">
        <v>36</v>
      </c>
      <c r="M1024" s="15" t="s">
        <v>3584</v>
      </c>
      <c r="N1024" s="17">
        <v>3300</v>
      </c>
      <c r="O1024" s="17"/>
      <c r="P1024" s="17"/>
      <c r="Q1024" s="48"/>
      <c r="R1024" s="11"/>
      <c r="S1024" s="48"/>
      <c r="T1024" s="85"/>
      <c r="U1024" s="88"/>
      <c r="V1024" s="32"/>
      <c r="W1024" s="25" t="s">
        <v>10</v>
      </c>
      <c r="X1024" s="11"/>
      <c r="Y1024" s="50"/>
      <c r="Z1024" s="50"/>
      <c r="AA1024" s="50"/>
      <c r="AB1024" s="50"/>
      <c r="AC1024" s="50"/>
      <c r="AD1024" s="50"/>
      <c r="AE1024" s="50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65"/>
      <c r="AP1024" s="69"/>
      <c r="AQ1024" s="62"/>
      <c r="AR1024" s="34"/>
    </row>
    <row r="1025" spans="1:44" customFormat="1">
      <c r="A1025" s="39">
        <v>44512</v>
      </c>
      <c r="B1025" s="11" t="s">
        <v>22</v>
      </c>
      <c r="C1025" s="16" t="s">
        <v>4282</v>
      </c>
      <c r="D1025" s="16"/>
      <c r="E1025" s="38">
        <v>35891</v>
      </c>
      <c r="F1025" s="38"/>
      <c r="G1025" s="10" t="s">
        <v>1393</v>
      </c>
      <c r="H1025" s="12" t="s">
        <v>4283</v>
      </c>
      <c r="I1025" s="13" t="s">
        <v>2899</v>
      </c>
      <c r="J1025" s="15" t="s">
        <v>4284</v>
      </c>
      <c r="K1025" s="12"/>
      <c r="L1025" s="11" t="s">
        <v>36</v>
      </c>
      <c r="M1025" s="15" t="s">
        <v>3599</v>
      </c>
      <c r="N1025" s="17">
        <v>3300</v>
      </c>
      <c r="O1025" s="17"/>
      <c r="P1025" s="17"/>
      <c r="Q1025" s="48"/>
      <c r="R1025" s="11"/>
      <c r="S1025" s="48"/>
      <c r="T1025" s="85"/>
      <c r="U1025" s="88"/>
      <c r="V1025" s="32"/>
      <c r="W1025" s="25" t="s">
        <v>8</v>
      </c>
      <c r="X1025" s="11"/>
      <c r="Y1025" s="50" t="s">
        <v>17</v>
      </c>
      <c r="Z1025" s="50"/>
      <c r="AA1025" s="50"/>
      <c r="AB1025" s="50"/>
      <c r="AC1025" s="50"/>
      <c r="AD1025" s="50"/>
      <c r="AE1025" s="50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65"/>
      <c r="AP1025" s="69"/>
      <c r="AQ1025" s="62"/>
      <c r="AR1025" s="34"/>
    </row>
    <row r="1026" spans="1:44" customFormat="1">
      <c r="A1026" s="39">
        <v>44513</v>
      </c>
      <c r="B1026" s="11" t="s">
        <v>49</v>
      </c>
      <c r="C1026" s="16" t="s">
        <v>4285</v>
      </c>
      <c r="D1026" s="16"/>
      <c r="E1026" s="38">
        <v>28843</v>
      </c>
      <c r="F1026" s="38"/>
      <c r="G1026" s="10" t="s">
        <v>4287</v>
      </c>
      <c r="H1026" s="12" t="s">
        <v>4286</v>
      </c>
      <c r="I1026" s="13" t="s">
        <v>2365</v>
      </c>
      <c r="J1026" s="15" t="s">
        <v>4288</v>
      </c>
      <c r="K1026" s="12"/>
      <c r="L1026" s="11" t="s">
        <v>36</v>
      </c>
      <c r="M1026" s="15" t="s">
        <v>3629</v>
      </c>
      <c r="N1026" s="17">
        <v>22000</v>
      </c>
      <c r="O1026" s="17"/>
      <c r="P1026" s="17"/>
      <c r="Q1026" s="48"/>
      <c r="R1026" s="11"/>
      <c r="S1026" s="48"/>
      <c r="T1026" s="85"/>
      <c r="U1026" s="88"/>
      <c r="V1026" s="32"/>
      <c r="W1026" s="25" t="s">
        <v>8</v>
      </c>
      <c r="X1026" s="11"/>
      <c r="Y1026" s="50" t="s">
        <v>12</v>
      </c>
      <c r="Z1026" s="50"/>
      <c r="AA1026" s="50"/>
      <c r="AB1026" s="50"/>
      <c r="AC1026" s="50"/>
      <c r="AD1026" s="50"/>
      <c r="AE1026" s="50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65"/>
      <c r="AP1026" s="69"/>
      <c r="AQ1026" s="62"/>
      <c r="AR1026" s="34"/>
    </row>
    <row r="1027" spans="1:44" customFormat="1">
      <c r="A1027" s="39">
        <v>44513</v>
      </c>
      <c r="B1027" s="11" t="s">
        <v>49</v>
      </c>
      <c r="C1027" s="16" t="s">
        <v>4289</v>
      </c>
      <c r="D1027" s="16"/>
      <c r="E1027" s="38">
        <v>27397</v>
      </c>
      <c r="F1027" s="38"/>
      <c r="G1027" s="10" t="s">
        <v>4290</v>
      </c>
      <c r="H1027" s="12" t="s">
        <v>4291</v>
      </c>
      <c r="I1027" s="13" t="s">
        <v>3508</v>
      </c>
      <c r="J1027" s="15" t="s">
        <v>4292</v>
      </c>
      <c r="K1027" s="12"/>
      <c r="L1027" s="11" t="s">
        <v>33</v>
      </c>
      <c r="M1027" s="15"/>
      <c r="N1027" s="17">
        <v>16500</v>
      </c>
      <c r="O1027" s="17"/>
      <c r="P1027" s="17"/>
      <c r="Q1027" s="48"/>
      <c r="R1027" s="11"/>
      <c r="S1027" s="48"/>
      <c r="T1027" s="85"/>
      <c r="U1027" s="88"/>
      <c r="V1027" s="32"/>
      <c r="W1027" s="25" t="s">
        <v>8</v>
      </c>
      <c r="X1027" s="11"/>
      <c r="Y1027" s="50"/>
      <c r="Z1027" s="50"/>
      <c r="AA1027" s="50"/>
      <c r="AB1027" s="50"/>
      <c r="AC1027" s="50"/>
      <c r="AD1027" s="50"/>
      <c r="AE1027" s="50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65"/>
      <c r="AP1027" s="69"/>
      <c r="AQ1027" s="62"/>
      <c r="AR1027" s="34"/>
    </row>
    <row r="1028" spans="1:44" customFormat="1">
      <c r="A1028" s="39">
        <v>44513</v>
      </c>
      <c r="B1028" s="11" t="s">
        <v>49</v>
      </c>
      <c r="C1028" s="16" t="s">
        <v>4293</v>
      </c>
      <c r="D1028" s="16"/>
      <c r="E1028" s="38">
        <v>29975</v>
      </c>
      <c r="F1028" s="38"/>
      <c r="G1028" s="10" t="s">
        <v>4294</v>
      </c>
      <c r="H1028" s="12" t="s">
        <v>4295</v>
      </c>
      <c r="I1028" s="13" t="s">
        <v>3619</v>
      </c>
      <c r="J1028" s="15" t="s">
        <v>4296</v>
      </c>
      <c r="K1028" s="14"/>
      <c r="L1028" s="11" t="s">
        <v>36</v>
      </c>
      <c r="M1028" s="15" t="s">
        <v>3599</v>
      </c>
      <c r="N1028" s="17">
        <v>16500</v>
      </c>
      <c r="O1028" s="17"/>
      <c r="P1028" s="17"/>
      <c r="Q1028" s="48"/>
      <c r="R1028" s="11"/>
      <c r="S1028" s="48"/>
      <c r="T1028" s="85"/>
      <c r="U1028" s="88"/>
      <c r="V1028" s="32"/>
      <c r="W1028" s="25" t="s">
        <v>48</v>
      </c>
      <c r="X1028" s="11"/>
      <c r="Y1028" s="50" t="s">
        <v>13</v>
      </c>
      <c r="Z1028" s="50"/>
      <c r="AA1028" s="50"/>
      <c r="AB1028" s="50"/>
      <c r="AC1028" s="50"/>
      <c r="AD1028" s="50"/>
      <c r="AE1028" s="50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65"/>
      <c r="AP1028" s="69"/>
      <c r="AQ1028" s="62"/>
      <c r="AR1028" s="34"/>
    </row>
    <row r="1029" spans="1:44" customFormat="1">
      <c r="A1029" s="39">
        <v>44515</v>
      </c>
      <c r="B1029" s="11" t="s">
        <v>22</v>
      </c>
      <c r="C1029" s="16" t="s">
        <v>4302</v>
      </c>
      <c r="D1029" s="16"/>
      <c r="E1029" s="38">
        <v>19315</v>
      </c>
      <c r="F1029" s="38"/>
      <c r="G1029" s="10" t="s">
        <v>4303</v>
      </c>
      <c r="H1029" s="12" t="s">
        <v>4304</v>
      </c>
      <c r="I1029" s="13" t="s">
        <v>2052</v>
      </c>
      <c r="J1029" s="15" t="s">
        <v>4306</v>
      </c>
      <c r="K1029" s="14" t="s">
        <v>4305</v>
      </c>
      <c r="L1029" s="11" t="s">
        <v>34</v>
      </c>
      <c r="M1029" s="15" t="s">
        <v>3599</v>
      </c>
      <c r="N1029" s="17">
        <v>3300</v>
      </c>
      <c r="O1029" s="17"/>
      <c r="P1029" s="17"/>
      <c r="Q1029" s="48"/>
      <c r="R1029" s="11"/>
      <c r="S1029" s="48"/>
      <c r="T1029" s="85"/>
      <c r="U1029" s="88"/>
      <c r="V1029" s="32" t="s">
        <v>4307</v>
      </c>
      <c r="W1029" s="25" t="s">
        <v>8</v>
      </c>
      <c r="X1029" s="11"/>
      <c r="Y1029" s="50"/>
      <c r="Z1029" s="50"/>
      <c r="AA1029" s="50"/>
      <c r="AB1029" s="50"/>
      <c r="AC1029" s="50"/>
      <c r="AD1029" s="50"/>
      <c r="AE1029" s="50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65"/>
      <c r="AP1029" s="69"/>
      <c r="AQ1029" s="62"/>
      <c r="AR1029" s="34"/>
    </row>
    <row r="1030" spans="1:44" customFormat="1">
      <c r="A1030" s="39">
        <v>44515</v>
      </c>
      <c r="B1030" s="11" t="s">
        <v>24</v>
      </c>
      <c r="C1030" s="16" t="s">
        <v>4297</v>
      </c>
      <c r="D1030" s="16"/>
      <c r="E1030" s="38">
        <v>26926</v>
      </c>
      <c r="F1030" s="38"/>
      <c r="G1030" s="10" t="s">
        <v>1574</v>
      </c>
      <c r="H1030" s="12" t="s">
        <v>4298</v>
      </c>
      <c r="I1030" s="13" t="s">
        <v>4301</v>
      </c>
      <c r="J1030" s="15" t="s">
        <v>4299</v>
      </c>
      <c r="K1030" s="12"/>
      <c r="L1030" s="11" t="s">
        <v>34</v>
      </c>
      <c r="M1030" s="15" t="s">
        <v>3599</v>
      </c>
      <c r="N1030" s="17">
        <v>0</v>
      </c>
      <c r="O1030" s="17"/>
      <c r="P1030" s="17"/>
      <c r="Q1030" s="48"/>
      <c r="R1030" s="11"/>
      <c r="S1030" s="48"/>
      <c r="T1030" s="85"/>
      <c r="U1030" s="88"/>
      <c r="V1030" s="32" t="s">
        <v>4300</v>
      </c>
      <c r="W1030" s="25" t="s">
        <v>8</v>
      </c>
      <c r="X1030" s="11"/>
      <c r="Y1030" s="50" t="s">
        <v>13</v>
      </c>
      <c r="Z1030" s="50"/>
      <c r="AA1030" s="50"/>
      <c r="AB1030" s="50"/>
      <c r="AC1030" s="50"/>
      <c r="AD1030" s="50"/>
      <c r="AE1030" s="50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65"/>
      <c r="AP1030" s="69"/>
      <c r="AQ1030" s="62"/>
      <c r="AR1030" s="34"/>
    </row>
    <row r="1031" spans="1:44" customFormat="1">
      <c r="A1031" s="39">
        <v>44520</v>
      </c>
      <c r="B1031" s="11" t="s">
        <v>49</v>
      </c>
      <c r="C1031" s="16" t="s">
        <v>4308</v>
      </c>
      <c r="D1031" s="16"/>
      <c r="E1031" s="38">
        <v>23128</v>
      </c>
      <c r="F1031" s="38"/>
      <c r="G1031" s="10" t="s">
        <v>4309</v>
      </c>
      <c r="H1031" s="12" t="s">
        <v>4310</v>
      </c>
      <c r="I1031" s="13" t="s">
        <v>2865</v>
      </c>
      <c r="J1031" s="15" t="s">
        <v>4312</v>
      </c>
      <c r="K1031" s="14" t="s">
        <v>4311</v>
      </c>
      <c r="L1031" s="11" t="s">
        <v>36</v>
      </c>
      <c r="M1031" s="15" t="s">
        <v>3584</v>
      </c>
      <c r="N1031" s="17">
        <v>14850</v>
      </c>
      <c r="O1031" s="17"/>
      <c r="P1031" s="17"/>
      <c r="Q1031" s="48"/>
      <c r="R1031" s="11"/>
      <c r="S1031" s="48"/>
      <c r="T1031" s="85"/>
      <c r="U1031" s="88"/>
      <c r="V1031" s="32" t="s">
        <v>4313</v>
      </c>
      <c r="W1031" s="25" t="s">
        <v>8</v>
      </c>
      <c r="X1031" s="11"/>
      <c r="Y1031" s="50" t="s">
        <v>12</v>
      </c>
      <c r="Z1031" s="50"/>
      <c r="AA1031" s="50"/>
      <c r="AB1031" s="50"/>
      <c r="AC1031" s="50"/>
      <c r="AD1031" s="50"/>
      <c r="AE1031" s="50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65"/>
      <c r="AP1031" s="69"/>
      <c r="AQ1031" s="62"/>
      <c r="AR1031" s="34"/>
    </row>
    <row r="1032" spans="1:44" customFormat="1">
      <c r="A1032" s="39">
        <v>44521</v>
      </c>
      <c r="B1032" s="11" t="s">
        <v>22</v>
      </c>
      <c r="C1032" s="16" t="s">
        <v>4314</v>
      </c>
      <c r="D1032" s="16"/>
      <c r="E1032" s="38">
        <v>30408</v>
      </c>
      <c r="F1032" s="38"/>
      <c r="G1032" s="10" t="s">
        <v>4319</v>
      </c>
      <c r="H1032" s="12" t="s">
        <v>4315</v>
      </c>
      <c r="I1032" s="13" t="s">
        <v>4318</v>
      </c>
      <c r="J1032" s="15" t="s">
        <v>4316</v>
      </c>
      <c r="K1032" s="12"/>
      <c r="L1032" s="11" t="s">
        <v>34</v>
      </c>
      <c r="M1032" s="15" t="s">
        <v>3599</v>
      </c>
      <c r="N1032" s="17">
        <v>2200</v>
      </c>
      <c r="O1032" s="17"/>
      <c r="P1032" s="17"/>
      <c r="Q1032" s="48"/>
      <c r="R1032" s="11"/>
      <c r="S1032" s="48"/>
      <c r="T1032" s="85"/>
      <c r="U1032" s="88"/>
      <c r="V1032" s="32" t="s">
        <v>4317</v>
      </c>
      <c r="W1032" s="25" t="s">
        <v>8</v>
      </c>
      <c r="X1032" s="11"/>
      <c r="Y1032" s="50" t="s">
        <v>20</v>
      </c>
      <c r="Z1032" s="50"/>
      <c r="AA1032" s="50"/>
      <c r="AB1032" s="50"/>
      <c r="AC1032" s="50"/>
      <c r="AD1032" s="50"/>
      <c r="AE1032" s="50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65"/>
      <c r="AP1032" s="69"/>
      <c r="AQ1032" s="62"/>
      <c r="AR1032" s="34"/>
    </row>
    <row r="1033" spans="1:44" customFormat="1">
      <c r="A1033" s="39">
        <v>44522</v>
      </c>
      <c r="B1033" s="11" t="s">
        <v>49</v>
      </c>
      <c r="C1033" s="16" t="s">
        <v>4320</v>
      </c>
      <c r="D1033" s="16"/>
      <c r="E1033" s="38">
        <v>35114</v>
      </c>
      <c r="F1033" s="38"/>
      <c r="G1033" s="10" t="s">
        <v>4326</v>
      </c>
      <c r="H1033" s="12" t="s">
        <v>4322</v>
      </c>
      <c r="I1033" s="13" t="s">
        <v>4323</v>
      </c>
      <c r="J1033" s="15" t="s">
        <v>4325</v>
      </c>
      <c r="K1033" s="14" t="s">
        <v>4324</v>
      </c>
      <c r="L1033" s="11" t="s">
        <v>36</v>
      </c>
      <c r="M1033" s="15" t="s">
        <v>3599</v>
      </c>
      <c r="N1033" s="17">
        <v>14850</v>
      </c>
      <c r="O1033" s="17"/>
      <c r="P1033" s="17"/>
      <c r="Q1033" s="48"/>
      <c r="R1033" s="11"/>
      <c r="S1033" s="48"/>
      <c r="T1033" s="85"/>
      <c r="U1033" s="88"/>
      <c r="V1033" s="32" t="s">
        <v>4327</v>
      </c>
      <c r="W1033" s="25" t="s">
        <v>3847</v>
      </c>
      <c r="X1033" s="11"/>
      <c r="Y1033" s="50" t="s">
        <v>13</v>
      </c>
      <c r="Z1033" s="50"/>
      <c r="AA1033" s="50"/>
      <c r="AB1033" s="50"/>
      <c r="AC1033" s="50"/>
      <c r="AD1033" s="50"/>
      <c r="AE1033" s="50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65"/>
      <c r="AP1033" s="69"/>
      <c r="AQ1033" s="62"/>
      <c r="AR1033" s="34"/>
    </row>
    <row r="1034" spans="1:44" customFormat="1">
      <c r="A1034" s="39">
        <v>44522</v>
      </c>
      <c r="B1034" s="11" t="s">
        <v>22</v>
      </c>
      <c r="C1034" s="16" t="s">
        <v>4321</v>
      </c>
      <c r="D1034" s="16"/>
      <c r="E1034" s="38">
        <v>26171</v>
      </c>
      <c r="F1034" s="38"/>
      <c r="G1034" s="10" t="s">
        <v>4045</v>
      </c>
      <c r="H1034" s="12" t="s">
        <v>4328</v>
      </c>
      <c r="I1034" s="13" t="s">
        <v>3416</v>
      </c>
      <c r="J1034" s="15" t="s">
        <v>4329</v>
      </c>
      <c r="K1034" s="12"/>
      <c r="L1034" s="11" t="s">
        <v>37</v>
      </c>
      <c r="M1034" s="15" t="s">
        <v>3599</v>
      </c>
      <c r="N1034" s="17">
        <v>3300</v>
      </c>
      <c r="O1034" s="17"/>
      <c r="P1034" s="17"/>
      <c r="Q1034" s="48"/>
      <c r="R1034" s="11"/>
      <c r="S1034" s="48"/>
      <c r="T1034" s="85"/>
      <c r="U1034" s="88"/>
      <c r="V1034" s="32"/>
      <c r="W1034" s="25" t="s">
        <v>8</v>
      </c>
      <c r="X1034" s="11"/>
      <c r="Y1034" s="50"/>
      <c r="Z1034" s="50"/>
      <c r="AA1034" s="50"/>
      <c r="AB1034" s="50"/>
      <c r="AC1034" s="50"/>
      <c r="AD1034" s="50"/>
      <c r="AE1034" s="50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65"/>
      <c r="AP1034" s="69"/>
      <c r="AQ1034" s="62"/>
      <c r="AR1034" s="34"/>
    </row>
    <row r="1035" spans="1:44" customFormat="1">
      <c r="A1035" s="39">
        <v>44523</v>
      </c>
      <c r="B1035" s="11" t="s">
        <v>22</v>
      </c>
      <c r="C1035" s="16" t="s">
        <v>4330</v>
      </c>
      <c r="D1035" s="16"/>
      <c r="E1035" s="38">
        <v>35029</v>
      </c>
      <c r="F1035" s="38"/>
      <c r="G1035" s="10" t="s">
        <v>4331</v>
      </c>
      <c r="H1035" s="12" t="s">
        <v>4332</v>
      </c>
      <c r="I1035" s="13" t="s">
        <v>4333</v>
      </c>
      <c r="J1035" s="15" t="s">
        <v>4335</v>
      </c>
      <c r="K1035" s="14" t="s">
        <v>4334</v>
      </c>
      <c r="L1035" s="11" t="s">
        <v>36</v>
      </c>
      <c r="M1035" s="15" t="s">
        <v>3584</v>
      </c>
      <c r="N1035" s="17">
        <v>3300</v>
      </c>
      <c r="O1035" s="17"/>
      <c r="P1035" s="17"/>
      <c r="Q1035" s="48"/>
      <c r="R1035" s="11"/>
      <c r="S1035" s="48"/>
      <c r="T1035" s="85" t="s">
        <v>81</v>
      </c>
      <c r="U1035" s="88"/>
      <c r="V1035" s="32" t="s">
        <v>81</v>
      </c>
      <c r="W1035" s="25" t="s">
        <v>48</v>
      </c>
      <c r="X1035" s="11"/>
      <c r="Y1035" s="50" t="s">
        <v>14</v>
      </c>
      <c r="Z1035" s="50"/>
      <c r="AA1035" s="50"/>
      <c r="AB1035" s="50"/>
      <c r="AC1035" s="50"/>
      <c r="AD1035" s="50"/>
      <c r="AE1035" s="50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65"/>
      <c r="AP1035" s="69"/>
      <c r="AQ1035" s="62"/>
      <c r="AR1035" s="34"/>
    </row>
    <row r="1036" spans="1:44" customFormat="1">
      <c r="A1036" s="39">
        <v>44527</v>
      </c>
      <c r="B1036" s="11" t="s">
        <v>49</v>
      </c>
      <c r="C1036" s="16" t="s">
        <v>4336</v>
      </c>
      <c r="D1036" s="16"/>
      <c r="E1036" s="38">
        <v>18025</v>
      </c>
      <c r="F1036" s="38"/>
      <c r="G1036" s="10" t="s">
        <v>4337</v>
      </c>
      <c r="H1036" s="12" t="s">
        <v>4338</v>
      </c>
      <c r="I1036" s="13" t="s">
        <v>4339</v>
      </c>
      <c r="J1036" s="15" t="s">
        <v>4341</v>
      </c>
      <c r="K1036" s="14" t="s">
        <v>4340</v>
      </c>
      <c r="L1036" s="11" t="s">
        <v>33</v>
      </c>
      <c r="M1036" s="15" t="s">
        <v>3629</v>
      </c>
      <c r="N1036" s="17">
        <v>0</v>
      </c>
      <c r="O1036" s="17"/>
      <c r="P1036" s="17"/>
      <c r="Q1036" s="48"/>
      <c r="R1036" s="11"/>
      <c r="S1036" s="48"/>
      <c r="T1036" s="85"/>
      <c r="U1036" s="88"/>
      <c r="V1036" s="32" t="s">
        <v>3528</v>
      </c>
      <c r="W1036" s="25" t="s">
        <v>8</v>
      </c>
      <c r="X1036" s="11"/>
      <c r="Y1036" s="50" t="s">
        <v>13</v>
      </c>
      <c r="Z1036" s="50"/>
      <c r="AA1036" s="50"/>
      <c r="AB1036" s="50"/>
      <c r="AC1036" s="50"/>
      <c r="AD1036" s="50"/>
      <c r="AE1036" s="50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65"/>
      <c r="AP1036" s="69"/>
      <c r="AQ1036" s="62"/>
      <c r="AR1036" s="34"/>
    </row>
    <row r="1037" spans="1:44" customFormat="1">
      <c r="A1037" s="39">
        <v>44527</v>
      </c>
      <c r="B1037" s="11" t="s">
        <v>22</v>
      </c>
      <c r="C1037" s="16" t="s">
        <v>4342</v>
      </c>
      <c r="D1037" s="16"/>
      <c r="E1037" s="38">
        <v>34546</v>
      </c>
      <c r="F1037" s="38"/>
      <c r="G1037" s="10" t="s">
        <v>4343</v>
      </c>
      <c r="H1037" s="12" t="s">
        <v>4344</v>
      </c>
      <c r="I1037" s="13" t="s">
        <v>4345</v>
      </c>
      <c r="J1037" s="15" t="s">
        <v>4346</v>
      </c>
      <c r="K1037" s="12"/>
      <c r="L1037" s="11" t="s">
        <v>34</v>
      </c>
      <c r="M1037" s="15" t="s">
        <v>3599</v>
      </c>
      <c r="N1037" s="17">
        <v>3300</v>
      </c>
      <c r="O1037" s="17"/>
      <c r="P1037" s="17"/>
      <c r="Q1037" s="48"/>
      <c r="R1037" s="11"/>
      <c r="S1037" s="48"/>
      <c r="T1037" s="85"/>
      <c r="U1037" s="88"/>
      <c r="V1037" s="32"/>
      <c r="W1037" s="25" t="s">
        <v>48</v>
      </c>
      <c r="X1037" s="11"/>
      <c r="Y1037" s="50" t="s">
        <v>18</v>
      </c>
      <c r="Z1037" s="50"/>
      <c r="AA1037" s="50"/>
      <c r="AB1037" s="50"/>
      <c r="AC1037" s="50"/>
      <c r="AD1037" s="50"/>
      <c r="AE1037" s="50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65"/>
      <c r="AP1037" s="69"/>
      <c r="AQ1037" s="62"/>
      <c r="AR1037" s="34"/>
    </row>
    <row r="1038" spans="1:44" customFormat="1">
      <c r="A1038" s="39">
        <v>44527</v>
      </c>
      <c r="B1038" s="11" t="s">
        <v>22</v>
      </c>
      <c r="C1038" s="16" t="s">
        <v>4347</v>
      </c>
      <c r="D1038" s="16"/>
      <c r="E1038" s="38">
        <v>34834</v>
      </c>
      <c r="F1038" s="38"/>
      <c r="G1038" s="10" t="s">
        <v>4349</v>
      </c>
      <c r="H1038" s="12" t="s">
        <v>4348</v>
      </c>
      <c r="I1038" s="13" t="s">
        <v>4350</v>
      </c>
      <c r="J1038" s="15" t="s">
        <v>4351</v>
      </c>
      <c r="K1038" s="12"/>
      <c r="L1038" s="11" t="s">
        <v>33</v>
      </c>
      <c r="M1038" s="15" t="s">
        <v>3599</v>
      </c>
      <c r="N1038" s="17">
        <v>3300</v>
      </c>
      <c r="O1038" s="17"/>
      <c r="P1038" s="17"/>
      <c r="Q1038" s="48"/>
      <c r="R1038" s="11"/>
      <c r="S1038" s="48"/>
      <c r="T1038" s="85"/>
      <c r="U1038" s="88"/>
      <c r="V1038" s="32"/>
      <c r="W1038" s="25" t="s">
        <v>10</v>
      </c>
      <c r="X1038" s="11"/>
      <c r="Y1038" s="50" t="s">
        <v>11</v>
      </c>
      <c r="Z1038" s="50"/>
      <c r="AA1038" s="50"/>
      <c r="AB1038" s="50"/>
      <c r="AC1038" s="50"/>
      <c r="AD1038" s="50"/>
      <c r="AE1038" s="50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65"/>
      <c r="AP1038" s="69"/>
      <c r="AQ1038" s="62"/>
      <c r="AR1038" s="34"/>
    </row>
    <row r="1039" spans="1:44" customFormat="1">
      <c r="A1039" s="39">
        <v>44528</v>
      </c>
      <c r="B1039" s="11" t="s">
        <v>22</v>
      </c>
      <c r="C1039" s="16" t="s">
        <v>4352</v>
      </c>
      <c r="D1039" s="16"/>
      <c r="E1039" s="38">
        <v>31085</v>
      </c>
      <c r="F1039" s="38"/>
      <c r="G1039" s="10" t="s">
        <v>4353</v>
      </c>
      <c r="H1039" s="12" t="s">
        <v>4354</v>
      </c>
      <c r="I1039" s="13" t="s">
        <v>4355</v>
      </c>
      <c r="J1039" s="15" t="s">
        <v>4356</v>
      </c>
      <c r="K1039" s="12"/>
      <c r="L1039" s="11" t="s">
        <v>33</v>
      </c>
      <c r="M1039" s="15"/>
      <c r="N1039" s="17">
        <v>3300</v>
      </c>
      <c r="O1039" s="17"/>
      <c r="P1039" s="17"/>
      <c r="Q1039" s="48"/>
      <c r="R1039" s="11"/>
      <c r="S1039" s="48"/>
      <c r="T1039" s="85"/>
      <c r="U1039" s="88"/>
      <c r="V1039" s="32"/>
      <c r="W1039" s="25" t="s">
        <v>48</v>
      </c>
      <c r="X1039" s="11"/>
      <c r="Y1039" s="50" t="s">
        <v>12</v>
      </c>
      <c r="Z1039" s="50"/>
      <c r="AA1039" s="50"/>
      <c r="AB1039" s="50"/>
      <c r="AC1039" s="50"/>
      <c r="AD1039" s="50"/>
      <c r="AE1039" s="50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65"/>
      <c r="AP1039" s="69"/>
      <c r="AQ1039" s="62"/>
      <c r="AR1039" s="34"/>
    </row>
    <row r="1040" spans="1:44" customFormat="1">
      <c r="A1040" s="39">
        <v>44528</v>
      </c>
      <c r="B1040" s="11" t="s">
        <v>49</v>
      </c>
      <c r="C1040" s="16" t="s">
        <v>4357</v>
      </c>
      <c r="D1040" s="16"/>
      <c r="E1040" s="38">
        <v>19239</v>
      </c>
      <c r="F1040" s="38"/>
      <c r="G1040" s="10" t="s">
        <v>4358</v>
      </c>
      <c r="H1040" s="12" t="s">
        <v>4359</v>
      </c>
      <c r="I1040" s="13" t="s">
        <v>4360</v>
      </c>
      <c r="J1040" s="15" t="s">
        <v>4361</v>
      </c>
      <c r="K1040" s="12"/>
      <c r="L1040" s="11" t="s">
        <v>36</v>
      </c>
      <c r="M1040" s="15" t="s">
        <v>3629</v>
      </c>
      <c r="N1040" s="17">
        <v>11000</v>
      </c>
      <c r="O1040" s="17"/>
      <c r="P1040" s="17"/>
      <c r="Q1040" s="48"/>
      <c r="R1040" s="11"/>
      <c r="S1040" s="48"/>
      <c r="T1040" s="85"/>
      <c r="U1040" s="88"/>
      <c r="V1040" s="32" t="s">
        <v>4362</v>
      </c>
      <c r="W1040" s="25" t="s">
        <v>8</v>
      </c>
      <c r="X1040" s="11"/>
      <c r="Y1040" s="50"/>
      <c r="Z1040" s="50"/>
      <c r="AA1040" s="50"/>
      <c r="AB1040" s="50"/>
      <c r="AC1040" s="50"/>
      <c r="AD1040" s="50"/>
      <c r="AE1040" s="50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65"/>
      <c r="AP1040" s="69"/>
      <c r="AQ1040" s="62"/>
      <c r="AR1040" s="34"/>
    </row>
    <row r="1041" spans="1:44" customFormat="1">
      <c r="A1041" s="39">
        <v>44528</v>
      </c>
      <c r="B1041" s="11" t="s">
        <v>49</v>
      </c>
      <c r="C1041" s="16" t="s">
        <v>4363</v>
      </c>
      <c r="D1041" s="16"/>
      <c r="E1041" s="38">
        <v>22899</v>
      </c>
      <c r="F1041" s="38"/>
      <c r="G1041" s="10" t="s">
        <v>4364</v>
      </c>
      <c r="H1041" s="12" t="s">
        <v>4365</v>
      </c>
      <c r="I1041" s="13" t="s">
        <v>4366</v>
      </c>
      <c r="J1041" s="15" t="s">
        <v>4367</v>
      </c>
      <c r="K1041" s="12"/>
      <c r="L1041" s="11" t="s">
        <v>35</v>
      </c>
      <c r="M1041" s="15" t="s">
        <v>3599</v>
      </c>
      <c r="N1041" s="17">
        <v>11000</v>
      </c>
      <c r="O1041" s="17"/>
      <c r="P1041" s="17"/>
      <c r="Q1041" s="48"/>
      <c r="R1041" s="11"/>
      <c r="S1041" s="48"/>
      <c r="T1041" s="85"/>
      <c r="U1041" s="88"/>
      <c r="V1041" s="32" t="s">
        <v>4362</v>
      </c>
      <c r="W1041" s="25" t="s">
        <v>8</v>
      </c>
      <c r="X1041" s="11"/>
      <c r="Y1041" s="50"/>
      <c r="Z1041" s="50"/>
      <c r="AA1041" s="50"/>
      <c r="AB1041" s="50"/>
      <c r="AC1041" s="50"/>
      <c r="AD1041" s="50"/>
      <c r="AE1041" s="50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65"/>
      <c r="AP1041" s="69"/>
      <c r="AQ1041" s="62"/>
      <c r="AR1041" s="34"/>
    </row>
    <row r="1042" spans="1:44" customFormat="1">
      <c r="A1042" s="39">
        <v>44529</v>
      </c>
      <c r="B1042" s="11" t="s">
        <v>22</v>
      </c>
      <c r="C1042" s="16" t="s">
        <v>4368</v>
      </c>
      <c r="D1042" s="16"/>
      <c r="E1042" s="38">
        <v>24953</v>
      </c>
      <c r="F1042" s="38"/>
      <c r="G1042" s="10" t="s">
        <v>2497</v>
      </c>
      <c r="H1042" s="12" t="s">
        <v>4369</v>
      </c>
      <c r="I1042" s="13" t="s">
        <v>2209</v>
      </c>
      <c r="J1042" s="15" t="s">
        <v>4370</v>
      </c>
      <c r="K1042" s="12"/>
      <c r="L1042" s="11" t="s">
        <v>33</v>
      </c>
      <c r="M1042" s="15" t="s">
        <v>3584</v>
      </c>
      <c r="N1042" s="17">
        <v>3300</v>
      </c>
      <c r="O1042" s="17"/>
      <c r="P1042" s="17"/>
      <c r="Q1042" s="48"/>
      <c r="R1042" s="11"/>
      <c r="S1042" s="48"/>
      <c r="T1042" s="85"/>
      <c r="U1042" s="88"/>
      <c r="V1042" s="32"/>
      <c r="W1042" s="25" t="s">
        <v>48</v>
      </c>
      <c r="X1042" s="11"/>
      <c r="Y1042" s="50" t="s">
        <v>21</v>
      </c>
      <c r="Z1042" s="50"/>
      <c r="AA1042" s="50"/>
      <c r="AB1042" s="50"/>
      <c r="AC1042" s="50"/>
      <c r="AD1042" s="50"/>
      <c r="AE1042" s="50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65"/>
      <c r="AP1042" s="69"/>
      <c r="AQ1042" s="62"/>
      <c r="AR1042" s="34"/>
    </row>
    <row r="1043" spans="1:44" customFormat="1">
      <c r="A1043" s="39">
        <v>44534</v>
      </c>
      <c r="B1043" s="11" t="s">
        <v>49</v>
      </c>
      <c r="C1043" s="16" t="s">
        <v>4371</v>
      </c>
      <c r="D1043" s="16"/>
      <c r="E1043" s="38">
        <v>38960</v>
      </c>
      <c r="F1043" s="38"/>
      <c r="G1043" s="10" t="s">
        <v>4372</v>
      </c>
      <c r="H1043" s="12" t="s">
        <v>4373</v>
      </c>
      <c r="I1043" s="13" t="s">
        <v>4374</v>
      </c>
      <c r="J1043" s="15" t="s">
        <v>4375</v>
      </c>
      <c r="K1043" s="12"/>
      <c r="L1043" s="11" t="s">
        <v>38</v>
      </c>
      <c r="M1043" s="15" t="s">
        <v>3584</v>
      </c>
      <c r="N1043" s="17">
        <v>16500</v>
      </c>
      <c r="O1043" s="17"/>
      <c r="P1043" s="17"/>
      <c r="Q1043" s="48"/>
      <c r="R1043" s="11"/>
      <c r="S1043" s="48"/>
      <c r="T1043" s="85"/>
      <c r="U1043" s="88"/>
      <c r="V1043" s="32"/>
      <c r="W1043" s="25" t="s">
        <v>8</v>
      </c>
      <c r="X1043" s="11"/>
      <c r="Y1043" s="50" t="s">
        <v>14</v>
      </c>
      <c r="Z1043" s="50"/>
      <c r="AA1043" s="50"/>
      <c r="AB1043" s="50"/>
      <c r="AC1043" s="50"/>
      <c r="AD1043" s="50"/>
      <c r="AE1043" s="50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65"/>
      <c r="AP1043" s="69"/>
      <c r="AQ1043" s="62"/>
      <c r="AR1043" s="34"/>
    </row>
    <row r="1044" spans="1:44" customFormat="1">
      <c r="A1044" s="39">
        <v>44535</v>
      </c>
      <c r="B1044" s="11" t="s">
        <v>22</v>
      </c>
      <c r="C1044" s="16" t="s">
        <v>4376</v>
      </c>
      <c r="D1044" s="16"/>
      <c r="E1044" s="38">
        <v>24451</v>
      </c>
      <c r="F1044" s="38"/>
      <c r="G1044" s="10" t="s">
        <v>406</v>
      </c>
      <c r="H1044" s="12" t="s">
        <v>4377</v>
      </c>
      <c r="I1044" s="13" t="s">
        <v>2596</v>
      </c>
      <c r="J1044" s="15" t="s">
        <v>4379</v>
      </c>
      <c r="K1044" s="14" t="s">
        <v>4378</v>
      </c>
      <c r="L1044" s="11" t="s">
        <v>36</v>
      </c>
      <c r="M1044" s="15" t="s">
        <v>3584</v>
      </c>
      <c r="N1044" s="17">
        <v>3300</v>
      </c>
      <c r="O1044" s="17"/>
      <c r="P1044" s="17"/>
      <c r="Q1044" s="48"/>
      <c r="R1044" s="11"/>
      <c r="S1044" s="48"/>
      <c r="T1044" s="85"/>
      <c r="U1044" s="88"/>
      <c r="V1044" s="32"/>
      <c r="W1044" s="25" t="s">
        <v>48</v>
      </c>
      <c r="X1044" s="11"/>
      <c r="Y1044" s="50" t="s">
        <v>11</v>
      </c>
      <c r="Z1044" s="50"/>
      <c r="AA1044" s="50"/>
      <c r="AB1044" s="50"/>
      <c r="AC1044" s="50"/>
      <c r="AD1044" s="50"/>
      <c r="AE1044" s="50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65"/>
      <c r="AP1044" s="69"/>
      <c r="AQ1044" s="62"/>
      <c r="AR1044" s="34"/>
    </row>
    <row r="1045" spans="1:44" customFormat="1">
      <c r="A1045" s="39">
        <v>44535</v>
      </c>
      <c r="B1045" s="11" t="s">
        <v>22</v>
      </c>
      <c r="C1045" s="16" t="s">
        <v>4380</v>
      </c>
      <c r="D1045" s="16"/>
      <c r="E1045" s="38">
        <v>27755</v>
      </c>
      <c r="F1045" s="38"/>
      <c r="G1045" s="10" t="s">
        <v>618</v>
      </c>
      <c r="H1045" s="12" t="s">
        <v>4381</v>
      </c>
      <c r="I1045" s="13" t="s">
        <v>2209</v>
      </c>
      <c r="J1045" s="15" t="s">
        <v>4382</v>
      </c>
      <c r="K1045" s="12"/>
      <c r="L1045" s="11" t="s">
        <v>33</v>
      </c>
      <c r="M1045" s="15" t="s">
        <v>26</v>
      </c>
      <c r="N1045" s="17">
        <v>3300</v>
      </c>
      <c r="O1045" s="17"/>
      <c r="P1045" s="17"/>
      <c r="Q1045" s="48"/>
      <c r="R1045" s="11"/>
      <c r="S1045" s="48"/>
      <c r="T1045" s="85"/>
      <c r="U1045" s="88"/>
      <c r="V1045" s="32"/>
      <c r="W1045" s="25" t="s">
        <v>8</v>
      </c>
      <c r="X1045" s="11"/>
      <c r="Y1045" s="50"/>
      <c r="Z1045" s="50"/>
      <c r="AA1045" s="50"/>
      <c r="AB1045" s="50"/>
      <c r="AC1045" s="50"/>
      <c r="AD1045" s="50"/>
      <c r="AE1045" s="50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65"/>
      <c r="AP1045" s="69"/>
      <c r="AQ1045" s="62"/>
      <c r="AR1045" s="34"/>
    </row>
    <row r="1046" spans="1:44" customFormat="1">
      <c r="A1046" s="39">
        <v>44540</v>
      </c>
      <c r="B1046" s="11" t="s">
        <v>5659</v>
      </c>
      <c r="C1046" s="16" t="s">
        <v>2962</v>
      </c>
      <c r="D1046" s="16"/>
      <c r="E1046" s="38">
        <v>34490</v>
      </c>
      <c r="F1046" s="38"/>
      <c r="G1046" s="10" t="s">
        <v>4384</v>
      </c>
      <c r="H1046" s="12" t="s">
        <v>4383</v>
      </c>
      <c r="I1046" s="13" t="s">
        <v>2592</v>
      </c>
      <c r="J1046" s="15" t="s">
        <v>2966</v>
      </c>
      <c r="K1046" s="14" t="s">
        <v>4385</v>
      </c>
      <c r="L1046" s="11" t="s">
        <v>35</v>
      </c>
      <c r="M1046" s="15" t="s">
        <v>3584</v>
      </c>
      <c r="N1046" s="17">
        <v>8250</v>
      </c>
      <c r="O1046" s="17"/>
      <c r="P1046" s="17"/>
      <c r="Q1046" s="48"/>
      <c r="R1046" s="29"/>
      <c r="S1046" s="48"/>
      <c r="T1046" s="85"/>
      <c r="U1046" s="88"/>
      <c r="V1046" s="98" t="s">
        <v>4386</v>
      </c>
      <c r="W1046" s="25" t="s">
        <v>8</v>
      </c>
      <c r="X1046" s="11"/>
      <c r="Y1046" s="50" t="s">
        <v>12</v>
      </c>
      <c r="Z1046" s="50"/>
      <c r="AA1046" s="50"/>
      <c r="AB1046" s="50"/>
      <c r="AC1046" s="50"/>
      <c r="AD1046" s="50"/>
      <c r="AE1046" s="50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65"/>
      <c r="AP1046" s="75"/>
      <c r="AQ1046" s="62"/>
      <c r="AR1046" s="34"/>
    </row>
    <row r="1047" spans="1:44" customFormat="1">
      <c r="A1047" s="39">
        <v>44541</v>
      </c>
      <c r="B1047" s="11" t="s">
        <v>22</v>
      </c>
      <c r="C1047" s="16" t="s">
        <v>4387</v>
      </c>
      <c r="D1047" s="16"/>
      <c r="E1047" s="38">
        <v>25508</v>
      </c>
      <c r="F1047" s="38"/>
      <c r="G1047" s="10" t="s">
        <v>4388</v>
      </c>
      <c r="H1047" s="12" t="s">
        <v>4389</v>
      </c>
      <c r="I1047" s="13" t="s">
        <v>2142</v>
      </c>
      <c r="J1047" s="15" t="s">
        <v>4390</v>
      </c>
      <c r="K1047" s="12"/>
      <c r="L1047" s="11" t="s">
        <v>36</v>
      </c>
      <c r="M1047" s="15" t="s">
        <v>3599</v>
      </c>
      <c r="N1047" s="17">
        <v>3300</v>
      </c>
      <c r="O1047" s="17"/>
      <c r="P1047" s="17"/>
      <c r="Q1047" s="48"/>
      <c r="R1047" s="11"/>
      <c r="S1047" s="48"/>
      <c r="T1047" s="85"/>
      <c r="U1047" s="88"/>
      <c r="V1047" s="32"/>
      <c r="W1047" s="25" t="s">
        <v>48</v>
      </c>
      <c r="X1047" s="11"/>
      <c r="Y1047" s="50" t="s">
        <v>12</v>
      </c>
      <c r="Z1047" s="50"/>
      <c r="AA1047" s="50"/>
      <c r="AB1047" s="50"/>
      <c r="AC1047" s="50"/>
      <c r="AD1047" s="50"/>
      <c r="AE1047" s="50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65"/>
      <c r="AP1047" s="69"/>
      <c r="AQ1047" s="62"/>
      <c r="AR1047" s="34"/>
    </row>
    <row r="1048" spans="1:44" customFormat="1">
      <c r="A1048" s="39">
        <v>44541</v>
      </c>
      <c r="B1048" s="11" t="s">
        <v>2171</v>
      </c>
      <c r="C1048" s="16" t="s">
        <v>3544</v>
      </c>
      <c r="D1048" s="16"/>
      <c r="E1048" s="38"/>
      <c r="F1048" s="38"/>
      <c r="G1048" s="10"/>
      <c r="H1048" s="12"/>
      <c r="I1048" s="13"/>
      <c r="J1048" s="15"/>
      <c r="K1048" s="12"/>
      <c r="L1048" s="11"/>
      <c r="M1048" s="15"/>
      <c r="N1048" s="17">
        <v>3300</v>
      </c>
      <c r="O1048" s="17"/>
      <c r="P1048" s="17"/>
      <c r="Q1048" s="48"/>
      <c r="R1048" s="11"/>
      <c r="S1048" s="48"/>
      <c r="T1048" s="85"/>
      <c r="U1048" s="88"/>
      <c r="V1048" s="32" t="s">
        <v>4391</v>
      </c>
      <c r="W1048" s="25"/>
      <c r="X1048" s="11"/>
      <c r="Y1048" s="50"/>
      <c r="Z1048" s="50"/>
      <c r="AA1048" s="50"/>
      <c r="AB1048" s="50"/>
      <c r="AC1048" s="50"/>
      <c r="AD1048" s="50"/>
      <c r="AE1048" s="50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65"/>
      <c r="AP1048" s="69"/>
      <c r="AQ1048" s="62"/>
      <c r="AR1048" s="34"/>
    </row>
    <row r="1049" spans="1:44" customFormat="1">
      <c r="A1049" s="39">
        <v>44545</v>
      </c>
      <c r="B1049" s="11" t="s">
        <v>22</v>
      </c>
      <c r="C1049" s="16" t="s">
        <v>4392</v>
      </c>
      <c r="D1049" s="16"/>
      <c r="E1049" s="38">
        <v>27682</v>
      </c>
      <c r="F1049" s="38"/>
      <c r="G1049" s="10" t="s">
        <v>148</v>
      </c>
      <c r="H1049" s="12" t="s">
        <v>4393</v>
      </c>
      <c r="I1049" s="13" t="s">
        <v>4394</v>
      </c>
      <c r="J1049" s="15" t="s">
        <v>4396</v>
      </c>
      <c r="K1049" s="14" t="s">
        <v>4395</v>
      </c>
      <c r="L1049" s="11" t="s">
        <v>35</v>
      </c>
      <c r="M1049" s="15" t="s">
        <v>3584</v>
      </c>
      <c r="N1049" s="17">
        <v>3300</v>
      </c>
      <c r="O1049" s="17"/>
      <c r="P1049" s="17"/>
      <c r="Q1049" s="48"/>
      <c r="R1049" s="11"/>
      <c r="S1049" s="48"/>
      <c r="T1049" s="85"/>
      <c r="U1049" s="88"/>
      <c r="V1049" s="32" t="s">
        <v>4397</v>
      </c>
      <c r="W1049" s="25" t="s">
        <v>10</v>
      </c>
      <c r="X1049" s="11"/>
      <c r="Y1049" s="50" t="s">
        <v>12</v>
      </c>
      <c r="Z1049" s="50"/>
      <c r="AA1049" s="50"/>
      <c r="AB1049" s="50"/>
      <c r="AC1049" s="50"/>
      <c r="AD1049" s="50"/>
      <c r="AE1049" s="50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65"/>
      <c r="AP1049" s="69"/>
      <c r="AQ1049" s="62"/>
      <c r="AR1049" s="34"/>
    </row>
    <row r="1050" spans="1:44" customFormat="1">
      <c r="A1050" s="39">
        <v>44546</v>
      </c>
      <c r="B1050" s="11" t="s">
        <v>22</v>
      </c>
      <c r="C1050" s="16" t="s">
        <v>4398</v>
      </c>
      <c r="D1050" s="16"/>
      <c r="E1050" s="38">
        <v>24760</v>
      </c>
      <c r="F1050" s="38"/>
      <c r="G1050" s="10" t="s">
        <v>4399</v>
      </c>
      <c r="H1050" s="12" t="s">
        <v>4400</v>
      </c>
      <c r="I1050" s="13" t="s">
        <v>4401</v>
      </c>
      <c r="J1050" s="15" t="s">
        <v>4402</v>
      </c>
      <c r="K1050" s="12"/>
      <c r="L1050" s="11" t="s">
        <v>33</v>
      </c>
      <c r="M1050" s="15" t="s">
        <v>3599</v>
      </c>
      <c r="N1050" s="17">
        <v>3300</v>
      </c>
      <c r="O1050" s="17"/>
      <c r="P1050" s="17"/>
      <c r="Q1050" s="48"/>
      <c r="R1050" s="11"/>
      <c r="S1050" s="48"/>
      <c r="T1050" s="85"/>
      <c r="U1050" s="88"/>
      <c r="V1050" s="32" t="s">
        <v>4403</v>
      </c>
      <c r="W1050" s="25" t="s">
        <v>8</v>
      </c>
      <c r="X1050" s="11"/>
      <c r="Y1050" s="50" t="s">
        <v>17</v>
      </c>
      <c r="Z1050" s="50"/>
      <c r="AA1050" s="50"/>
      <c r="AB1050" s="50"/>
      <c r="AC1050" s="50"/>
      <c r="AD1050" s="50"/>
      <c r="AE1050" s="50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65"/>
      <c r="AP1050" s="69"/>
      <c r="AQ1050" s="62"/>
      <c r="AR1050" s="34"/>
    </row>
    <row r="1051" spans="1:44" customFormat="1">
      <c r="A1051" s="39">
        <v>44548</v>
      </c>
      <c r="B1051" s="11" t="s">
        <v>49</v>
      </c>
      <c r="C1051" s="35" t="s">
        <v>4404</v>
      </c>
      <c r="D1051" s="35"/>
      <c r="E1051" s="38">
        <v>29380</v>
      </c>
      <c r="F1051" s="38"/>
      <c r="G1051" s="10" t="s">
        <v>4406</v>
      </c>
      <c r="H1051" s="12" t="s">
        <v>4405</v>
      </c>
      <c r="I1051" s="13" t="s">
        <v>4407</v>
      </c>
      <c r="J1051" s="15" t="s">
        <v>4408</v>
      </c>
      <c r="K1051" s="12"/>
      <c r="L1051" s="11" t="s">
        <v>36</v>
      </c>
      <c r="M1051" s="15" t="s">
        <v>3584</v>
      </c>
      <c r="N1051" s="17">
        <v>14850</v>
      </c>
      <c r="O1051" s="17"/>
      <c r="P1051" s="17"/>
      <c r="Q1051" s="48"/>
      <c r="R1051" s="11"/>
      <c r="S1051" s="48"/>
      <c r="T1051" s="85"/>
      <c r="U1051" s="88"/>
      <c r="V1051" s="32" t="s">
        <v>4409</v>
      </c>
      <c r="W1051" s="25" t="s">
        <v>8</v>
      </c>
      <c r="X1051" s="11"/>
      <c r="Y1051" s="50" t="s">
        <v>13</v>
      </c>
      <c r="Z1051" s="50"/>
      <c r="AA1051" s="50"/>
      <c r="AB1051" s="50"/>
      <c r="AC1051" s="50"/>
      <c r="AD1051" s="50"/>
      <c r="AE1051" s="50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65"/>
      <c r="AP1051" s="69"/>
      <c r="AQ1051" s="62"/>
      <c r="AR1051" s="34"/>
    </row>
    <row r="1052" spans="1:44" customFormat="1">
      <c r="A1052" s="39">
        <v>44548</v>
      </c>
      <c r="B1052" s="11" t="s">
        <v>49</v>
      </c>
      <c r="C1052" s="16" t="s">
        <v>4410</v>
      </c>
      <c r="D1052" s="16"/>
      <c r="E1052" s="38">
        <v>25972</v>
      </c>
      <c r="F1052" s="38"/>
      <c r="G1052" s="10" t="s">
        <v>4411</v>
      </c>
      <c r="H1052" s="12" t="s">
        <v>4412</v>
      </c>
      <c r="I1052" s="13" t="s">
        <v>4413</v>
      </c>
      <c r="J1052" s="15" t="s">
        <v>4415</v>
      </c>
      <c r="K1052" s="14" t="s">
        <v>4414</v>
      </c>
      <c r="L1052" s="11" t="s">
        <v>36</v>
      </c>
      <c r="M1052" s="15" t="s">
        <v>3584</v>
      </c>
      <c r="N1052" s="17">
        <v>14850</v>
      </c>
      <c r="O1052" s="17"/>
      <c r="P1052" s="17"/>
      <c r="Q1052" s="48"/>
      <c r="R1052" s="11"/>
      <c r="S1052" s="48"/>
      <c r="T1052" s="85"/>
      <c r="U1052" s="88"/>
      <c r="V1052" s="32" t="s">
        <v>4409</v>
      </c>
      <c r="W1052" s="25" t="s">
        <v>8</v>
      </c>
      <c r="X1052" s="11"/>
      <c r="Y1052" s="50" t="s">
        <v>13</v>
      </c>
      <c r="Z1052" s="50"/>
      <c r="AA1052" s="50"/>
      <c r="AB1052" s="50"/>
      <c r="AC1052" s="50"/>
      <c r="AD1052" s="50"/>
      <c r="AE1052" s="50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65"/>
      <c r="AP1052" s="69"/>
      <c r="AQ1052" s="62"/>
      <c r="AR1052" s="34"/>
    </row>
    <row r="1053" spans="1:44" customFormat="1">
      <c r="A1053" s="39">
        <v>44549</v>
      </c>
      <c r="B1053" s="11" t="s">
        <v>22</v>
      </c>
      <c r="C1053" s="16" t="s">
        <v>4416</v>
      </c>
      <c r="D1053" s="16"/>
      <c r="E1053" s="38">
        <v>36845</v>
      </c>
      <c r="F1053" s="38"/>
      <c r="G1053" s="10" t="s">
        <v>4417</v>
      </c>
      <c r="H1053" s="12" t="s">
        <v>4418</v>
      </c>
      <c r="I1053" s="13" t="s">
        <v>4419</v>
      </c>
      <c r="J1053" s="15" t="s">
        <v>4420</v>
      </c>
      <c r="K1053" s="12"/>
      <c r="L1053" s="11"/>
      <c r="M1053" s="15" t="s">
        <v>3629</v>
      </c>
      <c r="N1053" s="17">
        <v>2200</v>
      </c>
      <c r="O1053" s="17"/>
      <c r="P1053" s="17"/>
      <c r="Q1053" s="48"/>
      <c r="R1053" s="11"/>
      <c r="S1053" s="48"/>
      <c r="T1053" s="85"/>
      <c r="U1053" s="88"/>
      <c r="V1053" s="32" t="s">
        <v>1504</v>
      </c>
      <c r="W1053" s="25" t="s">
        <v>8</v>
      </c>
      <c r="X1053" s="11"/>
      <c r="Y1053" s="50" t="s">
        <v>20</v>
      </c>
      <c r="Z1053" s="50"/>
      <c r="AA1053" s="50"/>
      <c r="AB1053" s="50"/>
      <c r="AC1053" s="50"/>
      <c r="AD1053" s="50"/>
      <c r="AE1053" s="50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65"/>
      <c r="AP1053" s="69"/>
      <c r="AQ1053" s="62"/>
      <c r="AR1053" s="34"/>
    </row>
    <row r="1054" spans="1:44" customFormat="1">
      <c r="A1054" s="39">
        <v>44550</v>
      </c>
      <c r="B1054" s="11" t="s">
        <v>49</v>
      </c>
      <c r="C1054" s="16" t="s">
        <v>4421</v>
      </c>
      <c r="D1054" s="16"/>
      <c r="E1054" s="38">
        <v>23839</v>
      </c>
      <c r="F1054" s="38"/>
      <c r="G1054" s="10" t="s">
        <v>4422</v>
      </c>
      <c r="H1054" s="12" t="s">
        <v>4423</v>
      </c>
      <c r="I1054" s="13" t="s">
        <v>2877</v>
      </c>
      <c r="J1054" s="15" t="s">
        <v>4425</v>
      </c>
      <c r="K1054" s="14" t="s">
        <v>4424</v>
      </c>
      <c r="L1054" s="11" t="s">
        <v>33</v>
      </c>
      <c r="M1054" s="15" t="s">
        <v>3584</v>
      </c>
      <c r="N1054" s="17">
        <v>16500</v>
      </c>
      <c r="O1054" s="17"/>
      <c r="P1054" s="17"/>
      <c r="Q1054" s="48"/>
      <c r="R1054" s="11"/>
      <c r="S1054" s="48"/>
      <c r="T1054" s="85"/>
      <c r="U1054" s="88"/>
      <c r="V1054" s="32"/>
      <c r="W1054" s="25" t="s">
        <v>8</v>
      </c>
      <c r="X1054" s="11"/>
      <c r="Y1054" s="50" t="s">
        <v>13</v>
      </c>
      <c r="Z1054" s="50"/>
      <c r="AA1054" s="50"/>
      <c r="AB1054" s="50"/>
      <c r="AC1054" s="50"/>
      <c r="AD1054" s="50"/>
      <c r="AE1054" s="50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65"/>
      <c r="AP1054" s="69"/>
      <c r="AQ1054" s="62"/>
      <c r="AR1054" s="34"/>
    </row>
    <row r="1055" spans="1:44" customFormat="1">
      <c r="A1055" s="39">
        <v>44552</v>
      </c>
      <c r="B1055" s="11" t="s">
        <v>49</v>
      </c>
      <c r="C1055" s="16" t="s">
        <v>4426</v>
      </c>
      <c r="D1055" s="16"/>
      <c r="E1055" s="38">
        <v>26246</v>
      </c>
      <c r="F1055" s="38"/>
      <c r="G1055" s="10" t="s">
        <v>2560</v>
      </c>
      <c r="H1055" s="12" t="s">
        <v>4427</v>
      </c>
      <c r="I1055" s="13" t="s">
        <v>2163</v>
      </c>
      <c r="J1055" s="15" t="s">
        <v>4428</v>
      </c>
      <c r="K1055" s="12"/>
      <c r="L1055" s="11" t="s">
        <v>33</v>
      </c>
      <c r="M1055" s="15" t="s">
        <v>3599</v>
      </c>
      <c r="N1055" s="17">
        <v>22000</v>
      </c>
      <c r="O1055" s="17"/>
      <c r="P1055" s="17"/>
      <c r="Q1055" s="48"/>
      <c r="R1055" s="11"/>
      <c r="S1055" s="48"/>
      <c r="T1055" s="85"/>
      <c r="U1055" s="88"/>
      <c r="V1055" s="32"/>
      <c r="W1055" s="25" t="s">
        <v>8</v>
      </c>
      <c r="X1055" s="11"/>
      <c r="Y1055" s="50" t="s">
        <v>12</v>
      </c>
      <c r="Z1055" s="50"/>
      <c r="AA1055" s="50"/>
      <c r="AB1055" s="50"/>
      <c r="AC1055" s="50"/>
      <c r="AD1055" s="50"/>
      <c r="AE1055" s="50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65"/>
      <c r="AP1055" s="69"/>
      <c r="AQ1055" s="62"/>
      <c r="AR1055" s="34"/>
    </row>
    <row r="1056" spans="1:44" customFormat="1">
      <c r="A1056" s="39">
        <v>44553</v>
      </c>
      <c r="B1056" s="11" t="s">
        <v>49</v>
      </c>
      <c r="C1056" s="16" t="s">
        <v>4429</v>
      </c>
      <c r="D1056" s="16"/>
      <c r="E1056" s="38">
        <v>29414</v>
      </c>
      <c r="F1056" s="38"/>
      <c r="G1056" s="10" t="s">
        <v>4431</v>
      </c>
      <c r="H1056" s="12" t="s">
        <v>4430</v>
      </c>
      <c r="I1056" s="13" t="s">
        <v>2077</v>
      </c>
      <c r="J1056" s="15" t="s">
        <v>4432</v>
      </c>
      <c r="K1056" s="12"/>
      <c r="L1056" s="11" t="s">
        <v>36</v>
      </c>
      <c r="M1056" s="15" t="s">
        <v>3599</v>
      </c>
      <c r="N1056" s="17">
        <v>25300</v>
      </c>
      <c r="O1056" s="17"/>
      <c r="P1056" s="17"/>
      <c r="Q1056" s="48"/>
      <c r="R1056" s="11"/>
      <c r="S1056" s="48"/>
      <c r="T1056" s="85"/>
      <c r="U1056" s="88"/>
      <c r="V1056" s="32" t="s">
        <v>4433</v>
      </c>
      <c r="W1056" s="25" t="s">
        <v>48</v>
      </c>
      <c r="X1056" s="11"/>
      <c r="Y1056" s="50"/>
      <c r="Z1056" s="50"/>
      <c r="AA1056" s="50"/>
      <c r="AB1056" s="50"/>
      <c r="AC1056" s="50"/>
      <c r="AD1056" s="50"/>
      <c r="AE1056" s="50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65"/>
      <c r="AP1056" s="69"/>
      <c r="AQ1056" s="62"/>
      <c r="AR1056" s="34"/>
    </row>
    <row r="1057" spans="1:44" customFormat="1">
      <c r="A1057" s="39">
        <v>44554</v>
      </c>
      <c r="B1057" s="11" t="s">
        <v>2170</v>
      </c>
      <c r="C1057" s="16" t="s">
        <v>4084</v>
      </c>
      <c r="D1057" s="16"/>
      <c r="E1057" s="38"/>
      <c r="F1057" s="38"/>
      <c r="G1057" s="10"/>
      <c r="H1057" s="12"/>
      <c r="I1057" s="13"/>
      <c r="J1057" s="15"/>
      <c r="K1057" s="12"/>
      <c r="L1057" s="11"/>
      <c r="M1057" s="15"/>
      <c r="N1057" s="17">
        <v>8250</v>
      </c>
      <c r="O1057" s="17"/>
      <c r="P1057" s="17"/>
      <c r="Q1057" s="48"/>
      <c r="R1057" s="11"/>
      <c r="S1057" s="48"/>
      <c r="T1057" s="85"/>
      <c r="U1057" s="88"/>
      <c r="V1057" s="32" t="s">
        <v>4434</v>
      </c>
      <c r="W1057" s="25"/>
      <c r="X1057" s="11"/>
      <c r="Y1057" s="50"/>
      <c r="Z1057" s="50"/>
      <c r="AA1057" s="50"/>
      <c r="AB1057" s="50"/>
      <c r="AC1057" s="50"/>
      <c r="AD1057" s="50"/>
      <c r="AE1057" s="50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65"/>
      <c r="AP1057" s="69"/>
      <c r="AQ1057" s="62"/>
      <c r="AR1057" s="34"/>
    </row>
    <row r="1058" spans="1:44" customFormat="1">
      <c r="A1058" s="39">
        <v>44554</v>
      </c>
      <c r="B1058" s="11" t="s">
        <v>49</v>
      </c>
      <c r="C1058" s="16" t="s">
        <v>4435</v>
      </c>
      <c r="D1058" s="16"/>
      <c r="E1058" s="38">
        <v>20831</v>
      </c>
      <c r="F1058" s="38"/>
      <c r="G1058" s="10" t="s">
        <v>284</v>
      </c>
      <c r="H1058" s="12" t="s">
        <v>4436</v>
      </c>
      <c r="I1058" s="13" t="s">
        <v>1977</v>
      </c>
      <c r="J1058" s="15" t="s">
        <v>4437</v>
      </c>
      <c r="K1058" s="12"/>
      <c r="L1058" s="11" t="s">
        <v>34</v>
      </c>
      <c r="M1058" s="15"/>
      <c r="N1058" s="17">
        <v>11000</v>
      </c>
      <c r="O1058" s="17"/>
      <c r="P1058" s="17"/>
      <c r="Q1058" s="48"/>
      <c r="R1058" s="11"/>
      <c r="S1058" s="48"/>
      <c r="T1058" s="85"/>
      <c r="U1058" s="88"/>
      <c r="V1058" s="32" t="s">
        <v>4438</v>
      </c>
      <c r="W1058" s="25"/>
      <c r="X1058" s="11"/>
      <c r="Y1058" s="50"/>
      <c r="Z1058" s="50"/>
      <c r="AA1058" s="50"/>
      <c r="AB1058" s="50"/>
      <c r="AC1058" s="50"/>
      <c r="AD1058" s="50"/>
      <c r="AE1058" s="50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65"/>
      <c r="AP1058" s="69"/>
      <c r="AQ1058" s="62"/>
      <c r="AR1058" s="34"/>
    </row>
    <row r="1059" spans="1:44" customFormat="1">
      <c r="A1059" s="39">
        <v>44555</v>
      </c>
      <c r="B1059" s="11" t="s">
        <v>49</v>
      </c>
      <c r="C1059" s="16" t="s">
        <v>4439</v>
      </c>
      <c r="D1059" s="16"/>
      <c r="E1059" s="38">
        <v>28310</v>
      </c>
      <c r="F1059" s="38"/>
      <c r="G1059" s="10" t="s">
        <v>4440</v>
      </c>
      <c r="H1059" s="12" t="s">
        <v>4441</v>
      </c>
      <c r="I1059" s="13" t="s">
        <v>3464</v>
      </c>
      <c r="J1059" s="15" t="s">
        <v>4442</v>
      </c>
      <c r="K1059" s="12"/>
      <c r="L1059" s="11" t="s">
        <v>36</v>
      </c>
      <c r="M1059" s="15" t="s">
        <v>3584</v>
      </c>
      <c r="N1059" s="17">
        <v>16500</v>
      </c>
      <c r="O1059" s="17"/>
      <c r="P1059" s="17"/>
      <c r="Q1059" s="48"/>
      <c r="R1059" s="11"/>
      <c r="S1059" s="48"/>
      <c r="T1059" s="85"/>
      <c r="U1059" s="88"/>
      <c r="V1059" s="32"/>
      <c r="W1059" s="25" t="s">
        <v>48</v>
      </c>
      <c r="X1059" s="11"/>
      <c r="Y1059" s="50" t="s">
        <v>13</v>
      </c>
      <c r="Z1059" s="50"/>
      <c r="AA1059" s="50"/>
      <c r="AB1059" s="50"/>
      <c r="AC1059" s="50"/>
      <c r="AD1059" s="50"/>
      <c r="AE1059" s="50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65"/>
      <c r="AP1059" s="69"/>
      <c r="AQ1059" s="62"/>
      <c r="AR1059" s="34"/>
    </row>
    <row r="1060" spans="1:44" customFormat="1">
      <c r="A1060" s="39">
        <v>44566</v>
      </c>
      <c r="B1060" s="11" t="s">
        <v>49</v>
      </c>
      <c r="C1060" s="16" t="s">
        <v>4444</v>
      </c>
      <c r="D1060" s="16"/>
      <c r="E1060" s="38">
        <v>28386</v>
      </c>
      <c r="F1060" s="38"/>
      <c r="G1060" s="10" t="s">
        <v>4445</v>
      </c>
      <c r="H1060" s="12" t="s">
        <v>4551</v>
      </c>
      <c r="I1060" s="13" t="s">
        <v>4446</v>
      </c>
      <c r="J1060" s="15" t="s">
        <v>4447</v>
      </c>
      <c r="K1060" s="12"/>
      <c r="L1060" s="11" t="s">
        <v>34</v>
      </c>
      <c r="M1060" s="15" t="s">
        <v>3599</v>
      </c>
      <c r="N1060" s="17">
        <v>16500</v>
      </c>
      <c r="O1060" s="17"/>
      <c r="P1060" s="17"/>
      <c r="Q1060" s="48"/>
      <c r="R1060" s="11"/>
      <c r="S1060" s="48"/>
      <c r="T1060" s="85"/>
      <c r="U1060" s="88"/>
      <c r="V1060" s="32" t="s">
        <v>4448</v>
      </c>
      <c r="W1060" s="25" t="s">
        <v>8</v>
      </c>
      <c r="X1060" s="11"/>
      <c r="Y1060" s="50" t="s">
        <v>13</v>
      </c>
      <c r="Z1060" s="50"/>
      <c r="AA1060" s="50"/>
      <c r="AB1060" s="50"/>
      <c r="AC1060" s="50"/>
      <c r="AD1060" s="50"/>
      <c r="AE1060" s="50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65"/>
      <c r="AP1060" s="69"/>
      <c r="AQ1060" s="62"/>
      <c r="AR1060" s="34"/>
    </row>
    <row r="1061" spans="1:44" customFormat="1">
      <c r="A1061" s="39">
        <v>44566</v>
      </c>
      <c r="B1061" s="11" t="s">
        <v>49</v>
      </c>
      <c r="C1061" s="16" t="s">
        <v>4449</v>
      </c>
      <c r="D1061" s="16"/>
      <c r="E1061" s="38"/>
      <c r="F1061" s="38"/>
      <c r="G1061" s="10" t="s">
        <v>617</v>
      </c>
      <c r="H1061" s="30" t="s">
        <v>4450</v>
      </c>
      <c r="I1061" s="13"/>
      <c r="J1061" s="30" t="s">
        <v>4451</v>
      </c>
      <c r="K1061" s="12"/>
      <c r="L1061" s="11"/>
      <c r="M1061" s="15"/>
      <c r="N1061" s="17">
        <v>16500</v>
      </c>
      <c r="O1061" s="17"/>
      <c r="P1061" s="17"/>
      <c r="Q1061" s="48"/>
      <c r="R1061" s="11"/>
      <c r="S1061" s="48"/>
      <c r="T1061" s="85"/>
      <c r="U1061" s="88"/>
      <c r="V1061" s="32" t="s">
        <v>4094</v>
      </c>
      <c r="W1061" s="25"/>
      <c r="X1061" s="11"/>
      <c r="Y1061" s="50"/>
      <c r="Z1061" s="50"/>
      <c r="AA1061" s="50"/>
      <c r="AB1061" s="50"/>
      <c r="AC1061" s="50"/>
      <c r="AD1061" s="50"/>
      <c r="AE1061" s="50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65"/>
      <c r="AP1061" s="69"/>
      <c r="AQ1061" s="62"/>
      <c r="AR1061" s="34"/>
    </row>
    <row r="1062" spans="1:44" customFormat="1">
      <c r="A1062" s="39">
        <v>44567</v>
      </c>
      <c r="B1062" s="11" t="s">
        <v>49</v>
      </c>
      <c r="C1062" s="16" t="s">
        <v>4452</v>
      </c>
      <c r="D1062" s="16"/>
      <c r="E1062" s="38">
        <v>23296</v>
      </c>
      <c r="F1062" s="38"/>
      <c r="G1062" s="10" t="s">
        <v>4583</v>
      </c>
      <c r="H1062" s="30" t="s">
        <v>4453</v>
      </c>
      <c r="I1062" s="13" t="s">
        <v>2064</v>
      </c>
      <c r="J1062" s="30" t="s">
        <v>4454</v>
      </c>
      <c r="K1062" s="12"/>
      <c r="L1062" s="11" t="s">
        <v>33</v>
      </c>
      <c r="M1062" s="15" t="s">
        <v>3599</v>
      </c>
      <c r="N1062" s="17">
        <v>0</v>
      </c>
      <c r="O1062" s="17"/>
      <c r="P1062" s="17"/>
      <c r="Q1062" s="48"/>
      <c r="R1062" s="11"/>
      <c r="S1062" s="48"/>
      <c r="T1062" s="85"/>
      <c r="U1062" s="88"/>
      <c r="V1062" s="32" t="s">
        <v>4588</v>
      </c>
      <c r="W1062" s="25" t="s">
        <v>8</v>
      </c>
      <c r="X1062" s="11"/>
      <c r="Y1062" s="50" t="s">
        <v>14</v>
      </c>
      <c r="Z1062" s="50"/>
      <c r="AA1062" s="50"/>
      <c r="AB1062" s="50"/>
      <c r="AC1062" s="50"/>
      <c r="AD1062" s="50"/>
      <c r="AE1062" s="50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65"/>
      <c r="AP1062" s="69"/>
      <c r="AQ1062" s="62"/>
      <c r="AR1062" s="34"/>
    </row>
    <row r="1063" spans="1:44" customFormat="1">
      <c r="A1063" s="39">
        <v>44567</v>
      </c>
      <c r="B1063" s="11" t="s">
        <v>49</v>
      </c>
      <c r="C1063" s="16" t="s">
        <v>4455</v>
      </c>
      <c r="D1063" s="16"/>
      <c r="E1063" s="38">
        <v>20509</v>
      </c>
      <c r="F1063" s="38"/>
      <c r="G1063" s="10" t="s">
        <v>2079</v>
      </c>
      <c r="H1063" s="12" t="s">
        <v>4456</v>
      </c>
      <c r="I1063" s="13" t="s">
        <v>4457</v>
      </c>
      <c r="J1063" s="15" t="s">
        <v>4458</v>
      </c>
      <c r="K1063" s="12"/>
      <c r="L1063" s="11" t="s">
        <v>34</v>
      </c>
      <c r="M1063" s="15" t="s">
        <v>3599</v>
      </c>
      <c r="N1063" s="17">
        <v>11000</v>
      </c>
      <c r="O1063" s="17"/>
      <c r="P1063" s="17"/>
      <c r="Q1063" s="48"/>
      <c r="R1063" s="11"/>
      <c r="S1063" s="48"/>
      <c r="T1063" s="85"/>
      <c r="U1063" s="88"/>
      <c r="V1063" s="32" t="s">
        <v>4459</v>
      </c>
      <c r="W1063" s="25" t="s">
        <v>8</v>
      </c>
      <c r="X1063" s="11"/>
      <c r="Y1063" s="50" t="s">
        <v>13</v>
      </c>
      <c r="Z1063" s="50"/>
      <c r="AA1063" s="50"/>
      <c r="AB1063" s="50"/>
      <c r="AC1063" s="50"/>
      <c r="AD1063" s="50"/>
      <c r="AE1063" s="50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65"/>
      <c r="AP1063" s="69"/>
      <c r="AQ1063" s="62"/>
      <c r="AR1063" s="34"/>
    </row>
    <row r="1064" spans="1:44" customFormat="1">
      <c r="A1064" s="39">
        <v>44567</v>
      </c>
      <c r="B1064" s="11" t="s">
        <v>49</v>
      </c>
      <c r="C1064" s="16" t="s">
        <v>4460</v>
      </c>
      <c r="D1064" s="16"/>
      <c r="E1064" s="38">
        <v>25761</v>
      </c>
      <c r="F1064" s="38"/>
      <c r="G1064" s="10" t="s">
        <v>4461</v>
      </c>
      <c r="H1064" s="12" t="s">
        <v>4462</v>
      </c>
      <c r="I1064" s="13" t="s">
        <v>4463</v>
      </c>
      <c r="J1064" s="15" t="s">
        <v>4464</v>
      </c>
      <c r="K1064" s="12"/>
      <c r="L1064" s="11" t="s">
        <v>34</v>
      </c>
      <c r="M1064" s="15" t="s">
        <v>3599</v>
      </c>
      <c r="N1064" s="17">
        <v>16500</v>
      </c>
      <c r="O1064" s="17"/>
      <c r="P1064" s="17"/>
      <c r="Q1064" s="48"/>
      <c r="R1064" s="11"/>
      <c r="S1064" s="48"/>
      <c r="T1064" s="85"/>
      <c r="U1064" s="88"/>
      <c r="V1064" s="32"/>
      <c r="W1064" s="25" t="s">
        <v>8</v>
      </c>
      <c r="X1064" s="11"/>
      <c r="Y1064" s="50" t="s">
        <v>12</v>
      </c>
      <c r="Z1064" s="50"/>
      <c r="AA1064" s="50"/>
      <c r="AB1064" s="50"/>
      <c r="AC1064" s="50"/>
      <c r="AD1064" s="50"/>
      <c r="AE1064" s="50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65"/>
      <c r="AP1064" s="69"/>
      <c r="AQ1064" s="62"/>
      <c r="AR1064" s="34"/>
    </row>
    <row r="1065" spans="1:44" customFormat="1">
      <c r="A1065" s="39">
        <v>44567</v>
      </c>
      <c r="B1065" s="11" t="s">
        <v>22</v>
      </c>
      <c r="C1065" s="16" t="s">
        <v>4465</v>
      </c>
      <c r="D1065" s="16"/>
      <c r="E1065" s="38">
        <v>26173</v>
      </c>
      <c r="F1065" s="38"/>
      <c r="G1065" s="10" t="s">
        <v>2497</v>
      </c>
      <c r="H1065" s="12" t="s">
        <v>4466</v>
      </c>
      <c r="I1065" s="13" t="s">
        <v>2209</v>
      </c>
      <c r="J1065" s="15" t="s">
        <v>4467</v>
      </c>
      <c r="K1065" s="12"/>
      <c r="L1065" s="11" t="s">
        <v>33</v>
      </c>
      <c r="M1065" s="15" t="s">
        <v>3584</v>
      </c>
      <c r="N1065" s="17">
        <v>3300</v>
      </c>
      <c r="O1065" s="17"/>
      <c r="P1065" s="17"/>
      <c r="Q1065" s="48"/>
      <c r="R1065" s="11"/>
      <c r="S1065" s="48"/>
      <c r="T1065" s="85"/>
      <c r="U1065" s="88"/>
      <c r="V1065" s="32"/>
      <c r="W1065" s="25" t="s">
        <v>8</v>
      </c>
      <c r="X1065" s="11"/>
      <c r="Y1065" s="50" t="s">
        <v>17</v>
      </c>
      <c r="Z1065" s="50"/>
      <c r="AA1065" s="50"/>
      <c r="AB1065" s="50"/>
      <c r="AC1065" s="50"/>
      <c r="AD1065" s="50"/>
      <c r="AE1065" s="50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65"/>
      <c r="AP1065" s="69"/>
      <c r="AQ1065" s="62"/>
      <c r="AR1065" s="34"/>
    </row>
    <row r="1066" spans="1:44" customFormat="1">
      <c r="A1066" s="39">
        <v>44568</v>
      </c>
      <c r="B1066" s="11" t="s">
        <v>22</v>
      </c>
      <c r="C1066" s="16" t="s">
        <v>4468</v>
      </c>
      <c r="D1066" s="16"/>
      <c r="E1066" s="38">
        <v>26862</v>
      </c>
      <c r="F1066" s="38"/>
      <c r="G1066" s="10" t="s">
        <v>3447</v>
      </c>
      <c r="H1066" s="12" t="s">
        <v>4469</v>
      </c>
      <c r="I1066" s="13" t="s">
        <v>2189</v>
      </c>
      <c r="J1066" s="15" t="s">
        <v>4470</v>
      </c>
      <c r="K1066" s="12"/>
      <c r="L1066" s="11" t="s">
        <v>34</v>
      </c>
      <c r="M1066" s="15" t="s">
        <v>3629</v>
      </c>
      <c r="N1066" s="17">
        <v>3300</v>
      </c>
      <c r="O1066" s="17"/>
      <c r="P1066" s="17"/>
      <c r="Q1066" s="48"/>
      <c r="R1066" s="11"/>
      <c r="S1066" s="48"/>
      <c r="T1066" s="85"/>
      <c r="U1066" s="88"/>
      <c r="V1066" s="32"/>
      <c r="W1066" s="25" t="s">
        <v>48</v>
      </c>
      <c r="X1066" s="11"/>
      <c r="Y1066" s="50" t="s">
        <v>16</v>
      </c>
      <c r="Z1066" s="50"/>
      <c r="AA1066" s="50"/>
      <c r="AB1066" s="50"/>
      <c r="AC1066" s="50"/>
      <c r="AD1066" s="50"/>
      <c r="AE1066" s="50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65"/>
      <c r="AP1066" s="69"/>
      <c r="AQ1066" s="62"/>
      <c r="AR1066" s="34"/>
    </row>
    <row r="1067" spans="1:44" customFormat="1">
      <c r="A1067" s="39">
        <v>44569</v>
      </c>
      <c r="B1067" s="11" t="s">
        <v>49</v>
      </c>
      <c r="C1067" s="16" t="s">
        <v>4471</v>
      </c>
      <c r="D1067" s="16"/>
      <c r="E1067" s="38">
        <v>29274</v>
      </c>
      <c r="F1067" s="38"/>
      <c r="G1067" s="10" t="s">
        <v>1272</v>
      </c>
      <c r="H1067" s="12" t="s">
        <v>4472</v>
      </c>
      <c r="I1067" s="13" t="s">
        <v>3812</v>
      </c>
      <c r="J1067" s="15" t="s">
        <v>4473</v>
      </c>
      <c r="K1067" s="12"/>
      <c r="L1067" s="11" t="s">
        <v>33</v>
      </c>
      <c r="M1067" s="15" t="s">
        <v>3599</v>
      </c>
      <c r="N1067" s="17">
        <v>14850</v>
      </c>
      <c r="O1067" s="17"/>
      <c r="P1067" s="17"/>
      <c r="Q1067" s="48"/>
      <c r="R1067" s="11"/>
      <c r="S1067" s="48"/>
      <c r="T1067" s="85"/>
      <c r="U1067" s="88"/>
      <c r="V1067" s="32" t="s">
        <v>4474</v>
      </c>
      <c r="W1067" s="25" t="s">
        <v>8</v>
      </c>
      <c r="X1067" s="11"/>
      <c r="Y1067" s="50" t="s">
        <v>13</v>
      </c>
      <c r="Z1067" s="50"/>
      <c r="AA1067" s="50"/>
      <c r="AB1067" s="50"/>
      <c r="AC1067" s="50"/>
      <c r="AD1067" s="50"/>
      <c r="AE1067" s="50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65"/>
      <c r="AP1067" s="69"/>
      <c r="AQ1067" s="62"/>
      <c r="AR1067" s="34"/>
    </row>
    <row r="1068" spans="1:44" customFormat="1">
      <c r="A1068" s="39">
        <v>44569</v>
      </c>
      <c r="B1068" s="11" t="s">
        <v>22</v>
      </c>
      <c r="C1068" s="16" t="s">
        <v>4476</v>
      </c>
      <c r="D1068" s="16"/>
      <c r="E1068" s="38">
        <v>30670</v>
      </c>
      <c r="F1068" s="38"/>
      <c r="G1068" s="10" t="s">
        <v>4477</v>
      </c>
      <c r="H1068" s="12" t="s">
        <v>4478</v>
      </c>
      <c r="I1068" s="13" t="s">
        <v>2950</v>
      </c>
      <c r="J1068" s="15" t="s">
        <v>4475</v>
      </c>
      <c r="K1068" s="12"/>
      <c r="L1068" s="11" t="s">
        <v>36</v>
      </c>
      <c r="M1068" s="15" t="s">
        <v>3599</v>
      </c>
      <c r="N1068" s="17">
        <v>3300</v>
      </c>
      <c r="O1068" s="17"/>
      <c r="P1068" s="17"/>
      <c r="Q1068" s="48"/>
      <c r="R1068" s="11"/>
      <c r="S1068" s="48"/>
      <c r="T1068" s="85"/>
      <c r="U1068" s="88"/>
      <c r="V1068" s="32"/>
      <c r="W1068" s="25" t="s">
        <v>48</v>
      </c>
      <c r="X1068" s="11"/>
      <c r="Y1068" s="50" t="s">
        <v>12</v>
      </c>
      <c r="Z1068" s="50"/>
      <c r="AA1068" s="50"/>
      <c r="AB1068" s="50"/>
      <c r="AC1068" s="50"/>
      <c r="AD1068" s="50"/>
      <c r="AE1068" s="50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65"/>
      <c r="AP1068" s="69"/>
      <c r="AQ1068" s="62"/>
      <c r="AR1068" s="34"/>
    </row>
    <row r="1069" spans="1:44" customFormat="1">
      <c r="A1069" s="39">
        <v>44569</v>
      </c>
      <c r="B1069" s="11" t="s">
        <v>49</v>
      </c>
      <c r="C1069" s="16" t="s">
        <v>4479</v>
      </c>
      <c r="D1069" s="16"/>
      <c r="E1069" s="38">
        <v>27222</v>
      </c>
      <c r="F1069" s="38"/>
      <c r="G1069" s="10" t="s">
        <v>4480</v>
      </c>
      <c r="H1069" s="12" t="s">
        <v>4481</v>
      </c>
      <c r="I1069" s="13" t="s">
        <v>4482</v>
      </c>
      <c r="J1069" s="15" t="s">
        <v>4484</v>
      </c>
      <c r="K1069" s="14" t="s">
        <v>4483</v>
      </c>
      <c r="L1069" s="11" t="s">
        <v>36</v>
      </c>
      <c r="M1069" s="15" t="s">
        <v>3584</v>
      </c>
      <c r="N1069" s="17">
        <v>16500</v>
      </c>
      <c r="O1069" s="17"/>
      <c r="P1069" s="17"/>
      <c r="Q1069" s="48"/>
      <c r="R1069" s="11"/>
      <c r="S1069" s="48"/>
      <c r="T1069" s="85"/>
      <c r="U1069" s="88"/>
      <c r="V1069" s="32"/>
      <c r="W1069" s="25" t="s">
        <v>48</v>
      </c>
      <c r="X1069" s="11"/>
      <c r="Y1069" s="50" t="s">
        <v>13</v>
      </c>
      <c r="Z1069" s="50"/>
      <c r="AA1069" s="50"/>
      <c r="AB1069" s="50"/>
      <c r="AC1069" s="50"/>
      <c r="AD1069" s="50"/>
      <c r="AE1069" s="50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65"/>
      <c r="AP1069" s="69"/>
      <c r="AQ1069" s="62"/>
      <c r="AR1069" s="34"/>
    </row>
    <row r="1070" spans="1:44" customFormat="1">
      <c r="A1070" s="39">
        <v>44569</v>
      </c>
      <c r="B1070" s="11" t="s">
        <v>49</v>
      </c>
      <c r="C1070" s="16" t="s">
        <v>4485</v>
      </c>
      <c r="D1070" s="16"/>
      <c r="E1070" s="38">
        <v>22546</v>
      </c>
      <c r="F1070" s="38"/>
      <c r="G1070" s="10" t="s">
        <v>4487</v>
      </c>
      <c r="H1070" s="12" t="s">
        <v>4488</v>
      </c>
      <c r="I1070" s="13" t="s">
        <v>4489</v>
      </c>
      <c r="J1070" s="15" t="s">
        <v>4491</v>
      </c>
      <c r="K1070" s="14" t="s">
        <v>4490</v>
      </c>
      <c r="L1070" s="11" t="s">
        <v>33</v>
      </c>
      <c r="M1070" s="15" t="s">
        <v>3584</v>
      </c>
      <c r="N1070" s="17">
        <v>11000</v>
      </c>
      <c r="O1070" s="17"/>
      <c r="P1070" s="17"/>
      <c r="Q1070" s="48"/>
      <c r="R1070" s="11"/>
      <c r="S1070" s="48"/>
      <c r="T1070" s="85"/>
      <c r="U1070" s="88"/>
      <c r="V1070" s="32" t="s">
        <v>4626</v>
      </c>
      <c r="W1070" s="25" t="s">
        <v>8</v>
      </c>
      <c r="X1070" s="11"/>
      <c r="Y1070" s="50" t="s">
        <v>16</v>
      </c>
      <c r="Z1070" s="50"/>
      <c r="AA1070" s="50"/>
      <c r="AB1070" s="50"/>
      <c r="AC1070" s="50"/>
      <c r="AD1070" s="50"/>
      <c r="AE1070" s="50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65"/>
      <c r="AP1070" s="69"/>
      <c r="AQ1070" s="62"/>
      <c r="AR1070" s="34"/>
    </row>
    <row r="1071" spans="1:44" customFormat="1">
      <c r="A1071" s="39">
        <v>44569</v>
      </c>
      <c r="B1071" s="11" t="s">
        <v>22</v>
      </c>
      <c r="C1071" s="16" t="s">
        <v>4486</v>
      </c>
      <c r="D1071" s="16"/>
      <c r="E1071" s="38">
        <v>25139</v>
      </c>
      <c r="F1071" s="38"/>
      <c r="G1071" s="10" t="s">
        <v>4487</v>
      </c>
      <c r="H1071" s="12" t="s">
        <v>4488</v>
      </c>
      <c r="I1071" s="13" t="s">
        <v>4489</v>
      </c>
      <c r="J1071" s="15" t="s">
        <v>4492</v>
      </c>
      <c r="K1071" s="12"/>
      <c r="L1071" s="11" t="s">
        <v>39</v>
      </c>
      <c r="M1071" s="15" t="s">
        <v>3599</v>
      </c>
      <c r="N1071" s="17">
        <v>3300</v>
      </c>
      <c r="O1071" s="17"/>
      <c r="P1071" s="17"/>
      <c r="Q1071" s="48"/>
      <c r="R1071" s="11"/>
      <c r="S1071" s="48"/>
      <c r="T1071" s="85"/>
      <c r="U1071" s="88"/>
      <c r="V1071" s="32" t="s">
        <v>4493</v>
      </c>
      <c r="W1071" s="25" t="s">
        <v>8</v>
      </c>
      <c r="X1071" s="11"/>
      <c r="Y1071" s="50" t="s">
        <v>12</v>
      </c>
      <c r="Z1071" s="50"/>
      <c r="AA1071" s="50"/>
      <c r="AB1071" s="50"/>
      <c r="AC1071" s="50"/>
      <c r="AD1071" s="50"/>
      <c r="AE1071" s="50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65"/>
      <c r="AP1071" s="69"/>
      <c r="AQ1071" s="62"/>
      <c r="AR1071" s="34"/>
    </row>
    <row r="1072" spans="1:44" customFormat="1">
      <c r="A1072" s="39">
        <v>44570</v>
      </c>
      <c r="B1072" s="11" t="s">
        <v>22</v>
      </c>
      <c r="C1072" s="16" t="s">
        <v>4494</v>
      </c>
      <c r="D1072" s="16"/>
      <c r="E1072" s="38">
        <v>21353</v>
      </c>
      <c r="F1072" s="38"/>
      <c r="G1072" s="10" t="s">
        <v>406</v>
      </c>
      <c r="H1072" s="12" t="s">
        <v>4496</v>
      </c>
      <c r="I1072" s="13" t="s">
        <v>2334</v>
      </c>
      <c r="J1072" s="15" t="s">
        <v>4497</v>
      </c>
      <c r="K1072" s="12"/>
      <c r="L1072" s="11" t="s">
        <v>36</v>
      </c>
      <c r="M1072" s="15" t="s">
        <v>3599</v>
      </c>
      <c r="N1072" s="17">
        <v>3300</v>
      </c>
      <c r="O1072" s="17"/>
      <c r="P1072" s="17"/>
      <c r="Q1072" s="48"/>
      <c r="R1072" s="11"/>
      <c r="S1072" s="48"/>
      <c r="T1072" s="85"/>
      <c r="U1072" s="88"/>
      <c r="V1072" s="32"/>
      <c r="W1072" s="25" t="s">
        <v>10</v>
      </c>
      <c r="X1072" s="11"/>
      <c r="Y1072" s="50" t="s">
        <v>12</v>
      </c>
      <c r="Z1072" s="50"/>
      <c r="AA1072" s="50"/>
      <c r="AB1072" s="50"/>
      <c r="AC1072" s="50"/>
      <c r="AD1072" s="50"/>
      <c r="AE1072" s="50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65"/>
      <c r="AP1072" s="69"/>
      <c r="AQ1072" s="62"/>
      <c r="AR1072" s="34"/>
    </row>
    <row r="1073" spans="1:44" customFormat="1">
      <c r="A1073" s="39">
        <v>44570</v>
      </c>
      <c r="B1073" s="11" t="s">
        <v>22</v>
      </c>
      <c r="C1073" s="16" t="s">
        <v>4495</v>
      </c>
      <c r="D1073" s="16"/>
      <c r="E1073" s="38">
        <v>24009</v>
      </c>
      <c r="F1073" s="38"/>
      <c r="G1073" s="10" t="s">
        <v>406</v>
      </c>
      <c r="H1073" s="12" t="s">
        <v>4496</v>
      </c>
      <c r="I1073" s="13" t="s">
        <v>2334</v>
      </c>
      <c r="J1073" s="15" t="s">
        <v>4497</v>
      </c>
      <c r="K1073" s="12"/>
      <c r="L1073" s="11"/>
      <c r="M1073" s="15" t="s">
        <v>3599</v>
      </c>
      <c r="N1073" s="17">
        <v>3300</v>
      </c>
      <c r="O1073" s="17"/>
      <c r="P1073" s="17"/>
      <c r="Q1073" s="48"/>
      <c r="R1073" s="11"/>
      <c r="S1073" s="48"/>
      <c r="T1073" s="85"/>
      <c r="U1073" s="88"/>
      <c r="V1073" s="32"/>
      <c r="W1073" s="25" t="s">
        <v>10</v>
      </c>
      <c r="X1073" s="11"/>
      <c r="Y1073" s="50"/>
      <c r="Z1073" s="50"/>
      <c r="AA1073" s="50"/>
      <c r="AB1073" s="50"/>
      <c r="AC1073" s="50"/>
      <c r="AD1073" s="50"/>
      <c r="AE1073" s="50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65"/>
      <c r="AP1073" s="69"/>
      <c r="AQ1073" s="62"/>
      <c r="AR1073" s="34"/>
    </row>
    <row r="1074" spans="1:44" customFormat="1">
      <c r="A1074" s="39">
        <v>44570</v>
      </c>
      <c r="B1074" s="11" t="s">
        <v>49</v>
      </c>
      <c r="C1074" s="16" t="s">
        <v>4498</v>
      </c>
      <c r="D1074" s="16"/>
      <c r="E1074" s="38">
        <v>27797</v>
      </c>
      <c r="F1074" s="38"/>
      <c r="G1074" s="10" t="s">
        <v>901</v>
      </c>
      <c r="H1074" s="12" t="s">
        <v>4499</v>
      </c>
      <c r="I1074" s="13" t="s">
        <v>3463</v>
      </c>
      <c r="J1074" s="15" t="s">
        <v>4501</v>
      </c>
      <c r="K1074" s="14" t="s">
        <v>4500</v>
      </c>
      <c r="L1074" s="11" t="s">
        <v>33</v>
      </c>
      <c r="M1074" s="15" t="s">
        <v>3629</v>
      </c>
      <c r="N1074" s="17">
        <v>16500</v>
      </c>
      <c r="O1074" s="17"/>
      <c r="P1074" s="17"/>
      <c r="Q1074" s="48"/>
      <c r="R1074" s="11"/>
      <c r="S1074" s="48"/>
      <c r="T1074" s="85"/>
      <c r="U1074" s="88"/>
      <c r="V1074" s="32"/>
      <c r="W1074" s="25" t="s">
        <v>8</v>
      </c>
      <c r="X1074" s="11"/>
      <c r="Y1074" s="50" t="s">
        <v>12</v>
      </c>
      <c r="Z1074" s="50"/>
      <c r="AA1074" s="50"/>
      <c r="AB1074" s="50"/>
      <c r="AC1074" s="50"/>
      <c r="AD1074" s="50"/>
      <c r="AE1074" s="50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65"/>
      <c r="AP1074" s="69"/>
      <c r="AQ1074" s="62"/>
      <c r="AR1074" s="34"/>
    </row>
    <row r="1075" spans="1:44" customFormat="1">
      <c r="A1075" s="39">
        <v>44571</v>
      </c>
      <c r="B1075" s="11" t="s">
        <v>22</v>
      </c>
      <c r="C1075" s="16" t="s">
        <v>4502</v>
      </c>
      <c r="D1075" s="16"/>
      <c r="E1075" s="38">
        <v>27862</v>
      </c>
      <c r="F1075" s="38"/>
      <c r="G1075" s="10" t="s">
        <v>4503</v>
      </c>
      <c r="H1075" s="12" t="s">
        <v>4504</v>
      </c>
      <c r="I1075" s="13" t="s">
        <v>1911</v>
      </c>
      <c r="J1075" s="15" t="s">
        <v>4506</v>
      </c>
      <c r="K1075" s="14" t="s">
        <v>4505</v>
      </c>
      <c r="L1075" s="11" t="s">
        <v>33</v>
      </c>
      <c r="M1075" s="15" t="s">
        <v>3584</v>
      </c>
      <c r="N1075" s="17">
        <v>3300</v>
      </c>
      <c r="O1075" s="17"/>
      <c r="P1075" s="17"/>
      <c r="Q1075" s="48"/>
      <c r="R1075" s="11"/>
      <c r="S1075" s="48"/>
      <c r="T1075" s="85"/>
      <c r="U1075" s="88"/>
      <c r="V1075" s="32"/>
      <c r="W1075" s="25" t="s">
        <v>48</v>
      </c>
      <c r="X1075" s="11"/>
      <c r="Y1075" s="50" t="s">
        <v>11</v>
      </c>
      <c r="Z1075" s="50"/>
      <c r="AA1075" s="50"/>
      <c r="AB1075" s="50"/>
      <c r="AC1075" s="50"/>
      <c r="AD1075" s="50"/>
      <c r="AE1075" s="50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65"/>
      <c r="AP1075" s="69"/>
      <c r="AQ1075" s="62"/>
      <c r="AR1075" s="34"/>
    </row>
    <row r="1076" spans="1:44" customFormat="1">
      <c r="A1076" s="39">
        <v>44571</v>
      </c>
      <c r="B1076" s="11" t="s">
        <v>2171</v>
      </c>
      <c r="C1076" s="16" t="s">
        <v>4494</v>
      </c>
      <c r="D1076" s="16"/>
      <c r="E1076" s="38"/>
      <c r="F1076" s="38"/>
      <c r="G1076" s="10"/>
      <c r="H1076" s="12"/>
      <c r="I1076" s="13"/>
      <c r="J1076" s="15" t="s">
        <v>4497</v>
      </c>
      <c r="K1076" s="12"/>
      <c r="L1076" s="11"/>
      <c r="M1076" s="15"/>
      <c r="N1076" s="17">
        <v>3300</v>
      </c>
      <c r="O1076" s="17"/>
      <c r="P1076" s="17"/>
      <c r="Q1076" s="48"/>
      <c r="R1076" s="11"/>
      <c r="S1076" s="48"/>
      <c r="T1076" s="85"/>
      <c r="U1076" s="88"/>
      <c r="V1076" s="32" t="s">
        <v>4507</v>
      </c>
      <c r="W1076" s="25"/>
      <c r="X1076" s="11"/>
      <c r="Y1076" s="50"/>
      <c r="Z1076" s="50"/>
      <c r="AA1076" s="50"/>
      <c r="AB1076" s="50"/>
      <c r="AC1076" s="50"/>
      <c r="AD1076" s="50"/>
      <c r="AE1076" s="50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65"/>
      <c r="AP1076" s="69"/>
      <c r="AQ1076" s="62"/>
      <c r="AR1076" s="34"/>
    </row>
    <row r="1077" spans="1:44" customFormat="1">
      <c r="A1077" s="39">
        <v>44574</v>
      </c>
      <c r="B1077" s="11" t="s">
        <v>49</v>
      </c>
      <c r="C1077" s="16" t="s">
        <v>4508</v>
      </c>
      <c r="D1077" s="16"/>
      <c r="E1077" s="38">
        <v>23716</v>
      </c>
      <c r="F1077" s="38"/>
      <c r="G1077" s="10" t="s">
        <v>4509</v>
      </c>
      <c r="H1077" s="12" t="s">
        <v>4510</v>
      </c>
      <c r="I1077" s="13" t="s">
        <v>3280</v>
      </c>
      <c r="J1077" s="15" t="s">
        <v>4512</v>
      </c>
      <c r="K1077" s="14" t="s">
        <v>4511</v>
      </c>
      <c r="L1077" s="11" t="s">
        <v>34</v>
      </c>
      <c r="M1077" s="15" t="s">
        <v>3584</v>
      </c>
      <c r="N1077" s="17">
        <v>14850</v>
      </c>
      <c r="O1077" s="17"/>
      <c r="P1077" s="17"/>
      <c r="Q1077" s="48"/>
      <c r="R1077" s="11"/>
      <c r="S1077" s="48"/>
      <c r="T1077" s="85"/>
      <c r="U1077" s="88"/>
      <c r="V1077" s="32" t="s">
        <v>4513</v>
      </c>
      <c r="W1077" s="25" t="s">
        <v>8</v>
      </c>
      <c r="X1077" s="11"/>
      <c r="Y1077" s="50"/>
      <c r="Z1077" s="50"/>
      <c r="AA1077" s="50"/>
      <c r="AB1077" s="50"/>
      <c r="AC1077" s="50"/>
      <c r="AD1077" s="50"/>
      <c r="AE1077" s="50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65"/>
      <c r="AP1077" s="69"/>
      <c r="AQ1077" s="62"/>
      <c r="AR1077" s="34"/>
    </row>
    <row r="1078" spans="1:44" customFormat="1">
      <c r="A1078" s="39">
        <v>44574</v>
      </c>
      <c r="B1078" s="11" t="s">
        <v>22</v>
      </c>
      <c r="C1078" s="16" t="s">
        <v>4514</v>
      </c>
      <c r="D1078" s="16"/>
      <c r="E1078" s="38">
        <v>26578</v>
      </c>
      <c r="F1078" s="38"/>
      <c r="G1078" s="10" t="s">
        <v>4515</v>
      </c>
      <c r="H1078" s="12" t="s">
        <v>4518</v>
      </c>
      <c r="I1078" s="13" t="s">
        <v>4516</v>
      </c>
      <c r="J1078" s="15" t="s">
        <v>4517</v>
      </c>
      <c r="K1078" s="12"/>
      <c r="L1078" s="11" t="s">
        <v>33</v>
      </c>
      <c r="M1078" s="15" t="s">
        <v>3599</v>
      </c>
      <c r="N1078" s="17">
        <v>3300</v>
      </c>
      <c r="O1078" s="17"/>
      <c r="P1078" s="17"/>
      <c r="Q1078" s="48"/>
      <c r="R1078" s="11"/>
      <c r="S1078" s="48"/>
      <c r="T1078" s="85"/>
      <c r="U1078" s="88"/>
      <c r="V1078" s="32"/>
      <c r="W1078" s="25" t="s">
        <v>8</v>
      </c>
      <c r="X1078" s="11"/>
      <c r="Y1078" s="50" t="s">
        <v>14</v>
      </c>
      <c r="Z1078" s="50"/>
      <c r="AA1078" s="50"/>
      <c r="AB1078" s="50"/>
      <c r="AC1078" s="50"/>
      <c r="AD1078" s="50"/>
      <c r="AE1078" s="50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65"/>
      <c r="AP1078" s="69"/>
      <c r="AQ1078" s="62"/>
      <c r="AR1078" s="34"/>
    </row>
    <row r="1079" spans="1:44" customFormat="1">
      <c r="A1079" s="39">
        <v>44574</v>
      </c>
      <c r="B1079" s="11" t="s">
        <v>49</v>
      </c>
      <c r="C1079" s="16" t="s">
        <v>124</v>
      </c>
      <c r="D1079" s="16"/>
      <c r="E1079" s="38"/>
      <c r="F1079" s="38"/>
      <c r="G1079" s="10" t="s">
        <v>125</v>
      </c>
      <c r="H1079" s="12" t="s">
        <v>126</v>
      </c>
      <c r="I1079" s="13" t="s">
        <v>1623</v>
      </c>
      <c r="J1079" s="15" t="s">
        <v>127</v>
      </c>
      <c r="K1079" s="12"/>
      <c r="L1079" s="11"/>
      <c r="M1079" s="15"/>
      <c r="N1079" s="17">
        <v>0</v>
      </c>
      <c r="O1079" s="17"/>
      <c r="P1079" s="17"/>
      <c r="Q1079" s="48"/>
      <c r="R1079" s="11"/>
      <c r="S1079" s="48"/>
      <c r="T1079" s="85"/>
      <c r="U1079" s="88"/>
      <c r="V1079" s="32" t="s">
        <v>4527</v>
      </c>
      <c r="W1079" s="25"/>
      <c r="X1079" s="11"/>
      <c r="Y1079" s="50"/>
      <c r="Z1079" s="50"/>
      <c r="AA1079" s="50"/>
      <c r="AB1079" s="50"/>
      <c r="AC1079" s="50"/>
      <c r="AD1079" s="50"/>
      <c r="AE1079" s="50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65"/>
      <c r="AP1079" s="69"/>
      <c r="AQ1079" s="62"/>
      <c r="AR1079" s="34"/>
    </row>
    <row r="1080" spans="1:44" customFormat="1">
      <c r="A1080" s="39">
        <v>44575</v>
      </c>
      <c r="B1080" s="11" t="s">
        <v>22</v>
      </c>
      <c r="C1080" s="16" t="s">
        <v>1464</v>
      </c>
      <c r="D1080" s="16"/>
      <c r="E1080" s="38"/>
      <c r="F1080" s="38"/>
      <c r="G1080" s="10"/>
      <c r="H1080" s="12"/>
      <c r="I1080" s="13"/>
      <c r="J1080" s="15"/>
      <c r="K1080" s="12"/>
      <c r="L1080" s="11"/>
      <c r="M1080" s="15"/>
      <c r="N1080" s="17">
        <v>3300</v>
      </c>
      <c r="O1080" s="17"/>
      <c r="P1080" s="17"/>
      <c r="Q1080" s="48"/>
      <c r="R1080" s="11"/>
      <c r="S1080" s="48"/>
      <c r="T1080" s="85"/>
      <c r="U1080" s="88"/>
      <c r="V1080" s="32" t="s">
        <v>4519</v>
      </c>
      <c r="W1080" s="25"/>
      <c r="X1080" s="11"/>
      <c r="Y1080" s="50"/>
      <c r="Z1080" s="50"/>
      <c r="AA1080" s="50"/>
      <c r="AB1080" s="50"/>
      <c r="AC1080" s="50"/>
      <c r="AD1080" s="50"/>
      <c r="AE1080" s="50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65"/>
      <c r="AP1080" s="69"/>
      <c r="AQ1080" s="62"/>
      <c r="AR1080" s="34"/>
    </row>
    <row r="1081" spans="1:44" customFormat="1">
      <c r="A1081" s="39">
        <v>44575</v>
      </c>
      <c r="B1081" s="11" t="s">
        <v>2170</v>
      </c>
      <c r="C1081" s="16" t="s">
        <v>4520</v>
      </c>
      <c r="D1081" s="16"/>
      <c r="E1081" s="38"/>
      <c r="F1081" s="38"/>
      <c r="G1081" s="10"/>
      <c r="H1081" s="12"/>
      <c r="I1081" s="13"/>
      <c r="J1081" s="15"/>
      <c r="K1081" s="12"/>
      <c r="L1081" s="11"/>
      <c r="M1081" s="15"/>
      <c r="N1081" s="17">
        <v>0</v>
      </c>
      <c r="O1081" s="17"/>
      <c r="P1081" s="17"/>
      <c r="Q1081" s="48"/>
      <c r="R1081" s="11"/>
      <c r="S1081" s="48"/>
      <c r="T1081" s="85"/>
      <c r="U1081" s="88"/>
      <c r="V1081" s="32" t="s">
        <v>4521</v>
      </c>
      <c r="W1081" s="25"/>
      <c r="X1081" s="11"/>
      <c r="Y1081" s="50"/>
      <c r="Z1081" s="50"/>
      <c r="AA1081" s="50"/>
      <c r="AB1081" s="50"/>
      <c r="AC1081" s="50"/>
      <c r="AD1081" s="50"/>
      <c r="AE1081" s="50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65"/>
      <c r="AP1081" s="69"/>
      <c r="AQ1081" s="62"/>
      <c r="AR1081" s="34"/>
    </row>
    <row r="1082" spans="1:44" customFormat="1">
      <c r="A1082" s="39">
        <v>44575</v>
      </c>
      <c r="B1082" s="11" t="s">
        <v>22</v>
      </c>
      <c r="C1082" s="16" t="s">
        <v>4522</v>
      </c>
      <c r="D1082" s="16"/>
      <c r="E1082" s="38">
        <v>32462</v>
      </c>
      <c r="F1082" s="38"/>
      <c r="G1082" s="10" t="s">
        <v>4523</v>
      </c>
      <c r="H1082" s="12" t="s">
        <v>4524</v>
      </c>
      <c r="I1082" s="13" t="s">
        <v>4525</v>
      </c>
      <c r="J1082" s="15" t="s">
        <v>4526</v>
      </c>
      <c r="K1082" s="12"/>
      <c r="L1082" s="11" t="s">
        <v>39</v>
      </c>
      <c r="M1082" s="15"/>
      <c r="N1082" s="17">
        <v>3300</v>
      </c>
      <c r="O1082" s="17"/>
      <c r="P1082" s="17"/>
      <c r="Q1082" s="48"/>
      <c r="R1082" s="11"/>
      <c r="S1082" s="48"/>
      <c r="T1082" s="85"/>
      <c r="U1082" s="88"/>
      <c r="V1082" s="32"/>
      <c r="W1082" s="25" t="s">
        <v>8</v>
      </c>
      <c r="X1082" s="11"/>
      <c r="Y1082" s="50"/>
      <c r="Z1082" s="50"/>
      <c r="AA1082" s="50"/>
      <c r="AB1082" s="50"/>
      <c r="AC1082" s="50"/>
      <c r="AD1082" s="50"/>
      <c r="AE1082" s="50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65"/>
      <c r="AP1082" s="69"/>
      <c r="AQ1082" s="62"/>
      <c r="AR1082" s="34"/>
    </row>
    <row r="1083" spans="1:44" customFormat="1">
      <c r="A1083" s="39">
        <v>44576</v>
      </c>
      <c r="B1083" s="11" t="s">
        <v>22</v>
      </c>
      <c r="C1083" s="16" t="s">
        <v>4528</v>
      </c>
      <c r="D1083" s="16"/>
      <c r="E1083" s="38">
        <v>26935</v>
      </c>
      <c r="F1083" s="38"/>
      <c r="G1083" s="10" t="s">
        <v>795</v>
      </c>
      <c r="H1083" s="12" t="s">
        <v>4550</v>
      </c>
      <c r="I1083" s="13" t="s">
        <v>2919</v>
      </c>
      <c r="J1083" s="15" t="s">
        <v>4529</v>
      </c>
      <c r="K1083" s="12"/>
      <c r="L1083" s="11" t="s">
        <v>36</v>
      </c>
      <c r="M1083" s="15" t="s">
        <v>3629</v>
      </c>
      <c r="N1083" s="17">
        <v>3300</v>
      </c>
      <c r="O1083" s="17"/>
      <c r="P1083" s="17"/>
      <c r="Q1083" s="48"/>
      <c r="R1083" s="11"/>
      <c r="S1083" s="48"/>
      <c r="T1083" s="85"/>
      <c r="U1083" s="88"/>
      <c r="V1083" s="32"/>
      <c r="W1083" s="25" t="s">
        <v>48</v>
      </c>
      <c r="X1083" s="11"/>
      <c r="Y1083" s="50" t="s">
        <v>12</v>
      </c>
      <c r="Z1083" s="50"/>
      <c r="AA1083" s="50"/>
      <c r="AB1083" s="50"/>
      <c r="AC1083" s="50"/>
      <c r="AD1083" s="50"/>
      <c r="AE1083" s="50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65"/>
      <c r="AP1083" s="69"/>
      <c r="AQ1083" s="62"/>
      <c r="AR1083" s="34"/>
    </row>
    <row r="1084" spans="1:44" customFormat="1">
      <c r="A1084" s="39">
        <v>44576</v>
      </c>
      <c r="B1084" s="11" t="s">
        <v>22</v>
      </c>
      <c r="C1084" s="16" t="s">
        <v>4532</v>
      </c>
      <c r="D1084" s="16"/>
      <c r="E1084" s="38">
        <v>33060</v>
      </c>
      <c r="F1084" s="38"/>
      <c r="G1084" s="10" t="s">
        <v>4530</v>
      </c>
      <c r="H1084" s="12" t="s">
        <v>4531</v>
      </c>
      <c r="I1084" s="13" t="s">
        <v>3542</v>
      </c>
      <c r="J1084" s="15" t="s">
        <v>4533</v>
      </c>
      <c r="K1084" s="12"/>
      <c r="L1084" s="11" t="s">
        <v>36</v>
      </c>
      <c r="M1084" s="15" t="s">
        <v>3629</v>
      </c>
      <c r="N1084" s="17">
        <v>3300</v>
      </c>
      <c r="O1084" s="17"/>
      <c r="P1084" s="17"/>
      <c r="Q1084" s="48"/>
      <c r="R1084" s="11"/>
      <c r="S1084" s="48"/>
      <c r="T1084" s="85"/>
      <c r="U1084" s="88"/>
      <c r="V1084" s="32"/>
      <c r="W1084" s="25" t="s">
        <v>48</v>
      </c>
      <c r="X1084" s="11"/>
      <c r="Y1084" s="50" t="s">
        <v>12</v>
      </c>
      <c r="Z1084" s="50"/>
      <c r="AA1084" s="50"/>
      <c r="AB1084" s="50"/>
      <c r="AC1084" s="50"/>
      <c r="AD1084" s="50"/>
      <c r="AE1084" s="50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65"/>
      <c r="AP1084" s="69"/>
      <c r="AQ1084" s="62"/>
      <c r="AR1084" s="34"/>
    </row>
    <row r="1085" spans="1:44" customFormat="1">
      <c r="A1085" s="39">
        <v>44577</v>
      </c>
      <c r="B1085" s="11" t="s">
        <v>49</v>
      </c>
      <c r="C1085" s="16" t="s">
        <v>4534</v>
      </c>
      <c r="D1085" s="16"/>
      <c r="E1085" s="38"/>
      <c r="F1085" s="38"/>
      <c r="G1085" s="10"/>
      <c r="H1085" s="12"/>
      <c r="I1085" s="13"/>
      <c r="J1085" s="15"/>
      <c r="K1085" s="12"/>
      <c r="L1085" s="11"/>
      <c r="M1085" s="15"/>
      <c r="N1085" s="17">
        <v>16500</v>
      </c>
      <c r="O1085" s="17"/>
      <c r="P1085" s="17"/>
      <c r="Q1085" s="48"/>
      <c r="R1085" s="11"/>
      <c r="S1085" s="48"/>
      <c r="T1085" s="85"/>
      <c r="U1085" s="88"/>
      <c r="V1085" s="32" t="s">
        <v>4556</v>
      </c>
      <c r="W1085" s="25"/>
      <c r="X1085" s="11"/>
      <c r="Y1085" s="50"/>
      <c r="Z1085" s="50"/>
      <c r="AA1085" s="50"/>
      <c r="AB1085" s="50"/>
      <c r="AC1085" s="50"/>
      <c r="AD1085" s="50"/>
      <c r="AE1085" s="50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65"/>
      <c r="AP1085" s="69"/>
      <c r="AQ1085" s="62"/>
      <c r="AR1085" s="34"/>
    </row>
    <row r="1086" spans="1:44" customFormat="1">
      <c r="A1086" s="39">
        <v>44577</v>
      </c>
      <c r="B1086" s="11" t="s">
        <v>49</v>
      </c>
      <c r="C1086" s="16" t="s">
        <v>4535</v>
      </c>
      <c r="D1086" s="16"/>
      <c r="E1086" s="38">
        <v>23752</v>
      </c>
      <c r="F1086" s="38"/>
      <c r="G1086" s="10" t="s">
        <v>4536</v>
      </c>
      <c r="H1086" s="12" t="s">
        <v>4537</v>
      </c>
      <c r="I1086" s="13" t="s">
        <v>4538</v>
      </c>
      <c r="J1086" s="15" t="s">
        <v>4539</v>
      </c>
      <c r="K1086" s="12"/>
      <c r="L1086" s="11" t="s">
        <v>37</v>
      </c>
      <c r="M1086" s="15" t="s">
        <v>3584</v>
      </c>
      <c r="N1086" s="17">
        <v>22000</v>
      </c>
      <c r="O1086" s="17"/>
      <c r="P1086" s="17"/>
      <c r="Q1086" s="48"/>
      <c r="R1086" s="11"/>
      <c r="S1086" s="48"/>
      <c r="T1086" s="85"/>
      <c r="U1086" s="88"/>
      <c r="V1086" s="32"/>
      <c r="W1086" s="25" t="s">
        <v>48</v>
      </c>
      <c r="X1086" s="11"/>
      <c r="Y1086" s="50" t="s">
        <v>13</v>
      </c>
      <c r="Z1086" s="50"/>
      <c r="AA1086" s="50"/>
      <c r="AB1086" s="50"/>
      <c r="AC1086" s="50"/>
      <c r="AD1086" s="50"/>
      <c r="AE1086" s="50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65"/>
      <c r="AP1086" s="69"/>
      <c r="AQ1086" s="62"/>
      <c r="AR1086" s="34"/>
    </row>
    <row r="1087" spans="1:44" customFormat="1">
      <c r="A1087" s="39">
        <v>44577</v>
      </c>
      <c r="B1087" s="11" t="s">
        <v>22</v>
      </c>
      <c r="C1087" s="5" t="s">
        <v>4540</v>
      </c>
      <c r="D1087" s="5"/>
      <c r="E1087" s="38">
        <v>23859</v>
      </c>
      <c r="F1087" s="38"/>
      <c r="G1087" s="10" t="s">
        <v>2034</v>
      </c>
      <c r="H1087" s="12" t="s">
        <v>4541</v>
      </c>
      <c r="I1087" s="13" t="s">
        <v>2571</v>
      </c>
      <c r="J1087" s="15" t="s">
        <v>4545</v>
      </c>
      <c r="K1087" s="12"/>
      <c r="L1087" s="11" t="s">
        <v>36</v>
      </c>
      <c r="M1087" s="15" t="s">
        <v>3599</v>
      </c>
      <c r="N1087" s="17">
        <v>3300</v>
      </c>
      <c r="O1087" s="17"/>
      <c r="P1087" s="17"/>
      <c r="Q1087" s="48"/>
      <c r="R1087" s="11"/>
      <c r="S1087" s="48"/>
      <c r="T1087" s="85"/>
      <c r="U1087" s="88"/>
      <c r="V1087" s="32" t="s">
        <v>4547</v>
      </c>
      <c r="W1087" s="25" t="s">
        <v>8</v>
      </c>
      <c r="X1087" s="11"/>
      <c r="Y1087" s="50" t="s">
        <v>12</v>
      </c>
      <c r="Z1087" s="50"/>
      <c r="AA1087" s="50"/>
      <c r="AB1087" s="50"/>
      <c r="AC1087" s="50"/>
      <c r="AD1087" s="50"/>
      <c r="AE1087" s="50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65"/>
      <c r="AP1087" s="69"/>
      <c r="AQ1087" s="62"/>
      <c r="AR1087" s="34"/>
    </row>
    <row r="1088" spans="1:44" customFormat="1">
      <c r="A1088" s="39">
        <v>44577</v>
      </c>
      <c r="B1088" s="11" t="s">
        <v>22</v>
      </c>
      <c r="C1088" s="16" t="s">
        <v>4542</v>
      </c>
      <c r="D1088" s="16"/>
      <c r="E1088" s="38">
        <v>33728</v>
      </c>
      <c r="F1088" s="38"/>
      <c r="G1088" s="10" t="s">
        <v>4543</v>
      </c>
      <c r="H1088" s="12" t="s">
        <v>4544</v>
      </c>
      <c r="I1088" s="13" t="s">
        <v>3764</v>
      </c>
      <c r="J1088" s="15" t="s">
        <v>4546</v>
      </c>
      <c r="K1088" s="12"/>
      <c r="L1088" s="11" t="s">
        <v>36</v>
      </c>
      <c r="M1088" s="15" t="s">
        <v>3599</v>
      </c>
      <c r="N1088" s="17">
        <v>3300</v>
      </c>
      <c r="O1088" s="17"/>
      <c r="P1088" s="17"/>
      <c r="Q1088" s="48"/>
      <c r="R1088" s="11"/>
      <c r="S1088" s="48"/>
      <c r="T1088" s="85"/>
      <c r="U1088" s="88"/>
      <c r="V1088" s="32" t="s">
        <v>4547</v>
      </c>
      <c r="W1088" s="25" t="s">
        <v>8</v>
      </c>
      <c r="X1088" s="11"/>
      <c r="Y1088" s="50" t="s">
        <v>14</v>
      </c>
      <c r="Z1088" s="50"/>
      <c r="AA1088" s="50"/>
      <c r="AB1088" s="50"/>
      <c r="AC1088" s="50"/>
      <c r="AD1088" s="50"/>
      <c r="AE1088" s="50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65"/>
      <c r="AP1088" s="69"/>
      <c r="AQ1088" s="62"/>
      <c r="AR1088" s="34"/>
    </row>
    <row r="1089" spans="1:44" customFormat="1">
      <c r="A1089" s="39">
        <v>44577</v>
      </c>
      <c r="B1089" s="11" t="s">
        <v>22</v>
      </c>
      <c r="C1089" s="16" t="s">
        <v>4548</v>
      </c>
      <c r="D1089" s="16"/>
      <c r="E1089" s="38">
        <v>29857</v>
      </c>
      <c r="F1089" s="38"/>
      <c r="G1089" s="10" t="s">
        <v>4549</v>
      </c>
      <c r="H1089" s="12" t="s">
        <v>4552</v>
      </c>
      <c r="I1089" s="13" t="s">
        <v>4553</v>
      </c>
      <c r="J1089" s="15" t="s">
        <v>4555</v>
      </c>
      <c r="K1089" s="14" t="s">
        <v>4554</v>
      </c>
      <c r="L1089" s="11" t="s">
        <v>35</v>
      </c>
      <c r="M1089" s="15" t="s">
        <v>3584</v>
      </c>
      <c r="N1089" s="17">
        <v>3300</v>
      </c>
      <c r="O1089" s="17"/>
      <c r="P1089" s="17"/>
      <c r="Q1089" s="48"/>
      <c r="R1089" s="11"/>
      <c r="S1089" s="48"/>
      <c r="T1089" s="85"/>
      <c r="U1089" s="88"/>
      <c r="V1089" s="32"/>
      <c r="W1089" s="25" t="s">
        <v>9</v>
      </c>
      <c r="X1089" s="11"/>
      <c r="Y1089" s="50" t="s">
        <v>12</v>
      </c>
      <c r="Z1089" s="50"/>
      <c r="AA1089" s="50"/>
      <c r="AB1089" s="50"/>
      <c r="AC1089" s="50"/>
      <c r="AD1089" s="50"/>
      <c r="AE1089" s="50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65"/>
      <c r="AP1089" s="69"/>
      <c r="AQ1089" s="62"/>
      <c r="AR1089" s="34"/>
    </row>
    <row r="1090" spans="1:44" customFormat="1">
      <c r="A1090" s="39">
        <v>44580</v>
      </c>
      <c r="B1090" s="11" t="s">
        <v>22</v>
      </c>
      <c r="C1090" s="16" t="s">
        <v>4557</v>
      </c>
      <c r="D1090" s="16"/>
      <c r="E1090" s="38">
        <v>34532</v>
      </c>
      <c r="F1090" s="38"/>
      <c r="G1090" s="10" t="s">
        <v>4558</v>
      </c>
      <c r="H1090" s="12" t="s">
        <v>4559</v>
      </c>
      <c r="I1090" s="13" t="s">
        <v>4560</v>
      </c>
      <c r="J1090" s="15" t="s">
        <v>4562</v>
      </c>
      <c r="K1090" s="14" t="s">
        <v>4561</v>
      </c>
      <c r="L1090" s="11"/>
      <c r="M1090" s="15"/>
      <c r="N1090" s="17">
        <v>2200</v>
      </c>
      <c r="O1090" s="17"/>
      <c r="P1090" s="17"/>
      <c r="Q1090" s="48"/>
      <c r="R1090" s="11"/>
      <c r="S1090" s="48"/>
      <c r="T1090" s="85"/>
      <c r="U1090" s="88"/>
      <c r="V1090" s="32" t="s">
        <v>4563</v>
      </c>
      <c r="W1090" s="25" t="s">
        <v>8</v>
      </c>
      <c r="X1090" s="11"/>
      <c r="Y1090" s="50" t="s">
        <v>12</v>
      </c>
      <c r="Z1090" s="50"/>
      <c r="AA1090" s="50"/>
      <c r="AB1090" s="50"/>
      <c r="AC1090" s="50"/>
      <c r="AD1090" s="50"/>
      <c r="AE1090" s="50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65"/>
      <c r="AP1090" s="69"/>
      <c r="AQ1090" s="62"/>
      <c r="AR1090" s="34"/>
    </row>
    <row r="1091" spans="1:44" customFormat="1">
      <c r="A1091" s="39">
        <v>44580</v>
      </c>
      <c r="B1091" s="11" t="s">
        <v>49</v>
      </c>
      <c r="C1091" s="16" t="s">
        <v>4564</v>
      </c>
      <c r="D1091" s="16"/>
      <c r="E1091" s="38">
        <v>22411</v>
      </c>
      <c r="F1091" s="38"/>
      <c r="G1091" s="10" t="s">
        <v>4565</v>
      </c>
      <c r="H1091" s="12" t="s">
        <v>4566</v>
      </c>
      <c r="I1091" s="13" t="s">
        <v>1862</v>
      </c>
      <c r="J1091" s="15" t="s">
        <v>4568</v>
      </c>
      <c r="K1091" s="14" t="s">
        <v>4567</v>
      </c>
      <c r="L1091" s="11" t="s">
        <v>33</v>
      </c>
      <c r="M1091" s="15" t="s">
        <v>3584</v>
      </c>
      <c r="N1091" s="17">
        <v>14850</v>
      </c>
      <c r="O1091" s="17"/>
      <c r="P1091" s="17"/>
      <c r="Q1091" s="48"/>
      <c r="R1091" s="11"/>
      <c r="S1091" s="48"/>
      <c r="T1091" s="85"/>
      <c r="U1091" s="88"/>
      <c r="V1091" s="32" t="s">
        <v>4569</v>
      </c>
      <c r="W1091" s="25" t="s">
        <v>8</v>
      </c>
      <c r="X1091" s="11"/>
      <c r="Y1091" s="50"/>
      <c r="Z1091" s="50"/>
      <c r="AA1091" s="50"/>
      <c r="AB1091" s="50"/>
      <c r="AC1091" s="50"/>
      <c r="AD1091" s="50"/>
      <c r="AE1091" s="50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65"/>
      <c r="AP1091" s="69"/>
      <c r="AQ1091" s="62"/>
      <c r="AR1091" s="34"/>
    </row>
    <row r="1092" spans="1:44" customFormat="1">
      <c r="A1092" s="39">
        <v>44582</v>
      </c>
      <c r="B1092" s="11" t="s">
        <v>22</v>
      </c>
      <c r="C1092" s="16" t="s">
        <v>4570</v>
      </c>
      <c r="D1092" s="16"/>
      <c r="E1092" s="38">
        <v>26089</v>
      </c>
      <c r="F1092" s="38"/>
      <c r="G1092" s="10" t="s">
        <v>4571</v>
      </c>
      <c r="H1092" s="12" t="s">
        <v>4572</v>
      </c>
      <c r="I1092" s="13" t="s">
        <v>3262</v>
      </c>
      <c r="J1092" s="15" t="s">
        <v>4573</v>
      </c>
      <c r="K1092" s="12"/>
      <c r="L1092" s="11" t="s">
        <v>33</v>
      </c>
      <c r="M1092" s="15" t="s">
        <v>3599</v>
      </c>
      <c r="N1092" s="17">
        <v>3300</v>
      </c>
      <c r="O1092" s="17"/>
      <c r="P1092" s="17"/>
      <c r="Q1092" s="48"/>
      <c r="R1092" s="11"/>
      <c r="S1092" s="48"/>
      <c r="T1092" s="85"/>
      <c r="U1092" s="88"/>
      <c r="V1092" s="32" t="s">
        <v>4574</v>
      </c>
      <c r="W1092" s="25" t="s">
        <v>8</v>
      </c>
      <c r="X1092" s="11"/>
      <c r="Y1092" s="50" t="s">
        <v>12</v>
      </c>
      <c r="Z1092" s="50"/>
      <c r="AA1092" s="50"/>
      <c r="AB1092" s="50"/>
      <c r="AC1092" s="50"/>
      <c r="AD1092" s="50"/>
      <c r="AE1092" s="50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65"/>
      <c r="AP1092" s="69"/>
      <c r="AQ1092" s="62"/>
      <c r="AR1092" s="34"/>
    </row>
    <row r="1093" spans="1:44" customFormat="1">
      <c r="A1093" s="39">
        <v>44583</v>
      </c>
      <c r="B1093" s="11" t="s">
        <v>22</v>
      </c>
      <c r="C1093" s="16" t="s">
        <v>4575</v>
      </c>
      <c r="D1093" s="16"/>
      <c r="E1093" s="38">
        <v>24108</v>
      </c>
      <c r="F1093" s="38"/>
      <c r="G1093" s="10"/>
      <c r="H1093" s="12" t="s">
        <v>4576</v>
      </c>
      <c r="I1093" s="13"/>
      <c r="J1093" s="15"/>
      <c r="K1093" s="12"/>
      <c r="L1093" s="11" t="s">
        <v>36</v>
      </c>
      <c r="M1093" s="15"/>
      <c r="N1093" s="17">
        <v>3300</v>
      </c>
      <c r="O1093" s="17"/>
      <c r="P1093" s="17"/>
      <c r="Q1093" s="48"/>
      <c r="R1093" s="11"/>
      <c r="S1093" s="48"/>
      <c r="T1093" s="85"/>
      <c r="U1093" s="88"/>
      <c r="V1093" s="32"/>
      <c r="W1093" s="25" t="s">
        <v>48</v>
      </c>
      <c r="X1093" s="11"/>
      <c r="Y1093" s="50" t="s">
        <v>11</v>
      </c>
      <c r="Z1093" s="50"/>
      <c r="AA1093" s="50"/>
      <c r="AB1093" s="50"/>
      <c r="AC1093" s="50"/>
      <c r="AD1093" s="50"/>
      <c r="AE1093" s="50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65"/>
      <c r="AP1093" s="69"/>
      <c r="AQ1093" s="62"/>
      <c r="AR1093" s="34"/>
    </row>
    <row r="1094" spans="1:44" customFormat="1">
      <c r="A1094" s="39">
        <v>44583</v>
      </c>
      <c r="B1094" s="11" t="s">
        <v>22</v>
      </c>
      <c r="C1094" s="16" t="s">
        <v>4577</v>
      </c>
      <c r="D1094" s="16"/>
      <c r="E1094" s="38">
        <v>29440</v>
      </c>
      <c r="F1094" s="38"/>
      <c r="G1094" s="10"/>
      <c r="H1094" s="12" t="s">
        <v>4576</v>
      </c>
      <c r="I1094" s="13"/>
      <c r="J1094" s="15"/>
      <c r="K1094" s="12"/>
      <c r="L1094" s="11"/>
      <c r="M1094" s="15"/>
      <c r="N1094" s="17">
        <v>3300</v>
      </c>
      <c r="O1094" s="17"/>
      <c r="P1094" s="17"/>
      <c r="Q1094" s="48"/>
      <c r="R1094" s="11"/>
      <c r="S1094" s="48"/>
      <c r="T1094" s="85"/>
      <c r="U1094" s="88"/>
      <c r="V1094" s="32"/>
      <c r="W1094" s="25"/>
      <c r="X1094" s="11"/>
      <c r="Y1094" s="50"/>
      <c r="Z1094" s="50"/>
      <c r="AA1094" s="50"/>
      <c r="AB1094" s="50"/>
      <c r="AC1094" s="50"/>
      <c r="AD1094" s="50"/>
      <c r="AE1094" s="50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65"/>
      <c r="AP1094" s="69"/>
      <c r="AQ1094" s="62"/>
      <c r="AR1094" s="34"/>
    </row>
    <row r="1095" spans="1:44" customFormat="1">
      <c r="A1095" s="39">
        <v>44583</v>
      </c>
      <c r="B1095" s="11" t="s">
        <v>2170</v>
      </c>
      <c r="C1095" s="16" t="s">
        <v>2207</v>
      </c>
      <c r="D1095" s="16"/>
      <c r="E1095" s="38"/>
      <c r="F1095" s="38"/>
      <c r="G1095" s="10"/>
      <c r="H1095" s="12"/>
      <c r="I1095" s="13"/>
      <c r="J1095" s="15"/>
      <c r="K1095" s="12"/>
      <c r="L1095" s="11"/>
      <c r="M1095" s="15"/>
      <c r="N1095" s="17">
        <v>8250</v>
      </c>
      <c r="O1095" s="17"/>
      <c r="P1095" s="17"/>
      <c r="Q1095" s="48"/>
      <c r="R1095" s="11"/>
      <c r="S1095" s="48"/>
      <c r="T1095" s="85"/>
      <c r="U1095" s="88"/>
      <c r="V1095" s="32"/>
      <c r="W1095" s="25"/>
      <c r="X1095" s="11"/>
      <c r="Y1095" s="50"/>
      <c r="Z1095" s="50"/>
      <c r="AA1095" s="50"/>
      <c r="AB1095" s="50"/>
      <c r="AC1095" s="50"/>
      <c r="AD1095" s="50"/>
      <c r="AE1095" s="50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65"/>
      <c r="AP1095" s="69"/>
      <c r="AQ1095" s="62"/>
      <c r="AR1095" s="34"/>
    </row>
    <row r="1096" spans="1:44" customFormat="1">
      <c r="A1096" s="39">
        <v>44584</v>
      </c>
      <c r="B1096" s="11" t="s">
        <v>22</v>
      </c>
      <c r="C1096" s="16" t="s">
        <v>4578</v>
      </c>
      <c r="D1096" s="16"/>
      <c r="E1096" s="38">
        <v>37195</v>
      </c>
      <c r="F1096" s="38"/>
      <c r="G1096" s="10" t="s">
        <v>4579</v>
      </c>
      <c r="H1096" s="12" t="s">
        <v>4580</v>
      </c>
      <c r="I1096" s="13" t="s">
        <v>2323</v>
      </c>
      <c r="J1096" s="15" t="s">
        <v>4581</v>
      </c>
      <c r="K1096" s="12"/>
      <c r="L1096" s="11" t="s">
        <v>39</v>
      </c>
      <c r="M1096" s="15"/>
      <c r="N1096" s="17">
        <v>2200</v>
      </c>
      <c r="O1096" s="17"/>
      <c r="P1096" s="17"/>
      <c r="Q1096" s="48"/>
      <c r="R1096" s="11"/>
      <c r="S1096" s="48"/>
      <c r="T1096" s="85"/>
      <c r="U1096" s="88"/>
      <c r="V1096" s="32" t="s">
        <v>4582</v>
      </c>
      <c r="W1096" s="25" t="s">
        <v>8</v>
      </c>
      <c r="X1096" s="11"/>
      <c r="Y1096" s="50"/>
      <c r="Z1096" s="50"/>
      <c r="AA1096" s="50"/>
      <c r="AB1096" s="50"/>
      <c r="AC1096" s="50"/>
      <c r="AD1096" s="50"/>
      <c r="AE1096" s="50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65"/>
      <c r="AP1096" s="69"/>
      <c r="AQ1096" s="62"/>
      <c r="AR1096" s="34"/>
    </row>
    <row r="1097" spans="1:44" customFormat="1">
      <c r="A1097" s="39">
        <v>44585</v>
      </c>
      <c r="B1097" s="11" t="s">
        <v>49</v>
      </c>
      <c r="C1097" s="16" t="s">
        <v>4584</v>
      </c>
      <c r="D1097" s="16"/>
      <c r="E1097" s="38">
        <v>23287</v>
      </c>
      <c r="F1097" s="38"/>
      <c r="G1097" s="10" t="s">
        <v>4585</v>
      </c>
      <c r="H1097" s="30" t="s">
        <v>4586</v>
      </c>
      <c r="I1097" s="13">
        <v>31.1</v>
      </c>
      <c r="J1097" s="15" t="s">
        <v>4587</v>
      </c>
      <c r="K1097" s="12"/>
      <c r="L1097" s="11" t="s">
        <v>37</v>
      </c>
      <c r="M1097" s="15"/>
      <c r="N1097" s="17">
        <v>0</v>
      </c>
      <c r="O1097" s="17"/>
      <c r="P1097" s="17"/>
      <c r="Q1097" s="48"/>
      <c r="R1097" s="11"/>
      <c r="S1097" s="48"/>
      <c r="T1097" s="85"/>
      <c r="U1097" s="88"/>
      <c r="V1097" s="32" t="s">
        <v>4589</v>
      </c>
      <c r="W1097" s="25"/>
      <c r="X1097" s="11"/>
      <c r="Y1097" s="50"/>
      <c r="Z1097" s="50"/>
      <c r="AA1097" s="50"/>
      <c r="AB1097" s="50"/>
      <c r="AC1097" s="50"/>
      <c r="AD1097" s="50"/>
      <c r="AE1097" s="50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65"/>
      <c r="AP1097" s="69"/>
      <c r="AQ1097" s="62"/>
      <c r="AR1097" s="34"/>
    </row>
    <row r="1098" spans="1:44" customFormat="1">
      <c r="A1098" s="39">
        <v>44585</v>
      </c>
      <c r="B1098" s="11" t="s">
        <v>49</v>
      </c>
      <c r="C1098" s="16" t="s">
        <v>4460</v>
      </c>
      <c r="D1098" s="16"/>
      <c r="E1098" s="38">
        <v>25761</v>
      </c>
      <c r="F1098" s="38"/>
      <c r="G1098" s="10" t="s">
        <v>4461</v>
      </c>
      <c r="H1098" s="12" t="s">
        <v>4462</v>
      </c>
      <c r="I1098" s="13" t="s">
        <v>4463</v>
      </c>
      <c r="J1098" s="15" t="s">
        <v>4464</v>
      </c>
      <c r="K1098" s="12"/>
      <c r="L1098" s="11" t="s">
        <v>34</v>
      </c>
      <c r="M1098" s="15" t="s">
        <v>3599</v>
      </c>
      <c r="N1098" s="17">
        <v>16500</v>
      </c>
      <c r="O1098" s="17"/>
      <c r="P1098" s="17"/>
      <c r="Q1098" s="48"/>
      <c r="R1098" s="11"/>
      <c r="S1098" s="48"/>
      <c r="T1098" s="85"/>
      <c r="U1098" s="88"/>
      <c r="V1098" s="32" t="s">
        <v>4590</v>
      </c>
      <c r="W1098" s="25" t="s">
        <v>8</v>
      </c>
      <c r="X1098" s="11"/>
      <c r="Y1098" s="50"/>
      <c r="Z1098" s="50"/>
      <c r="AA1098" s="50"/>
      <c r="AB1098" s="50"/>
      <c r="AC1098" s="50"/>
      <c r="AD1098" s="50"/>
      <c r="AE1098" s="50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65"/>
      <c r="AP1098" s="69"/>
      <c r="AQ1098" s="62"/>
      <c r="AR1098" s="34"/>
    </row>
    <row r="1099" spans="1:44" customFormat="1">
      <c r="A1099" s="39">
        <v>44591</v>
      </c>
      <c r="B1099" s="11" t="s">
        <v>49</v>
      </c>
      <c r="C1099" s="16" t="s">
        <v>4591</v>
      </c>
      <c r="D1099" s="16"/>
      <c r="E1099" s="38">
        <v>26715</v>
      </c>
      <c r="F1099" s="38"/>
      <c r="G1099" s="10" t="s">
        <v>4592</v>
      </c>
      <c r="H1099" s="12" t="s">
        <v>4593</v>
      </c>
      <c r="I1099" s="13" t="s">
        <v>4594</v>
      </c>
      <c r="J1099" s="15" t="s">
        <v>4596</v>
      </c>
      <c r="K1099" s="14" t="s">
        <v>4595</v>
      </c>
      <c r="L1099" s="11" t="s">
        <v>36</v>
      </c>
      <c r="M1099" s="15" t="s">
        <v>3584</v>
      </c>
      <c r="N1099" s="17">
        <v>16500</v>
      </c>
      <c r="O1099" s="17"/>
      <c r="P1099" s="17"/>
      <c r="Q1099" s="48"/>
      <c r="R1099" s="11"/>
      <c r="S1099" s="48"/>
      <c r="T1099" s="85"/>
      <c r="U1099" s="88"/>
      <c r="V1099" s="32"/>
      <c r="W1099" s="25" t="s">
        <v>48</v>
      </c>
      <c r="X1099" s="11"/>
      <c r="Y1099" s="50" t="s">
        <v>13</v>
      </c>
      <c r="Z1099" s="50"/>
      <c r="AA1099" s="50"/>
      <c r="AB1099" s="50"/>
      <c r="AC1099" s="50"/>
      <c r="AD1099" s="50"/>
      <c r="AE1099" s="50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65"/>
      <c r="AP1099" s="69"/>
      <c r="AQ1099" s="62"/>
      <c r="AR1099" s="34"/>
    </row>
    <row r="1100" spans="1:44" customFormat="1">
      <c r="A1100" s="39">
        <v>44591</v>
      </c>
      <c r="B1100" s="11" t="s">
        <v>22</v>
      </c>
      <c r="C1100" s="16" t="s">
        <v>4597</v>
      </c>
      <c r="D1100" s="16"/>
      <c r="E1100" s="38">
        <v>36305</v>
      </c>
      <c r="F1100" s="38"/>
      <c r="G1100" s="10" t="s">
        <v>4598</v>
      </c>
      <c r="H1100" s="12" t="s">
        <v>4599</v>
      </c>
      <c r="I1100" s="13" t="s">
        <v>4600</v>
      </c>
      <c r="J1100" s="15" t="s">
        <v>4601</v>
      </c>
      <c r="K1100" s="12"/>
      <c r="L1100" s="11" t="s">
        <v>36</v>
      </c>
      <c r="M1100" s="15" t="s">
        <v>3599</v>
      </c>
      <c r="N1100" s="17">
        <v>3300</v>
      </c>
      <c r="O1100" s="17"/>
      <c r="P1100" s="17"/>
      <c r="Q1100" s="48"/>
      <c r="R1100" s="11"/>
      <c r="S1100" s="48"/>
      <c r="T1100" s="85"/>
      <c r="U1100" s="88"/>
      <c r="V1100" s="32"/>
      <c r="W1100" s="25" t="s">
        <v>48</v>
      </c>
      <c r="X1100" s="11"/>
      <c r="Y1100" s="50" t="s">
        <v>12</v>
      </c>
      <c r="Z1100" s="50"/>
      <c r="AA1100" s="50"/>
      <c r="AB1100" s="50"/>
      <c r="AC1100" s="50"/>
      <c r="AD1100" s="50"/>
      <c r="AE1100" s="50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65"/>
      <c r="AP1100" s="69"/>
      <c r="AQ1100" s="62"/>
      <c r="AR1100" s="34"/>
    </row>
    <row r="1101" spans="1:44" customFormat="1">
      <c r="A1101" s="39">
        <v>44591</v>
      </c>
      <c r="B1101" s="11" t="s">
        <v>22</v>
      </c>
      <c r="C1101" s="16" t="s">
        <v>4602</v>
      </c>
      <c r="D1101" s="16"/>
      <c r="E1101" s="38">
        <v>17580</v>
      </c>
      <c r="F1101" s="38"/>
      <c r="G1101" s="10" t="s">
        <v>525</v>
      </c>
      <c r="H1101" s="12" t="s">
        <v>4603</v>
      </c>
      <c r="I1101" s="13" t="s">
        <v>1911</v>
      </c>
      <c r="J1101" s="15" t="s">
        <v>4604</v>
      </c>
      <c r="K1101" s="12"/>
      <c r="L1101" s="11" t="s">
        <v>36</v>
      </c>
      <c r="M1101" s="15" t="s">
        <v>3599</v>
      </c>
      <c r="N1101" s="17">
        <v>3300</v>
      </c>
      <c r="O1101" s="17"/>
      <c r="P1101" s="17"/>
      <c r="Q1101" s="48"/>
      <c r="R1101" s="11"/>
      <c r="S1101" s="48"/>
      <c r="T1101" s="85"/>
      <c r="U1101" s="88"/>
      <c r="V1101" s="32"/>
      <c r="W1101" s="25" t="s">
        <v>8</v>
      </c>
      <c r="X1101" s="11"/>
      <c r="Y1101" s="50" t="s">
        <v>18</v>
      </c>
      <c r="Z1101" s="50"/>
      <c r="AA1101" s="50"/>
      <c r="AB1101" s="50"/>
      <c r="AC1101" s="50"/>
      <c r="AD1101" s="50"/>
      <c r="AE1101" s="50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65"/>
      <c r="AP1101" s="69"/>
      <c r="AQ1101" s="62"/>
      <c r="AR1101" s="34"/>
    </row>
    <row r="1102" spans="1:44" customFormat="1">
      <c r="A1102" s="39">
        <v>44594</v>
      </c>
      <c r="B1102" s="11" t="s">
        <v>22</v>
      </c>
      <c r="C1102" s="16" t="s">
        <v>4605</v>
      </c>
      <c r="D1102" s="16"/>
      <c r="E1102" s="38">
        <v>24597</v>
      </c>
      <c r="F1102" s="38"/>
      <c r="G1102" s="10" t="s">
        <v>322</v>
      </c>
      <c r="H1102" s="12" t="s">
        <v>4606</v>
      </c>
      <c r="I1102" s="13" t="s">
        <v>2128</v>
      </c>
      <c r="J1102" s="15" t="s">
        <v>4607</v>
      </c>
      <c r="K1102" s="12"/>
      <c r="L1102" s="11" t="s">
        <v>34</v>
      </c>
      <c r="M1102" s="15" t="s">
        <v>3599</v>
      </c>
      <c r="N1102" s="17">
        <v>3300</v>
      </c>
      <c r="O1102" s="17"/>
      <c r="P1102" s="17"/>
      <c r="Q1102" s="48"/>
      <c r="R1102" s="11"/>
      <c r="S1102" s="48"/>
      <c r="T1102" s="85"/>
      <c r="U1102" s="88"/>
      <c r="V1102" s="32"/>
      <c r="W1102" s="25" t="s">
        <v>8</v>
      </c>
      <c r="X1102" s="11"/>
      <c r="Y1102" s="50" t="s">
        <v>12</v>
      </c>
      <c r="Z1102" s="50"/>
      <c r="AA1102" s="50"/>
      <c r="AB1102" s="50"/>
      <c r="AC1102" s="50"/>
      <c r="AD1102" s="50"/>
      <c r="AE1102" s="50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65"/>
      <c r="AP1102" s="69"/>
      <c r="AQ1102" s="62"/>
      <c r="AR1102" s="34"/>
    </row>
    <row r="1103" spans="1:44" customFormat="1">
      <c r="A1103" s="39">
        <v>44595</v>
      </c>
      <c r="B1103" s="11" t="s">
        <v>22</v>
      </c>
      <c r="C1103" s="16" t="s">
        <v>4624</v>
      </c>
      <c r="D1103" s="16"/>
      <c r="E1103" s="38">
        <v>22832</v>
      </c>
      <c r="F1103" s="38"/>
      <c r="G1103" s="10" t="s">
        <v>4608</v>
      </c>
      <c r="H1103" s="12" t="s">
        <v>4609</v>
      </c>
      <c r="I1103" s="13" t="s">
        <v>4610</v>
      </c>
      <c r="J1103" s="15" t="s">
        <v>4612</v>
      </c>
      <c r="K1103" s="14" t="s">
        <v>4611</v>
      </c>
      <c r="L1103" s="11" t="s">
        <v>34</v>
      </c>
      <c r="M1103" s="15" t="s">
        <v>3599</v>
      </c>
      <c r="N1103" s="17">
        <v>3300</v>
      </c>
      <c r="O1103" s="17"/>
      <c r="P1103" s="17"/>
      <c r="Q1103" s="48"/>
      <c r="R1103" s="11"/>
      <c r="S1103" s="48"/>
      <c r="T1103" s="85"/>
      <c r="U1103" s="88"/>
      <c r="V1103" s="32" t="s">
        <v>4613</v>
      </c>
      <c r="W1103" s="25" t="s">
        <v>8</v>
      </c>
      <c r="X1103" s="11"/>
      <c r="Y1103" s="50" t="s">
        <v>14</v>
      </c>
      <c r="Z1103" s="50"/>
      <c r="AA1103" s="50"/>
      <c r="AB1103" s="50"/>
      <c r="AC1103" s="50"/>
      <c r="AD1103" s="50"/>
      <c r="AE1103" s="50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65"/>
      <c r="AP1103" s="69"/>
      <c r="AQ1103" s="62"/>
      <c r="AR1103" s="34"/>
    </row>
    <row r="1104" spans="1:44" customFormat="1">
      <c r="A1104" s="39">
        <v>44596</v>
      </c>
      <c r="B1104" s="11" t="s">
        <v>49</v>
      </c>
      <c r="C1104" s="16" t="s">
        <v>4614</v>
      </c>
      <c r="D1104" s="16"/>
      <c r="E1104" s="38">
        <v>28422</v>
      </c>
      <c r="F1104" s="38"/>
      <c r="G1104" s="10" t="s">
        <v>4616</v>
      </c>
      <c r="H1104" s="12" t="s">
        <v>4618</v>
      </c>
      <c r="I1104" s="13" t="s">
        <v>4620</v>
      </c>
      <c r="J1104" s="15" t="s">
        <v>4622</v>
      </c>
      <c r="K1104" s="12"/>
      <c r="L1104" s="11" t="s">
        <v>39</v>
      </c>
      <c r="M1104" s="15" t="s">
        <v>3599</v>
      </c>
      <c r="N1104" s="17">
        <v>22000</v>
      </c>
      <c r="O1104" s="17"/>
      <c r="P1104" s="17"/>
      <c r="Q1104" s="48"/>
      <c r="R1104" s="11"/>
      <c r="S1104" s="48"/>
      <c r="T1104" s="85"/>
      <c r="U1104" s="88"/>
      <c r="V1104" s="32"/>
      <c r="W1104" s="25" t="s">
        <v>48</v>
      </c>
      <c r="X1104" s="11"/>
      <c r="Y1104" s="50" t="s">
        <v>13</v>
      </c>
      <c r="Z1104" s="50"/>
      <c r="AA1104" s="50"/>
      <c r="AB1104" s="50"/>
      <c r="AC1104" s="50"/>
      <c r="AD1104" s="50"/>
      <c r="AE1104" s="50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65"/>
      <c r="AP1104" s="69"/>
      <c r="AQ1104" s="62"/>
      <c r="AR1104" s="34"/>
    </row>
    <row r="1105" spans="1:44" customFormat="1">
      <c r="A1105" s="39">
        <v>44596</v>
      </c>
      <c r="B1105" s="11" t="s">
        <v>22</v>
      </c>
      <c r="C1105" s="16" t="s">
        <v>4615</v>
      </c>
      <c r="D1105" s="16"/>
      <c r="E1105" s="38">
        <v>26207</v>
      </c>
      <c r="F1105" s="38"/>
      <c r="G1105" s="10" t="s">
        <v>4617</v>
      </c>
      <c r="H1105" s="12" t="s">
        <v>4619</v>
      </c>
      <c r="I1105" s="13" t="s">
        <v>4621</v>
      </c>
      <c r="J1105" s="15" t="s">
        <v>4623</v>
      </c>
      <c r="K1105" s="12"/>
      <c r="L1105" s="11" t="s">
        <v>39</v>
      </c>
      <c r="M1105" s="15" t="s">
        <v>3680</v>
      </c>
      <c r="N1105" s="17">
        <v>3300</v>
      </c>
      <c r="O1105" s="17"/>
      <c r="P1105" s="17"/>
      <c r="Q1105" s="48"/>
      <c r="R1105" s="11"/>
      <c r="S1105" s="48"/>
      <c r="T1105" s="85"/>
      <c r="U1105" s="88"/>
      <c r="V1105" s="32"/>
      <c r="W1105" s="25" t="s">
        <v>8</v>
      </c>
      <c r="X1105" s="11"/>
      <c r="Y1105" s="50" t="s">
        <v>14</v>
      </c>
      <c r="Z1105" s="50"/>
      <c r="AA1105" s="50"/>
      <c r="AB1105" s="50"/>
      <c r="AC1105" s="50"/>
      <c r="AD1105" s="50"/>
      <c r="AE1105" s="50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65"/>
      <c r="AP1105" s="69"/>
      <c r="AQ1105" s="62"/>
      <c r="AR1105" s="34"/>
    </row>
    <row r="1106" spans="1:44" customFormat="1">
      <c r="A1106" s="39">
        <v>44597</v>
      </c>
      <c r="B1106" s="11" t="s">
        <v>49</v>
      </c>
      <c r="C1106" s="16" t="s">
        <v>4485</v>
      </c>
      <c r="D1106" s="16"/>
      <c r="E1106" s="38"/>
      <c r="F1106" s="38"/>
      <c r="G1106" s="10"/>
      <c r="H1106" s="12"/>
      <c r="I1106" s="13"/>
      <c r="J1106" s="15"/>
      <c r="K1106" s="12"/>
      <c r="L1106" s="11"/>
      <c r="M1106" s="15"/>
      <c r="N1106" s="17">
        <v>11000</v>
      </c>
      <c r="O1106" s="17"/>
      <c r="P1106" s="17"/>
      <c r="Q1106" s="48"/>
      <c r="R1106" s="11"/>
      <c r="S1106" s="48"/>
      <c r="T1106" s="85"/>
      <c r="U1106" s="88"/>
      <c r="V1106" s="32" t="s">
        <v>4625</v>
      </c>
      <c r="W1106" s="25"/>
      <c r="X1106" s="11"/>
      <c r="Y1106" s="50"/>
      <c r="Z1106" s="50"/>
      <c r="AA1106" s="50"/>
      <c r="AB1106" s="50"/>
      <c r="AC1106" s="50"/>
      <c r="AD1106" s="50"/>
      <c r="AE1106" s="50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65"/>
      <c r="AP1106" s="69"/>
      <c r="AQ1106" s="62"/>
      <c r="AR1106" s="34"/>
    </row>
    <row r="1107" spans="1:44" customFormat="1">
      <c r="A1107" s="39">
        <v>44598</v>
      </c>
      <c r="B1107" s="11" t="s">
        <v>22</v>
      </c>
      <c r="C1107" s="16" t="s">
        <v>4627</v>
      </c>
      <c r="D1107" s="16"/>
      <c r="E1107" s="38">
        <v>18636</v>
      </c>
      <c r="F1107" s="38"/>
      <c r="G1107" s="10" t="s">
        <v>1433</v>
      </c>
      <c r="H1107" s="12" t="s">
        <v>4628</v>
      </c>
      <c r="I1107" s="13" t="s">
        <v>2072</v>
      </c>
      <c r="J1107" s="15" t="s">
        <v>4630</v>
      </c>
      <c r="K1107" s="14" t="s">
        <v>4629</v>
      </c>
      <c r="L1107" s="11" t="s">
        <v>34</v>
      </c>
      <c r="M1107" s="15" t="s">
        <v>3599</v>
      </c>
      <c r="N1107" s="17">
        <v>3300</v>
      </c>
      <c r="O1107" s="17"/>
      <c r="P1107" s="17"/>
      <c r="Q1107" s="48"/>
      <c r="R1107" s="11"/>
      <c r="S1107" s="48"/>
      <c r="T1107" s="85"/>
      <c r="U1107" s="88"/>
      <c r="V1107" s="32" t="s">
        <v>4631</v>
      </c>
      <c r="W1107" s="25" t="s">
        <v>10</v>
      </c>
      <c r="X1107" s="11"/>
      <c r="Y1107" s="50" t="s">
        <v>12</v>
      </c>
      <c r="Z1107" s="50"/>
      <c r="AA1107" s="50"/>
      <c r="AB1107" s="50"/>
      <c r="AC1107" s="50"/>
      <c r="AD1107" s="50"/>
      <c r="AE1107" s="50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65"/>
      <c r="AP1107" s="69"/>
      <c r="AQ1107" s="62"/>
      <c r="AR1107" s="34"/>
    </row>
    <row r="1108" spans="1:44" customFormat="1">
      <c r="A1108" s="39">
        <v>44598</v>
      </c>
      <c r="B1108" s="11" t="s">
        <v>22</v>
      </c>
      <c r="C1108" s="16" t="s">
        <v>4632</v>
      </c>
      <c r="D1108" s="16"/>
      <c r="E1108" s="38">
        <v>29971</v>
      </c>
      <c r="F1108" s="38"/>
      <c r="G1108" s="10" t="s">
        <v>4633</v>
      </c>
      <c r="H1108" s="12" t="s">
        <v>4634</v>
      </c>
      <c r="I1108" s="13" t="s">
        <v>2818</v>
      </c>
      <c r="J1108" s="15" t="s">
        <v>4636</v>
      </c>
      <c r="K1108" s="14" t="s">
        <v>4635</v>
      </c>
      <c r="L1108" s="11" t="s">
        <v>35</v>
      </c>
      <c r="M1108" s="15" t="s">
        <v>3584</v>
      </c>
      <c r="N1108" s="17">
        <v>3300</v>
      </c>
      <c r="O1108" s="17"/>
      <c r="P1108" s="17"/>
      <c r="Q1108" s="48"/>
      <c r="R1108" s="11"/>
      <c r="S1108" s="48"/>
      <c r="T1108" s="85"/>
      <c r="U1108" s="88"/>
      <c r="V1108" s="32"/>
      <c r="W1108" s="25" t="s">
        <v>48</v>
      </c>
      <c r="X1108" s="11"/>
      <c r="Y1108" s="50" t="s">
        <v>12</v>
      </c>
      <c r="Z1108" s="50"/>
      <c r="AA1108" s="50"/>
      <c r="AB1108" s="50"/>
      <c r="AC1108" s="50"/>
      <c r="AD1108" s="50"/>
      <c r="AE1108" s="50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65"/>
      <c r="AP1108" s="69"/>
      <c r="AQ1108" s="62"/>
      <c r="AR1108" s="34"/>
    </row>
    <row r="1109" spans="1:44" customFormat="1">
      <c r="A1109" s="39">
        <v>44598</v>
      </c>
      <c r="B1109" s="11" t="s">
        <v>49</v>
      </c>
      <c r="C1109" s="16" t="s">
        <v>4637</v>
      </c>
      <c r="D1109" s="16"/>
      <c r="E1109" s="38">
        <v>22957</v>
      </c>
      <c r="F1109" s="38"/>
      <c r="G1109" s="10" t="s">
        <v>307</v>
      </c>
      <c r="H1109" s="12" t="s">
        <v>4639</v>
      </c>
      <c r="I1109" s="13" t="s">
        <v>2175</v>
      </c>
      <c r="J1109" s="15" t="s">
        <v>4638</v>
      </c>
      <c r="K1109" s="14" t="s">
        <v>4640</v>
      </c>
      <c r="L1109" s="11" t="s">
        <v>39</v>
      </c>
      <c r="M1109" s="15" t="s">
        <v>3584</v>
      </c>
      <c r="N1109" s="17">
        <v>22000</v>
      </c>
      <c r="O1109" s="17"/>
      <c r="P1109" s="17"/>
      <c r="Q1109" s="48"/>
      <c r="R1109" s="11"/>
      <c r="S1109" s="48"/>
      <c r="T1109" s="85"/>
      <c r="U1109" s="88"/>
      <c r="V1109" s="32"/>
      <c r="W1109" s="25" t="s">
        <v>3847</v>
      </c>
      <c r="X1109" s="11"/>
      <c r="Y1109" s="50" t="s">
        <v>13</v>
      </c>
      <c r="Z1109" s="50"/>
      <c r="AA1109" s="50"/>
      <c r="AB1109" s="50"/>
      <c r="AC1109" s="50"/>
      <c r="AD1109" s="50"/>
      <c r="AE1109" s="50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65"/>
      <c r="AP1109" s="69"/>
      <c r="AQ1109" s="62"/>
      <c r="AR1109" s="34"/>
    </row>
    <row r="1110" spans="1:44" customFormat="1">
      <c r="A1110" s="39">
        <v>44598</v>
      </c>
      <c r="B1110" s="11" t="s">
        <v>49</v>
      </c>
      <c r="C1110" s="16" t="s">
        <v>4641</v>
      </c>
      <c r="D1110" s="16"/>
      <c r="E1110" s="38">
        <v>27161</v>
      </c>
      <c r="F1110" s="38"/>
      <c r="G1110" s="10" t="s">
        <v>4642</v>
      </c>
      <c r="H1110" s="12" t="s">
        <v>4643</v>
      </c>
      <c r="I1110" s="13" t="s">
        <v>3331</v>
      </c>
      <c r="J1110" s="15" t="s">
        <v>4645</v>
      </c>
      <c r="K1110" s="14" t="s">
        <v>4644</v>
      </c>
      <c r="L1110" s="11" t="s">
        <v>39</v>
      </c>
      <c r="M1110" s="15" t="s">
        <v>3584</v>
      </c>
      <c r="N1110" s="17">
        <v>11000</v>
      </c>
      <c r="O1110" s="17"/>
      <c r="P1110" s="17"/>
      <c r="Q1110" s="48"/>
      <c r="R1110" s="11"/>
      <c r="S1110" s="48"/>
      <c r="T1110" s="85"/>
      <c r="U1110" s="88"/>
      <c r="V1110" s="32" t="s">
        <v>3528</v>
      </c>
      <c r="W1110" s="25" t="s">
        <v>8</v>
      </c>
      <c r="X1110" s="11"/>
      <c r="Y1110" s="50" t="s">
        <v>14</v>
      </c>
      <c r="Z1110" s="50"/>
      <c r="AA1110" s="50"/>
      <c r="AB1110" s="50"/>
      <c r="AC1110" s="50"/>
      <c r="AD1110" s="50"/>
      <c r="AE1110" s="50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65"/>
      <c r="AP1110" s="69"/>
      <c r="AQ1110" s="62"/>
      <c r="AR1110" s="34"/>
    </row>
    <row r="1111" spans="1:44" customFormat="1">
      <c r="A1111" s="39">
        <v>44601</v>
      </c>
      <c r="B1111" s="11" t="s">
        <v>22</v>
      </c>
      <c r="C1111" s="16" t="s">
        <v>4646</v>
      </c>
      <c r="D1111" s="16"/>
      <c r="E1111" s="38">
        <v>27753</v>
      </c>
      <c r="F1111" s="38"/>
      <c r="G1111" s="10" t="s">
        <v>4503</v>
      </c>
      <c r="H1111" s="12" t="s">
        <v>4647</v>
      </c>
      <c r="I1111" s="13" t="s">
        <v>3463</v>
      </c>
      <c r="J1111" s="15" t="s">
        <v>4649</v>
      </c>
      <c r="K1111" s="14" t="s">
        <v>4648</v>
      </c>
      <c r="L1111" s="11" t="s">
        <v>34</v>
      </c>
      <c r="M1111" s="15" t="s">
        <v>3584</v>
      </c>
      <c r="N1111" s="17">
        <v>3300</v>
      </c>
      <c r="O1111" s="17"/>
      <c r="P1111" s="17"/>
      <c r="Q1111" s="48"/>
      <c r="R1111" s="11"/>
      <c r="S1111" s="48"/>
      <c r="T1111" s="85"/>
      <c r="U1111" s="88"/>
      <c r="V1111" s="32"/>
      <c r="W1111" s="25" t="s">
        <v>48</v>
      </c>
      <c r="X1111" s="11"/>
      <c r="Y1111" s="50" t="s">
        <v>12</v>
      </c>
      <c r="Z1111" s="50"/>
      <c r="AA1111" s="50"/>
      <c r="AB1111" s="50"/>
      <c r="AC1111" s="50"/>
      <c r="AD1111" s="50"/>
      <c r="AE1111" s="50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65"/>
      <c r="AP1111" s="69"/>
      <c r="AQ1111" s="62"/>
      <c r="AR1111" s="34"/>
    </row>
    <row r="1112" spans="1:44" customFormat="1">
      <c r="A1112" s="39">
        <v>44602</v>
      </c>
      <c r="B1112" s="11" t="s">
        <v>49</v>
      </c>
      <c r="C1112" s="16" t="s">
        <v>4650</v>
      </c>
      <c r="D1112" s="16"/>
      <c r="E1112" s="38"/>
      <c r="F1112" s="38"/>
      <c r="G1112" s="10"/>
      <c r="H1112" s="12"/>
      <c r="I1112" s="13"/>
      <c r="J1112" s="15"/>
      <c r="K1112" s="12"/>
      <c r="L1112" s="11"/>
      <c r="M1112" s="15"/>
      <c r="N1112" s="17">
        <v>0</v>
      </c>
      <c r="O1112" s="17"/>
      <c r="P1112" s="17"/>
      <c r="Q1112" s="48"/>
      <c r="R1112" s="11"/>
      <c r="S1112" s="48"/>
      <c r="T1112" s="85"/>
      <c r="U1112" s="88"/>
      <c r="V1112" s="32" t="s">
        <v>4656</v>
      </c>
      <c r="W1112" s="25"/>
      <c r="X1112" s="11"/>
      <c r="Y1112" s="50"/>
      <c r="Z1112" s="50"/>
      <c r="AA1112" s="50"/>
      <c r="AB1112" s="50"/>
      <c r="AC1112" s="50"/>
      <c r="AD1112" s="50"/>
      <c r="AE1112" s="50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65"/>
      <c r="AP1112" s="69"/>
      <c r="AQ1112" s="62"/>
      <c r="AR1112" s="34"/>
    </row>
    <row r="1113" spans="1:44" customFormat="1">
      <c r="A1113" s="39">
        <v>44602</v>
      </c>
      <c r="B1113" s="11" t="s">
        <v>22</v>
      </c>
      <c r="C1113" s="16" t="s">
        <v>4651</v>
      </c>
      <c r="D1113" s="16"/>
      <c r="E1113" s="38">
        <v>25049</v>
      </c>
      <c r="F1113" s="38"/>
      <c r="G1113" s="10" t="s">
        <v>4652</v>
      </c>
      <c r="H1113" s="12" t="s">
        <v>4653</v>
      </c>
      <c r="I1113" s="13" t="s">
        <v>3280</v>
      </c>
      <c r="J1113" s="15" t="s">
        <v>4655</v>
      </c>
      <c r="K1113" s="14" t="s">
        <v>4654</v>
      </c>
      <c r="L1113" s="11" t="s">
        <v>33</v>
      </c>
      <c r="M1113" s="15" t="s">
        <v>3584</v>
      </c>
      <c r="N1113" s="17">
        <v>3300</v>
      </c>
      <c r="O1113" s="17"/>
      <c r="P1113" s="17"/>
      <c r="Q1113" s="48"/>
      <c r="R1113" s="11"/>
      <c r="S1113" s="48"/>
      <c r="T1113" s="85"/>
      <c r="U1113" s="88"/>
      <c r="V1113" s="32"/>
      <c r="W1113" s="25" t="s">
        <v>48</v>
      </c>
      <c r="X1113" s="11"/>
      <c r="Y1113" s="50" t="s">
        <v>12</v>
      </c>
      <c r="Z1113" s="50"/>
      <c r="AA1113" s="50"/>
      <c r="AB1113" s="50"/>
      <c r="AC1113" s="50"/>
      <c r="AD1113" s="50"/>
      <c r="AE1113" s="50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65"/>
      <c r="AP1113" s="69"/>
      <c r="AQ1113" s="62"/>
      <c r="AR1113" s="34"/>
    </row>
    <row r="1114" spans="1:44" customFormat="1">
      <c r="A1114" s="39">
        <v>44603</v>
      </c>
      <c r="B1114" s="11" t="s">
        <v>22</v>
      </c>
      <c r="C1114" s="16" t="s">
        <v>4657</v>
      </c>
      <c r="D1114" s="16"/>
      <c r="E1114" s="38">
        <v>25030</v>
      </c>
      <c r="F1114" s="38"/>
      <c r="G1114" s="10" t="s">
        <v>617</v>
      </c>
      <c r="H1114" s="12" t="s">
        <v>4658</v>
      </c>
      <c r="I1114" s="13" t="s">
        <v>3463</v>
      </c>
      <c r="J1114" s="15" t="s">
        <v>4660</v>
      </c>
      <c r="K1114" s="14" t="s">
        <v>4659</v>
      </c>
      <c r="L1114" s="11" t="s">
        <v>33</v>
      </c>
      <c r="M1114" s="15" t="s">
        <v>3584</v>
      </c>
      <c r="N1114" s="17">
        <v>3300</v>
      </c>
      <c r="O1114" s="17"/>
      <c r="P1114" s="17"/>
      <c r="Q1114" s="48"/>
      <c r="R1114" s="11"/>
      <c r="S1114" s="48"/>
      <c r="T1114" s="85"/>
      <c r="U1114" s="88"/>
      <c r="V1114" s="32"/>
      <c r="W1114" s="25" t="s">
        <v>48</v>
      </c>
      <c r="X1114" s="11"/>
      <c r="Y1114" s="50" t="s">
        <v>12</v>
      </c>
      <c r="Z1114" s="50"/>
      <c r="AA1114" s="50"/>
      <c r="AB1114" s="50"/>
      <c r="AC1114" s="50"/>
      <c r="AD1114" s="50"/>
      <c r="AE1114" s="50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65"/>
      <c r="AP1114" s="69"/>
      <c r="AQ1114" s="62"/>
      <c r="AR1114" s="34"/>
    </row>
    <row r="1115" spans="1:44" customFormat="1">
      <c r="A1115" s="39">
        <v>44603</v>
      </c>
      <c r="B1115" s="11" t="s">
        <v>22</v>
      </c>
      <c r="C1115" s="16" t="s">
        <v>4661</v>
      </c>
      <c r="D1115" s="16"/>
      <c r="E1115" s="38">
        <v>25726</v>
      </c>
      <c r="F1115" s="38"/>
      <c r="G1115" s="10" t="s">
        <v>4662</v>
      </c>
      <c r="H1115" s="12" t="s">
        <v>4663</v>
      </c>
      <c r="I1115" s="13" t="s">
        <v>3416</v>
      </c>
      <c r="J1115" s="15" t="s">
        <v>4665</v>
      </c>
      <c r="K1115" s="14" t="s">
        <v>4664</v>
      </c>
      <c r="L1115" s="11" t="s">
        <v>36</v>
      </c>
      <c r="M1115" s="15" t="s">
        <v>3584</v>
      </c>
      <c r="N1115" s="17">
        <v>3300</v>
      </c>
      <c r="O1115" s="17"/>
      <c r="P1115" s="17"/>
      <c r="Q1115" s="48"/>
      <c r="R1115" s="11"/>
      <c r="S1115" s="48"/>
      <c r="T1115" s="85"/>
      <c r="U1115" s="88"/>
      <c r="V1115" s="32"/>
      <c r="W1115" s="25" t="s">
        <v>48</v>
      </c>
      <c r="X1115" s="11"/>
      <c r="Y1115" s="50" t="s">
        <v>11</v>
      </c>
      <c r="Z1115" s="50"/>
      <c r="AA1115" s="50"/>
      <c r="AB1115" s="50"/>
      <c r="AC1115" s="50"/>
      <c r="AD1115" s="50"/>
      <c r="AE1115" s="50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65"/>
      <c r="AP1115" s="69"/>
      <c r="AQ1115" s="62"/>
      <c r="AR1115" s="34"/>
    </row>
    <row r="1116" spans="1:44" customFormat="1">
      <c r="A1116" s="39">
        <v>44604</v>
      </c>
      <c r="B1116" s="11" t="s">
        <v>49</v>
      </c>
      <c r="C1116" s="16" t="s">
        <v>4666</v>
      </c>
      <c r="D1116" s="16"/>
      <c r="E1116" s="38">
        <v>22658</v>
      </c>
      <c r="F1116" s="38"/>
      <c r="G1116" s="10" t="s">
        <v>4608</v>
      </c>
      <c r="H1116" s="12" t="s">
        <v>4609</v>
      </c>
      <c r="I1116" s="13" t="s">
        <v>4667</v>
      </c>
      <c r="J1116" s="15" t="s">
        <v>4668</v>
      </c>
      <c r="K1116" s="14" t="s">
        <v>4669</v>
      </c>
      <c r="L1116" s="11" t="s">
        <v>33</v>
      </c>
      <c r="M1116" s="15" t="s">
        <v>3584</v>
      </c>
      <c r="N1116" s="17">
        <v>11000</v>
      </c>
      <c r="O1116" s="17"/>
      <c r="P1116" s="17"/>
      <c r="Q1116" s="48"/>
      <c r="R1116" s="11"/>
      <c r="S1116" s="48"/>
      <c r="T1116" s="85"/>
      <c r="U1116" s="88"/>
      <c r="V1116" s="32" t="s">
        <v>4670</v>
      </c>
      <c r="W1116" s="25" t="s">
        <v>8</v>
      </c>
      <c r="X1116" s="11"/>
      <c r="Y1116" s="50" t="s">
        <v>17</v>
      </c>
      <c r="Z1116" s="50"/>
      <c r="AA1116" s="50"/>
      <c r="AB1116" s="50"/>
      <c r="AC1116" s="50"/>
      <c r="AD1116" s="50"/>
      <c r="AE1116" s="50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65"/>
      <c r="AP1116" s="69"/>
      <c r="AQ1116" s="62"/>
      <c r="AR1116" s="34"/>
    </row>
    <row r="1117" spans="1:44" customFormat="1">
      <c r="A1117" s="39">
        <v>44604</v>
      </c>
      <c r="B1117" s="11" t="s">
        <v>49</v>
      </c>
      <c r="C1117" s="16" t="s">
        <v>4671</v>
      </c>
      <c r="D1117" s="16"/>
      <c r="E1117" s="38">
        <v>32070</v>
      </c>
      <c r="F1117" s="38"/>
      <c r="G1117" s="10" t="s">
        <v>4674</v>
      </c>
      <c r="H1117" s="12" t="s">
        <v>4718</v>
      </c>
      <c r="I1117" s="13" t="s">
        <v>2699</v>
      </c>
      <c r="J1117" s="15" t="s">
        <v>4672</v>
      </c>
      <c r="K1117" s="12"/>
      <c r="L1117" s="11" t="s">
        <v>36</v>
      </c>
      <c r="M1117" s="15" t="s">
        <v>3629</v>
      </c>
      <c r="N1117" s="17">
        <v>0</v>
      </c>
      <c r="O1117" s="17"/>
      <c r="P1117" s="17"/>
      <c r="Q1117" s="48"/>
      <c r="R1117" s="11"/>
      <c r="S1117" s="48"/>
      <c r="T1117" s="85"/>
      <c r="U1117" s="88"/>
      <c r="V1117" s="32" t="s">
        <v>4673</v>
      </c>
      <c r="W1117" s="25" t="s">
        <v>10</v>
      </c>
      <c r="X1117" s="11"/>
      <c r="Y1117" s="50"/>
      <c r="Z1117" s="50"/>
      <c r="AA1117" s="50"/>
      <c r="AB1117" s="50"/>
      <c r="AC1117" s="50"/>
      <c r="AD1117" s="50"/>
      <c r="AE1117" s="50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65"/>
      <c r="AP1117" s="69"/>
      <c r="AQ1117" s="62"/>
      <c r="AR1117" s="34"/>
    </row>
    <row r="1118" spans="1:44" customFormat="1">
      <c r="A1118" s="39">
        <v>44605</v>
      </c>
      <c r="B1118" s="11" t="s">
        <v>22</v>
      </c>
      <c r="C1118" s="16" t="s">
        <v>4675</v>
      </c>
      <c r="D1118" s="16"/>
      <c r="E1118" s="38">
        <v>24419</v>
      </c>
      <c r="F1118" s="38"/>
      <c r="G1118" s="10" t="s">
        <v>3844</v>
      </c>
      <c r="H1118" s="12" t="s">
        <v>4676</v>
      </c>
      <c r="I1118" s="13" t="s">
        <v>3051</v>
      </c>
      <c r="J1118" s="15" t="s">
        <v>4677</v>
      </c>
      <c r="K1118" s="12"/>
      <c r="L1118" s="11" t="s">
        <v>34</v>
      </c>
      <c r="M1118" s="15" t="s">
        <v>3599</v>
      </c>
      <c r="N1118" s="17">
        <v>3300</v>
      </c>
      <c r="O1118" s="17"/>
      <c r="P1118" s="17"/>
      <c r="Q1118" s="48"/>
      <c r="R1118" s="11"/>
      <c r="S1118" s="48"/>
      <c r="T1118" s="85"/>
      <c r="U1118" s="88"/>
      <c r="V1118" s="32"/>
      <c r="W1118" s="25" t="s">
        <v>48</v>
      </c>
      <c r="X1118" s="11"/>
      <c r="Y1118" s="50" t="s">
        <v>12</v>
      </c>
      <c r="Z1118" s="50"/>
      <c r="AA1118" s="50"/>
      <c r="AB1118" s="50"/>
      <c r="AC1118" s="50"/>
      <c r="AD1118" s="50"/>
      <c r="AE1118" s="50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65"/>
      <c r="AP1118" s="69"/>
      <c r="AQ1118" s="62"/>
      <c r="AR1118" s="34"/>
    </row>
    <row r="1119" spans="1:44" customFormat="1">
      <c r="A1119" s="39">
        <v>44608</v>
      </c>
      <c r="B1119" s="11" t="s">
        <v>22</v>
      </c>
      <c r="C1119" s="16" t="s">
        <v>4678</v>
      </c>
      <c r="D1119" s="16"/>
      <c r="E1119" s="38">
        <v>30918</v>
      </c>
      <c r="F1119" s="38"/>
      <c r="G1119" s="10" t="s">
        <v>1894</v>
      </c>
      <c r="H1119" s="12" t="s">
        <v>4679</v>
      </c>
      <c r="I1119" s="13" t="s">
        <v>2438</v>
      </c>
      <c r="J1119" s="15" t="s">
        <v>4680</v>
      </c>
      <c r="K1119" s="12"/>
      <c r="L1119" s="11" t="s">
        <v>36</v>
      </c>
      <c r="M1119" s="15" t="s">
        <v>3599</v>
      </c>
      <c r="N1119" s="17">
        <v>3300</v>
      </c>
      <c r="O1119" s="17"/>
      <c r="P1119" s="17"/>
      <c r="Q1119" s="48"/>
      <c r="R1119" s="11"/>
      <c r="S1119" s="48"/>
      <c r="T1119" s="85"/>
      <c r="U1119" s="88"/>
      <c r="V1119" s="32"/>
      <c r="W1119" s="25" t="s">
        <v>8</v>
      </c>
      <c r="X1119" s="11"/>
      <c r="Y1119" s="50" t="s">
        <v>11</v>
      </c>
      <c r="Z1119" s="50"/>
      <c r="AA1119" s="50"/>
      <c r="AB1119" s="50"/>
      <c r="AC1119" s="50"/>
      <c r="AD1119" s="50"/>
      <c r="AE1119" s="50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65"/>
      <c r="AP1119" s="69"/>
      <c r="AQ1119" s="62"/>
      <c r="AR1119" s="34"/>
    </row>
    <row r="1120" spans="1:44" customFormat="1">
      <c r="A1120" s="39">
        <v>44610</v>
      </c>
      <c r="B1120" s="11" t="s">
        <v>2171</v>
      </c>
      <c r="C1120" s="16" t="s">
        <v>4681</v>
      </c>
      <c r="D1120" s="16"/>
      <c r="E1120" s="38"/>
      <c r="F1120" s="38"/>
      <c r="G1120" s="10"/>
      <c r="H1120" s="12"/>
      <c r="I1120" s="13"/>
      <c r="J1120" s="15" t="s">
        <v>4682</v>
      </c>
      <c r="K1120" s="12"/>
      <c r="L1120" s="11"/>
      <c r="M1120" s="15"/>
      <c r="N1120" s="17">
        <v>3300</v>
      </c>
      <c r="O1120" s="17"/>
      <c r="P1120" s="17"/>
      <c r="Q1120" s="48"/>
      <c r="R1120" s="11"/>
      <c r="S1120" s="48"/>
      <c r="T1120" s="85"/>
      <c r="U1120" s="88"/>
      <c r="V1120" s="32" t="s">
        <v>4683</v>
      </c>
      <c r="W1120" s="25"/>
      <c r="X1120" s="11"/>
      <c r="Y1120" s="50"/>
      <c r="Z1120" s="50"/>
      <c r="AA1120" s="50"/>
      <c r="AB1120" s="50"/>
      <c r="AC1120" s="50"/>
      <c r="AD1120" s="50"/>
      <c r="AE1120" s="50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65"/>
      <c r="AP1120" s="69"/>
      <c r="AQ1120" s="62"/>
      <c r="AR1120" s="34"/>
    </row>
    <row r="1121" spans="1:44" customFormat="1">
      <c r="A1121" s="39">
        <v>44611</v>
      </c>
      <c r="B1121" s="11" t="s">
        <v>49</v>
      </c>
      <c r="C1121" s="16" t="s">
        <v>4684</v>
      </c>
      <c r="D1121" s="16"/>
      <c r="E1121" s="38">
        <v>25235</v>
      </c>
      <c r="F1121" s="38"/>
      <c r="G1121" s="10" t="s">
        <v>2400</v>
      </c>
      <c r="H1121" s="12" t="s">
        <v>4685</v>
      </c>
      <c r="I1121" s="13" t="s">
        <v>4686</v>
      </c>
      <c r="J1121" s="15" t="s">
        <v>2403</v>
      </c>
      <c r="K1121" s="12"/>
      <c r="L1121" s="11" t="s">
        <v>36</v>
      </c>
      <c r="M1121" s="15" t="s">
        <v>3599</v>
      </c>
      <c r="N1121" s="17">
        <v>16500</v>
      </c>
      <c r="O1121" s="17"/>
      <c r="P1121" s="17"/>
      <c r="Q1121" s="48"/>
      <c r="R1121" s="11"/>
      <c r="S1121" s="48"/>
      <c r="T1121" s="85"/>
      <c r="U1121" s="88"/>
      <c r="V1121" s="32"/>
      <c r="W1121" s="25" t="s">
        <v>48</v>
      </c>
      <c r="X1121" s="11"/>
      <c r="Y1121" s="50" t="s">
        <v>13</v>
      </c>
      <c r="Z1121" s="50"/>
      <c r="AA1121" s="50"/>
      <c r="AB1121" s="50"/>
      <c r="AC1121" s="50"/>
      <c r="AD1121" s="50"/>
      <c r="AE1121" s="50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65"/>
      <c r="AP1121" s="69"/>
      <c r="AQ1121" s="62"/>
      <c r="AR1121" s="34"/>
    </row>
    <row r="1122" spans="1:44" customFormat="1">
      <c r="A1122" s="39">
        <v>44612</v>
      </c>
      <c r="B1122" s="11" t="s">
        <v>22</v>
      </c>
      <c r="C1122" s="16" t="s">
        <v>4687</v>
      </c>
      <c r="D1122" s="16"/>
      <c r="E1122" s="38">
        <v>33280</v>
      </c>
      <c r="F1122" s="38"/>
      <c r="G1122" s="10" t="s">
        <v>148</v>
      </c>
      <c r="H1122" s="12" t="s">
        <v>4688</v>
      </c>
      <c r="I1122" s="13" t="s">
        <v>4689</v>
      </c>
      <c r="J1122" s="15" t="s">
        <v>4690</v>
      </c>
      <c r="K1122" s="12"/>
      <c r="L1122" s="11" t="s">
        <v>36</v>
      </c>
      <c r="M1122" s="15" t="s">
        <v>3599</v>
      </c>
      <c r="N1122" s="17">
        <v>3300</v>
      </c>
      <c r="O1122" s="17"/>
      <c r="P1122" s="17"/>
      <c r="Q1122" s="48"/>
      <c r="R1122" s="11"/>
      <c r="S1122" s="48"/>
      <c r="T1122" s="85"/>
      <c r="U1122" s="88"/>
      <c r="V1122" s="32"/>
      <c r="W1122" s="25" t="s">
        <v>48</v>
      </c>
      <c r="X1122" s="11"/>
      <c r="Y1122" s="50" t="s">
        <v>18</v>
      </c>
      <c r="Z1122" s="50"/>
      <c r="AA1122" s="50"/>
      <c r="AB1122" s="50"/>
      <c r="AC1122" s="50"/>
      <c r="AD1122" s="50"/>
      <c r="AE1122" s="50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65"/>
      <c r="AP1122" s="69"/>
      <c r="AQ1122" s="62"/>
      <c r="AR1122" s="34"/>
    </row>
    <row r="1123" spans="1:44" customFormat="1">
      <c r="A1123" s="39">
        <v>44612</v>
      </c>
      <c r="B1123" s="11" t="s">
        <v>49</v>
      </c>
      <c r="C1123" s="16" t="s">
        <v>4691</v>
      </c>
      <c r="D1123" s="16"/>
      <c r="E1123" s="38">
        <v>23875</v>
      </c>
      <c r="F1123" s="38"/>
      <c r="G1123" s="10" t="s">
        <v>4692</v>
      </c>
      <c r="H1123" s="12" t="s">
        <v>4693</v>
      </c>
      <c r="I1123" s="13" t="s">
        <v>4489</v>
      </c>
      <c r="J1123" s="15" t="s">
        <v>4695</v>
      </c>
      <c r="K1123" s="14" t="s">
        <v>4694</v>
      </c>
      <c r="L1123" s="11" t="s">
        <v>36</v>
      </c>
      <c r="M1123" s="15" t="s">
        <v>3584</v>
      </c>
      <c r="N1123" s="17">
        <v>16500</v>
      </c>
      <c r="O1123" s="17"/>
      <c r="P1123" s="17"/>
      <c r="Q1123" s="48"/>
      <c r="R1123" s="11"/>
      <c r="S1123" s="48"/>
      <c r="T1123" s="85"/>
      <c r="U1123" s="88"/>
      <c r="V1123" s="32"/>
      <c r="W1123" s="25" t="s">
        <v>48</v>
      </c>
      <c r="X1123" s="11"/>
      <c r="Y1123" s="50" t="s">
        <v>12</v>
      </c>
      <c r="Z1123" s="50"/>
      <c r="AA1123" s="50"/>
      <c r="AB1123" s="50"/>
      <c r="AC1123" s="50"/>
      <c r="AD1123" s="50"/>
      <c r="AE1123" s="50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65"/>
      <c r="AP1123" s="69"/>
      <c r="AQ1123" s="62"/>
      <c r="AR1123" s="34"/>
    </row>
    <row r="1124" spans="1:44" customFormat="1">
      <c r="A1124" s="39">
        <v>44612</v>
      </c>
      <c r="B1124" s="11" t="s">
        <v>22</v>
      </c>
      <c r="C1124" s="16" t="s">
        <v>4717</v>
      </c>
      <c r="D1124" s="16"/>
      <c r="E1124" s="38">
        <v>24428</v>
      </c>
      <c r="F1124" s="38"/>
      <c r="G1124" s="10" t="s">
        <v>4696</v>
      </c>
      <c r="H1124" s="12" t="s">
        <v>4697</v>
      </c>
      <c r="I1124" s="13" t="s">
        <v>4701</v>
      </c>
      <c r="J1124" s="15" t="s">
        <v>4699</v>
      </c>
      <c r="K1124" s="14" t="s">
        <v>4698</v>
      </c>
      <c r="L1124" s="11" t="s">
        <v>37</v>
      </c>
      <c r="M1124" s="15" t="s">
        <v>3584</v>
      </c>
      <c r="N1124" s="17">
        <v>3300</v>
      </c>
      <c r="O1124" s="17"/>
      <c r="P1124" s="17"/>
      <c r="Q1124" s="48"/>
      <c r="R1124" s="11"/>
      <c r="S1124" s="48"/>
      <c r="T1124" s="85"/>
      <c r="U1124" s="88"/>
      <c r="V1124" s="32" t="s">
        <v>4700</v>
      </c>
      <c r="W1124" s="25" t="s">
        <v>8</v>
      </c>
      <c r="X1124" s="11"/>
      <c r="Y1124" s="50" t="s">
        <v>18</v>
      </c>
      <c r="Z1124" s="50"/>
      <c r="AA1124" s="50"/>
      <c r="AB1124" s="50"/>
      <c r="AC1124" s="50"/>
      <c r="AD1124" s="50"/>
      <c r="AE1124" s="50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65"/>
      <c r="AP1124" s="69"/>
      <c r="AQ1124" s="62"/>
      <c r="AR1124" s="34"/>
    </row>
    <row r="1125" spans="1:44" customFormat="1">
      <c r="A1125" s="39">
        <v>44615</v>
      </c>
      <c r="B1125" s="11" t="s">
        <v>22</v>
      </c>
      <c r="C1125" s="16" t="s">
        <v>4702</v>
      </c>
      <c r="D1125" s="16"/>
      <c r="E1125" s="38">
        <v>31054</v>
      </c>
      <c r="F1125" s="38"/>
      <c r="G1125" s="10" t="s">
        <v>4703</v>
      </c>
      <c r="H1125" s="12" t="s">
        <v>4704</v>
      </c>
      <c r="I1125" s="13" t="s">
        <v>4707</v>
      </c>
      <c r="J1125" s="15" t="s">
        <v>4706</v>
      </c>
      <c r="K1125" s="14" t="s">
        <v>4705</v>
      </c>
      <c r="L1125" s="11" t="s">
        <v>36</v>
      </c>
      <c r="M1125" s="15" t="s">
        <v>3599</v>
      </c>
      <c r="N1125" s="17">
        <v>2200</v>
      </c>
      <c r="O1125" s="17"/>
      <c r="P1125" s="17"/>
      <c r="Q1125" s="48"/>
      <c r="R1125" s="11"/>
      <c r="S1125" s="48"/>
      <c r="T1125" s="85"/>
      <c r="U1125" s="88"/>
      <c r="V1125" s="32" t="s">
        <v>1504</v>
      </c>
      <c r="W1125" s="25" t="s">
        <v>8</v>
      </c>
      <c r="X1125" s="11"/>
      <c r="Y1125" s="50"/>
      <c r="Z1125" s="50"/>
      <c r="AA1125" s="50"/>
      <c r="AB1125" s="50"/>
      <c r="AC1125" s="50"/>
      <c r="AD1125" s="50"/>
      <c r="AE1125" s="50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65"/>
      <c r="AP1125" s="69"/>
      <c r="AQ1125" s="62"/>
      <c r="AR1125" s="34"/>
    </row>
    <row r="1126" spans="1:44" customFormat="1">
      <c r="A1126" s="39">
        <v>44616</v>
      </c>
      <c r="B1126" s="11" t="s">
        <v>22</v>
      </c>
      <c r="C1126" s="16" t="s">
        <v>4708</v>
      </c>
      <c r="D1126" s="16"/>
      <c r="E1126" s="38">
        <v>19850</v>
      </c>
      <c r="F1126" s="38"/>
      <c r="G1126" s="10" t="s">
        <v>358</v>
      </c>
      <c r="H1126" s="12" t="s">
        <v>4709</v>
      </c>
      <c r="I1126" s="13" t="s">
        <v>2334</v>
      </c>
      <c r="J1126" s="15" t="s">
        <v>4711</v>
      </c>
      <c r="K1126" s="14" t="s">
        <v>4710</v>
      </c>
      <c r="L1126" s="11" t="s">
        <v>33</v>
      </c>
      <c r="M1126" s="15" t="s">
        <v>3629</v>
      </c>
      <c r="N1126" s="17">
        <v>3300</v>
      </c>
      <c r="O1126" s="17"/>
      <c r="P1126" s="17"/>
      <c r="Q1126" s="48"/>
      <c r="R1126" s="11"/>
      <c r="S1126" s="48"/>
      <c r="T1126" s="85"/>
      <c r="U1126" s="88"/>
      <c r="V1126" s="32"/>
      <c r="W1126" s="25" t="s">
        <v>10</v>
      </c>
      <c r="X1126" s="11"/>
      <c r="Y1126" s="50" t="s">
        <v>18</v>
      </c>
      <c r="Z1126" s="50"/>
      <c r="AA1126" s="50"/>
      <c r="AB1126" s="50"/>
      <c r="AC1126" s="50"/>
      <c r="AD1126" s="50"/>
      <c r="AE1126" s="50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65"/>
      <c r="AP1126" s="69"/>
      <c r="AQ1126" s="62"/>
      <c r="AR1126" s="34"/>
    </row>
    <row r="1127" spans="1:44" customFormat="1">
      <c r="A1127" s="39">
        <v>44617</v>
      </c>
      <c r="B1127" s="11" t="s">
        <v>49</v>
      </c>
      <c r="C1127" s="16" t="s">
        <v>4712</v>
      </c>
      <c r="D1127" s="16"/>
      <c r="E1127" s="38">
        <v>31586</v>
      </c>
      <c r="F1127" s="38"/>
      <c r="G1127" s="10" t="s">
        <v>73</v>
      </c>
      <c r="H1127" s="12" t="s">
        <v>4713</v>
      </c>
      <c r="I1127" s="13" t="s">
        <v>4714</v>
      </c>
      <c r="J1127" s="15" t="s">
        <v>4716</v>
      </c>
      <c r="K1127" s="14" t="s">
        <v>4715</v>
      </c>
      <c r="L1127" s="11" t="s">
        <v>36</v>
      </c>
      <c r="M1127" s="15" t="s">
        <v>3584</v>
      </c>
      <c r="N1127" s="17">
        <v>16500</v>
      </c>
      <c r="O1127" s="17"/>
      <c r="P1127" s="17"/>
      <c r="Q1127" s="48"/>
      <c r="R1127" s="11"/>
      <c r="S1127" s="48"/>
      <c r="T1127" s="85"/>
      <c r="U1127" s="88"/>
      <c r="V1127" s="32" t="s">
        <v>2372</v>
      </c>
      <c r="W1127" s="25" t="s">
        <v>48</v>
      </c>
      <c r="X1127" s="11"/>
      <c r="Y1127" s="50" t="s">
        <v>12</v>
      </c>
      <c r="Z1127" s="50"/>
      <c r="AA1127" s="50"/>
      <c r="AB1127" s="50"/>
      <c r="AC1127" s="50"/>
      <c r="AD1127" s="50"/>
      <c r="AE1127" s="50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65"/>
      <c r="AP1127" s="69"/>
      <c r="AQ1127" s="62"/>
      <c r="AR1127" s="34"/>
    </row>
    <row r="1128" spans="1:44" customFormat="1">
      <c r="A1128" s="39">
        <v>44618</v>
      </c>
      <c r="B1128" s="11" t="s">
        <v>22</v>
      </c>
      <c r="C1128" s="16" t="s">
        <v>4719</v>
      </c>
      <c r="D1128" s="16"/>
      <c r="E1128" s="38">
        <v>24088</v>
      </c>
      <c r="F1128" s="38"/>
      <c r="G1128" s="10" t="s">
        <v>280</v>
      </c>
      <c r="H1128" s="12" t="s">
        <v>4720</v>
      </c>
      <c r="I1128" s="13" t="s">
        <v>4722</v>
      </c>
      <c r="J1128" s="15" t="s">
        <v>4721</v>
      </c>
      <c r="K1128" s="12"/>
      <c r="L1128" s="11" t="s">
        <v>36</v>
      </c>
      <c r="M1128" s="15" t="s">
        <v>3629</v>
      </c>
      <c r="N1128" s="17">
        <v>3300</v>
      </c>
      <c r="O1128" s="17"/>
      <c r="P1128" s="17"/>
      <c r="Q1128" s="48"/>
      <c r="R1128" s="11"/>
      <c r="S1128" s="48"/>
      <c r="T1128" s="85"/>
      <c r="U1128" s="88"/>
      <c r="V1128" s="32"/>
      <c r="W1128" s="25" t="s">
        <v>8</v>
      </c>
      <c r="X1128" s="11"/>
      <c r="Y1128" s="50" t="s">
        <v>18</v>
      </c>
      <c r="Z1128" s="50"/>
      <c r="AA1128" s="50"/>
      <c r="AB1128" s="50"/>
      <c r="AC1128" s="50"/>
      <c r="AD1128" s="50"/>
      <c r="AE1128" s="50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65"/>
      <c r="AP1128" s="69"/>
      <c r="AQ1128" s="62"/>
      <c r="AR1128" s="34"/>
    </row>
    <row r="1129" spans="1:44" customFormat="1">
      <c r="A1129" s="39">
        <v>44618</v>
      </c>
      <c r="B1129" s="11" t="s">
        <v>22</v>
      </c>
      <c r="C1129" s="16" t="s">
        <v>4723</v>
      </c>
      <c r="D1129" s="16"/>
      <c r="E1129" s="38">
        <v>21515</v>
      </c>
      <c r="F1129" s="38"/>
      <c r="G1129" s="10" t="s">
        <v>4724</v>
      </c>
      <c r="H1129" s="12" t="s">
        <v>4725</v>
      </c>
      <c r="I1129" s="13" t="s">
        <v>4728</v>
      </c>
      <c r="J1129" s="15" t="s">
        <v>4727</v>
      </c>
      <c r="K1129" s="14" t="s">
        <v>4726</v>
      </c>
      <c r="L1129" s="11" t="s">
        <v>39</v>
      </c>
      <c r="M1129" s="15" t="s">
        <v>3599</v>
      </c>
      <c r="N1129" s="17">
        <v>3300</v>
      </c>
      <c r="O1129" s="17"/>
      <c r="P1129" s="17"/>
      <c r="Q1129" s="48"/>
      <c r="R1129" s="11"/>
      <c r="S1129" s="48"/>
      <c r="T1129" s="85"/>
      <c r="U1129" s="88"/>
      <c r="V1129" s="32" t="s">
        <v>4729</v>
      </c>
      <c r="W1129" s="25" t="s">
        <v>8</v>
      </c>
      <c r="X1129" s="11"/>
      <c r="Y1129" s="50" t="s">
        <v>12</v>
      </c>
      <c r="Z1129" s="50"/>
      <c r="AA1129" s="50"/>
      <c r="AB1129" s="50"/>
      <c r="AC1129" s="50"/>
      <c r="AD1129" s="50"/>
      <c r="AE1129" s="50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65"/>
      <c r="AP1129" s="69"/>
      <c r="AQ1129" s="62"/>
      <c r="AR1129" s="34"/>
    </row>
    <row r="1130" spans="1:44" customFormat="1">
      <c r="A1130" s="39">
        <v>44618</v>
      </c>
      <c r="B1130" s="11" t="s">
        <v>49</v>
      </c>
      <c r="C1130" s="16" t="s">
        <v>4730</v>
      </c>
      <c r="D1130" s="16"/>
      <c r="E1130" s="38">
        <v>30825</v>
      </c>
      <c r="F1130" s="38"/>
      <c r="G1130" s="10" t="s">
        <v>4731</v>
      </c>
      <c r="H1130" s="12" t="s">
        <v>4732</v>
      </c>
      <c r="I1130" s="13" t="s">
        <v>2672</v>
      </c>
      <c r="J1130" s="15" t="s">
        <v>4734</v>
      </c>
      <c r="K1130" s="14" t="s">
        <v>4733</v>
      </c>
      <c r="L1130" s="11" t="s">
        <v>34</v>
      </c>
      <c r="M1130" s="15" t="s">
        <v>3599</v>
      </c>
      <c r="N1130" s="17">
        <v>11000</v>
      </c>
      <c r="O1130" s="17"/>
      <c r="P1130" s="17"/>
      <c r="Q1130" s="48"/>
      <c r="R1130" s="11"/>
      <c r="S1130" s="48"/>
      <c r="T1130" s="85"/>
      <c r="U1130" s="88"/>
      <c r="V1130" s="32" t="s">
        <v>4735</v>
      </c>
      <c r="W1130" s="25" t="s">
        <v>8</v>
      </c>
      <c r="X1130" s="11"/>
      <c r="Y1130" s="50" t="s">
        <v>13</v>
      </c>
      <c r="Z1130" s="50"/>
      <c r="AA1130" s="50"/>
      <c r="AB1130" s="50"/>
      <c r="AC1130" s="50"/>
      <c r="AD1130" s="50"/>
      <c r="AE1130" s="50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65"/>
      <c r="AP1130" s="69"/>
      <c r="AQ1130" s="62"/>
      <c r="AR1130" s="34"/>
    </row>
    <row r="1131" spans="1:44" customFormat="1">
      <c r="A1131" s="39">
        <v>44619</v>
      </c>
      <c r="B1131" s="11" t="s">
        <v>49</v>
      </c>
      <c r="C1131" s="16" t="s">
        <v>4736</v>
      </c>
      <c r="D1131" s="16"/>
      <c r="E1131" s="38">
        <v>35797</v>
      </c>
      <c r="F1131" s="38"/>
      <c r="G1131" s="10" t="s">
        <v>4737</v>
      </c>
      <c r="H1131" s="12" t="s">
        <v>4738</v>
      </c>
      <c r="I1131" s="13" t="s">
        <v>4739</v>
      </c>
      <c r="J1131" s="15" t="s">
        <v>4741</v>
      </c>
      <c r="K1131" s="14" t="s">
        <v>4740</v>
      </c>
      <c r="L1131" s="11" t="s">
        <v>36</v>
      </c>
      <c r="M1131" s="15" t="s">
        <v>3584</v>
      </c>
      <c r="N1131" s="17">
        <v>22000</v>
      </c>
      <c r="O1131" s="17"/>
      <c r="P1131" s="17"/>
      <c r="Q1131" s="48"/>
      <c r="R1131" s="11"/>
      <c r="S1131" s="48"/>
      <c r="T1131" s="85"/>
      <c r="U1131" s="88"/>
      <c r="V1131" s="32"/>
      <c r="W1131" s="25"/>
      <c r="X1131" s="11"/>
      <c r="Y1131" s="50" t="s">
        <v>13</v>
      </c>
      <c r="Z1131" s="50"/>
      <c r="AA1131" s="50"/>
      <c r="AB1131" s="50"/>
      <c r="AC1131" s="50"/>
      <c r="AD1131" s="50"/>
      <c r="AE1131" s="50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65"/>
      <c r="AP1131" s="69"/>
      <c r="AQ1131" s="62"/>
      <c r="AR1131" s="34"/>
    </row>
    <row r="1132" spans="1:44" customFormat="1">
      <c r="A1132" s="39">
        <v>44620</v>
      </c>
      <c r="B1132" s="11" t="s">
        <v>22</v>
      </c>
      <c r="C1132" s="16" t="s">
        <v>4614</v>
      </c>
      <c r="D1132" s="16"/>
      <c r="E1132" s="38">
        <v>28422</v>
      </c>
      <c r="F1132" s="38"/>
      <c r="G1132" s="10" t="s">
        <v>4616</v>
      </c>
      <c r="H1132" s="12" t="s">
        <v>4618</v>
      </c>
      <c r="I1132" s="13" t="s">
        <v>4620</v>
      </c>
      <c r="J1132" s="15" t="s">
        <v>4622</v>
      </c>
      <c r="K1132" s="12"/>
      <c r="L1132" s="11" t="s">
        <v>39</v>
      </c>
      <c r="M1132" s="15" t="s">
        <v>3599</v>
      </c>
      <c r="N1132" s="17">
        <v>3300</v>
      </c>
      <c r="O1132" s="17"/>
      <c r="P1132" s="17"/>
      <c r="Q1132" s="48"/>
      <c r="R1132" s="11"/>
      <c r="S1132" s="48"/>
      <c r="T1132" s="85"/>
      <c r="U1132" s="88"/>
      <c r="V1132" s="32" t="s">
        <v>4742</v>
      </c>
      <c r="W1132" s="25" t="s">
        <v>48</v>
      </c>
      <c r="X1132" s="11"/>
      <c r="Y1132" s="50" t="s">
        <v>13</v>
      </c>
      <c r="Z1132" s="50"/>
      <c r="AA1132" s="50"/>
      <c r="AB1132" s="50"/>
      <c r="AC1132" s="50"/>
      <c r="AD1132" s="50"/>
      <c r="AE1132" s="50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65"/>
      <c r="AP1132" s="69"/>
      <c r="AQ1132" s="62"/>
      <c r="AR1132" s="34"/>
    </row>
    <row r="1133" spans="1:44" customFormat="1">
      <c r="A1133" s="39">
        <v>44622</v>
      </c>
      <c r="B1133" s="11" t="s">
        <v>22</v>
      </c>
      <c r="C1133" s="16" t="s">
        <v>4743</v>
      </c>
      <c r="D1133" s="16"/>
      <c r="E1133" s="38">
        <v>27421</v>
      </c>
      <c r="F1133" s="38"/>
      <c r="G1133" s="10" t="s">
        <v>328</v>
      </c>
      <c r="H1133" s="12" t="s">
        <v>4744</v>
      </c>
      <c r="I1133" s="13" t="s">
        <v>4745</v>
      </c>
      <c r="J1133" s="15" t="s">
        <v>4746</v>
      </c>
      <c r="K1133" s="12"/>
      <c r="L1133" s="11" t="s">
        <v>37</v>
      </c>
      <c r="M1133" s="15" t="s">
        <v>3629</v>
      </c>
      <c r="N1133" s="17">
        <v>3300</v>
      </c>
      <c r="O1133" s="17"/>
      <c r="P1133" s="17"/>
      <c r="Q1133" s="48"/>
      <c r="R1133" s="11"/>
      <c r="S1133" s="48"/>
      <c r="T1133" s="85"/>
      <c r="U1133" s="88"/>
      <c r="V1133" s="32"/>
      <c r="W1133" s="25" t="s">
        <v>9</v>
      </c>
      <c r="X1133" s="11"/>
      <c r="Y1133" s="50" t="s">
        <v>14</v>
      </c>
      <c r="Z1133" s="50"/>
      <c r="AA1133" s="50"/>
      <c r="AB1133" s="50"/>
      <c r="AC1133" s="50"/>
      <c r="AD1133" s="50"/>
      <c r="AE1133" s="50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65"/>
      <c r="AP1133" s="69"/>
      <c r="AQ1133" s="62"/>
      <c r="AR1133" s="34"/>
    </row>
    <row r="1134" spans="1:44" customFormat="1">
      <c r="A1134" s="39">
        <v>44629</v>
      </c>
      <c r="B1134" s="11" t="s">
        <v>49</v>
      </c>
      <c r="C1134" s="16" t="s">
        <v>2941</v>
      </c>
      <c r="D1134" s="16"/>
      <c r="E1134" s="38">
        <v>26501</v>
      </c>
      <c r="F1134" s="38"/>
      <c r="G1134" s="10" t="s">
        <v>2942</v>
      </c>
      <c r="H1134" s="12" t="s">
        <v>2943</v>
      </c>
      <c r="I1134" s="13" t="s">
        <v>2944</v>
      </c>
      <c r="J1134" s="15" t="s">
        <v>4748</v>
      </c>
      <c r="K1134" s="12"/>
      <c r="L1134" s="11"/>
      <c r="M1134" s="15"/>
      <c r="N1134" s="17">
        <v>16500</v>
      </c>
      <c r="O1134" s="17"/>
      <c r="P1134" s="17"/>
      <c r="Q1134" s="48"/>
      <c r="R1134" s="10"/>
      <c r="S1134" s="48"/>
      <c r="T1134" s="85"/>
      <c r="U1134" s="88"/>
      <c r="V1134" s="95" t="s">
        <v>4747</v>
      </c>
      <c r="W1134" s="25"/>
      <c r="X1134" s="11"/>
      <c r="Y1134" s="50"/>
      <c r="Z1134" s="50"/>
      <c r="AA1134" s="50"/>
      <c r="AB1134" s="50"/>
      <c r="AC1134" s="50"/>
      <c r="AD1134" s="50"/>
      <c r="AE1134" s="50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65"/>
      <c r="AP1134" s="72"/>
      <c r="AQ1134" s="62"/>
      <c r="AR1134" s="34"/>
    </row>
    <row r="1135" spans="1:44" customFormat="1">
      <c r="A1135" s="39">
        <v>44632</v>
      </c>
      <c r="B1135" s="11" t="s">
        <v>22</v>
      </c>
      <c r="C1135" s="16" t="s">
        <v>4749</v>
      </c>
      <c r="D1135" s="16"/>
      <c r="E1135" s="38">
        <v>31625</v>
      </c>
      <c r="F1135" s="38"/>
      <c r="G1135" s="10" t="s">
        <v>1805</v>
      </c>
      <c r="H1135" s="12" t="s">
        <v>4750</v>
      </c>
      <c r="I1135" s="13" t="s">
        <v>2142</v>
      </c>
      <c r="J1135" s="15" t="s">
        <v>4751</v>
      </c>
      <c r="K1135" s="12"/>
      <c r="L1135" s="11" t="s">
        <v>36</v>
      </c>
      <c r="M1135" s="15" t="s">
        <v>3599</v>
      </c>
      <c r="N1135" s="17">
        <v>3300</v>
      </c>
      <c r="O1135" s="17"/>
      <c r="P1135" s="17"/>
      <c r="Q1135" s="48"/>
      <c r="R1135" s="11"/>
      <c r="S1135" s="48"/>
      <c r="T1135" s="85"/>
      <c r="U1135" s="88"/>
      <c r="V1135" s="32"/>
      <c r="W1135" s="25" t="s">
        <v>48</v>
      </c>
      <c r="X1135" s="11"/>
      <c r="Y1135" s="50" t="s">
        <v>12</v>
      </c>
      <c r="Z1135" s="50"/>
      <c r="AA1135" s="50"/>
      <c r="AB1135" s="50"/>
      <c r="AC1135" s="50"/>
      <c r="AD1135" s="50"/>
      <c r="AE1135" s="50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65"/>
      <c r="AP1135" s="69"/>
      <c r="AQ1135" s="62"/>
      <c r="AR1135" s="34"/>
    </row>
    <row r="1136" spans="1:44" customFormat="1">
      <c r="A1136" s="39">
        <v>44633</v>
      </c>
      <c r="B1136" s="11" t="s">
        <v>22</v>
      </c>
      <c r="C1136" s="16" t="s">
        <v>4752</v>
      </c>
      <c r="D1136" s="16"/>
      <c r="E1136" s="38">
        <v>23367</v>
      </c>
      <c r="F1136" s="38"/>
      <c r="G1136" s="10" t="s">
        <v>4662</v>
      </c>
      <c r="H1136" s="12" t="s">
        <v>4663</v>
      </c>
      <c r="I1136" s="13" t="s">
        <v>3416</v>
      </c>
      <c r="J1136" s="15" t="s">
        <v>4753</v>
      </c>
      <c r="K1136" s="12"/>
      <c r="L1136" s="11" t="s">
        <v>36</v>
      </c>
      <c r="M1136" s="15" t="s">
        <v>3599</v>
      </c>
      <c r="N1136" s="17">
        <v>3300</v>
      </c>
      <c r="O1136" s="17"/>
      <c r="P1136" s="17"/>
      <c r="Q1136" s="48"/>
      <c r="R1136" s="11"/>
      <c r="S1136" s="48"/>
      <c r="T1136" s="85"/>
      <c r="U1136" s="88"/>
      <c r="V1136" s="32" t="s">
        <v>4754</v>
      </c>
      <c r="W1136" s="25"/>
      <c r="X1136" s="11"/>
      <c r="Y1136" s="50"/>
      <c r="Z1136" s="50"/>
      <c r="AA1136" s="50"/>
      <c r="AB1136" s="50"/>
      <c r="AC1136" s="50"/>
      <c r="AD1136" s="50"/>
      <c r="AE1136" s="50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65"/>
      <c r="AP1136" s="69"/>
      <c r="AQ1136" s="62"/>
      <c r="AR1136" s="34"/>
    </row>
    <row r="1137" spans="1:44" customFormat="1">
      <c r="A1137" s="39">
        <v>44634</v>
      </c>
      <c r="B1137" s="11" t="s">
        <v>49</v>
      </c>
      <c r="C1137" s="16" t="s">
        <v>2338</v>
      </c>
      <c r="D1137" s="16"/>
      <c r="E1137" s="38">
        <v>22817</v>
      </c>
      <c r="F1137" s="38"/>
      <c r="G1137" s="10" t="s">
        <v>2339</v>
      </c>
      <c r="H1137" s="12" t="s">
        <v>2340</v>
      </c>
      <c r="I1137" s="13" t="s">
        <v>1946</v>
      </c>
      <c r="J1137" s="15" t="s">
        <v>2341</v>
      </c>
      <c r="K1137" s="12"/>
      <c r="L1137" s="11" t="s">
        <v>33</v>
      </c>
      <c r="M1137" s="15"/>
      <c r="N1137" s="17">
        <v>14850</v>
      </c>
      <c r="O1137" s="17"/>
      <c r="P1137" s="17"/>
      <c r="Q1137" s="48"/>
      <c r="R1137" s="11"/>
      <c r="S1137" s="48"/>
      <c r="T1137" s="85"/>
      <c r="U1137" s="88"/>
      <c r="V1137" s="32" t="s">
        <v>4755</v>
      </c>
      <c r="W1137" s="25" t="s">
        <v>8</v>
      </c>
      <c r="X1137" s="11"/>
      <c r="Y1137" s="50"/>
      <c r="Z1137" s="50"/>
      <c r="AA1137" s="50"/>
      <c r="AB1137" s="50"/>
      <c r="AC1137" s="50"/>
      <c r="AD1137" s="50"/>
      <c r="AE1137" s="50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65"/>
      <c r="AP1137" s="69"/>
      <c r="AQ1137" s="62"/>
      <c r="AR1137" s="34"/>
    </row>
    <row r="1138" spans="1:44" customFormat="1">
      <c r="A1138" s="39">
        <v>44638</v>
      </c>
      <c r="B1138" s="11" t="s">
        <v>49</v>
      </c>
      <c r="C1138" s="16" t="s">
        <v>4756</v>
      </c>
      <c r="D1138" s="16"/>
      <c r="E1138" s="38"/>
      <c r="F1138" s="38"/>
      <c r="G1138" s="10" t="s">
        <v>1500</v>
      </c>
      <c r="H1138" s="12" t="s">
        <v>4758</v>
      </c>
      <c r="I1138" s="13" t="s">
        <v>4759</v>
      </c>
      <c r="J1138" s="15"/>
      <c r="K1138" s="12"/>
      <c r="L1138" s="11"/>
      <c r="M1138" s="15"/>
      <c r="N1138" s="17">
        <v>22000</v>
      </c>
      <c r="O1138" s="17"/>
      <c r="P1138" s="17"/>
      <c r="Q1138" s="48"/>
      <c r="R1138" s="11"/>
      <c r="S1138" s="48"/>
      <c r="T1138" s="85"/>
      <c r="U1138" s="88"/>
      <c r="V1138" s="32" t="s">
        <v>4757</v>
      </c>
      <c r="W1138" s="25"/>
      <c r="X1138" s="11"/>
      <c r="Y1138" s="50"/>
      <c r="Z1138" s="50"/>
      <c r="AA1138" s="50"/>
      <c r="AB1138" s="50"/>
      <c r="AC1138" s="50"/>
      <c r="AD1138" s="50"/>
      <c r="AE1138" s="50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65"/>
      <c r="AP1138" s="69"/>
      <c r="AQ1138" s="62"/>
      <c r="AR1138" s="34"/>
    </row>
    <row r="1139" spans="1:44" customFormat="1">
      <c r="A1139" s="39">
        <v>44638</v>
      </c>
      <c r="B1139" s="11" t="s">
        <v>5659</v>
      </c>
      <c r="C1139" s="16" t="s">
        <v>2720</v>
      </c>
      <c r="D1139" s="16"/>
      <c r="E1139" s="38"/>
      <c r="F1139" s="38"/>
      <c r="G1139" s="10"/>
      <c r="H1139" s="12"/>
      <c r="I1139" s="13"/>
      <c r="J1139" s="15"/>
      <c r="K1139" s="12"/>
      <c r="L1139" s="11"/>
      <c r="M1139" s="15"/>
      <c r="N1139" s="17">
        <v>3300</v>
      </c>
      <c r="O1139" s="17"/>
      <c r="P1139" s="17"/>
      <c r="Q1139" s="48"/>
      <c r="R1139" s="11"/>
      <c r="S1139" s="48"/>
      <c r="T1139" s="85"/>
      <c r="U1139" s="88"/>
      <c r="V1139" s="32" t="s">
        <v>4760</v>
      </c>
      <c r="W1139" s="25"/>
      <c r="X1139" s="11"/>
      <c r="Y1139" s="50"/>
      <c r="Z1139" s="50"/>
      <c r="AA1139" s="50"/>
      <c r="AB1139" s="50"/>
      <c r="AC1139" s="50"/>
      <c r="AD1139" s="50"/>
      <c r="AE1139" s="50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65"/>
      <c r="AP1139" s="69"/>
      <c r="AQ1139" s="62"/>
      <c r="AR1139" s="34"/>
    </row>
    <row r="1140" spans="1:44" customFormat="1">
      <c r="A1140" s="39">
        <v>44640</v>
      </c>
      <c r="B1140" s="11" t="s">
        <v>22</v>
      </c>
      <c r="C1140" s="16" t="s">
        <v>4761</v>
      </c>
      <c r="D1140" s="16"/>
      <c r="E1140" s="38">
        <v>23522</v>
      </c>
      <c r="F1140" s="38"/>
      <c r="G1140" s="10" t="s">
        <v>3609</v>
      </c>
      <c r="H1140" s="12" t="s">
        <v>4762</v>
      </c>
      <c r="I1140" s="13" t="s">
        <v>4763</v>
      </c>
      <c r="J1140" s="15" t="s">
        <v>4764</v>
      </c>
      <c r="K1140" s="12"/>
      <c r="L1140" s="11" t="s">
        <v>37</v>
      </c>
      <c r="M1140" s="15" t="s">
        <v>3599</v>
      </c>
      <c r="N1140" s="17">
        <v>3300</v>
      </c>
      <c r="O1140" s="17"/>
      <c r="P1140" s="17"/>
      <c r="Q1140" s="48"/>
      <c r="R1140" s="11"/>
      <c r="S1140" s="48"/>
      <c r="T1140" s="85"/>
      <c r="U1140" s="88"/>
      <c r="V1140" s="32" t="s">
        <v>4765</v>
      </c>
      <c r="W1140" s="25" t="s">
        <v>8</v>
      </c>
      <c r="X1140" s="11"/>
      <c r="Y1140" s="50" t="s">
        <v>13</v>
      </c>
      <c r="Z1140" s="50"/>
      <c r="AA1140" s="50"/>
      <c r="AB1140" s="50"/>
      <c r="AC1140" s="50"/>
      <c r="AD1140" s="50"/>
      <c r="AE1140" s="50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65"/>
      <c r="AP1140" s="69"/>
      <c r="AQ1140" s="62"/>
      <c r="AR1140" s="34"/>
    </row>
    <row r="1141" spans="1:44" customFormat="1">
      <c r="A1141" s="39">
        <v>44640</v>
      </c>
      <c r="B1141" s="11" t="s">
        <v>22</v>
      </c>
      <c r="C1141" s="16" t="s">
        <v>4766</v>
      </c>
      <c r="D1141" s="16"/>
      <c r="E1141" s="38">
        <v>22291</v>
      </c>
      <c r="F1141" s="38"/>
      <c r="G1141" s="10" t="s">
        <v>2034</v>
      </c>
      <c r="H1141" s="12" t="s">
        <v>4767</v>
      </c>
      <c r="I1141" s="13" t="s">
        <v>2077</v>
      </c>
      <c r="J1141" s="15" t="s">
        <v>4769</v>
      </c>
      <c r="K1141" s="12" t="s">
        <v>4768</v>
      </c>
      <c r="L1141" s="11" t="s">
        <v>34</v>
      </c>
      <c r="M1141" s="15" t="s">
        <v>3629</v>
      </c>
      <c r="N1141" s="17">
        <v>3300</v>
      </c>
      <c r="O1141" s="17"/>
      <c r="P1141" s="17"/>
      <c r="Q1141" s="48"/>
      <c r="R1141" s="11"/>
      <c r="S1141" s="48"/>
      <c r="T1141" s="85"/>
      <c r="U1141" s="88"/>
      <c r="V1141" s="32" t="s">
        <v>4770</v>
      </c>
      <c r="W1141" s="25" t="s">
        <v>8</v>
      </c>
      <c r="X1141" s="11"/>
      <c r="Y1141" s="50" t="s">
        <v>17</v>
      </c>
      <c r="Z1141" s="50"/>
      <c r="AA1141" s="50"/>
      <c r="AB1141" s="50"/>
      <c r="AC1141" s="50"/>
      <c r="AD1141" s="50"/>
      <c r="AE1141" s="50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65"/>
      <c r="AP1141" s="69"/>
      <c r="AQ1141" s="62"/>
      <c r="AR1141" s="34"/>
    </row>
    <row r="1142" spans="1:44" customFormat="1">
      <c r="A1142" s="39">
        <v>44644</v>
      </c>
      <c r="B1142" s="11" t="s">
        <v>22</v>
      </c>
      <c r="C1142" s="16" t="s">
        <v>4771</v>
      </c>
      <c r="D1142" s="16"/>
      <c r="E1142" s="38">
        <v>27160</v>
      </c>
      <c r="F1142" s="38"/>
      <c r="G1142" s="10" t="s">
        <v>207</v>
      </c>
      <c r="H1142" s="12" t="s">
        <v>4772</v>
      </c>
      <c r="I1142" s="13" t="s">
        <v>3432</v>
      </c>
      <c r="J1142" s="15" t="s">
        <v>4773</v>
      </c>
      <c r="K1142" s="12"/>
      <c r="L1142" s="11" t="s">
        <v>34</v>
      </c>
      <c r="M1142" s="15" t="s">
        <v>3584</v>
      </c>
      <c r="N1142" s="17">
        <v>3300</v>
      </c>
      <c r="O1142" s="17"/>
      <c r="P1142" s="17"/>
      <c r="Q1142" s="48"/>
      <c r="R1142" s="11"/>
      <c r="S1142" s="48"/>
      <c r="T1142" s="85"/>
      <c r="U1142" s="88"/>
      <c r="V1142" s="32" t="s">
        <v>4774</v>
      </c>
      <c r="W1142" s="25" t="s">
        <v>10</v>
      </c>
      <c r="X1142" s="11"/>
      <c r="Y1142" s="50" t="s">
        <v>18</v>
      </c>
      <c r="Z1142" s="50"/>
      <c r="AA1142" s="50"/>
      <c r="AB1142" s="50"/>
      <c r="AC1142" s="50"/>
      <c r="AD1142" s="50"/>
      <c r="AE1142" s="50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65"/>
      <c r="AP1142" s="69"/>
      <c r="AQ1142" s="62"/>
      <c r="AR1142" s="34"/>
    </row>
    <row r="1143" spans="1:44" customFormat="1">
      <c r="A1143" s="39">
        <v>44646</v>
      </c>
      <c r="B1143" s="11" t="s">
        <v>5659</v>
      </c>
      <c r="C1143" s="16" t="s">
        <v>4775</v>
      </c>
      <c r="D1143" s="16"/>
      <c r="E1143" s="38"/>
      <c r="F1143" s="38"/>
      <c r="G1143" s="10"/>
      <c r="H1143" s="12"/>
      <c r="I1143" s="13"/>
      <c r="J1143" s="15"/>
      <c r="K1143" s="12"/>
      <c r="L1143" s="11"/>
      <c r="M1143" s="15"/>
      <c r="N1143" s="17">
        <v>8250</v>
      </c>
      <c r="O1143" s="17"/>
      <c r="P1143" s="17"/>
      <c r="Q1143" s="48"/>
      <c r="R1143" s="11"/>
      <c r="S1143" s="48"/>
      <c r="T1143" s="85"/>
      <c r="U1143" s="88"/>
      <c r="V1143" s="32" t="s">
        <v>4780</v>
      </c>
      <c r="W1143" s="25"/>
      <c r="X1143" s="11"/>
      <c r="Y1143" s="50"/>
      <c r="Z1143" s="50"/>
      <c r="AA1143" s="50"/>
      <c r="AB1143" s="50"/>
      <c r="AC1143" s="50"/>
      <c r="AD1143" s="50"/>
      <c r="AE1143" s="50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65"/>
      <c r="AP1143" s="69"/>
      <c r="AQ1143" s="62"/>
      <c r="AR1143" s="34"/>
    </row>
    <row r="1144" spans="1:44" customFormat="1">
      <c r="A1144" s="39">
        <v>44646</v>
      </c>
      <c r="B1144" s="11" t="s">
        <v>49</v>
      </c>
      <c r="C1144" s="16" t="s">
        <v>4776</v>
      </c>
      <c r="D1144" s="16"/>
      <c r="E1144" s="38">
        <v>22729</v>
      </c>
      <c r="F1144" s="38"/>
      <c r="G1144" s="10" t="s">
        <v>4777</v>
      </c>
      <c r="H1144" s="12" t="s">
        <v>4778</v>
      </c>
      <c r="I1144" s="13" t="s">
        <v>2865</v>
      </c>
      <c r="J1144" s="15" t="s">
        <v>4779</v>
      </c>
      <c r="K1144" s="12"/>
      <c r="L1144" s="11" t="s">
        <v>36</v>
      </c>
      <c r="M1144" s="15" t="s">
        <v>3599</v>
      </c>
      <c r="N1144" s="17">
        <v>16500</v>
      </c>
      <c r="O1144" s="17"/>
      <c r="P1144" s="17"/>
      <c r="Q1144" s="48"/>
      <c r="R1144" s="11"/>
      <c r="S1144" s="48"/>
      <c r="T1144" s="85"/>
      <c r="U1144" s="88"/>
      <c r="V1144" s="32"/>
      <c r="W1144" s="25" t="s">
        <v>8</v>
      </c>
      <c r="X1144" s="11"/>
      <c r="Y1144" s="50" t="s">
        <v>13</v>
      </c>
      <c r="Z1144" s="50"/>
      <c r="AA1144" s="50"/>
      <c r="AB1144" s="50"/>
      <c r="AC1144" s="50"/>
      <c r="AD1144" s="50"/>
      <c r="AE1144" s="50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65"/>
      <c r="AP1144" s="69"/>
      <c r="AQ1144" s="62"/>
      <c r="AR1144" s="34"/>
    </row>
    <row r="1145" spans="1:44" customFormat="1">
      <c r="A1145" s="39">
        <v>44647</v>
      </c>
      <c r="B1145" s="11" t="s">
        <v>49</v>
      </c>
      <c r="C1145" s="16" t="s">
        <v>4761</v>
      </c>
      <c r="D1145" s="16"/>
      <c r="E1145" s="38"/>
      <c r="F1145" s="38"/>
      <c r="G1145" s="10"/>
      <c r="H1145" s="12"/>
      <c r="I1145" s="13"/>
      <c r="J1145" s="15"/>
      <c r="K1145" s="12"/>
      <c r="L1145" s="11"/>
      <c r="M1145" s="15"/>
      <c r="N1145" s="17">
        <v>8250</v>
      </c>
      <c r="O1145" s="17"/>
      <c r="P1145" s="17"/>
      <c r="Q1145" s="48"/>
      <c r="R1145" s="11"/>
      <c r="S1145" s="48"/>
      <c r="T1145" s="85"/>
      <c r="U1145" s="88"/>
      <c r="V1145" s="32" t="s">
        <v>4613</v>
      </c>
      <c r="W1145" s="25"/>
      <c r="X1145" s="11"/>
      <c r="Y1145" s="50"/>
      <c r="Z1145" s="50"/>
      <c r="AA1145" s="50"/>
      <c r="AB1145" s="50"/>
      <c r="AC1145" s="50"/>
      <c r="AD1145" s="50"/>
      <c r="AE1145" s="50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65"/>
      <c r="AP1145" s="69"/>
      <c r="AQ1145" s="62"/>
      <c r="AR1145" s="34"/>
    </row>
    <row r="1146" spans="1:44" customFormat="1">
      <c r="A1146" s="39">
        <v>44647</v>
      </c>
      <c r="B1146" s="11" t="s">
        <v>49</v>
      </c>
      <c r="C1146" s="16" t="s">
        <v>4781</v>
      </c>
      <c r="D1146" s="16"/>
      <c r="E1146" s="38"/>
      <c r="F1146" s="38"/>
      <c r="G1146" s="10"/>
      <c r="H1146" s="12"/>
      <c r="I1146" s="13"/>
      <c r="J1146" s="15"/>
      <c r="K1146" s="12"/>
      <c r="L1146" s="11"/>
      <c r="M1146" s="15"/>
      <c r="N1146" s="17">
        <v>0</v>
      </c>
      <c r="O1146" s="17"/>
      <c r="P1146" s="17"/>
      <c r="Q1146" s="48"/>
      <c r="R1146" s="11"/>
      <c r="S1146" s="48"/>
      <c r="T1146" s="85"/>
      <c r="U1146" s="88"/>
      <c r="V1146" s="32" t="s">
        <v>4782</v>
      </c>
      <c r="W1146" s="25"/>
      <c r="X1146" s="11"/>
      <c r="Y1146" s="50"/>
      <c r="Z1146" s="50"/>
      <c r="AA1146" s="50"/>
      <c r="AB1146" s="50"/>
      <c r="AC1146" s="50"/>
      <c r="AD1146" s="50"/>
      <c r="AE1146" s="50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65"/>
      <c r="AP1146" s="69"/>
      <c r="AQ1146" s="62"/>
      <c r="AR1146" s="34"/>
    </row>
    <row r="1147" spans="1:44" customFormat="1">
      <c r="A1147" s="39">
        <v>44648</v>
      </c>
      <c r="B1147" s="11" t="s">
        <v>22</v>
      </c>
      <c r="C1147" s="16" t="s">
        <v>4783</v>
      </c>
      <c r="D1147" s="16"/>
      <c r="E1147" s="38">
        <v>24769</v>
      </c>
      <c r="F1147" s="38"/>
      <c r="G1147" s="10" t="s">
        <v>4785</v>
      </c>
      <c r="H1147" s="12" t="s">
        <v>4786</v>
      </c>
      <c r="I1147" s="13" t="s">
        <v>2592</v>
      </c>
      <c r="J1147" s="15" t="s">
        <v>4789</v>
      </c>
      <c r="K1147" s="14" t="s">
        <v>4787</v>
      </c>
      <c r="L1147" s="11" t="s">
        <v>37</v>
      </c>
      <c r="M1147" s="15" t="s">
        <v>3584</v>
      </c>
      <c r="N1147" s="17">
        <v>3300</v>
      </c>
      <c r="O1147" s="17"/>
      <c r="P1147" s="17"/>
      <c r="Q1147" s="48"/>
      <c r="R1147" s="11"/>
      <c r="S1147" s="48"/>
      <c r="T1147" s="85"/>
      <c r="U1147" s="88"/>
      <c r="V1147" s="32"/>
      <c r="W1147" s="25" t="s">
        <v>8</v>
      </c>
      <c r="X1147" s="11"/>
      <c r="Y1147" s="50"/>
      <c r="Z1147" s="50"/>
      <c r="AA1147" s="50"/>
      <c r="AB1147" s="50"/>
      <c r="AC1147" s="50"/>
      <c r="AD1147" s="50"/>
      <c r="AE1147" s="50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65"/>
      <c r="AP1147" s="69"/>
      <c r="AQ1147" s="62"/>
      <c r="AR1147" s="34"/>
    </row>
    <row r="1148" spans="1:44" customFormat="1">
      <c r="A1148" s="39">
        <v>44648</v>
      </c>
      <c r="B1148" s="11" t="s">
        <v>22</v>
      </c>
      <c r="C1148" s="16" t="s">
        <v>4784</v>
      </c>
      <c r="D1148" s="16"/>
      <c r="E1148" s="38">
        <v>36209</v>
      </c>
      <c r="F1148" s="38"/>
      <c r="G1148" s="10" t="s">
        <v>4785</v>
      </c>
      <c r="H1148" s="12" t="s">
        <v>4786</v>
      </c>
      <c r="I1148" s="13" t="s">
        <v>2592</v>
      </c>
      <c r="J1148" s="15" t="s">
        <v>4790</v>
      </c>
      <c r="K1148" s="14" t="s">
        <v>4788</v>
      </c>
      <c r="L1148" s="11" t="s">
        <v>36</v>
      </c>
      <c r="M1148" s="15" t="s">
        <v>3599</v>
      </c>
      <c r="N1148" s="17">
        <v>3300</v>
      </c>
      <c r="O1148" s="17"/>
      <c r="P1148" s="17"/>
      <c r="Q1148" s="48"/>
      <c r="R1148" s="11"/>
      <c r="S1148" s="48"/>
      <c r="T1148" s="85"/>
      <c r="U1148" s="88"/>
      <c r="V1148" s="32"/>
      <c r="W1148" s="25" t="s">
        <v>8</v>
      </c>
      <c r="X1148" s="11"/>
      <c r="Y1148" s="50" t="s">
        <v>11</v>
      </c>
      <c r="Z1148" s="50"/>
      <c r="AA1148" s="50"/>
      <c r="AB1148" s="50"/>
      <c r="AC1148" s="50"/>
      <c r="AD1148" s="50"/>
      <c r="AE1148" s="50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65"/>
      <c r="AP1148" s="69"/>
      <c r="AQ1148" s="62"/>
      <c r="AR1148" s="34"/>
    </row>
    <row r="1149" spans="1:44" customFormat="1">
      <c r="A1149" s="39">
        <v>44650</v>
      </c>
      <c r="B1149" s="11" t="s">
        <v>22</v>
      </c>
      <c r="C1149" s="16" t="s">
        <v>4791</v>
      </c>
      <c r="D1149" s="16"/>
      <c r="E1149" s="38">
        <v>27811</v>
      </c>
      <c r="F1149" s="38"/>
      <c r="G1149" s="10" t="s">
        <v>1841</v>
      </c>
      <c r="H1149" s="12" t="s">
        <v>4792</v>
      </c>
      <c r="I1149" s="13" t="s">
        <v>2388</v>
      </c>
      <c r="J1149" s="15" t="s">
        <v>4794</v>
      </c>
      <c r="K1149" s="14" t="s">
        <v>4793</v>
      </c>
      <c r="L1149" s="11" t="s">
        <v>36</v>
      </c>
      <c r="M1149" s="15" t="s">
        <v>3584</v>
      </c>
      <c r="N1149" s="17">
        <v>3300</v>
      </c>
      <c r="O1149" s="17"/>
      <c r="P1149" s="17"/>
      <c r="Q1149" s="48"/>
      <c r="R1149" s="11"/>
      <c r="S1149" s="48"/>
      <c r="T1149" s="85"/>
      <c r="U1149" s="88"/>
      <c r="V1149" s="32"/>
      <c r="W1149" s="25" t="s">
        <v>48</v>
      </c>
      <c r="X1149" s="11"/>
      <c r="Y1149" s="50" t="s">
        <v>11</v>
      </c>
      <c r="Z1149" s="50"/>
      <c r="AA1149" s="50"/>
      <c r="AB1149" s="50"/>
      <c r="AC1149" s="50"/>
      <c r="AD1149" s="50"/>
      <c r="AE1149" s="50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65"/>
      <c r="AP1149" s="69"/>
      <c r="AQ1149" s="62"/>
      <c r="AR1149" s="34"/>
    </row>
    <row r="1150" spans="1:44" customFormat="1">
      <c r="A1150" s="39">
        <v>44650</v>
      </c>
      <c r="B1150" s="11" t="s">
        <v>49</v>
      </c>
      <c r="C1150" s="16" t="s">
        <v>4795</v>
      </c>
      <c r="D1150" s="16"/>
      <c r="E1150" s="38">
        <v>25930</v>
      </c>
      <c r="F1150" s="38"/>
      <c r="G1150" s="10" t="s">
        <v>4796</v>
      </c>
      <c r="H1150" s="12" t="s">
        <v>4797</v>
      </c>
      <c r="I1150" s="13" t="s">
        <v>2877</v>
      </c>
      <c r="J1150" s="15" t="s">
        <v>4798</v>
      </c>
      <c r="K1150" s="12"/>
      <c r="L1150" s="11" t="s">
        <v>33</v>
      </c>
      <c r="M1150" s="15"/>
      <c r="N1150" s="17">
        <v>16500</v>
      </c>
      <c r="O1150" s="17"/>
      <c r="P1150" s="17"/>
      <c r="Q1150" s="48"/>
      <c r="R1150" s="11"/>
      <c r="S1150" s="48"/>
      <c r="T1150" s="85"/>
      <c r="U1150" s="88"/>
      <c r="V1150" s="32" t="s">
        <v>4799</v>
      </c>
      <c r="W1150" s="25" t="s">
        <v>8</v>
      </c>
      <c r="X1150" s="11"/>
      <c r="Y1150" s="50"/>
      <c r="Z1150" s="50"/>
      <c r="AA1150" s="50"/>
      <c r="AB1150" s="50"/>
      <c r="AC1150" s="50"/>
      <c r="AD1150" s="50"/>
      <c r="AE1150" s="50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65"/>
      <c r="AP1150" s="69"/>
      <c r="AQ1150" s="62"/>
      <c r="AR1150" s="34"/>
    </row>
    <row r="1151" spans="1:44" customFormat="1">
      <c r="A1151" s="39">
        <v>44653</v>
      </c>
      <c r="B1151" s="11" t="s">
        <v>49</v>
      </c>
      <c r="C1151" s="16" t="s">
        <v>3346</v>
      </c>
      <c r="D1151" s="16"/>
      <c r="E1151" s="38"/>
      <c r="F1151" s="38"/>
      <c r="G1151" s="10"/>
      <c r="H1151" s="12"/>
      <c r="I1151" s="13"/>
      <c r="J1151" s="15"/>
      <c r="K1151" s="12"/>
      <c r="L1151" s="11"/>
      <c r="M1151" s="15"/>
      <c r="N1151" s="17">
        <v>0</v>
      </c>
      <c r="O1151" s="17"/>
      <c r="P1151" s="17"/>
      <c r="Q1151" s="48"/>
      <c r="R1151" s="11"/>
      <c r="S1151" s="48"/>
      <c r="T1151" s="85"/>
      <c r="U1151" s="88"/>
      <c r="V1151" s="32" t="s">
        <v>4805</v>
      </c>
      <c r="W1151" s="25"/>
      <c r="X1151" s="11"/>
      <c r="Y1151" s="50"/>
      <c r="Z1151" s="50"/>
      <c r="AA1151" s="50"/>
      <c r="AB1151" s="50"/>
      <c r="AC1151" s="50"/>
      <c r="AD1151" s="50"/>
      <c r="AE1151" s="50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65"/>
      <c r="AP1151" s="69"/>
      <c r="AQ1151" s="62"/>
      <c r="AR1151" s="34"/>
    </row>
    <row r="1152" spans="1:44" customFormat="1">
      <c r="A1152" s="39">
        <v>44653</v>
      </c>
      <c r="B1152" s="11" t="s">
        <v>22</v>
      </c>
      <c r="C1152" s="16" t="s">
        <v>4800</v>
      </c>
      <c r="D1152" s="16"/>
      <c r="E1152" s="38">
        <v>21105</v>
      </c>
      <c r="F1152" s="38"/>
      <c r="G1152" s="10" t="s">
        <v>1433</v>
      </c>
      <c r="H1152" s="12" t="s">
        <v>4801</v>
      </c>
      <c r="I1152" s="13" t="s">
        <v>2072</v>
      </c>
      <c r="J1152" s="15" t="s">
        <v>4803</v>
      </c>
      <c r="K1152" s="14" t="s">
        <v>4802</v>
      </c>
      <c r="L1152" s="11" t="s">
        <v>34</v>
      </c>
      <c r="M1152" s="15" t="s">
        <v>3584</v>
      </c>
      <c r="N1152" s="17">
        <v>3300</v>
      </c>
      <c r="O1152" s="17"/>
      <c r="P1152" s="17"/>
      <c r="Q1152" s="48"/>
      <c r="R1152" s="11"/>
      <c r="S1152" s="48"/>
      <c r="T1152" s="85"/>
      <c r="U1152" s="88"/>
      <c r="V1152" s="32" t="s">
        <v>4804</v>
      </c>
      <c r="W1152" s="25" t="s">
        <v>8</v>
      </c>
      <c r="X1152" s="11"/>
      <c r="Y1152" s="50" t="s">
        <v>18</v>
      </c>
      <c r="Z1152" s="50"/>
      <c r="AA1152" s="50"/>
      <c r="AB1152" s="50"/>
      <c r="AC1152" s="50"/>
      <c r="AD1152" s="50"/>
      <c r="AE1152" s="50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65"/>
      <c r="AP1152" s="69"/>
      <c r="AQ1152" s="62"/>
      <c r="AR1152" s="34"/>
    </row>
    <row r="1153" spans="1:44" customFormat="1">
      <c r="A1153" s="39">
        <v>44655</v>
      </c>
      <c r="B1153" s="11" t="s">
        <v>22</v>
      </c>
      <c r="C1153" s="16" t="s">
        <v>4812</v>
      </c>
      <c r="D1153" s="16"/>
      <c r="E1153" s="38">
        <v>29220</v>
      </c>
      <c r="F1153" s="38"/>
      <c r="G1153" s="10" t="s">
        <v>4633</v>
      </c>
      <c r="H1153" s="12" t="s">
        <v>4634</v>
      </c>
      <c r="I1153" s="13" t="s">
        <v>2818</v>
      </c>
      <c r="J1153" s="15" t="s">
        <v>4813</v>
      </c>
      <c r="K1153" s="14"/>
      <c r="L1153" s="11"/>
      <c r="M1153" s="15"/>
      <c r="N1153" s="17">
        <v>0</v>
      </c>
      <c r="O1153" s="17"/>
      <c r="P1153" s="17"/>
      <c r="Q1153" s="48"/>
      <c r="R1153" s="11"/>
      <c r="S1153" s="48"/>
      <c r="T1153" s="85"/>
      <c r="U1153" s="88"/>
      <c r="V1153" s="32" t="s">
        <v>4814</v>
      </c>
      <c r="W1153" s="25"/>
      <c r="X1153" s="11"/>
      <c r="Y1153" s="50"/>
      <c r="Z1153" s="50"/>
      <c r="AA1153" s="50"/>
      <c r="AB1153" s="50"/>
      <c r="AC1153" s="50"/>
      <c r="AD1153" s="50"/>
      <c r="AE1153" s="50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65"/>
      <c r="AP1153" s="69"/>
      <c r="AQ1153" s="62"/>
      <c r="AR1153" s="34"/>
    </row>
    <row r="1154" spans="1:44" customFormat="1">
      <c r="A1154" s="39">
        <v>44657</v>
      </c>
      <c r="B1154" s="11" t="s">
        <v>49</v>
      </c>
      <c r="C1154" s="16" t="s">
        <v>4806</v>
      </c>
      <c r="D1154" s="16"/>
      <c r="E1154" s="38">
        <v>33118</v>
      </c>
      <c r="F1154" s="38"/>
      <c r="G1154" s="10" t="s">
        <v>4807</v>
      </c>
      <c r="H1154" s="12" t="s">
        <v>4808</v>
      </c>
      <c r="I1154" s="13" t="s">
        <v>3236</v>
      </c>
      <c r="J1154" s="15" t="s">
        <v>4810</v>
      </c>
      <c r="K1154" s="14" t="s">
        <v>4809</v>
      </c>
      <c r="L1154" s="11" t="s">
        <v>39</v>
      </c>
      <c r="M1154" s="15"/>
      <c r="N1154" s="17">
        <v>11000</v>
      </c>
      <c r="O1154" s="17"/>
      <c r="P1154" s="17"/>
      <c r="Q1154" s="48"/>
      <c r="R1154" s="11"/>
      <c r="S1154" s="48"/>
      <c r="T1154" s="85"/>
      <c r="U1154" s="88"/>
      <c r="V1154" s="32" t="s">
        <v>4811</v>
      </c>
      <c r="W1154" s="25" t="s">
        <v>8</v>
      </c>
      <c r="X1154" s="11"/>
      <c r="Y1154" s="50" t="s">
        <v>13</v>
      </c>
      <c r="Z1154" s="50"/>
      <c r="AA1154" s="50"/>
      <c r="AB1154" s="50"/>
      <c r="AC1154" s="50"/>
      <c r="AD1154" s="50"/>
      <c r="AE1154" s="50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65"/>
      <c r="AP1154" s="69"/>
      <c r="AQ1154" s="62"/>
      <c r="AR1154" s="34"/>
    </row>
    <row r="1155" spans="1:44" customFormat="1">
      <c r="A1155" s="39">
        <v>44659</v>
      </c>
      <c r="B1155" s="11" t="s">
        <v>22</v>
      </c>
      <c r="C1155" s="16" t="s">
        <v>4815</v>
      </c>
      <c r="D1155" s="16"/>
      <c r="E1155" s="38">
        <v>34725</v>
      </c>
      <c r="F1155" s="38"/>
      <c r="G1155" s="10" t="s">
        <v>4816</v>
      </c>
      <c r="H1155" s="12" t="s">
        <v>4817</v>
      </c>
      <c r="I1155" s="13" t="s">
        <v>4818</v>
      </c>
      <c r="J1155" s="15" t="s">
        <v>4820</v>
      </c>
      <c r="K1155" s="14" t="s">
        <v>4819</v>
      </c>
      <c r="L1155" s="11" t="s">
        <v>36</v>
      </c>
      <c r="M1155" s="15" t="s">
        <v>3584</v>
      </c>
      <c r="N1155" s="17">
        <v>3300</v>
      </c>
      <c r="O1155" s="17"/>
      <c r="P1155" s="17"/>
      <c r="Q1155" s="48"/>
      <c r="R1155" s="11"/>
      <c r="S1155" s="48"/>
      <c r="T1155" s="85"/>
      <c r="U1155" s="88"/>
      <c r="V1155" s="32"/>
      <c r="W1155" s="25" t="s">
        <v>48</v>
      </c>
      <c r="X1155" s="11"/>
      <c r="Y1155" s="50" t="s">
        <v>20</v>
      </c>
      <c r="Z1155" s="50"/>
      <c r="AA1155" s="50"/>
      <c r="AB1155" s="50"/>
      <c r="AC1155" s="50"/>
      <c r="AD1155" s="50"/>
      <c r="AE1155" s="50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65"/>
      <c r="AP1155" s="69"/>
      <c r="AQ1155" s="62"/>
      <c r="AR1155" s="34"/>
    </row>
    <row r="1156" spans="1:44" customFormat="1">
      <c r="A1156" s="39">
        <v>44659</v>
      </c>
      <c r="B1156" s="11" t="s">
        <v>49</v>
      </c>
      <c r="C1156" s="16" t="s">
        <v>4821</v>
      </c>
      <c r="D1156" s="16"/>
      <c r="E1156" s="38">
        <v>29201</v>
      </c>
      <c r="F1156" s="38"/>
      <c r="G1156" s="10" t="s">
        <v>4822</v>
      </c>
      <c r="H1156" s="12" t="s">
        <v>4823</v>
      </c>
      <c r="I1156" s="13" t="s">
        <v>4824</v>
      </c>
      <c r="J1156" s="15" t="s">
        <v>4825</v>
      </c>
      <c r="K1156" s="12"/>
      <c r="L1156" s="11" t="s">
        <v>39</v>
      </c>
      <c r="M1156" s="15" t="s">
        <v>3599</v>
      </c>
      <c r="N1156" s="17">
        <v>16500</v>
      </c>
      <c r="O1156" s="17"/>
      <c r="P1156" s="17"/>
      <c r="Q1156" s="48"/>
      <c r="R1156" s="11"/>
      <c r="S1156" s="48"/>
      <c r="T1156" s="85"/>
      <c r="U1156" s="88"/>
      <c r="V1156" s="32" t="s">
        <v>2372</v>
      </c>
      <c r="W1156" s="25" t="s">
        <v>10</v>
      </c>
      <c r="X1156" s="11"/>
      <c r="Y1156" s="50" t="s">
        <v>13</v>
      </c>
      <c r="Z1156" s="50"/>
      <c r="AA1156" s="50"/>
      <c r="AB1156" s="50"/>
      <c r="AC1156" s="50"/>
      <c r="AD1156" s="50"/>
      <c r="AE1156" s="50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65"/>
      <c r="AP1156" s="69"/>
      <c r="AQ1156" s="62"/>
      <c r="AR1156" s="34"/>
    </row>
    <row r="1157" spans="1:44" customFormat="1">
      <c r="A1157" s="39">
        <v>44660</v>
      </c>
      <c r="B1157" s="11" t="s">
        <v>49</v>
      </c>
      <c r="C1157" s="16" t="s">
        <v>4826</v>
      </c>
      <c r="D1157" s="16"/>
      <c r="E1157" s="38">
        <v>27031</v>
      </c>
      <c r="F1157" s="38"/>
      <c r="G1157" s="10" t="s">
        <v>4827</v>
      </c>
      <c r="H1157" s="12" t="s">
        <v>4828</v>
      </c>
      <c r="I1157" s="13" t="s">
        <v>2553</v>
      </c>
      <c r="J1157" s="15" t="s">
        <v>4830</v>
      </c>
      <c r="K1157" s="14" t="s">
        <v>4829</v>
      </c>
      <c r="L1157" s="11" t="s">
        <v>36</v>
      </c>
      <c r="M1157" s="15" t="s">
        <v>3584</v>
      </c>
      <c r="N1157" s="17">
        <v>16500</v>
      </c>
      <c r="O1157" s="17"/>
      <c r="P1157" s="17"/>
      <c r="Q1157" s="48"/>
      <c r="R1157" s="11"/>
      <c r="S1157" s="48"/>
      <c r="T1157" s="85"/>
      <c r="U1157" s="88"/>
      <c r="V1157" s="32"/>
      <c r="W1157" s="25" t="s">
        <v>8</v>
      </c>
      <c r="X1157" s="11"/>
      <c r="Y1157" s="50" t="s">
        <v>12</v>
      </c>
      <c r="Z1157" s="50"/>
      <c r="AA1157" s="50"/>
      <c r="AB1157" s="50"/>
      <c r="AC1157" s="50"/>
      <c r="AD1157" s="50"/>
      <c r="AE1157" s="50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65"/>
      <c r="AP1157" s="69"/>
      <c r="AQ1157" s="62"/>
      <c r="AR1157" s="34"/>
    </row>
    <row r="1158" spans="1:44" customFormat="1">
      <c r="A1158" s="39">
        <v>44660</v>
      </c>
      <c r="B1158" s="11" t="s">
        <v>22</v>
      </c>
      <c r="C1158" s="16" t="s">
        <v>4831</v>
      </c>
      <c r="D1158" s="16"/>
      <c r="E1158" s="38">
        <v>20305</v>
      </c>
      <c r="F1158" s="38"/>
      <c r="G1158" s="10" t="s">
        <v>3026</v>
      </c>
      <c r="H1158" s="12" t="s">
        <v>4832</v>
      </c>
      <c r="I1158" s="13" t="s">
        <v>2070</v>
      </c>
      <c r="J1158" s="15" t="s">
        <v>4834</v>
      </c>
      <c r="K1158" s="14" t="s">
        <v>4833</v>
      </c>
      <c r="L1158" s="11" t="s">
        <v>36</v>
      </c>
      <c r="M1158" s="15" t="s">
        <v>3584</v>
      </c>
      <c r="N1158" s="17">
        <v>3300</v>
      </c>
      <c r="O1158" s="17"/>
      <c r="P1158" s="17"/>
      <c r="Q1158" s="48"/>
      <c r="R1158" s="11"/>
      <c r="S1158" s="48"/>
      <c r="T1158" s="85"/>
      <c r="U1158" s="88"/>
      <c r="V1158" s="32"/>
      <c r="W1158" s="25" t="s">
        <v>48</v>
      </c>
      <c r="X1158" s="11"/>
      <c r="Y1158" s="50" t="s">
        <v>18</v>
      </c>
      <c r="Z1158" s="50"/>
      <c r="AA1158" s="50"/>
      <c r="AB1158" s="50"/>
      <c r="AC1158" s="50"/>
      <c r="AD1158" s="50"/>
      <c r="AE1158" s="50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65"/>
      <c r="AP1158" s="69"/>
      <c r="AQ1158" s="62"/>
      <c r="AR1158" s="34"/>
    </row>
    <row r="1159" spans="1:44" customFormat="1">
      <c r="A1159" s="39">
        <v>44660</v>
      </c>
      <c r="B1159" s="11" t="s">
        <v>49</v>
      </c>
      <c r="C1159" s="16" t="s">
        <v>4835</v>
      </c>
      <c r="D1159" s="16"/>
      <c r="E1159" s="38">
        <v>33402</v>
      </c>
      <c r="F1159" s="38"/>
      <c r="G1159" s="10" t="s">
        <v>4836</v>
      </c>
      <c r="H1159" s="12" t="s">
        <v>4837</v>
      </c>
      <c r="I1159" s="13" t="s">
        <v>4838</v>
      </c>
      <c r="J1159" s="15" t="s">
        <v>4839</v>
      </c>
      <c r="K1159" s="12"/>
      <c r="L1159" s="11" t="s">
        <v>36</v>
      </c>
      <c r="M1159" s="15" t="s">
        <v>3599</v>
      </c>
      <c r="N1159" s="17">
        <v>16500</v>
      </c>
      <c r="O1159" s="17"/>
      <c r="P1159" s="17"/>
      <c r="Q1159" s="48"/>
      <c r="R1159" s="11"/>
      <c r="S1159" s="48"/>
      <c r="T1159" s="85"/>
      <c r="U1159" s="88"/>
      <c r="V1159" s="32"/>
      <c r="W1159" s="25" t="s">
        <v>48</v>
      </c>
      <c r="X1159" s="11"/>
      <c r="Y1159" s="50" t="s">
        <v>13</v>
      </c>
      <c r="Z1159" s="50"/>
      <c r="AA1159" s="50"/>
      <c r="AB1159" s="50"/>
      <c r="AC1159" s="50"/>
      <c r="AD1159" s="50"/>
      <c r="AE1159" s="50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65"/>
      <c r="AP1159" s="69"/>
      <c r="AQ1159" s="62"/>
      <c r="AR1159" s="34"/>
    </row>
    <row r="1160" spans="1:44" customFormat="1">
      <c r="A1160" s="39">
        <v>44661</v>
      </c>
      <c r="B1160" s="11" t="s">
        <v>22</v>
      </c>
      <c r="C1160" s="16" t="s">
        <v>4840</v>
      </c>
      <c r="D1160" s="16"/>
      <c r="E1160" s="38">
        <v>29480</v>
      </c>
      <c r="F1160" s="38"/>
      <c r="G1160" s="10" t="s">
        <v>4841</v>
      </c>
      <c r="H1160" s="12" t="s">
        <v>4842</v>
      </c>
      <c r="I1160" s="13" t="s">
        <v>1745</v>
      </c>
      <c r="J1160" s="15" t="s">
        <v>4844</v>
      </c>
      <c r="K1160" s="14" t="s">
        <v>4843</v>
      </c>
      <c r="L1160" s="11" t="s">
        <v>36</v>
      </c>
      <c r="M1160" s="15" t="s">
        <v>3599</v>
      </c>
      <c r="N1160" s="17">
        <v>3300</v>
      </c>
      <c r="O1160" s="17"/>
      <c r="P1160" s="17"/>
      <c r="Q1160" s="48"/>
      <c r="R1160" s="11"/>
      <c r="S1160" s="48"/>
      <c r="T1160" s="85"/>
      <c r="U1160" s="88"/>
      <c r="V1160" s="32"/>
      <c r="W1160" s="25" t="s">
        <v>48</v>
      </c>
      <c r="X1160" s="11"/>
      <c r="Y1160" s="50"/>
      <c r="Z1160" s="50"/>
      <c r="AA1160" s="50"/>
      <c r="AB1160" s="50"/>
      <c r="AC1160" s="50"/>
      <c r="AD1160" s="50"/>
      <c r="AE1160" s="50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65"/>
      <c r="AP1160" s="69"/>
      <c r="AQ1160" s="62"/>
      <c r="AR1160" s="34"/>
    </row>
    <row r="1161" spans="1:44" customFormat="1">
      <c r="A1161" s="39">
        <v>44662</v>
      </c>
      <c r="B1161" s="11" t="s">
        <v>22</v>
      </c>
      <c r="C1161" s="16" t="s">
        <v>4845</v>
      </c>
      <c r="D1161" s="16"/>
      <c r="E1161" s="38">
        <v>19613</v>
      </c>
      <c r="F1161" s="38"/>
      <c r="G1161" s="10" t="s">
        <v>4846</v>
      </c>
      <c r="H1161" s="12" t="s">
        <v>4847</v>
      </c>
      <c r="I1161" s="13" t="s">
        <v>2843</v>
      </c>
      <c r="J1161" s="15" t="s">
        <v>4848</v>
      </c>
      <c r="K1161" s="12"/>
      <c r="L1161" s="11" t="s">
        <v>36</v>
      </c>
      <c r="M1161" s="15" t="s">
        <v>3599</v>
      </c>
      <c r="N1161" s="17">
        <v>2200</v>
      </c>
      <c r="O1161" s="17"/>
      <c r="P1161" s="17"/>
      <c r="Q1161" s="48"/>
      <c r="R1161" s="11"/>
      <c r="S1161" s="48"/>
      <c r="T1161" s="85"/>
      <c r="U1161" s="88"/>
      <c r="V1161" s="32"/>
      <c r="W1161" s="25" t="s">
        <v>10</v>
      </c>
      <c r="X1161" s="11"/>
      <c r="Y1161" s="50" t="s">
        <v>14</v>
      </c>
      <c r="Z1161" s="50"/>
      <c r="AA1161" s="50"/>
      <c r="AB1161" s="50"/>
      <c r="AC1161" s="50"/>
      <c r="AD1161" s="50"/>
      <c r="AE1161" s="50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65"/>
      <c r="AP1161" s="69"/>
      <c r="AQ1161" s="62"/>
      <c r="AR1161" s="34"/>
    </row>
    <row r="1162" spans="1:44" customFormat="1">
      <c r="A1162" s="39">
        <v>44667</v>
      </c>
      <c r="B1162" s="11" t="s">
        <v>5659</v>
      </c>
      <c r="C1162" s="16" t="s">
        <v>4084</v>
      </c>
      <c r="D1162" s="16"/>
      <c r="E1162" s="38"/>
      <c r="F1162" s="38"/>
      <c r="G1162" s="10"/>
      <c r="H1162" s="12"/>
      <c r="I1162" s="13"/>
      <c r="J1162" s="15"/>
      <c r="K1162" s="12"/>
      <c r="L1162" s="11"/>
      <c r="M1162" s="15"/>
      <c r="N1162" s="17">
        <v>8250</v>
      </c>
      <c r="O1162" s="17"/>
      <c r="P1162" s="17"/>
      <c r="Q1162" s="48"/>
      <c r="R1162" s="11"/>
      <c r="S1162" s="48"/>
      <c r="T1162" s="85"/>
      <c r="U1162" s="88"/>
      <c r="V1162" s="32" t="s">
        <v>4849</v>
      </c>
      <c r="W1162" s="25"/>
      <c r="X1162" s="11"/>
      <c r="Y1162" s="50"/>
      <c r="Z1162" s="50"/>
      <c r="AA1162" s="50"/>
      <c r="AB1162" s="50"/>
      <c r="AC1162" s="50"/>
      <c r="AD1162" s="50"/>
      <c r="AE1162" s="50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65"/>
      <c r="AP1162" s="69"/>
      <c r="AQ1162" s="62"/>
      <c r="AR1162" s="34"/>
    </row>
    <row r="1163" spans="1:44" customFormat="1">
      <c r="A1163" s="39">
        <v>44667</v>
      </c>
      <c r="B1163" s="11" t="s">
        <v>49</v>
      </c>
      <c r="C1163" s="16" t="s">
        <v>4850</v>
      </c>
      <c r="D1163" s="16"/>
      <c r="E1163" s="38"/>
      <c r="F1163" s="38"/>
      <c r="G1163" s="10" t="s">
        <v>4851</v>
      </c>
      <c r="H1163" s="12" t="s">
        <v>4852</v>
      </c>
      <c r="I1163" s="13" t="s">
        <v>4853</v>
      </c>
      <c r="J1163" s="15" t="s">
        <v>4854</v>
      </c>
      <c r="K1163" s="12"/>
      <c r="L1163" s="11" t="s">
        <v>34</v>
      </c>
      <c r="M1163" s="15"/>
      <c r="N1163" s="17">
        <v>16500</v>
      </c>
      <c r="O1163" s="17"/>
      <c r="P1163" s="17"/>
      <c r="Q1163" s="48"/>
      <c r="R1163" s="11"/>
      <c r="S1163" s="48"/>
      <c r="T1163" s="85"/>
      <c r="U1163" s="88"/>
      <c r="V1163" s="32"/>
      <c r="W1163" s="25" t="s">
        <v>8</v>
      </c>
      <c r="X1163" s="11"/>
      <c r="Y1163" s="50" t="s">
        <v>13</v>
      </c>
      <c r="Z1163" s="50"/>
      <c r="AA1163" s="50"/>
      <c r="AB1163" s="50"/>
      <c r="AC1163" s="50"/>
      <c r="AD1163" s="50"/>
      <c r="AE1163" s="50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65"/>
      <c r="AP1163" s="69"/>
      <c r="AQ1163" s="62"/>
      <c r="AR1163" s="34"/>
    </row>
    <row r="1164" spans="1:44" customFormat="1">
      <c r="A1164" s="39">
        <v>44667</v>
      </c>
      <c r="B1164" s="11" t="s">
        <v>22</v>
      </c>
      <c r="C1164" s="16" t="s">
        <v>4855</v>
      </c>
      <c r="D1164" s="16"/>
      <c r="E1164" s="38">
        <v>30998</v>
      </c>
      <c r="F1164" s="38"/>
      <c r="G1164" s="10" t="s">
        <v>901</v>
      </c>
      <c r="H1164" s="12" t="s">
        <v>4856</v>
      </c>
      <c r="I1164" s="13" t="s">
        <v>2069</v>
      </c>
      <c r="J1164" s="15" t="s">
        <v>4858</v>
      </c>
      <c r="K1164" s="14" t="s">
        <v>4857</v>
      </c>
      <c r="L1164" s="11" t="s">
        <v>36</v>
      </c>
      <c r="M1164" s="15" t="s">
        <v>3599</v>
      </c>
      <c r="N1164" s="17">
        <v>3300</v>
      </c>
      <c r="O1164" s="17"/>
      <c r="P1164" s="17"/>
      <c r="Q1164" s="48"/>
      <c r="R1164" s="11"/>
      <c r="S1164" s="48"/>
      <c r="T1164" s="85"/>
      <c r="U1164" s="88"/>
      <c r="V1164" s="32"/>
      <c r="W1164" s="25" t="s">
        <v>48</v>
      </c>
      <c r="X1164" s="11"/>
      <c r="Y1164" s="50" t="s">
        <v>15</v>
      </c>
      <c r="Z1164" s="50"/>
      <c r="AA1164" s="50"/>
      <c r="AB1164" s="50"/>
      <c r="AC1164" s="50"/>
      <c r="AD1164" s="50"/>
      <c r="AE1164" s="50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65"/>
      <c r="AP1164" s="69"/>
      <c r="AQ1164" s="62"/>
      <c r="AR1164" s="34"/>
    </row>
    <row r="1165" spans="1:44" customFormat="1">
      <c r="A1165" s="39">
        <v>44668</v>
      </c>
      <c r="B1165" s="11" t="s">
        <v>5659</v>
      </c>
      <c r="C1165" s="16" t="s">
        <v>4845</v>
      </c>
      <c r="D1165" s="16"/>
      <c r="E1165" s="38"/>
      <c r="F1165" s="38"/>
      <c r="G1165" s="10"/>
      <c r="H1165" s="12"/>
      <c r="I1165" s="13"/>
      <c r="J1165" s="15"/>
      <c r="K1165" s="12"/>
      <c r="L1165" s="11"/>
      <c r="M1165" s="15"/>
      <c r="N1165" s="17">
        <v>13200</v>
      </c>
      <c r="O1165" s="17"/>
      <c r="P1165" s="17"/>
      <c r="Q1165" s="48"/>
      <c r="R1165" s="11"/>
      <c r="S1165" s="48"/>
      <c r="T1165" s="85"/>
      <c r="U1165" s="88"/>
      <c r="V1165" s="32" t="s">
        <v>4862</v>
      </c>
      <c r="W1165" s="25"/>
      <c r="X1165" s="11"/>
      <c r="Y1165" s="50"/>
      <c r="Z1165" s="50"/>
      <c r="AA1165" s="50"/>
      <c r="AB1165" s="50"/>
      <c r="AC1165" s="50"/>
      <c r="AD1165" s="50"/>
      <c r="AE1165" s="50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65"/>
      <c r="AP1165" s="69"/>
      <c r="AQ1165" s="62"/>
      <c r="AR1165" s="34"/>
    </row>
    <row r="1166" spans="1:44" customFormat="1">
      <c r="A1166" s="39">
        <v>44668</v>
      </c>
      <c r="B1166" s="11" t="s">
        <v>5659</v>
      </c>
      <c r="C1166" s="16" t="s">
        <v>4859</v>
      </c>
      <c r="D1166" s="16"/>
      <c r="E1166" s="38">
        <v>24298</v>
      </c>
      <c r="F1166" s="38"/>
      <c r="G1166" s="10" t="s">
        <v>4846</v>
      </c>
      <c r="H1166" s="12" t="s">
        <v>4847</v>
      </c>
      <c r="I1166" s="13" t="s">
        <v>2843</v>
      </c>
      <c r="J1166" s="15" t="s">
        <v>4860</v>
      </c>
      <c r="K1166" s="12"/>
      <c r="L1166" s="11" t="s">
        <v>37</v>
      </c>
      <c r="M1166" s="15"/>
      <c r="N1166" s="17">
        <v>13200</v>
      </c>
      <c r="O1166" s="17"/>
      <c r="P1166" s="17"/>
      <c r="Q1166" s="48"/>
      <c r="R1166" s="11"/>
      <c r="S1166" s="48"/>
      <c r="T1166" s="85"/>
      <c r="U1166" s="88"/>
      <c r="V1166" s="32" t="s">
        <v>4861</v>
      </c>
      <c r="W1166" s="25"/>
      <c r="X1166" s="11"/>
      <c r="Y1166" s="50"/>
      <c r="Z1166" s="50"/>
      <c r="AA1166" s="50"/>
      <c r="AB1166" s="50"/>
      <c r="AC1166" s="50"/>
      <c r="AD1166" s="50"/>
      <c r="AE1166" s="50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65"/>
      <c r="AP1166" s="69"/>
      <c r="AQ1166" s="62"/>
      <c r="AR1166" s="34"/>
    </row>
    <row r="1167" spans="1:44" customFormat="1">
      <c r="A1167" s="39">
        <v>44668</v>
      </c>
      <c r="B1167" s="11" t="s">
        <v>22</v>
      </c>
      <c r="C1167" s="16" t="s">
        <v>4863</v>
      </c>
      <c r="D1167" s="16"/>
      <c r="E1167" s="38">
        <v>26633</v>
      </c>
      <c r="F1167" s="38"/>
      <c r="G1167" s="10" t="s">
        <v>485</v>
      </c>
      <c r="H1167" s="12" t="s">
        <v>4864</v>
      </c>
      <c r="I1167" s="13" t="s">
        <v>2071</v>
      </c>
      <c r="J1167" s="15" t="s">
        <v>4866</v>
      </c>
      <c r="K1167" s="14" t="s">
        <v>4865</v>
      </c>
      <c r="L1167" s="11" t="s">
        <v>36</v>
      </c>
      <c r="M1167" s="15" t="s">
        <v>3629</v>
      </c>
      <c r="N1167" s="17">
        <v>3300</v>
      </c>
      <c r="O1167" s="17"/>
      <c r="P1167" s="17"/>
      <c r="Q1167" s="48"/>
      <c r="R1167" s="11"/>
      <c r="S1167" s="48"/>
      <c r="T1167" s="85"/>
      <c r="U1167" s="88"/>
      <c r="V1167" s="32" t="s">
        <v>2409</v>
      </c>
      <c r="W1167" s="25" t="s">
        <v>10</v>
      </c>
      <c r="X1167" s="11"/>
      <c r="Y1167" s="50" t="s">
        <v>11</v>
      </c>
      <c r="Z1167" s="50"/>
      <c r="AA1167" s="50"/>
      <c r="AB1167" s="50"/>
      <c r="AC1167" s="50"/>
      <c r="AD1167" s="50"/>
      <c r="AE1167" s="50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65"/>
      <c r="AP1167" s="69"/>
      <c r="AQ1167" s="62"/>
      <c r="AR1167" s="34"/>
    </row>
    <row r="1168" spans="1:44" customFormat="1">
      <c r="A1168" s="39">
        <v>44671</v>
      </c>
      <c r="B1168" s="11" t="s">
        <v>5659</v>
      </c>
      <c r="C1168" s="16" t="s">
        <v>4815</v>
      </c>
      <c r="D1168" s="16"/>
      <c r="E1168" s="38"/>
      <c r="F1168" s="38"/>
      <c r="G1168" s="10"/>
      <c r="H1168" s="12"/>
      <c r="I1168" s="13"/>
      <c r="J1168" s="15"/>
      <c r="K1168" s="12"/>
      <c r="L1168" s="11"/>
      <c r="M1168" s="15"/>
      <c r="N1168" s="17">
        <v>55000</v>
      </c>
      <c r="O1168" s="17"/>
      <c r="P1168" s="17"/>
      <c r="Q1168" s="48"/>
      <c r="R1168" s="11"/>
      <c r="S1168" s="48"/>
      <c r="T1168" s="85"/>
      <c r="U1168" s="88"/>
      <c r="V1168" s="32" t="s">
        <v>4867</v>
      </c>
      <c r="W1168" s="25"/>
      <c r="X1168" s="11"/>
      <c r="Y1168" s="50"/>
      <c r="Z1168" s="50"/>
      <c r="AA1168" s="50"/>
      <c r="AB1168" s="50"/>
      <c r="AC1168" s="50"/>
      <c r="AD1168" s="50"/>
      <c r="AE1168" s="50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65"/>
      <c r="AP1168" s="69"/>
      <c r="AQ1168" s="62"/>
      <c r="AR1168" s="34"/>
    </row>
    <row r="1169" spans="1:44" customFormat="1">
      <c r="A1169" s="39">
        <v>44672</v>
      </c>
      <c r="B1169" s="11" t="s">
        <v>49</v>
      </c>
      <c r="C1169" s="16" t="s">
        <v>4868</v>
      </c>
      <c r="D1169" s="16"/>
      <c r="E1169" s="38">
        <v>16642</v>
      </c>
      <c r="F1169" s="38"/>
      <c r="G1169" s="10" t="s">
        <v>4870</v>
      </c>
      <c r="H1169" s="12" t="s">
        <v>4869</v>
      </c>
      <c r="I1169" s="13" t="s">
        <v>3553</v>
      </c>
      <c r="J1169" s="15" t="s">
        <v>4871</v>
      </c>
      <c r="K1169" s="12"/>
      <c r="L1169" s="11"/>
      <c r="M1169" s="15" t="s">
        <v>3629</v>
      </c>
      <c r="N1169" s="17">
        <v>22000</v>
      </c>
      <c r="O1169" s="17"/>
      <c r="P1169" s="17"/>
      <c r="Q1169" s="48"/>
      <c r="R1169" s="11"/>
      <c r="S1169" s="48"/>
      <c r="T1169" s="85"/>
      <c r="U1169" s="88"/>
      <c r="V1169" s="32" t="s">
        <v>4872</v>
      </c>
      <c r="W1169" s="25" t="s">
        <v>8</v>
      </c>
      <c r="X1169" s="11"/>
      <c r="Y1169" s="50"/>
      <c r="Z1169" s="50"/>
      <c r="AA1169" s="50"/>
      <c r="AB1169" s="50"/>
      <c r="AC1169" s="50"/>
      <c r="AD1169" s="50"/>
      <c r="AE1169" s="50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65"/>
      <c r="AP1169" s="69"/>
      <c r="AQ1169" s="62"/>
      <c r="AR1169" s="34"/>
    </row>
    <row r="1170" spans="1:44" customFormat="1">
      <c r="A1170" s="39">
        <v>44672</v>
      </c>
      <c r="B1170" s="11" t="s">
        <v>49</v>
      </c>
      <c r="C1170" s="16" t="s">
        <v>4873</v>
      </c>
      <c r="D1170" s="16"/>
      <c r="E1170" s="38">
        <v>21465</v>
      </c>
      <c r="F1170" s="38"/>
      <c r="G1170" s="10" t="s">
        <v>4874</v>
      </c>
      <c r="H1170" s="12" t="s">
        <v>4875</v>
      </c>
      <c r="I1170" s="13" t="s">
        <v>4876</v>
      </c>
      <c r="J1170" s="15" t="s">
        <v>4877</v>
      </c>
      <c r="K1170" s="14" t="s">
        <v>4878</v>
      </c>
      <c r="L1170" s="11" t="s">
        <v>33</v>
      </c>
      <c r="M1170" s="15" t="s">
        <v>3584</v>
      </c>
      <c r="N1170" s="17">
        <v>22000</v>
      </c>
      <c r="O1170" s="17"/>
      <c r="P1170" s="17"/>
      <c r="Q1170" s="48"/>
      <c r="R1170" s="11"/>
      <c r="S1170" s="48"/>
      <c r="T1170" s="85"/>
      <c r="U1170" s="88"/>
      <c r="V1170" s="32"/>
      <c r="W1170" s="25" t="s">
        <v>8</v>
      </c>
      <c r="X1170" s="11"/>
      <c r="Y1170" s="50"/>
      <c r="Z1170" s="50"/>
      <c r="AA1170" s="50"/>
      <c r="AB1170" s="50"/>
      <c r="AC1170" s="50"/>
      <c r="AD1170" s="50"/>
      <c r="AE1170" s="50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65"/>
      <c r="AP1170" s="69"/>
      <c r="AQ1170" s="62"/>
      <c r="AR1170" s="34"/>
    </row>
    <row r="1171" spans="1:44" customFormat="1">
      <c r="A1171" s="39">
        <v>44674</v>
      </c>
      <c r="B1171" s="11" t="s">
        <v>22</v>
      </c>
      <c r="C1171" s="16" t="s">
        <v>4879</v>
      </c>
      <c r="D1171" s="16"/>
      <c r="E1171" s="38">
        <v>17987</v>
      </c>
      <c r="F1171" s="38"/>
      <c r="G1171" s="10" t="s">
        <v>3291</v>
      </c>
      <c r="H1171" s="12" t="s">
        <v>4880</v>
      </c>
      <c r="I1171" s="13">
        <v>3.8</v>
      </c>
      <c r="J1171" s="15" t="s">
        <v>4881</v>
      </c>
      <c r="K1171" s="12"/>
      <c r="L1171" s="11" t="s">
        <v>39</v>
      </c>
      <c r="M1171" s="15" t="s">
        <v>3584</v>
      </c>
      <c r="N1171" s="17">
        <v>3300</v>
      </c>
      <c r="O1171" s="17"/>
      <c r="P1171" s="17"/>
      <c r="Q1171" s="48"/>
      <c r="R1171" s="11"/>
      <c r="S1171" s="48"/>
      <c r="T1171" s="85"/>
      <c r="U1171" s="88"/>
      <c r="V1171" s="32"/>
      <c r="W1171" s="25" t="s">
        <v>48</v>
      </c>
      <c r="X1171" s="11"/>
      <c r="Y1171" s="50" t="s">
        <v>12</v>
      </c>
      <c r="Z1171" s="50"/>
      <c r="AA1171" s="50"/>
      <c r="AB1171" s="50"/>
      <c r="AC1171" s="50"/>
      <c r="AD1171" s="50"/>
      <c r="AE1171" s="50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65"/>
      <c r="AP1171" s="69"/>
      <c r="AQ1171" s="62"/>
      <c r="AR1171" s="34"/>
    </row>
    <row r="1172" spans="1:44" customFormat="1">
      <c r="A1172" s="39">
        <v>44674</v>
      </c>
      <c r="B1172" s="11" t="s">
        <v>22</v>
      </c>
      <c r="C1172" s="16" t="s">
        <v>4882</v>
      </c>
      <c r="D1172" s="16"/>
      <c r="E1172" s="38">
        <v>34427</v>
      </c>
      <c r="F1172" s="38"/>
      <c r="G1172" s="10" t="s">
        <v>4883</v>
      </c>
      <c r="H1172" s="12" t="s">
        <v>4884</v>
      </c>
      <c r="I1172" s="13">
        <v>41.7</v>
      </c>
      <c r="J1172" s="15" t="s">
        <v>4886</v>
      </c>
      <c r="K1172" s="14" t="s">
        <v>4885</v>
      </c>
      <c r="L1172" s="11" t="s">
        <v>39</v>
      </c>
      <c r="M1172" s="15" t="s">
        <v>3584</v>
      </c>
      <c r="N1172" s="17">
        <v>3300</v>
      </c>
      <c r="O1172" s="17"/>
      <c r="P1172" s="17"/>
      <c r="Q1172" s="48"/>
      <c r="R1172" s="11"/>
      <c r="S1172" s="48"/>
      <c r="T1172" s="85"/>
      <c r="U1172" s="88"/>
      <c r="V1172" s="32" t="s">
        <v>2372</v>
      </c>
      <c r="W1172" s="25" t="s">
        <v>10</v>
      </c>
      <c r="X1172" s="11"/>
      <c r="Y1172" s="50" t="s">
        <v>13</v>
      </c>
      <c r="Z1172" s="50"/>
      <c r="AA1172" s="50"/>
      <c r="AB1172" s="50"/>
      <c r="AC1172" s="50"/>
      <c r="AD1172" s="50"/>
      <c r="AE1172" s="50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65"/>
      <c r="AP1172" s="69"/>
      <c r="AQ1172" s="62"/>
      <c r="AR1172" s="34"/>
    </row>
    <row r="1173" spans="1:44" customFormat="1">
      <c r="A1173" s="39">
        <v>44674</v>
      </c>
      <c r="B1173" s="11" t="s">
        <v>49</v>
      </c>
      <c r="C1173" s="16" t="s">
        <v>4888</v>
      </c>
      <c r="D1173" s="16"/>
      <c r="E1173" s="38">
        <v>27464</v>
      </c>
      <c r="F1173" s="38"/>
      <c r="G1173" s="10" t="s">
        <v>946</v>
      </c>
      <c r="H1173" s="12" t="s">
        <v>4889</v>
      </c>
      <c r="I1173" s="13">
        <v>10.6</v>
      </c>
      <c r="J1173" s="15" t="s">
        <v>4891</v>
      </c>
      <c r="K1173" s="14" t="s">
        <v>4890</v>
      </c>
      <c r="L1173" s="11" t="s">
        <v>33</v>
      </c>
      <c r="M1173" s="15" t="s">
        <v>3629</v>
      </c>
      <c r="N1173" s="17">
        <v>11000</v>
      </c>
      <c r="O1173" s="17"/>
      <c r="P1173" s="17"/>
      <c r="Q1173" s="48"/>
      <c r="R1173" s="11"/>
      <c r="S1173" s="48"/>
      <c r="T1173" s="85"/>
      <c r="U1173" s="88"/>
      <c r="V1173" s="32" t="s">
        <v>4887</v>
      </c>
      <c r="W1173" s="25" t="s">
        <v>8</v>
      </c>
      <c r="X1173" s="11"/>
      <c r="Y1173" s="50" t="s">
        <v>12</v>
      </c>
      <c r="Z1173" s="50"/>
      <c r="AA1173" s="50"/>
      <c r="AB1173" s="50"/>
      <c r="AC1173" s="50"/>
      <c r="AD1173" s="50"/>
      <c r="AE1173" s="50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65"/>
      <c r="AP1173" s="69"/>
      <c r="AQ1173" s="62"/>
      <c r="AR1173" s="34"/>
    </row>
    <row r="1174" spans="1:44" customFormat="1">
      <c r="A1174" s="39">
        <v>44675</v>
      </c>
      <c r="B1174" s="11" t="s">
        <v>22</v>
      </c>
      <c r="C1174" s="16" t="s">
        <v>4892</v>
      </c>
      <c r="D1174" s="16"/>
      <c r="E1174" s="38">
        <v>30947</v>
      </c>
      <c r="F1174" s="38"/>
      <c r="G1174" s="10" t="s">
        <v>2740</v>
      </c>
      <c r="H1174" s="12" t="s">
        <v>4895</v>
      </c>
      <c r="I1174" s="13"/>
      <c r="J1174" s="15" t="s">
        <v>4899</v>
      </c>
      <c r="K1174" s="14" t="s">
        <v>4897</v>
      </c>
      <c r="L1174" s="11" t="s">
        <v>36</v>
      </c>
      <c r="M1174" s="15" t="s">
        <v>3584</v>
      </c>
      <c r="N1174" s="17">
        <v>3300</v>
      </c>
      <c r="O1174" s="17"/>
      <c r="P1174" s="17"/>
      <c r="Q1174" s="48"/>
      <c r="R1174" s="11"/>
      <c r="S1174" s="48"/>
      <c r="T1174" s="85"/>
      <c r="U1174" s="88"/>
      <c r="V1174" s="32"/>
      <c r="W1174" s="25" t="s">
        <v>48</v>
      </c>
      <c r="X1174" s="11"/>
      <c r="Y1174" s="50" t="s">
        <v>18</v>
      </c>
      <c r="Z1174" s="50"/>
      <c r="AA1174" s="50"/>
      <c r="AB1174" s="50"/>
      <c r="AC1174" s="50"/>
      <c r="AD1174" s="50"/>
      <c r="AE1174" s="50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65"/>
      <c r="AP1174" s="69"/>
      <c r="AQ1174" s="62"/>
      <c r="AR1174" s="34"/>
    </row>
    <row r="1175" spans="1:44" customFormat="1">
      <c r="A1175" s="39">
        <v>44675</v>
      </c>
      <c r="B1175" s="11" t="s">
        <v>22</v>
      </c>
      <c r="C1175" s="16" t="s">
        <v>4893</v>
      </c>
      <c r="D1175" s="16"/>
      <c r="E1175" s="38">
        <v>31614</v>
      </c>
      <c r="F1175" s="38"/>
      <c r="G1175" s="10" t="s">
        <v>4894</v>
      </c>
      <c r="H1175" s="12" t="s">
        <v>4896</v>
      </c>
      <c r="I1175" s="13"/>
      <c r="J1175" s="15" t="s">
        <v>4900</v>
      </c>
      <c r="K1175" s="14" t="s">
        <v>4898</v>
      </c>
      <c r="L1175" s="11" t="s">
        <v>36</v>
      </c>
      <c r="M1175" s="15" t="s">
        <v>3584</v>
      </c>
      <c r="N1175" s="17">
        <v>3300</v>
      </c>
      <c r="O1175" s="17"/>
      <c r="P1175" s="17"/>
      <c r="Q1175" s="48"/>
      <c r="R1175" s="11"/>
      <c r="S1175" s="48"/>
      <c r="T1175" s="85"/>
      <c r="U1175" s="88"/>
      <c r="V1175" s="32"/>
      <c r="W1175" s="25" t="s">
        <v>8</v>
      </c>
      <c r="X1175" s="11"/>
      <c r="Y1175" s="50" t="s">
        <v>12</v>
      </c>
      <c r="Z1175" s="50"/>
      <c r="AA1175" s="50"/>
      <c r="AB1175" s="50"/>
      <c r="AC1175" s="50"/>
      <c r="AD1175" s="50"/>
      <c r="AE1175" s="50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65"/>
      <c r="AP1175" s="69"/>
      <c r="AQ1175" s="62"/>
      <c r="AR1175" s="34"/>
    </row>
    <row r="1176" spans="1:44" customFormat="1">
      <c r="A1176" s="39">
        <v>44675</v>
      </c>
      <c r="B1176" s="11" t="s">
        <v>49</v>
      </c>
      <c r="C1176" s="16" t="s">
        <v>4781</v>
      </c>
      <c r="D1176" s="16"/>
      <c r="E1176" s="38"/>
      <c r="F1176" s="38"/>
      <c r="G1176" s="10"/>
      <c r="H1176" s="12"/>
      <c r="I1176" s="13"/>
      <c r="J1176" s="15"/>
      <c r="K1176" s="12"/>
      <c r="L1176" s="11"/>
      <c r="M1176" s="15"/>
      <c r="N1176" s="17">
        <v>0</v>
      </c>
      <c r="O1176" s="17"/>
      <c r="P1176" s="17"/>
      <c r="Q1176" s="48"/>
      <c r="R1176" s="11"/>
      <c r="S1176" s="48"/>
      <c r="T1176" s="85"/>
      <c r="U1176" s="88"/>
      <c r="V1176" s="32" t="s">
        <v>4656</v>
      </c>
      <c r="W1176" s="25"/>
      <c r="X1176" s="11"/>
      <c r="Y1176" s="50"/>
      <c r="Z1176" s="50"/>
      <c r="AA1176" s="50"/>
      <c r="AB1176" s="50"/>
      <c r="AC1176" s="50"/>
      <c r="AD1176" s="50"/>
      <c r="AE1176" s="50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65"/>
      <c r="AP1176" s="69"/>
      <c r="AQ1176" s="62"/>
      <c r="AR1176" s="34"/>
    </row>
    <row r="1177" spans="1:44" customFormat="1">
      <c r="A1177" s="39">
        <v>44675</v>
      </c>
      <c r="B1177" s="11" t="s">
        <v>49</v>
      </c>
      <c r="C1177" s="16" t="s">
        <v>4761</v>
      </c>
      <c r="D1177" s="16"/>
      <c r="E1177" s="38"/>
      <c r="F1177" s="38"/>
      <c r="G1177" s="10"/>
      <c r="H1177" s="12"/>
      <c r="I1177" s="13"/>
      <c r="J1177" s="15"/>
      <c r="K1177" s="12"/>
      <c r="L1177" s="11"/>
      <c r="M1177" s="15"/>
      <c r="N1177" s="17">
        <v>0</v>
      </c>
      <c r="O1177" s="17"/>
      <c r="P1177" s="17"/>
      <c r="Q1177" s="48"/>
      <c r="R1177" s="11"/>
      <c r="S1177" s="48"/>
      <c r="T1177" s="85"/>
      <c r="U1177" s="88"/>
      <c r="V1177" s="32" t="s">
        <v>4656</v>
      </c>
      <c r="W1177" s="25"/>
      <c r="X1177" s="11"/>
      <c r="Y1177" s="50"/>
      <c r="Z1177" s="50"/>
      <c r="AA1177" s="50"/>
      <c r="AB1177" s="50"/>
      <c r="AC1177" s="50"/>
      <c r="AD1177" s="50"/>
      <c r="AE1177" s="50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65"/>
      <c r="AP1177" s="69"/>
      <c r="AQ1177" s="62"/>
      <c r="AR1177" s="34"/>
    </row>
    <row r="1178" spans="1:44" customFormat="1">
      <c r="A1178" s="39">
        <v>44678</v>
      </c>
      <c r="B1178" s="11" t="s">
        <v>49</v>
      </c>
      <c r="C1178" s="16" t="s">
        <v>4460</v>
      </c>
      <c r="D1178" s="16"/>
      <c r="E1178" s="38">
        <v>25761</v>
      </c>
      <c r="F1178" s="38"/>
      <c r="G1178" s="10" t="s">
        <v>4461</v>
      </c>
      <c r="H1178" s="12" t="s">
        <v>4462</v>
      </c>
      <c r="I1178" s="13" t="s">
        <v>4463</v>
      </c>
      <c r="J1178" s="15" t="s">
        <v>4464</v>
      </c>
      <c r="K1178" s="12"/>
      <c r="L1178" s="11" t="s">
        <v>34</v>
      </c>
      <c r="M1178" s="15" t="s">
        <v>3599</v>
      </c>
      <c r="N1178" s="17">
        <v>16500</v>
      </c>
      <c r="O1178" s="17"/>
      <c r="P1178" s="17"/>
      <c r="Q1178" s="48"/>
      <c r="R1178" s="11"/>
      <c r="S1178" s="48"/>
      <c r="T1178" s="85"/>
      <c r="U1178" s="88"/>
      <c r="V1178" s="32" t="s">
        <v>4901</v>
      </c>
      <c r="W1178" s="25" t="s">
        <v>8</v>
      </c>
      <c r="X1178" s="11"/>
      <c r="Y1178" s="50" t="s">
        <v>12</v>
      </c>
      <c r="Z1178" s="50"/>
      <c r="AA1178" s="50"/>
      <c r="AB1178" s="50"/>
      <c r="AC1178" s="50"/>
      <c r="AD1178" s="50"/>
      <c r="AE1178" s="50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65"/>
      <c r="AP1178" s="69"/>
      <c r="AQ1178" s="62"/>
      <c r="AR1178" s="34"/>
    </row>
    <row r="1179" spans="1:44" customFormat="1">
      <c r="A1179" s="39">
        <v>44679</v>
      </c>
      <c r="B1179" s="11" t="s">
        <v>49</v>
      </c>
      <c r="C1179" s="16" t="s">
        <v>4902</v>
      </c>
      <c r="D1179" s="16"/>
      <c r="E1179" s="38">
        <v>22889</v>
      </c>
      <c r="F1179" s="38"/>
      <c r="G1179" s="10" t="s">
        <v>4903</v>
      </c>
      <c r="H1179" s="12" t="s">
        <v>4904</v>
      </c>
      <c r="I1179" s="13" t="s">
        <v>4905</v>
      </c>
      <c r="J1179" s="15" t="s">
        <v>4906</v>
      </c>
      <c r="K1179" s="12"/>
      <c r="L1179" s="11" t="s">
        <v>33</v>
      </c>
      <c r="M1179" s="15" t="s">
        <v>3599</v>
      </c>
      <c r="N1179" s="17">
        <v>22000</v>
      </c>
      <c r="O1179" s="17"/>
      <c r="P1179" s="17"/>
      <c r="Q1179" s="48"/>
      <c r="R1179" s="11"/>
      <c r="S1179" s="48"/>
      <c r="T1179" s="85"/>
      <c r="U1179" s="88"/>
      <c r="V1179" s="32"/>
      <c r="W1179" s="25" t="s">
        <v>48</v>
      </c>
      <c r="X1179" s="11"/>
      <c r="Y1179" s="50" t="s">
        <v>13</v>
      </c>
      <c r="Z1179" s="50"/>
      <c r="AA1179" s="50"/>
      <c r="AB1179" s="50"/>
      <c r="AC1179" s="50"/>
      <c r="AD1179" s="50"/>
      <c r="AE1179" s="50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65"/>
      <c r="AP1179" s="69"/>
      <c r="AQ1179" s="62"/>
      <c r="AR1179" s="34"/>
    </row>
    <row r="1180" spans="1:44" customFormat="1">
      <c r="A1180" s="39">
        <v>44681</v>
      </c>
      <c r="B1180" s="11" t="s">
        <v>22</v>
      </c>
      <c r="C1180" s="16" t="s">
        <v>4907</v>
      </c>
      <c r="D1180" s="16"/>
      <c r="E1180" s="38">
        <v>35586</v>
      </c>
      <c r="F1180" s="38"/>
      <c r="G1180" s="10" t="s">
        <v>4908</v>
      </c>
      <c r="H1180" s="12" t="s">
        <v>4923</v>
      </c>
      <c r="I1180" s="13" t="s">
        <v>3032</v>
      </c>
      <c r="J1180" s="15" t="s">
        <v>4909</v>
      </c>
      <c r="K1180" s="12"/>
      <c r="L1180" s="11" t="s">
        <v>34</v>
      </c>
      <c r="M1180" s="15"/>
      <c r="N1180" s="17">
        <v>3300</v>
      </c>
      <c r="O1180" s="17"/>
      <c r="P1180" s="17"/>
      <c r="Q1180" s="48"/>
      <c r="R1180" s="11"/>
      <c r="S1180" s="48"/>
      <c r="T1180" s="85"/>
      <c r="U1180" s="88"/>
      <c r="V1180" s="32" t="s">
        <v>4910</v>
      </c>
      <c r="W1180" s="25" t="s">
        <v>8</v>
      </c>
      <c r="X1180" s="11"/>
      <c r="Y1180" s="50" t="s">
        <v>12</v>
      </c>
      <c r="Z1180" s="50"/>
      <c r="AA1180" s="50"/>
      <c r="AB1180" s="50"/>
      <c r="AC1180" s="50"/>
      <c r="AD1180" s="50"/>
      <c r="AE1180" s="50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65"/>
      <c r="AP1180" s="69"/>
      <c r="AQ1180" s="62"/>
      <c r="AR1180" s="34"/>
    </row>
    <row r="1181" spans="1:44" customFormat="1">
      <c r="A1181" s="39">
        <v>44682</v>
      </c>
      <c r="B1181" s="11" t="s">
        <v>49</v>
      </c>
      <c r="C1181" s="16" t="s">
        <v>4911</v>
      </c>
      <c r="D1181" s="16"/>
      <c r="E1181" s="38">
        <v>35028</v>
      </c>
      <c r="F1181" s="38"/>
      <c r="G1181" s="10" t="s">
        <v>4912</v>
      </c>
      <c r="H1181" s="12" t="s">
        <v>4913</v>
      </c>
      <c r="I1181" s="13" t="s">
        <v>3892</v>
      </c>
      <c r="J1181" s="15" t="s">
        <v>4915</v>
      </c>
      <c r="K1181" s="14" t="s">
        <v>4914</v>
      </c>
      <c r="L1181" s="11" t="s">
        <v>36</v>
      </c>
      <c r="M1181" s="15" t="s">
        <v>3584</v>
      </c>
      <c r="N1181" s="17">
        <v>16500</v>
      </c>
      <c r="O1181" s="17"/>
      <c r="P1181" s="17"/>
      <c r="Q1181" s="48"/>
      <c r="R1181" s="11"/>
      <c r="S1181" s="48"/>
      <c r="T1181" s="85"/>
      <c r="U1181" s="88"/>
      <c r="V1181" s="32" t="s">
        <v>4916</v>
      </c>
      <c r="W1181" s="25" t="s">
        <v>8</v>
      </c>
      <c r="X1181" s="11"/>
      <c r="Y1181" s="50"/>
      <c r="Z1181" s="50"/>
      <c r="AA1181" s="50"/>
      <c r="AB1181" s="50"/>
      <c r="AC1181" s="50"/>
      <c r="AD1181" s="50"/>
      <c r="AE1181" s="50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65"/>
      <c r="AP1181" s="69"/>
      <c r="AQ1181" s="62"/>
      <c r="AR1181" s="34"/>
    </row>
    <row r="1182" spans="1:44" customFormat="1">
      <c r="A1182" s="39">
        <v>44682</v>
      </c>
      <c r="B1182" s="11" t="s">
        <v>49</v>
      </c>
      <c r="C1182" s="16" t="s">
        <v>4917</v>
      </c>
      <c r="D1182" s="16"/>
      <c r="E1182" s="38">
        <v>27210</v>
      </c>
      <c r="F1182" s="38"/>
      <c r="G1182" s="10" t="s">
        <v>4922</v>
      </c>
      <c r="H1182" s="12" t="s">
        <v>4918</v>
      </c>
      <c r="I1182" s="13" t="s">
        <v>4921</v>
      </c>
      <c r="J1182" s="15" t="s">
        <v>4919</v>
      </c>
      <c r="K1182" s="12"/>
      <c r="L1182" s="11" t="s">
        <v>33</v>
      </c>
      <c r="M1182" s="15" t="s">
        <v>3599</v>
      </c>
      <c r="N1182" s="17">
        <v>0</v>
      </c>
      <c r="O1182" s="17"/>
      <c r="P1182" s="17"/>
      <c r="Q1182" s="48"/>
      <c r="R1182" s="11"/>
      <c r="S1182" s="48"/>
      <c r="T1182" s="85"/>
      <c r="U1182" s="88"/>
      <c r="V1182" s="32" t="s">
        <v>4920</v>
      </c>
      <c r="W1182" s="25" t="s">
        <v>8</v>
      </c>
      <c r="X1182" s="11"/>
      <c r="Y1182" s="50"/>
      <c r="Z1182" s="50"/>
      <c r="AA1182" s="50"/>
      <c r="AB1182" s="50"/>
      <c r="AC1182" s="50"/>
      <c r="AD1182" s="50"/>
      <c r="AE1182" s="50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65"/>
      <c r="AP1182" s="69"/>
      <c r="AQ1182" s="62"/>
      <c r="AR1182" s="34"/>
    </row>
    <row r="1183" spans="1:44" customFormat="1">
      <c r="A1183" s="39">
        <v>44683</v>
      </c>
      <c r="B1183" s="11" t="s">
        <v>49</v>
      </c>
      <c r="C1183" s="16" t="s">
        <v>4924</v>
      </c>
      <c r="D1183" s="16"/>
      <c r="E1183" s="38">
        <v>29209</v>
      </c>
      <c r="F1183" s="38"/>
      <c r="G1183" s="10" t="s">
        <v>4926</v>
      </c>
      <c r="H1183" s="12" t="s">
        <v>4928</v>
      </c>
      <c r="I1183" s="13" t="s">
        <v>3867</v>
      </c>
      <c r="J1183" s="15" t="s">
        <v>4930</v>
      </c>
      <c r="K1183" s="14" t="s">
        <v>4929</v>
      </c>
      <c r="L1183" s="11" t="s">
        <v>36</v>
      </c>
      <c r="M1183" s="15" t="s">
        <v>3584</v>
      </c>
      <c r="N1183" s="17">
        <v>16500</v>
      </c>
      <c r="O1183" s="17"/>
      <c r="P1183" s="17"/>
      <c r="Q1183" s="48"/>
      <c r="R1183" s="11"/>
      <c r="S1183" s="48"/>
      <c r="T1183" s="85"/>
      <c r="U1183" s="88"/>
      <c r="V1183" s="32"/>
      <c r="W1183" s="25" t="s">
        <v>48</v>
      </c>
      <c r="X1183" s="11"/>
      <c r="Y1183" s="50" t="s">
        <v>13</v>
      </c>
      <c r="Z1183" s="50"/>
      <c r="AA1183" s="50"/>
      <c r="AB1183" s="50"/>
      <c r="AC1183" s="50"/>
      <c r="AD1183" s="50"/>
      <c r="AE1183" s="50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65"/>
      <c r="AP1183" s="69"/>
      <c r="AQ1183" s="62"/>
      <c r="AR1183" s="34"/>
    </row>
    <row r="1184" spans="1:44" customFormat="1">
      <c r="A1184" s="39">
        <v>44683</v>
      </c>
      <c r="B1184" s="11" t="s">
        <v>49</v>
      </c>
      <c r="C1184" s="16" t="s">
        <v>4925</v>
      </c>
      <c r="D1184" s="16"/>
      <c r="E1184" s="38">
        <v>28584</v>
      </c>
      <c r="F1184" s="38"/>
      <c r="G1184" s="10" t="s">
        <v>4927</v>
      </c>
      <c r="H1184" s="12" t="s">
        <v>4934</v>
      </c>
      <c r="I1184" s="13" t="s">
        <v>4931</v>
      </c>
      <c r="J1184" s="15" t="s">
        <v>4932</v>
      </c>
      <c r="K1184" s="12"/>
      <c r="L1184" s="11" t="s">
        <v>36</v>
      </c>
      <c r="M1184" s="15" t="s">
        <v>3629</v>
      </c>
      <c r="N1184" s="17">
        <v>16500</v>
      </c>
      <c r="O1184" s="17"/>
      <c r="P1184" s="17"/>
      <c r="Q1184" s="48"/>
      <c r="R1184" s="11"/>
      <c r="S1184" s="48"/>
      <c r="T1184" s="85"/>
      <c r="U1184" s="88"/>
      <c r="V1184" s="32" t="s">
        <v>4933</v>
      </c>
      <c r="W1184" s="25" t="s">
        <v>10</v>
      </c>
      <c r="X1184" s="11"/>
      <c r="Y1184" s="50" t="s">
        <v>14</v>
      </c>
      <c r="Z1184" s="50"/>
      <c r="AA1184" s="50"/>
      <c r="AB1184" s="50"/>
      <c r="AC1184" s="50"/>
      <c r="AD1184" s="50"/>
      <c r="AE1184" s="50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65"/>
      <c r="AP1184" s="69"/>
      <c r="AQ1184" s="62"/>
      <c r="AR1184" s="34"/>
    </row>
    <row r="1185" spans="1:44" customFormat="1">
      <c r="A1185" s="39">
        <v>44684</v>
      </c>
      <c r="B1185" s="11" t="s">
        <v>49</v>
      </c>
      <c r="C1185" s="16" t="s">
        <v>4935</v>
      </c>
      <c r="D1185" s="16"/>
      <c r="E1185" s="38">
        <v>26345</v>
      </c>
      <c r="F1185" s="38"/>
      <c r="G1185" s="10" t="s">
        <v>4936</v>
      </c>
      <c r="H1185" s="12" t="s">
        <v>4937</v>
      </c>
      <c r="I1185" s="13" t="s">
        <v>4938</v>
      </c>
      <c r="J1185" s="15" t="s">
        <v>4939</v>
      </c>
      <c r="K1185" s="12"/>
      <c r="L1185" s="11" t="s">
        <v>33</v>
      </c>
      <c r="M1185" s="15" t="s">
        <v>3629</v>
      </c>
      <c r="N1185" s="17">
        <v>16500</v>
      </c>
      <c r="O1185" s="17"/>
      <c r="P1185" s="17"/>
      <c r="Q1185" s="48"/>
      <c r="R1185" s="11"/>
      <c r="S1185" s="48"/>
      <c r="T1185" s="85"/>
      <c r="U1185" s="88"/>
      <c r="V1185" s="32"/>
      <c r="W1185" s="25" t="s">
        <v>48</v>
      </c>
      <c r="X1185" s="11"/>
      <c r="Y1185" s="50"/>
      <c r="Z1185" s="50"/>
      <c r="AA1185" s="50"/>
      <c r="AB1185" s="50"/>
      <c r="AC1185" s="50"/>
      <c r="AD1185" s="50"/>
      <c r="AE1185" s="50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65"/>
      <c r="AP1185" s="69"/>
      <c r="AQ1185" s="62"/>
      <c r="AR1185" s="34"/>
    </row>
    <row r="1186" spans="1:44" customFormat="1">
      <c r="A1186" s="39">
        <v>44685</v>
      </c>
      <c r="B1186" s="11" t="s">
        <v>49</v>
      </c>
      <c r="C1186" s="16" t="s">
        <v>4940</v>
      </c>
      <c r="D1186" s="16"/>
      <c r="E1186" s="38">
        <v>29074</v>
      </c>
      <c r="F1186" s="38"/>
      <c r="G1186" s="10" t="s">
        <v>4941</v>
      </c>
      <c r="H1186" s="12" t="s">
        <v>4942</v>
      </c>
      <c r="I1186" s="13" t="s">
        <v>4943</v>
      </c>
      <c r="J1186" s="15" t="s">
        <v>4944</v>
      </c>
      <c r="K1186" s="12"/>
      <c r="L1186" s="11" t="s">
        <v>34</v>
      </c>
      <c r="M1186" s="15" t="s">
        <v>3629</v>
      </c>
      <c r="N1186" s="17">
        <v>16500</v>
      </c>
      <c r="O1186" s="17"/>
      <c r="P1186" s="17"/>
      <c r="Q1186" s="48"/>
      <c r="R1186" s="11"/>
      <c r="S1186" s="48"/>
      <c r="T1186" s="85"/>
      <c r="U1186" s="88"/>
      <c r="V1186" s="32"/>
      <c r="W1186" s="25" t="s">
        <v>48</v>
      </c>
      <c r="X1186" s="11"/>
      <c r="Y1186" s="50" t="s">
        <v>12</v>
      </c>
      <c r="Z1186" s="50"/>
      <c r="AA1186" s="50"/>
      <c r="AB1186" s="50"/>
      <c r="AC1186" s="50"/>
      <c r="AD1186" s="50"/>
      <c r="AE1186" s="50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65"/>
      <c r="AP1186" s="69"/>
      <c r="AQ1186" s="62"/>
      <c r="AR1186" s="34"/>
    </row>
    <row r="1187" spans="1:44" customFormat="1">
      <c r="A1187" s="39">
        <v>44687</v>
      </c>
      <c r="B1187" s="11" t="s">
        <v>22</v>
      </c>
      <c r="C1187" s="16" t="s">
        <v>4945</v>
      </c>
      <c r="D1187" s="16"/>
      <c r="E1187" s="38">
        <v>31278</v>
      </c>
      <c r="F1187" s="38"/>
      <c r="G1187" s="10" t="s">
        <v>78</v>
      </c>
      <c r="H1187" s="12" t="s">
        <v>4946</v>
      </c>
      <c r="I1187" s="13" t="s">
        <v>4947</v>
      </c>
      <c r="J1187" s="15" t="s">
        <v>4948</v>
      </c>
      <c r="K1187" s="12"/>
      <c r="L1187" s="11" t="s">
        <v>35</v>
      </c>
      <c r="M1187" s="15" t="s">
        <v>3584</v>
      </c>
      <c r="N1187" s="17">
        <v>3300</v>
      </c>
      <c r="O1187" s="17"/>
      <c r="P1187" s="17"/>
      <c r="Q1187" s="48"/>
      <c r="R1187" s="11"/>
      <c r="S1187" s="48"/>
      <c r="T1187" s="85"/>
      <c r="U1187" s="88"/>
      <c r="V1187" s="32" t="s">
        <v>4073</v>
      </c>
      <c r="W1187" s="25" t="s">
        <v>10</v>
      </c>
      <c r="X1187" s="11"/>
      <c r="Y1187" s="50" t="s">
        <v>14</v>
      </c>
      <c r="Z1187" s="50"/>
      <c r="AA1187" s="50"/>
      <c r="AB1187" s="50"/>
      <c r="AC1187" s="50"/>
      <c r="AD1187" s="50"/>
      <c r="AE1187" s="50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65"/>
      <c r="AP1187" s="69"/>
      <c r="AQ1187" s="62"/>
      <c r="AR1187" s="34"/>
    </row>
    <row r="1188" spans="1:44" customFormat="1">
      <c r="A1188" s="39">
        <v>44688</v>
      </c>
      <c r="B1188" s="11" t="s">
        <v>22</v>
      </c>
      <c r="C1188" s="16" t="s">
        <v>4949</v>
      </c>
      <c r="D1188" s="16"/>
      <c r="E1188" s="38">
        <v>24361</v>
      </c>
      <c r="F1188" s="38"/>
      <c r="G1188" s="10" t="s">
        <v>252</v>
      </c>
      <c r="H1188" s="12" t="s">
        <v>4950</v>
      </c>
      <c r="I1188" s="13" t="s">
        <v>4951</v>
      </c>
      <c r="J1188" s="15" t="s">
        <v>4952</v>
      </c>
      <c r="K1188" s="12"/>
      <c r="L1188" s="11" t="s">
        <v>33</v>
      </c>
      <c r="M1188" s="15" t="s">
        <v>3629</v>
      </c>
      <c r="N1188" s="17">
        <v>3300</v>
      </c>
      <c r="O1188" s="17"/>
      <c r="P1188" s="17"/>
      <c r="Q1188" s="48"/>
      <c r="R1188" s="11"/>
      <c r="S1188" s="48"/>
      <c r="T1188" s="85"/>
      <c r="U1188" s="88"/>
      <c r="V1188" s="32"/>
      <c r="W1188" s="25" t="s">
        <v>8</v>
      </c>
      <c r="X1188" s="11"/>
      <c r="Y1188" s="50" t="s">
        <v>18</v>
      </c>
      <c r="Z1188" s="50"/>
      <c r="AA1188" s="50"/>
      <c r="AB1188" s="50"/>
      <c r="AC1188" s="50"/>
      <c r="AD1188" s="50"/>
      <c r="AE1188" s="50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65"/>
      <c r="AP1188" s="69"/>
      <c r="AQ1188" s="62"/>
      <c r="AR1188" s="34"/>
    </row>
    <row r="1189" spans="1:44" customFormat="1">
      <c r="A1189" s="39">
        <v>44690</v>
      </c>
      <c r="B1189" s="11"/>
      <c r="C1189" s="16" t="s">
        <v>4815</v>
      </c>
      <c r="D1189" s="16"/>
      <c r="E1189" s="38"/>
      <c r="F1189" s="38"/>
      <c r="G1189" s="10"/>
      <c r="H1189" s="12"/>
      <c r="I1189" s="13"/>
      <c r="J1189" s="15"/>
      <c r="K1189" s="12"/>
      <c r="L1189" s="11"/>
      <c r="M1189" s="15"/>
      <c r="N1189" s="17">
        <v>5500</v>
      </c>
      <c r="O1189" s="17"/>
      <c r="P1189" s="17"/>
      <c r="Q1189" s="48"/>
      <c r="R1189" s="11"/>
      <c r="S1189" s="48"/>
      <c r="T1189" s="85"/>
      <c r="U1189" s="88"/>
      <c r="V1189" s="32" t="s">
        <v>4953</v>
      </c>
      <c r="W1189" s="25"/>
      <c r="X1189" s="11"/>
      <c r="Y1189" s="50"/>
      <c r="Z1189" s="50"/>
      <c r="AA1189" s="50"/>
      <c r="AB1189" s="50"/>
      <c r="AC1189" s="50"/>
      <c r="AD1189" s="50"/>
      <c r="AE1189" s="50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65"/>
      <c r="AP1189" s="69"/>
      <c r="AQ1189" s="62"/>
      <c r="AR1189" s="34"/>
    </row>
    <row r="1190" spans="1:44" customFormat="1">
      <c r="A1190" s="39">
        <v>44690</v>
      </c>
      <c r="B1190" s="11" t="s">
        <v>22</v>
      </c>
      <c r="C1190" s="16" t="s">
        <v>4954</v>
      </c>
      <c r="D1190" s="16"/>
      <c r="E1190" s="38">
        <v>25532</v>
      </c>
      <c r="F1190" s="38"/>
      <c r="G1190" s="10" t="s">
        <v>4956</v>
      </c>
      <c r="H1190" s="12" t="s">
        <v>4957</v>
      </c>
      <c r="I1190" s="13" t="s">
        <v>4958</v>
      </c>
      <c r="J1190" s="15" t="s">
        <v>4955</v>
      </c>
      <c r="K1190" s="14" t="s">
        <v>4959</v>
      </c>
      <c r="L1190" s="11" t="s">
        <v>33</v>
      </c>
      <c r="M1190" s="15" t="s">
        <v>3599</v>
      </c>
      <c r="N1190" s="17">
        <v>3300</v>
      </c>
      <c r="O1190" s="17"/>
      <c r="P1190" s="17"/>
      <c r="Q1190" s="48"/>
      <c r="R1190" s="11"/>
      <c r="S1190" s="48"/>
      <c r="T1190" s="85"/>
      <c r="U1190" s="88"/>
      <c r="V1190" s="32" t="s">
        <v>4960</v>
      </c>
      <c r="W1190" s="25" t="s">
        <v>8</v>
      </c>
      <c r="X1190" s="11"/>
      <c r="Y1190" s="50" t="s">
        <v>12</v>
      </c>
      <c r="Z1190" s="50"/>
      <c r="AA1190" s="50"/>
      <c r="AB1190" s="50"/>
      <c r="AC1190" s="50"/>
      <c r="AD1190" s="50"/>
      <c r="AE1190" s="50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65"/>
      <c r="AP1190" s="69"/>
      <c r="AQ1190" s="62"/>
      <c r="AR1190" s="34"/>
    </row>
    <row r="1191" spans="1:44" customFormat="1">
      <c r="A1191" s="39">
        <v>44690</v>
      </c>
      <c r="B1191" s="11" t="s">
        <v>49</v>
      </c>
      <c r="C1191" s="16" t="s">
        <v>4961</v>
      </c>
      <c r="D1191" s="16"/>
      <c r="E1191" s="38">
        <v>25928</v>
      </c>
      <c r="F1191" s="38"/>
      <c r="G1191" s="10" t="s">
        <v>4962</v>
      </c>
      <c r="H1191" s="12" t="s">
        <v>4963</v>
      </c>
      <c r="I1191" s="13" t="s">
        <v>3324</v>
      </c>
      <c r="J1191" s="15" t="s">
        <v>4965</v>
      </c>
      <c r="K1191" s="14" t="s">
        <v>4964</v>
      </c>
      <c r="L1191" s="11" t="s">
        <v>34</v>
      </c>
      <c r="M1191" s="15" t="s">
        <v>3584</v>
      </c>
      <c r="N1191" s="17">
        <v>11000</v>
      </c>
      <c r="O1191" s="17"/>
      <c r="P1191" s="17"/>
      <c r="Q1191" s="48"/>
      <c r="R1191" s="11"/>
      <c r="S1191" s="48"/>
      <c r="T1191" s="85"/>
      <c r="U1191" s="88"/>
      <c r="V1191" s="32" t="s">
        <v>4960</v>
      </c>
      <c r="W1191" s="25" t="s">
        <v>8</v>
      </c>
      <c r="X1191" s="11"/>
      <c r="Y1191" s="50" t="s">
        <v>12</v>
      </c>
      <c r="Z1191" s="50"/>
      <c r="AA1191" s="50"/>
      <c r="AB1191" s="50"/>
      <c r="AC1191" s="50"/>
      <c r="AD1191" s="50"/>
      <c r="AE1191" s="50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65"/>
      <c r="AP1191" s="69"/>
      <c r="AQ1191" s="62"/>
      <c r="AR1191" s="34"/>
    </row>
    <row r="1192" spans="1:44" customFormat="1">
      <c r="A1192" s="39">
        <v>44695</v>
      </c>
      <c r="B1192" s="11" t="s">
        <v>49</v>
      </c>
      <c r="C1192" s="16" t="s">
        <v>4966</v>
      </c>
      <c r="D1192" s="16"/>
      <c r="E1192" s="38">
        <v>34510</v>
      </c>
      <c r="F1192" s="38"/>
      <c r="G1192" s="10" t="s">
        <v>4967</v>
      </c>
      <c r="H1192" s="12" t="s">
        <v>4970</v>
      </c>
      <c r="I1192" s="13" t="s">
        <v>4968</v>
      </c>
      <c r="J1192" s="15" t="s">
        <v>4969</v>
      </c>
      <c r="K1192" s="12"/>
      <c r="L1192" s="11" t="s">
        <v>33</v>
      </c>
      <c r="M1192" s="15" t="s">
        <v>3599</v>
      </c>
      <c r="N1192" s="17">
        <v>16500</v>
      </c>
      <c r="O1192" s="17"/>
      <c r="P1192" s="17"/>
      <c r="Q1192" s="48"/>
      <c r="R1192" s="11"/>
      <c r="S1192" s="48"/>
      <c r="T1192" s="85"/>
      <c r="U1192" s="88"/>
      <c r="V1192" s="32"/>
      <c r="W1192" s="25" t="s">
        <v>3847</v>
      </c>
      <c r="X1192" s="11"/>
      <c r="Y1192" s="50" t="s">
        <v>12</v>
      </c>
      <c r="Z1192" s="50"/>
      <c r="AA1192" s="50"/>
      <c r="AB1192" s="50"/>
      <c r="AC1192" s="50"/>
      <c r="AD1192" s="50"/>
      <c r="AE1192" s="50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65"/>
      <c r="AP1192" s="69"/>
      <c r="AQ1192" s="62"/>
      <c r="AR1192" s="34"/>
    </row>
    <row r="1193" spans="1:44" customFormat="1">
      <c r="A1193" s="39">
        <v>44695</v>
      </c>
      <c r="B1193" s="11" t="s">
        <v>22</v>
      </c>
      <c r="C1193" s="16" t="s">
        <v>4971</v>
      </c>
      <c r="D1193" s="16"/>
      <c r="E1193" s="38">
        <v>23353</v>
      </c>
      <c r="F1193" s="38"/>
      <c r="G1193" s="10" t="s">
        <v>44</v>
      </c>
      <c r="H1193" s="12" t="s">
        <v>4973</v>
      </c>
      <c r="I1193" s="13" t="s">
        <v>2175</v>
      </c>
      <c r="J1193" s="15" t="s">
        <v>4976</v>
      </c>
      <c r="K1193" s="31" t="s">
        <v>4974</v>
      </c>
      <c r="L1193" s="11" t="s">
        <v>34</v>
      </c>
      <c r="M1193" s="15" t="s">
        <v>3584</v>
      </c>
      <c r="N1193" s="17">
        <v>3300</v>
      </c>
      <c r="O1193" s="17"/>
      <c r="P1193" s="17"/>
      <c r="Q1193" s="48"/>
      <c r="R1193" s="11"/>
      <c r="S1193" s="48"/>
      <c r="T1193" s="85"/>
      <c r="U1193" s="88"/>
      <c r="V1193" s="32" t="s">
        <v>4978</v>
      </c>
      <c r="W1193" s="25" t="s">
        <v>10</v>
      </c>
      <c r="X1193" s="11"/>
      <c r="Y1193" s="50" t="s">
        <v>18</v>
      </c>
      <c r="Z1193" s="50"/>
      <c r="AA1193" s="50"/>
      <c r="AB1193" s="50"/>
      <c r="AC1193" s="50"/>
      <c r="AD1193" s="50"/>
      <c r="AE1193" s="50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65"/>
      <c r="AP1193" s="69"/>
      <c r="AQ1193" s="62"/>
      <c r="AR1193" s="34"/>
    </row>
    <row r="1194" spans="1:44" customFormat="1">
      <c r="A1194" s="39">
        <v>44695</v>
      </c>
      <c r="B1194" s="11" t="s">
        <v>22</v>
      </c>
      <c r="C1194" s="16" t="s">
        <v>4972</v>
      </c>
      <c r="D1194" s="16"/>
      <c r="E1194" s="38">
        <v>24101</v>
      </c>
      <c r="F1194" s="38"/>
      <c r="G1194" s="10" t="s">
        <v>44</v>
      </c>
      <c r="H1194" s="12" t="s">
        <v>4973</v>
      </c>
      <c r="I1194" s="13" t="s">
        <v>2175</v>
      </c>
      <c r="J1194" s="15" t="s">
        <v>4977</v>
      </c>
      <c r="K1194" s="14" t="s">
        <v>4975</v>
      </c>
      <c r="L1194" s="11" t="s">
        <v>39</v>
      </c>
      <c r="M1194" s="15" t="s">
        <v>3584</v>
      </c>
      <c r="N1194" s="17">
        <v>3300</v>
      </c>
      <c r="O1194" s="17"/>
      <c r="P1194" s="17"/>
      <c r="Q1194" s="48"/>
      <c r="R1194" s="11"/>
      <c r="S1194" s="48"/>
      <c r="T1194" s="85"/>
      <c r="U1194" s="88"/>
      <c r="V1194" s="32"/>
      <c r="W1194" s="25" t="s">
        <v>10</v>
      </c>
      <c r="X1194" s="11"/>
      <c r="Y1194" s="50" t="s">
        <v>18</v>
      </c>
      <c r="Z1194" s="50"/>
      <c r="AA1194" s="50"/>
      <c r="AB1194" s="50"/>
      <c r="AC1194" s="50"/>
      <c r="AD1194" s="50"/>
      <c r="AE1194" s="50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65"/>
      <c r="AP1194" s="69"/>
      <c r="AQ1194" s="62"/>
      <c r="AR1194" s="34"/>
    </row>
    <row r="1195" spans="1:44" customFormat="1">
      <c r="A1195" s="39">
        <v>44697</v>
      </c>
      <c r="B1195" s="11" t="s">
        <v>49</v>
      </c>
      <c r="C1195" s="16" t="s">
        <v>4979</v>
      </c>
      <c r="D1195" s="16"/>
      <c r="E1195" s="38">
        <v>24263</v>
      </c>
      <c r="F1195" s="38"/>
      <c r="G1195" s="10" t="s">
        <v>4982</v>
      </c>
      <c r="H1195" s="12" t="s">
        <v>4980</v>
      </c>
      <c r="I1195" s="13" t="s">
        <v>4981</v>
      </c>
      <c r="J1195" s="15" t="s">
        <v>4984</v>
      </c>
      <c r="K1195" s="14" t="s">
        <v>4983</v>
      </c>
      <c r="L1195" s="11" t="s">
        <v>33</v>
      </c>
      <c r="M1195" s="15" t="s">
        <v>3584</v>
      </c>
      <c r="N1195" s="17">
        <v>16500</v>
      </c>
      <c r="O1195" s="17"/>
      <c r="P1195" s="17"/>
      <c r="Q1195" s="48"/>
      <c r="R1195" s="11"/>
      <c r="S1195" s="48"/>
      <c r="T1195" s="85"/>
      <c r="U1195" s="88"/>
      <c r="V1195" s="32"/>
      <c r="W1195" s="25" t="s">
        <v>48</v>
      </c>
      <c r="X1195" s="11"/>
      <c r="Y1195" s="50" t="s">
        <v>13</v>
      </c>
      <c r="Z1195" s="50"/>
      <c r="AA1195" s="50"/>
      <c r="AB1195" s="50"/>
      <c r="AC1195" s="50"/>
      <c r="AD1195" s="50"/>
      <c r="AE1195" s="50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65"/>
      <c r="AP1195" s="69"/>
      <c r="AQ1195" s="62"/>
      <c r="AR1195" s="34"/>
    </row>
    <row r="1196" spans="1:44" customFormat="1">
      <c r="A1196" s="39">
        <v>44697</v>
      </c>
      <c r="B1196" s="11" t="s">
        <v>49</v>
      </c>
      <c r="C1196" s="16" t="s">
        <v>4985</v>
      </c>
      <c r="D1196" s="16"/>
      <c r="E1196" s="38">
        <v>22914</v>
      </c>
      <c r="F1196" s="38"/>
      <c r="G1196" s="10" t="s">
        <v>4986</v>
      </c>
      <c r="H1196" s="12" t="s">
        <v>4987</v>
      </c>
      <c r="I1196" s="13" t="s">
        <v>2836</v>
      </c>
      <c r="J1196" s="15" t="s">
        <v>4988</v>
      </c>
      <c r="K1196" s="12"/>
      <c r="L1196" s="11" t="s">
        <v>36</v>
      </c>
      <c r="M1196" s="15" t="s">
        <v>3599</v>
      </c>
      <c r="N1196" s="17">
        <v>16500</v>
      </c>
      <c r="O1196" s="17"/>
      <c r="P1196" s="17"/>
      <c r="Q1196" s="48"/>
      <c r="R1196" s="11"/>
      <c r="S1196" s="48"/>
      <c r="T1196" s="85"/>
      <c r="U1196" s="88"/>
      <c r="V1196" s="32"/>
      <c r="W1196" s="25" t="s">
        <v>8</v>
      </c>
      <c r="X1196" s="11"/>
      <c r="Y1196" s="50" t="s">
        <v>13</v>
      </c>
      <c r="Z1196" s="50"/>
      <c r="AA1196" s="50"/>
      <c r="AB1196" s="50"/>
      <c r="AC1196" s="50"/>
      <c r="AD1196" s="50"/>
      <c r="AE1196" s="50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65"/>
      <c r="AP1196" s="69"/>
      <c r="AQ1196" s="62"/>
      <c r="AR1196" s="34"/>
    </row>
    <row r="1197" spans="1:44" customFormat="1">
      <c r="A1197" s="39">
        <v>44697</v>
      </c>
      <c r="B1197" s="11" t="s">
        <v>22</v>
      </c>
      <c r="C1197" s="16" t="s">
        <v>4989</v>
      </c>
      <c r="D1197" s="16"/>
      <c r="E1197" s="38">
        <v>27099</v>
      </c>
      <c r="F1197" s="38"/>
      <c r="G1197" s="10" t="s">
        <v>3819</v>
      </c>
      <c r="H1197" s="12" t="s">
        <v>4990</v>
      </c>
      <c r="I1197" s="13" t="s">
        <v>3821</v>
      </c>
      <c r="J1197" s="15" t="s">
        <v>4991</v>
      </c>
      <c r="K1197" s="12"/>
      <c r="L1197" s="11" t="s">
        <v>36</v>
      </c>
      <c r="M1197" s="15" t="s">
        <v>3629</v>
      </c>
      <c r="N1197" s="17">
        <v>3300</v>
      </c>
      <c r="O1197" s="17"/>
      <c r="P1197" s="17"/>
      <c r="Q1197" s="48"/>
      <c r="R1197" s="11"/>
      <c r="S1197" s="48"/>
      <c r="T1197" s="85"/>
      <c r="U1197" s="88"/>
      <c r="V1197" s="32"/>
      <c r="W1197" s="25" t="s">
        <v>48</v>
      </c>
      <c r="X1197" s="11"/>
      <c r="Y1197" s="50" t="s">
        <v>11</v>
      </c>
      <c r="Z1197" s="50"/>
      <c r="AA1197" s="50"/>
      <c r="AB1197" s="50"/>
      <c r="AC1197" s="50"/>
      <c r="AD1197" s="50"/>
      <c r="AE1197" s="50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65"/>
      <c r="AP1197" s="69"/>
      <c r="AQ1197" s="62"/>
      <c r="AR1197" s="34"/>
    </row>
    <row r="1198" spans="1:44" customFormat="1">
      <c r="A1198" s="39">
        <v>44700</v>
      </c>
      <c r="B1198" s="11"/>
      <c r="C1198" s="16" t="s">
        <v>4815</v>
      </c>
      <c r="D1198" s="16"/>
      <c r="E1198" s="38"/>
      <c r="F1198" s="38"/>
      <c r="G1198" s="10"/>
      <c r="H1198" s="12"/>
      <c r="I1198" s="13"/>
      <c r="J1198" s="15"/>
      <c r="K1198" s="12"/>
      <c r="L1198" s="11"/>
      <c r="M1198" s="15"/>
      <c r="N1198" s="17">
        <v>5500</v>
      </c>
      <c r="O1198" s="17"/>
      <c r="P1198" s="17"/>
      <c r="Q1198" s="48"/>
      <c r="R1198" s="11"/>
      <c r="S1198" s="48"/>
      <c r="T1198" s="85"/>
      <c r="U1198" s="88"/>
      <c r="V1198" s="32" t="s">
        <v>4992</v>
      </c>
      <c r="W1198" s="25"/>
      <c r="X1198" s="11"/>
      <c r="Y1198" s="50"/>
      <c r="Z1198" s="50"/>
      <c r="AA1198" s="50"/>
      <c r="AB1198" s="50"/>
      <c r="AC1198" s="50"/>
      <c r="AD1198" s="50"/>
      <c r="AE1198" s="50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65"/>
      <c r="AP1198" s="69"/>
      <c r="AQ1198" s="62"/>
      <c r="AR1198" s="34"/>
    </row>
    <row r="1199" spans="1:44" customFormat="1">
      <c r="A1199" s="39">
        <v>44701</v>
      </c>
      <c r="B1199" s="11" t="s">
        <v>22</v>
      </c>
      <c r="C1199" s="16" t="s">
        <v>4993</v>
      </c>
      <c r="D1199" s="16"/>
      <c r="E1199" s="38">
        <v>25910</v>
      </c>
      <c r="F1199" s="38"/>
      <c r="G1199" s="10" t="s">
        <v>44</v>
      </c>
      <c r="H1199" s="12" t="s">
        <v>4994</v>
      </c>
      <c r="I1199" s="13">
        <v>3</v>
      </c>
      <c r="J1199" s="15" t="s">
        <v>4996</v>
      </c>
      <c r="K1199" s="14" t="s">
        <v>4995</v>
      </c>
      <c r="L1199" s="11" t="s">
        <v>37</v>
      </c>
      <c r="M1199" s="15" t="s">
        <v>3584</v>
      </c>
      <c r="N1199" s="17">
        <v>3300</v>
      </c>
      <c r="O1199" s="17"/>
      <c r="P1199" s="17"/>
      <c r="Q1199" s="48"/>
      <c r="R1199" s="11"/>
      <c r="S1199" s="48"/>
      <c r="T1199" s="85"/>
      <c r="U1199" s="88"/>
      <c r="V1199" s="32"/>
      <c r="W1199" s="25" t="s">
        <v>48</v>
      </c>
      <c r="X1199" s="11"/>
      <c r="Y1199" s="50" t="s">
        <v>18</v>
      </c>
      <c r="Z1199" s="50"/>
      <c r="AA1199" s="50"/>
      <c r="AB1199" s="50"/>
      <c r="AC1199" s="50"/>
      <c r="AD1199" s="50"/>
      <c r="AE1199" s="50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65"/>
      <c r="AP1199" s="69"/>
      <c r="AQ1199" s="62"/>
      <c r="AR1199" s="34"/>
    </row>
    <row r="1200" spans="1:44" customFormat="1">
      <c r="A1200" s="39">
        <v>44702</v>
      </c>
      <c r="B1200" s="11" t="s">
        <v>22</v>
      </c>
      <c r="C1200" s="16" t="s">
        <v>4997</v>
      </c>
      <c r="D1200" s="16"/>
      <c r="E1200" s="38">
        <v>26977</v>
      </c>
      <c r="F1200" s="38"/>
      <c r="G1200" s="10" t="s">
        <v>757</v>
      </c>
      <c r="H1200" s="12" t="s">
        <v>4998</v>
      </c>
      <c r="I1200" s="13" t="s">
        <v>4999</v>
      </c>
      <c r="J1200" s="15" t="s">
        <v>5000</v>
      </c>
      <c r="K1200" s="12"/>
      <c r="L1200" s="11" t="s">
        <v>35</v>
      </c>
      <c r="M1200" s="15" t="s">
        <v>3599</v>
      </c>
      <c r="N1200" s="17">
        <v>3300</v>
      </c>
      <c r="O1200" s="17"/>
      <c r="P1200" s="17"/>
      <c r="Q1200" s="48"/>
      <c r="R1200" s="11"/>
      <c r="S1200" s="48"/>
      <c r="T1200" s="85"/>
      <c r="U1200" s="88"/>
      <c r="V1200" s="32"/>
      <c r="W1200" s="25" t="s">
        <v>3847</v>
      </c>
      <c r="X1200" s="11"/>
      <c r="Y1200" s="50" t="s">
        <v>13</v>
      </c>
      <c r="Z1200" s="50"/>
      <c r="AA1200" s="50"/>
      <c r="AB1200" s="50"/>
      <c r="AC1200" s="50"/>
      <c r="AD1200" s="50"/>
      <c r="AE1200" s="50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65"/>
      <c r="AP1200" s="69"/>
      <c r="AQ1200" s="62"/>
      <c r="AR1200" s="34"/>
    </row>
    <row r="1201" spans="1:44" customFormat="1">
      <c r="A1201" s="39">
        <v>44702</v>
      </c>
      <c r="B1201" s="11" t="s">
        <v>22</v>
      </c>
      <c r="C1201" s="16" t="s">
        <v>5001</v>
      </c>
      <c r="D1201" s="16"/>
      <c r="E1201" s="38">
        <v>23147</v>
      </c>
      <c r="F1201" s="38"/>
      <c r="G1201" s="10" t="s">
        <v>5002</v>
      </c>
      <c r="H1201" s="12" t="s">
        <v>5003</v>
      </c>
      <c r="I1201" s="13" t="s">
        <v>5004</v>
      </c>
      <c r="J1201" s="15" t="s">
        <v>5006</v>
      </c>
      <c r="K1201" s="14" t="s">
        <v>5005</v>
      </c>
      <c r="L1201" s="11" t="s">
        <v>36</v>
      </c>
      <c r="M1201" s="15" t="s">
        <v>3584</v>
      </c>
      <c r="N1201" s="17">
        <v>8800</v>
      </c>
      <c r="O1201" s="17"/>
      <c r="P1201" s="17"/>
      <c r="Q1201" s="48"/>
      <c r="R1201" s="11"/>
      <c r="S1201" s="48"/>
      <c r="T1201" s="85"/>
      <c r="U1201" s="88"/>
      <c r="V1201" s="32" t="s">
        <v>5007</v>
      </c>
      <c r="W1201" s="25" t="s">
        <v>8</v>
      </c>
      <c r="X1201" s="11"/>
      <c r="Y1201" s="50" t="s">
        <v>13</v>
      </c>
      <c r="Z1201" s="50"/>
      <c r="AA1201" s="50"/>
      <c r="AB1201" s="50"/>
      <c r="AC1201" s="50"/>
      <c r="AD1201" s="50"/>
      <c r="AE1201" s="50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65"/>
      <c r="AP1201" s="69"/>
      <c r="AQ1201" s="62"/>
      <c r="AR1201" s="34"/>
    </row>
    <row r="1202" spans="1:44" customFormat="1">
      <c r="A1202" s="39">
        <v>44702</v>
      </c>
      <c r="B1202" s="11" t="s">
        <v>22</v>
      </c>
      <c r="C1202" s="16" t="s">
        <v>5008</v>
      </c>
      <c r="D1202" s="16"/>
      <c r="E1202" s="38">
        <v>29352</v>
      </c>
      <c r="F1202" s="38"/>
      <c r="G1202" s="10" t="s">
        <v>5009</v>
      </c>
      <c r="H1202" s="12" t="s">
        <v>5010</v>
      </c>
      <c r="I1202" s="13" t="s">
        <v>5011</v>
      </c>
      <c r="J1202" s="15" t="s">
        <v>5012</v>
      </c>
      <c r="K1202" s="12"/>
      <c r="L1202" s="11" t="s">
        <v>36</v>
      </c>
      <c r="M1202" s="15" t="s">
        <v>3599</v>
      </c>
      <c r="N1202" s="17">
        <v>8800</v>
      </c>
      <c r="O1202" s="17"/>
      <c r="P1202" s="17"/>
      <c r="Q1202" s="48"/>
      <c r="R1202" s="11"/>
      <c r="S1202" s="48"/>
      <c r="T1202" s="85"/>
      <c r="U1202" s="88"/>
      <c r="V1202" s="32" t="s">
        <v>5007</v>
      </c>
      <c r="W1202" s="25" t="s">
        <v>8</v>
      </c>
      <c r="X1202" s="11"/>
      <c r="Y1202" s="50" t="s">
        <v>12</v>
      </c>
      <c r="Z1202" s="50"/>
      <c r="AA1202" s="50"/>
      <c r="AB1202" s="50"/>
      <c r="AC1202" s="50"/>
      <c r="AD1202" s="50"/>
      <c r="AE1202" s="50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65"/>
      <c r="AP1202" s="69"/>
      <c r="AQ1202" s="62"/>
      <c r="AR1202" s="34"/>
    </row>
    <row r="1203" spans="1:44" customFormat="1">
      <c r="A1203" s="39">
        <v>44702</v>
      </c>
      <c r="B1203" s="11" t="s">
        <v>22</v>
      </c>
      <c r="C1203" s="16" t="s">
        <v>5013</v>
      </c>
      <c r="D1203" s="16"/>
      <c r="E1203" s="38">
        <v>25712</v>
      </c>
      <c r="F1203" s="38"/>
      <c r="G1203" s="10" t="s">
        <v>5016</v>
      </c>
      <c r="H1203" s="12" t="s">
        <v>5014</v>
      </c>
      <c r="I1203" s="13" t="s">
        <v>5015</v>
      </c>
      <c r="J1203" s="15" t="s">
        <v>5018</v>
      </c>
      <c r="K1203" s="14" t="s">
        <v>5017</v>
      </c>
      <c r="L1203" s="11" t="s">
        <v>36</v>
      </c>
      <c r="M1203" s="15"/>
      <c r="N1203" s="17">
        <v>8800</v>
      </c>
      <c r="O1203" s="17"/>
      <c r="P1203" s="17"/>
      <c r="Q1203" s="48"/>
      <c r="R1203" s="11"/>
      <c r="S1203" s="48"/>
      <c r="T1203" s="85"/>
      <c r="U1203" s="88"/>
      <c r="V1203" s="32" t="s">
        <v>5007</v>
      </c>
      <c r="W1203" s="25" t="s">
        <v>8</v>
      </c>
      <c r="X1203" s="11"/>
      <c r="Y1203" s="50" t="s">
        <v>13</v>
      </c>
      <c r="Z1203" s="50"/>
      <c r="AA1203" s="50"/>
      <c r="AB1203" s="50"/>
      <c r="AC1203" s="50"/>
      <c r="AD1203" s="50"/>
      <c r="AE1203" s="50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65"/>
      <c r="AP1203" s="69"/>
      <c r="AQ1203" s="62"/>
      <c r="AR1203" s="34"/>
    </row>
    <row r="1204" spans="1:44" customFormat="1">
      <c r="A1204" s="39">
        <v>44703</v>
      </c>
      <c r="B1204" s="11" t="s">
        <v>5659</v>
      </c>
      <c r="C1204" s="16" t="s">
        <v>5019</v>
      </c>
      <c r="D1204" s="16"/>
      <c r="E1204" s="38"/>
      <c r="F1204" s="38"/>
      <c r="G1204" s="10"/>
      <c r="H1204" s="12"/>
      <c r="I1204" s="13"/>
      <c r="J1204" s="15"/>
      <c r="K1204" s="12"/>
      <c r="L1204" s="11"/>
      <c r="M1204" s="15"/>
      <c r="N1204" s="17">
        <v>3300</v>
      </c>
      <c r="O1204" s="17"/>
      <c r="P1204" s="17"/>
      <c r="Q1204" s="48"/>
      <c r="R1204" s="11"/>
      <c r="S1204" s="48"/>
      <c r="T1204" s="85"/>
      <c r="U1204" s="88"/>
      <c r="V1204" s="32" t="s">
        <v>5020</v>
      </c>
      <c r="W1204" s="25"/>
      <c r="X1204" s="11"/>
      <c r="Y1204" s="50"/>
      <c r="Z1204" s="50"/>
      <c r="AA1204" s="50"/>
      <c r="AB1204" s="50"/>
      <c r="AC1204" s="50"/>
      <c r="AD1204" s="50"/>
      <c r="AE1204" s="50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65"/>
      <c r="AP1204" s="69"/>
      <c r="AQ1204" s="62"/>
      <c r="AR1204" s="34"/>
    </row>
    <row r="1205" spans="1:44" customFormat="1">
      <c r="A1205" s="39">
        <v>44703</v>
      </c>
      <c r="B1205" s="11" t="s">
        <v>5659</v>
      </c>
      <c r="C1205" s="16" t="s">
        <v>4084</v>
      </c>
      <c r="D1205" s="16"/>
      <c r="E1205" s="38"/>
      <c r="F1205" s="38"/>
      <c r="G1205" s="10"/>
      <c r="H1205" s="12"/>
      <c r="I1205" s="13"/>
      <c r="J1205" s="15"/>
      <c r="K1205" s="12"/>
      <c r="L1205" s="11"/>
      <c r="M1205" s="15"/>
      <c r="N1205" s="17">
        <v>8250</v>
      </c>
      <c r="O1205" s="17"/>
      <c r="P1205" s="17"/>
      <c r="Q1205" s="48"/>
      <c r="R1205" s="11"/>
      <c r="S1205" s="48"/>
      <c r="T1205" s="85"/>
      <c r="U1205" s="88"/>
      <c r="V1205" s="32" t="s">
        <v>2130</v>
      </c>
      <c r="W1205" s="25"/>
      <c r="X1205" s="11"/>
      <c r="Y1205" s="50"/>
      <c r="Z1205" s="50"/>
      <c r="AA1205" s="50"/>
      <c r="AB1205" s="50"/>
      <c r="AC1205" s="50"/>
      <c r="AD1205" s="50"/>
      <c r="AE1205" s="50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65"/>
      <c r="AP1205" s="69"/>
      <c r="AQ1205" s="62"/>
      <c r="AR1205" s="34"/>
    </row>
    <row r="1206" spans="1:44" customFormat="1">
      <c r="A1206" s="39">
        <v>44703</v>
      </c>
      <c r="B1206" s="11" t="s">
        <v>49</v>
      </c>
      <c r="C1206" s="16" t="s">
        <v>4624</v>
      </c>
      <c r="D1206" s="16"/>
      <c r="E1206" s="38"/>
      <c r="F1206" s="38"/>
      <c r="G1206" s="10"/>
      <c r="H1206" s="12"/>
      <c r="I1206" s="13"/>
      <c r="J1206" s="15"/>
      <c r="K1206" s="12"/>
      <c r="L1206" s="11"/>
      <c r="M1206" s="15"/>
      <c r="N1206" s="17">
        <v>0</v>
      </c>
      <c r="O1206" s="17"/>
      <c r="P1206" s="17"/>
      <c r="Q1206" s="48"/>
      <c r="R1206" s="11"/>
      <c r="S1206" s="48"/>
      <c r="T1206" s="85"/>
      <c r="U1206" s="88"/>
      <c r="V1206" s="32" t="s">
        <v>5021</v>
      </c>
      <c r="W1206" s="25"/>
      <c r="X1206" s="11"/>
      <c r="Y1206" s="50"/>
      <c r="Z1206" s="50"/>
      <c r="AA1206" s="50"/>
      <c r="AB1206" s="50"/>
      <c r="AC1206" s="50"/>
      <c r="AD1206" s="50"/>
      <c r="AE1206" s="50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65"/>
      <c r="AP1206" s="69"/>
      <c r="AQ1206" s="62"/>
      <c r="AR1206" s="34"/>
    </row>
    <row r="1207" spans="1:44" customFormat="1">
      <c r="A1207" s="39">
        <v>44704</v>
      </c>
      <c r="B1207" s="11" t="s">
        <v>49</v>
      </c>
      <c r="C1207" s="16" t="s">
        <v>5022</v>
      </c>
      <c r="D1207" s="16"/>
      <c r="E1207" s="38">
        <v>36270</v>
      </c>
      <c r="F1207" s="38"/>
      <c r="G1207" s="10" t="s">
        <v>5023</v>
      </c>
      <c r="H1207" s="12" t="s">
        <v>5024</v>
      </c>
      <c r="I1207" s="13" t="s">
        <v>5025</v>
      </c>
      <c r="J1207" s="15" t="s">
        <v>5027</v>
      </c>
      <c r="K1207" s="14" t="s">
        <v>5026</v>
      </c>
      <c r="L1207" s="11" t="s">
        <v>36</v>
      </c>
      <c r="M1207" s="15" t="s">
        <v>3599</v>
      </c>
      <c r="N1207" s="17">
        <v>16500</v>
      </c>
      <c r="O1207" s="17"/>
      <c r="P1207" s="17"/>
      <c r="Q1207" s="48"/>
      <c r="R1207" s="11"/>
      <c r="S1207" s="48"/>
      <c r="T1207" s="85"/>
      <c r="U1207" s="88"/>
      <c r="V1207" s="32"/>
      <c r="W1207" s="25" t="s">
        <v>48</v>
      </c>
      <c r="X1207" s="11"/>
      <c r="Y1207" s="50" t="s">
        <v>12</v>
      </c>
      <c r="Z1207" s="50"/>
      <c r="AA1207" s="50"/>
      <c r="AB1207" s="50"/>
      <c r="AC1207" s="50"/>
      <c r="AD1207" s="50"/>
      <c r="AE1207" s="50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65"/>
      <c r="AP1207" s="69"/>
      <c r="AQ1207" s="62"/>
      <c r="AR1207" s="34"/>
    </row>
    <row r="1208" spans="1:44" customFormat="1">
      <c r="A1208" s="39">
        <v>44707</v>
      </c>
      <c r="B1208" s="11" t="s">
        <v>22</v>
      </c>
      <c r="C1208" s="16" t="s">
        <v>5028</v>
      </c>
      <c r="D1208" s="16"/>
      <c r="E1208" s="38">
        <v>34256</v>
      </c>
      <c r="F1208" s="38"/>
      <c r="G1208" s="10"/>
      <c r="H1208" s="12"/>
      <c r="I1208" s="13"/>
      <c r="J1208" s="15"/>
      <c r="K1208" s="12"/>
      <c r="L1208" s="11"/>
      <c r="M1208" s="15"/>
      <c r="N1208" s="17">
        <v>8250</v>
      </c>
      <c r="O1208" s="17"/>
      <c r="P1208" s="17"/>
      <c r="Q1208" s="48"/>
      <c r="R1208" s="11"/>
      <c r="S1208" s="48"/>
      <c r="T1208" s="85"/>
      <c r="U1208" s="88"/>
      <c r="V1208" s="32" t="s">
        <v>5029</v>
      </c>
      <c r="W1208" s="25"/>
      <c r="X1208" s="11"/>
      <c r="Y1208" s="50"/>
      <c r="Z1208" s="50"/>
      <c r="AA1208" s="50"/>
      <c r="AB1208" s="50"/>
      <c r="AC1208" s="50"/>
      <c r="AD1208" s="50"/>
      <c r="AE1208" s="50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65"/>
      <c r="AP1208" s="69"/>
      <c r="AQ1208" s="62"/>
      <c r="AR1208" s="34"/>
    </row>
    <row r="1209" spans="1:44" customFormat="1">
      <c r="A1209" s="39">
        <v>44707</v>
      </c>
      <c r="B1209" s="11" t="s">
        <v>49</v>
      </c>
      <c r="C1209" s="16" t="s">
        <v>5030</v>
      </c>
      <c r="D1209" s="16"/>
      <c r="E1209" s="38">
        <v>29564</v>
      </c>
      <c r="F1209" s="38"/>
      <c r="G1209" s="10" t="s">
        <v>5031</v>
      </c>
      <c r="H1209" s="12" t="s">
        <v>5032</v>
      </c>
      <c r="I1209" s="13" t="s">
        <v>5033</v>
      </c>
      <c r="J1209" s="15">
        <f>65-8121-474</f>
        <v>-8530</v>
      </c>
      <c r="K1209" s="14" t="s">
        <v>5034</v>
      </c>
      <c r="L1209" s="11" t="s">
        <v>36</v>
      </c>
      <c r="M1209" s="15" t="s">
        <v>3584</v>
      </c>
      <c r="N1209" s="17">
        <v>22000</v>
      </c>
      <c r="O1209" s="17"/>
      <c r="P1209" s="17"/>
      <c r="Q1209" s="48"/>
      <c r="R1209" s="11"/>
      <c r="S1209" s="48"/>
      <c r="T1209" s="85"/>
      <c r="U1209" s="88"/>
      <c r="V1209" s="32"/>
      <c r="W1209" s="25" t="s">
        <v>48</v>
      </c>
      <c r="X1209" s="11"/>
      <c r="Y1209" s="50" t="s">
        <v>12</v>
      </c>
      <c r="Z1209" s="50"/>
      <c r="AA1209" s="50"/>
      <c r="AB1209" s="50"/>
      <c r="AC1209" s="50"/>
      <c r="AD1209" s="50"/>
      <c r="AE1209" s="50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65"/>
      <c r="AP1209" s="69"/>
      <c r="AQ1209" s="62"/>
      <c r="AR1209" s="34"/>
    </row>
    <row r="1210" spans="1:44" customFormat="1">
      <c r="A1210" s="39">
        <v>44708</v>
      </c>
      <c r="B1210" s="11" t="s">
        <v>49</v>
      </c>
      <c r="C1210" s="16" t="s">
        <v>5035</v>
      </c>
      <c r="D1210" s="16"/>
      <c r="E1210" s="38">
        <v>28518</v>
      </c>
      <c r="F1210" s="38"/>
      <c r="G1210" s="10" t="s">
        <v>5036</v>
      </c>
      <c r="H1210" s="12" t="s">
        <v>5037</v>
      </c>
      <c r="I1210" s="13" t="s">
        <v>5038</v>
      </c>
      <c r="J1210" s="15" t="s">
        <v>5039</v>
      </c>
      <c r="K1210" s="12"/>
      <c r="L1210" s="11"/>
      <c r="M1210" s="15" t="s">
        <v>3629</v>
      </c>
      <c r="N1210" s="17">
        <v>16500</v>
      </c>
      <c r="O1210" s="17"/>
      <c r="P1210" s="17"/>
      <c r="Q1210" s="48"/>
      <c r="R1210" s="11"/>
      <c r="S1210" s="48"/>
      <c r="T1210" s="85"/>
      <c r="U1210" s="88"/>
      <c r="V1210" s="32"/>
      <c r="W1210" s="25" t="s">
        <v>8</v>
      </c>
      <c r="X1210" s="11"/>
      <c r="Y1210" s="50" t="s">
        <v>12</v>
      </c>
      <c r="Z1210" s="50"/>
      <c r="AA1210" s="50"/>
      <c r="AB1210" s="50"/>
      <c r="AC1210" s="50"/>
      <c r="AD1210" s="50"/>
      <c r="AE1210" s="50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65"/>
      <c r="AP1210" s="69"/>
      <c r="AQ1210" s="62"/>
      <c r="AR1210" s="34"/>
    </row>
    <row r="1211" spans="1:44" customFormat="1">
      <c r="A1211" s="39">
        <v>44709</v>
      </c>
      <c r="B1211" s="11" t="s">
        <v>22</v>
      </c>
      <c r="C1211" s="16" t="s">
        <v>5040</v>
      </c>
      <c r="D1211" s="16"/>
      <c r="E1211" s="39">
        <v>31666</v>
      </c>
      <c r="F1211" s="39"/>
      <c r="G1211" s="11" t="s">
        <v>464</v>
      </c>
      <c r="H1211" s="12" t="s">
        <v>5041</v>
      </c>
      <c r="I1211" s="13" t="s">
        <v>5043</v>
      </c>
      <c r="J1211" s="15" t="s">
        <v>5042</v>
      </c>
      <c r="K1211" s="12"/>
      <c r="L1211" s="11" t="s">
        <v>39</v>
      </c>
      <c r="M1211" s="15" t="s">
        <v>3680</v>
      </c>
      <c r="N1211" s="17">
        <v>3300</v>
      </c>
      <c r="O1211" s="17"/>
      <c r="P1211" s="17"/>
      <c r="Q1211" s="48"/>
      <c r="R1211" s="11"/>
      <c r="S1211" s="48"/>
      <c r="T1211" s="85"/>
      <c r="U1211" s="88"/>
      <c r="V1211" s="32"/>
      <c r="W1211" s="25" t="s">
        <v>8</v>
      </c>
      <c r="X1211" s="11"/>
      <c r="Y1211" s="50" t="s">
        <v>18</v>
      </c>
      <c r="Z1211" s="50"/>
      <c r="AA1211" s="50"/>
      <c r="AB1211" s="50"/>
      <c r="AC1211" s="50"/>
      <c r="AD1211" s="50"/>
      <c r="AE1211" s="50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65"/>
      <c r="AP1211" s="69"/>
      <c r="AQ1211" s="62"/>
      <c r="AR1211" s="34"/>
    </row>
    <row r="1212" spans="1:44" customFormat="1">
      <c r="A1212" s="39">
        <v>44710</v>
      </c>
      <c r="B1212" s="11" t="s">
        <v>22</v>
      </c>
      <c r="C1212" s="16" t="s">
        <v>5044</v>
      </c>
      <c r="D1212" s="16"/>
      <c r="E1212" s="38">
        <v>20304</v>
      </c>
      <c r="F1212" s="38"/>
      <c r="G1212" s="10" t="s">
        <v>5045</v>
      </c>
      <c r="H1212" s="12" t="s">
        <v>5046</v>
      </c>
      <c r="I1212" s="13" t="s">
        <v>1685</v>
      </c>
      <c r="J1212" s="15" t="s">
        <v>5048</v>
      </c>
      <c r="K1212" s="14" t="s">
        <v>5047</v>
      </c>
      <c r="L1212" s="11" t="s">
        <v>36</v>
      </c>
      <c r="M1212" s="15" t="s">
        <v>3584</v>
      </c>
      <c r="N1212" s="17">
        <v>3300</v>
      </c>
      <c r="O1212" s="17"/>
      <c r="P1212" s="17"/>
      <c r="Q1212" s="48"/>
      <c r="R1212" s="11"/>
      <c r="S1212" s="48"/>
      <c r="T1212" s="85"/>
      <c r="U1212" s="88"/>
      <c r="V1212" s="32"/>
      <c r="W1212" s="25" t="s">
        <v>3847</v>
      </c>
      <c r="X1212" s="11"/>
      <c r="Y1212" s="50" t="s">
        <v>12</v>
      </c>
      <c r="Z1212" s="50"/>
      <c r="AA1212" s="50"/>
      <c r="AB1212" s="50"/>
      <c r="AC1212" s="50"/>
      <c r="AD1212" s="50"/>
      <c r="AE1212" s="50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65"/>
      <c r="AP1212" s="69"/>
      <c r="AQ1212" s="62"/>
      <c r="AR1212" s="34"/>
    </row>
    <row r="1213" spans="1:44" customFormat="1">
      <c r="A1213" s="39">
        <v>44710</v>
      </c>
      <c r="B1213" s="11" t="s">
        <v>49</v>
      </c>
      <c r="C1213" s="16" t="s">
        <v>5052</v>
      </c>
      <c r="D1213" s="16"/>
      <c r="E1213" s="38">
        <v>32491</v>
      </c>
      <c r="F1213" s="38"/>
      <c r="G1213" s="10" t="s">
        <v>2013</v>
      </c>
      <c r="H1213" s="12" t="s">
        <v>5049</v>
      </c>
      <c r="I1213" s="13" t="s">
        <v>5050</v>
      </c>
      <c r="J1213" s="15" t="s">
        <v>5051</v>
      </c>
      <c r="K1213" s="12"/>
      <c r="L1213" s="11" t="s">
        <v>33</v>
      </c>
      <c r="M1213" s="15"/>
      <c r="N1213" s="17">
        <v>16500</v>
      </c>
      <c r="O1213" s="17"/>
      <c r="P1213" s="17"/>
      <c r="Q1213" s="48"/>
      <c r="R1213" s="11"/>
      <c r="S1213" s="48"/>
      <c r="T1213" s="85"/>
      <c r="U1213" s="88"/>
      <c r="V1213" s="32"/>
      <c r="W1213" s="25" t="s">
        <v>8</v>
      </c>
      <c r="X1213" s="11"/>
      <c r="Y1213" s="50" t="s">
        <v>13</v>
      </c>
      <c r="Z1213" s="50"/>
      <c r="AA1213" s="50"/>
      <c r="AB1213" s="50"/>
      <c r="AC1213" s="50"/>
      <c r="AD1213" s="50"/>
      <c r="AE1213" s="50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65"/>
      <c r="AP1213" s="69"/>
      <c r="AQ1213" s="62"/>
      <c r="AR1213" s="34"/>
    </row>
    <row r="1214" spans="1:44" customFormat="1">
      <c r="A1214" s="39">
        <v>44711</v>
      </c>
      <c r="B1214" s="11" t="s">
        <v>49</v>
      </c>
      <c r="C1214" s="16" t="s">
        <v>5053</v>
      </c>
      <c r="D1214" s="16"/>
      <c r="E1214" s="38">
        <v>23912</v>
      </c>
      <c r="F1214" s="38"/>
      <c r="G1214" s="10" t="s">
        <v>5054</v>
      </c>
      <c r="H1214" s="12" t="s">
        <v>5055</v>
      </c>
      <c r="I1214" s="13" t="s">
        <v>5059</v>
      </c>
      <c r="J1214" s="15" t="s">
        <v>5056</v>
      </c>
      <c r="K1214" s="14" t="s">
        <v>5057</v>
      </c>
      <c r="L1214" s="11" t="s">
        <v>33</v>
      </c>
      <c r="M1214" s="15" t="s">
        <v>3584</v>
      </c>
      <c r="N1214" s="17">
        <v>16500</v>
      </c>
      <c r="O1214" s="17"/>
      <c r="P1214" s="17"/>
      <c r="Q1214" s="48"/>
      <c r="R1214" s="11"/>
      <c r="S1214" s="48"/>
      <c r="T1214" s="85"/>
      <c r="U1214" s="88"/>
      <c r="V1214" s="32" t="s">
        <v>5058</v>
      </c>
      <c r="W1214" s="25" t="s">
        <v>10</v>
      </c>
      <c r="X1214" s="11"/>
      <c r="Y1214" s="50" t="s">
        <v>13</v>
      </c>
      <c r="Z1214" s="50"/>
      <c r="AA1214" s="50"/>
      <c r="AB1214" s="50"/>
      <c r="AC1214" s="50"/>
      <c r="AD1214" s="50"/>
      <c r="AE1214" s="50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65"/>
      <c r="AP1214" s="69"/>
      <c r="AQ1214" s="62"/>
      <c r="AR1214" s="34"/>
    </row>
    <row r="1215" spans="1:44" customFormat="1">
      <c r="A1215" s="39">
        <v>44711</v>
      </c>
      <c r="B1215" s="11" t="s">
        <v>49</v>
      </c>
      <c r="C1215" s="16" t="s">
        <v>5060</v>
      </c>
      <c r="D1215" s="16"/>
      <c r="E1215" s="38">
        <v>27533</v>
      </c>
      <c r="F1215" s="38"/>
      <c r="G1215" s="10" t="s">
        <v>1524</v>
      </c>
      <c r="H1215" s="12" t="s">
        <v>5061</v>
      </c>
      <c r="I1215" s="13" t="s">
        <v>5062</v>
      </c>
      <c r="J1215" s="15" t="s">
        <v>5064</v>
      </c>
      <c r="K1215" s="14" t="s">
        <v>5063</v>
      </c>
      <c r="L1215" s="11" t="s">
        <v>33</v>
      </c>
      <c r="M1215" s="15" t="s">
        <v>3629</v>
      </c>
      <c r="N1215" s="17">
        <v>16500</v>
      </c>
      <c r="O1215" s="17"/>
      <c r="P1215" s="17"/>
      <c r="Q1215" s="48"/>
      <c r="R1215" s="11"/>
      <c r="S1215" s="48"/>
      <c r="T1215" s="85"/>
      <c r="U1215" s="88"/>
      <c r="V1215" s="32"/>
      <c r="W1215" s="25" t="s">
        <v>48</v>
      </c>
      <c r="X1215" s="11"/>
      <c r="Y1215" s="50" t="s">
        <v>12</v>
      </c>
      <c r="Z1215" s="50"/>
      <c r="AA1215" s="50"/>
      <c r="AB1215" s="50"/>
      <c r="AC1215" s="50"/>
      <c r="AD1215" s="50"/>
      <c r="AE1215" s="50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65"/>
      <c r="AP1215" s="69"/>
      <c r="AQ1215" s="62"/>
      <c r="AR1215" s="34"/>
    </row>
    <row r="1216" spans="1:44" customFormat="1">
      <c r="A1216" s="39">
        <v>44713</v>
      </c>
      <c r="B1216" s="11" t="s">
        <v>49</v>
      </c>
      <c r="C1216" s="16" t="s">
        <v>5065</v>
      </c>
      <c r="D1216" s="16"/>
      <c r="E1216" s="38">
        <v>24403</v>
      </c>
      <c r="F1216" s="38"/>
      <c r="G1216" s="10" t="s">
        <v>5066</v>
      </c>
      <c r="H1216" s="12" t="s">
        <v>5067</v>
      </c>
      <c r="I1216" s="13" t="s">
        <v>5070</v>
      </c>
      <c r="J1216" s="15" t="s">
        <v>5069</v>
      </c>
      <c r="K1216" s="14" t="s">
        <v>5068</v>
      </c>
      <c r="L1216" s="11" t="s">
        <v>33</v>
      </c>
      <c r="M1216" s="15" t="s">
        <v>3584</v>
      </c>
      <c r="N1216" s="17">
        <v>14850</v>
      </c>
      <c r="O1216" s="17"/>
      <c r="P1216" s="17"/>
      <c r="Q1216" s="48"/>
      <c r="R1216" s="11"/>
      <c r="S1216" s="48"/>
      <c r="T1216" s="85" t="s">
        <v>8073</v>
      </c>
      <c r="U1216" s="88"/>
      <c r="V1216" s="32" t="s">
        <v>2342</v>
      </c>
      <c r="W1216" s="25" t="s">
        <v>8</v>
      </c>
      <c r="X1216" s="11"/>
      <c r="Y1216" s="50" t="s">
        <v>13</v>
      </c>
      <c r="Z1216" s="50"/>
      <c r="AA1216" s="50"/>
      <c r="AB1216" s="50"/>
      <c r="AC1216" s="50"/>
      <c r="AD1216" s="50"/>
      <c r="AE1216" s="50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65"/>
      <c r="AP1216" s="69"/>
      <c r="AQ1216" s="62"/>
      <c r="AR1216" s="34"/>
    </row>
    <row r="1217" spans="1:44" customFormat="1">
      <c r="A1217" s="39">
        <v>44714</v>
      </c>
      <c r="B1217" s="11" t="s">
        <v>49</v>
      </c>
      <c r="C1217" s="16" t="s">
        <v>5076</v>
      </c>
      <c r="D1217" s="16"/>
      <c r="E1217" s="38">
        <v>24915</v>
      </c>
      <c r="F1217" s="38"/>
      <c r="G1217" s="10" t="s">
        <v>5071</v>
      </c>
      <c r="H1217" s="12" t="s">
        <v>5072</v>
      </c>
      <c r="I1217" s="13" t="s">
        <v>5073</v>
      </c>
      <c r="J1217" s="15" t="s">
        <v>5074</v>
      </c>
      <c r="K1217" s="12"/>
      <c r="L1217" s="11" t="s">
        <v>33</v>
      </c>
      <c r="M1217" s="15" t="s">
        <v>3599</v>
      </c>
      <c r="N1217" s="17">
        <v>19800</v>
      </c>
      <c r="O1217" s="17"/>
      <c r="P1217" s="17"/>
      <c r="Q1217" s="48"/>
      <c r="R1217" s="11"/>
      <c r="S1217" s="48"/>
      <c r="T1217" s="85" t="s">
        <v>8073</v>
      </c>
      <c r="U1217" s="88"/>
      <c r="V1217" s="32" t="s">
        <v>5075</v>
      </c>
      <c r="W1217" s="25" t="s">
        <v>8</v>
      </c>
      <c r="X1217" s="11"/>
      <c r="Y1217" s="50"/>
      <c r="Z1217" s="50"/>
      <c r="AA1217" s="50"/>
      <c r="AB1217" s="50"/>
      <c r="AC1217" s="50"/>
      <c r="AD1217" s="50"/>
      <c r="AE1217" s="50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65"/>
      <c r="AP1217" s="69"/>
      <c r="AQ1217" s="62"/>
      <c r="AR1217" s="34"/>
    </row>
    <row r="1218" spans="1:44" customFormat="1">
      <c r="A1218" s="39">
        <v>44714</v>
      </c>
      <c r="B1218" s="11" t="s">
        <v>22</v>
      </c>
      <c r="C1218" s="16" t="s">
        <v>5077</v>
      </c>
      <c r="D1218" s="16"/>
      <c r="E1218" s="38">
        <v>28325</v>
      </c>
      <c r="F1218" s="38"/>
      <c r="G1218" s="10" t="s">
        <v>5078</v>
      </c>
      <c r="H1218" s="12" t="s">
        <v>5079</v>
      </c>
      <c r="I1218" s="13" t="s">
        <v>5080</v>
      </c>
      <c r="J1218" s="15" t="s">
        <v>5081</v>
      </c>
      <c r="K1218" s="12"/>
      <c r="L1218" s="11" t="s">
        <v>33</v>
      </c>
      <c r="M1218" s="15" t="s">
        <v>3629</v>
      </c>
      <c r="N1218" s="17">
        <v>8800</v>
      </c>
      <c r="O1218" s="17"/>
      <c r="P1218" s="17"/>
      <c r="Q1218" s="48"/>
      <c r="R1218" s="11"/>
      <c r="S1218" s="48"/>
      <c r="T1218" s="85"/>
      <c r="U1218" s="88"/>
      <c r="V1218" s="32" t="s">
        <v>5082</v>
      </c>
      <c r="W1218" s="25" t="s">
        <v>48</v>
      </c>
      <c r="X1218" s="11"/>
      <c r="Y1218" s="50" t="s">
        <v>12</v>
      </c>
      <c r="Z1218" s="50"/>
      <c r="AA1218" s="50"/>
      <c r="AB1218" s="50"/>
      <c r="AC1218" s="50"/>
      <c r="AD1218" s="50"/>
      <c r="AE1218" s="50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65"/>
      <c r="AP1218" s="69"/>
      <c r="AQ1218" s="62"/>
      <c r="AR1218" s="34"/>
    </row>
    <row r="1219" spans="1:44" customFormat="1">
      <c r="A1219" s="39">
        <v>44716</v>
      </c>
      <c r="B1219" s="11" t="s">
        <v>22</v>
      </c>
      <c r="C1219" s="16" t="s">
        <v>5083</v>
      </c>
      <c r="D1219" s="16"/>
      <c r="E1219" s="38">
        <v>21178</v>
      </c>
      <c r="F1219" s="38"/>
      <c r="G1219" s="10" t="s">
        <v>78</v>
      </c>
      <c r="H1219" s="12" t="s">
        <v>5084</v>
      </c>
      <c r="I1219" s="13" t="s">
        <v>4233</v>
      </c>
      <c r="J1219" s="15" t="s">
        <v>5086</v>
      </c>
      <c r="K1219" s="14" t="s">
        <v>5085</v>
      </c>
      <c r="L1219" s="11" t="s">
        <v>36</v>
      </c>
      <c r="M1219" s="15" t="s">
        <v>3629</v>
      </c>
      <c r="N1219" s="17">
        <v>3300</v>
      </c>
      <c r="O1219" s="17"/>
      <c r="P1219" s="17"/>
      <c r="Q1219" s="48"/>
      <c r="R1219" s="11"/>
      <c r="S1219" s="48"/>
      <c r="T1219" s="85" t="s">
        <v>8079</v>
      </c>
      <c r="U1219" s="88"/>
      <c r="V1219" s="32" t="s">
        <v>5087</v>
      </c>
      <c r="W1219" s="25" t="s">
        <v>10</v>
      </c>
      <c r="X1219" s="11"/>
      <c r="Y1219" s="50" t="s">
        <v>18</v>
      </c>
      <c r="Z1219" s="50"/>
      <c r="AA1219" s="50"/>
      <c r="AB1219" s="50"/>
      <c r="AC1219" s="50"/>
      <c r="AD1219" s="50"/>
      <c r="AE1219" s="50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65"/>
      <c r="AP1219" s="69"/>
      <c r="AQ1219" s="62" t="s">
        <v>8079</v>
      </c>
      <c r="AR1219" s="34"/>
    </row>
    <row r="1220" spans="1:44" customFormat="1">
      <c r="A1220" s="39">
        <v>44721</v>
      </c>
      <c r="B1220" s="11" t="s">
        <v>22</v>
      </c>
      <c r="C1220" s="16" t="s">
        <v>5088</v>
      </c>
      <c r="D1220" s="16"/>
      <c r="E1220" s="38">
        <v>27383</v>
      </c>
      <c r="F1220" s="38"/>
      <c r="G1220" s="10" t="s">
        <v>322</v>
      </c>
      <c r="H1220" s="12" t="s">
        <v>5092</v>
      </c>
      <c r="I1220" s="13" t="s">
        <v>5089</v>
      </c>
      <c r="J1220" s="15" t="s">
        <v>5091</v>
      </c>
      <c r="K1220" s="14" t="s">
        <v>5090</v>
      </c>
      <c r="L1220" s="11" t="s">
        <v>33</v>
      </c>
      <c r="M1220" s="15" t="s">
        <v>3584</v>
      </c>
      <c r="N1220" s="17">
        <v>3300</v>
      </c>
      <c r="O1220" s="17"/>
      <c r="P1220" s="17"/>
      <c r="Q1220" s="48"/>
      <c r="R1220" s="11"/>
      <c r="S1220" s="48"/>
      <c r="T1220" s="85" t="s">
        <v>8079</v>
      </c>
      <c r="U1220" s="88"/>
      <c r="V1220" s="32" t="s">
        <v>5099</v>
      </c>
      <c r="W1220" s="25"/>
      <c r="X1220" s="11"/>
      <c r="Y1220" s="50" t="s">
        <v>18</v>
      </c>
      <c r="Z1220" s="50"/>
      <c r="AA1220" s="50"/>
      <c r="AB1220" s="50"/>
      <c r="AC1220" s="50"/>
      <c r="AD1220" s="50"/>
      <c r="AE1220" s="50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65"/>
      <c r="AP1220" s="69"/>
      <c r="AQ1220" s="62" t="s">
        <v>8079</v>
      </c>
      <c r="AR1220" s="34"/>
    </row>
    <row r="1221" spans="1:44" customFormat="1">
      <c r="A1221" s="39">
        <v>44721</v>
      </c>
      <c r="B1221" s="11" t="s">
        <v>22</v>
      </c>
      <c r="C1221" s="16" t="s">
        <v>5093</v>
      </c>
      <c r="D1221" s="16"/>
      <c r="E1221" s="38">
        <v>35956</v>
      </c>
      <c r="F1221" s="38"/>
      <c r="G1221" s="10" t="s">
        <v>5094</v>
      </c>
      <c r="H1221" s="12" t="s">
        <v>5095</v>
      </c>
      <c r="I1221" s="13" t="s">
        <v>5096</v>
      </c>
      <c r="J1221" s="15" t="s">
        <v>5098</v>
      </c>
      <c r="K1221" s="14" t="s">
        <v>5097</v>
      </c>
      <c r="L1221" s="11" t="s">
        <v>39</v>
      </c>
      <c r="M1221" s="15" t="s">
        <v>3584</v>
      </c>
      <c r="N1221" s="17">
        <v>3300</v>
      </c>
      <c r="O1221" s="17"/>
      <c r="P1221" s="17"/>
      <c r="Q1221" s="48"/>
      <c r="R1221" s="11"/>
      <c r="S1221" s="48"/>
      <c r="T1221" s="85"/>
      <c r="U1221" s="88"/>
      <c r="V1221" s="32"/>
      <c r="W1221" s="25" t="s">
        <v>48</v>
      </c>
      <c r="X1221" s="11"/>
      <c r="Y1221" s="50" t="s">
        <v>14</v>
      </c>
      <c r="Z1221" s="50"/>
      <c r="AA1221" s="50"/>
      <c r="AB1221" s="50"/>
      <c r="AC1221" s="50"/>
      <c r="AD1221" s="50"/>
      <c r="AE1221" s="50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65"/>
      <c r="AP1221" s="69"/>
      <c r="AQ1221" s="62"/>
      <c r="AR1221" s="34"/>
    </row>
    <row r="1222" spans="1:44" customFormat="1">
      <c r="A1222" s="39">
        <v>44723</v>
      </c>
      <c r="B1222" s="11" t="s">
        <v>49</v>
      </c>
      <c r="C1222" s="16" t="s">
        <v>5100</v>
      </c>
      <c r="D1222" s="16"/>
      <c r="E1222" s="38">
        <v>31776</v>
      </c>
      <c r="F1222" s="38"/>
      <c r="G1222" s="10" t="s">
        <v>5101</v>
      </c>
      <c r="H1222" s="12" t="s">
        <v>5103</v>
      </c>
      <c r="I1222" s="13" t="s">
        <v>3273</v>
      </c>
      <c r="J1222" s="15" t="s">
        <v>5102</v>
      </c>
      <c r="K1222" s="14" t="s">
        <v>5104</v>
      </c>
      <c r="L1222" s="11" t="s">
        <v>36</v>
      </c>
      <c r="M1222" s="15" t="s">
        <v>3584</v>
      </c>
      <c r="N1222" s="17">
        <v>22000</v>
      </c>
      <c r="O1222" s="17"/>
      <c r="P1222" s="17"/>
      <c r="Q1222" s="48"/>
      <c r="R1222" s="11"/>
      <c r="S1222" s="48"/>
      <c r="T1222" s="85"/>
      <c r="U1222" s="88"/>
      <c r="V1222" s="32"/>
      <c r="W1222" s="25" t="s">
        <v>48</v>
      </c>
      <c r="X1222" s="11"/>
      <c r="Y1222" s="50" t="s">
        <v>12</v>
      </c>
      <c r="Z1222" s="50"/>
      <c r="AA1222" s="50"/>
      <c r="AB1222" s="50"/>
      <c r="AC1222" s="50"/>
      <c r="AD1222" s="50"/>
      <c r="AE1222" s="50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65"/>
      <c r="AP1222" s="69"/>
      <c r="AQ1222" s="62"/>
      <c r="AR1222" s="34"/>
    </row>
    <row r="1223" spans="1:44" customFormat="1">
      <c r="A1223" s="39">
        <v>44730</v>
      </c>
      <c r="B1223" s="11" t="s">
        <v>49</v>
      </c>
      <c r="C1223" s="16" t="s">
        <v>5105</v>
      </c>
      <c r="D1223" s="16"/>
      <c r="E1223" s="38">
        <v>22805</v>
      </c>
      <c r="F1223" s="38"/>
      <c r="G1223" s="10" t="s">
        <v>3019</v>
      </c>
      <c r="H1223" s="12" t="s">
        <v>5106</v>
      </c>
      <c r="I1223" s="13" t="s">
        <v>5107</v>
      </c>
      <c r="J1223" s="15" t="s">
        <v>5108</v>
      </c>
      <c r="K1223" s="12"/>
      <c r="L1223" s="11" t="s">
        <v>39</v>
      </c>
      <c r="M1223" s="15" t="s">
        <v>3629</v>
      </c>
      <c r="N1223" s="17">
        <v>11000</v>
      </c>
      <c r="O1223" s="17"/>
      <c r="P1223" s="17"/>
      <c r="Q1223" s="48"/>
      <c r="R1223" s="11"/>
      <c r="S1223" s="48"/>
      <c r="T1223" s="85" t="s">
        <v>8073</v>
      </c>
      <c r="U1223" s="88"/>
      <c r="V1223" s="32" t="s">
        <v>5109</v>
      </c>
      <c r="W1223" s="25" t="s">
        <v>8</v>
      </c>
      <c r="X1223" s="11"/>
      <c r="Y1223" s="50" t="s">
        <v>13</v>
      </c>
      <c r="Z1223" s="50"/>
      <c r="AA1223" s="50"/>
      <c r="AB1223" s="50"/>
      <c r="AC1223" s="50"/>
      <c r="AD1223" s="50"/>
      <c r="AE1223" s="50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65"/>
      <c r="AP1223" s="69"/>
      <c r="AQ1223" s="62"/>
      <c r="AR1223" s="34"/>
    </row>
    <row r="1224" spans="1:44" customFormat="1">
      <c r="A1224" s="39">
        <v>44731</v>
      </c>
      <c r="B1224" s="11" t="s">
        <v>22</v>
      </c>
      <c r="C1224" s="16" t="s">
        <v>5119</v>
      </c>
      <c r="D1224" s="16"/>
      <c r="E1224" s="38">
        <v>21222</v>
      </c>
      <c r="F1224" s="38"/>
      <c r="G1224" s="10" t="s">
        <v>5120</v>
      </c>
      <c r="H1224" s="12" t="s">
        <v>5121</v>
      </c>
      <c r="I1224" s="13" t="s">
        <v>1722</v>
      </c>
      <c r="J1224" s="15" t="s">
        <v>5123</v>
      </c>
      <c r="K1224" s="14" t="s">
        <v>5122</v>
      </c>
      <c r="L1224" s="11" t="s">
        <v>39</v>
      </c>
      <c r="M1224" s="15" t="s">
        <v>3584</v>
      </c>
      <c r="N1224" s="17">
        <v>3300</v>
      </c>
      <c r="O1224" s="17"/>
      <c r="P1224" s="17"/>
      <c r="Q1224" s="48"/>
      <c r="R1224" s="11"/>
      <c r="S1224" s="48"/>
      <c r="T1224" s="85" t="s">
        <v>8079</v>
      </c>
      <c r="U1224" s="88"/>
      <c r="V1224" s="32"/>
      <c r="W1224" s="25" t="s">
        <v>8</v>
      </c>
      <c r="X1224" s="11"/>
      <c r="Y1224" s="50" t="s">
        <v>11</v>
      </c>
      <c r="Z1224" s="50"/>
      <c r="AA1224" s="50"/>
      <c r="AB1224" s="50"/>
      <c r="AC1224" s="50"/>
      <c r="AD1224" s="50"/>
      <c r="AE1224" s="50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65"/>
      <c r="AP1224" s="69"/>
      <c r="AQ1224" s="62"/>
      <c r="AR1224" s="34"/>
    </row>
    <row r="1225" spans="1:44" customFormat="1">
      <c r="A1225" s="39">
        <v>44731</v>
      </c>
      <c r="B1225" s="11" t="s">
        <v>49</v>
      </c>
      <c r="C1225" s="16" t="s">
        <v>5114</v>
      </c>
      <c r="D1225" s="16"/>
      <c r="E1225" s="38">
        <v>32976</v>
      </c>
      <c r="F1225" s="38"/>
      <c r="G1225" s="10" t="s">
        <v>69</v>
      </c>
      <c r="H1225" s="12" t="s">
        <v>5115</v>
      </c>
      <c r="I1225" s="13" t="s">
        <v>5116</v>
      </c>
      <c r="J1225" s="15" t="s">
        <v>5118</v>
      </c>
      <c r="K1225" s="14" t="s">
        <v>5117</v>
      </c>
      <c r="L1225" s="11" t="s">
        <v>36</v>
      </c>
      <c r="M1225" s="15" t="s">
        <v>3584</v>
      </c>
      <c r="N1225" s="17">
        <v>16500</v>
      </c>
      <c r="O1225" s="17"/>
      <c r="P1225" s="17"/>
      <c r="Q1225" s="48"/>
      <c r="R1225" s="11"/>
      <c r="S1225" s="48"/>
      <c r="T1225" s="85"/>
      <c r="U1225" s="88"/>
      <c r="V1225" s="32"/>
      <c r="W1225" s="25" t="s">
        <v>48</v>
      </c>
      <c r="X1225" s="11"/>
      <c r="Y1225" s="50" t="s">
        <v>13</v>
      </c>
      <c r="Z1225" s="50"/>
      <c r="AA1225" s="50"/>
      <c r="AB1225" s="50"/>
      <c r="AC1225" s="50"/>
      <c r="AD1225" s="50"/>
      <c r="AE1225" s="50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65"/>
      <c r="AP1225" s="69"/>
      <c r="AQ1225" s="62" t="s">
        <v>8079</v>
      </c>
      <c r="AR1225" s="34"/>
    </row>
    <row r="1226" spans="1:44" customFormat="1">
      <c r="A1226" s="39">
        <v>44732</v>
      </c>
      <c r="B1226" s="11" t="s">
        <v>49</v>
      </c>
      <c r="C1226" s="16" t="s">
        <v>5124</v>
      </c>
      <c r="D1226" s="16"/>
      <c r="E1226" s="38">
        <v>33405</v>
      </c>
      <c r="F1226" s="38"/>
      <c r="G1226" s="10" t="s">
        <v>5125</v>
      </c>
      <c r="H1226" s="12" t="s">
        <v>5126</v>
      </c>
      <c r="I1226" s="13" t="s">
        <v>5127</v>
      </c>
      <c r="J1226" s="15" t="s">
        <v>5129</v>
      </c>
      <c r="K1226" s="14" t="s">
        <v>5128</v>
      </c>
      <c r="L1226" s="11" t="s">
        <v>36</v>
      </c>
      <c r="M1226" s="15" t="s">
        <v>3599</v>
      </c>
      <c r="N1226" s="17">
        <v>14850</v>
      </c>
      <c r="O1226" s="17"/>
      <c r="P1226" s="17"/>
      <c r="Q1226" s="48"/>
      <c r="R1226" s="11"/>
      <c r="S1226" s="48"/>
      <c r="T1226" s="85"/>
      <c r="U1226" s="88"/>
      <c r="V1226" s="32" t="s">
        <v>5130</v>
      </c>
      <c r="W1226" s="25" t="s">
        <v>48</v>
      </c>
      <c r="X1226" s="11"/>
      <c r="Y1226" s="50" t="s">
        <v>13</v>
      </c>
      <c r="Z1226" s="50"/>
      <c r="AA1226" s="50"/>
      <c r="AB1226" s="50"/>
      <c r="AC1226" s="50"/>
      <c r="AD1226" s="50"/>
      <c r="AE1226" s="50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65"/>
      <c r="AP1226" s="69"/>
      <c r="AQ1226" s="62"/>
      <c r="AR1226" s="34"/>
    </row>
    <row r="1227" spans="1:44" customFormat="1">
      <c r="A1227" s="39">
        <v>44732</v>
      </c>
      <c r="B1227" s="11" t="s">
        <v>22</v>
      </c>
      <c r="C1227" s="16" t="s">
        <v>5110</v>
      </c>
      <c r="D1227" s="16"/>
      <c r="E1227" s="38">
        <v>18771</v>
      </c>
      <c r="F1227" s="38"/>
      <c r="G1227" s="10" t="s">
        <v>3014</v>
      </c>
      <c r="H1227" s="12" t="s">
        <v>5111</v>
      </c>
      <c r="I1227" s="13" t="s">
        <v>5112</v>
      </c>
      <c r="J1227" s="15" t="s">
        <v>5113</v>
      </c>
      <c r="K1227" s="12"/>
      <c r="L1227" s="11" t="s">
        <v>39</v>
      </c>
      <c r="M1227" s="15" t="s">
        <v>3599</v>
      </c>
      <c r="N1227" s="17">
        <v>3300</v>
      </c>
      <c r="O1227" s="17"/>
      <c r="P1227" s="17"/>
      <c r="Q1227" s="48"/>
      <c r="R1227" s="11"/>
      <c r="S1227" s="48"/>
      <c r="T1227" s="85"/>
      <c r="U1227" s="88"/>
      <c r="V1227" s="32"/>
      <c r="W1227" s="25" t="s">
        <v>10</v>
      </c>
      <c r="X1227" s="11"/>
      <c r="Y1227" s="50"/>
      <c r="Z1227" s="50"/>
      <c r="AA1227" s="50"/>
      <c r="AB1227" s="50"/>
      <c r="AC1227" s="50"/>
      <c r="AD1227" s="50"/>
      <c r="AE1227" s="50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65"/>
      <c r="AP1227" s="69"/>
      <c r="AQ1227" s="62"/>
      <c r="AR1227" s="34"/>
    </row>
    <row r="1228" spans="1:44" customFormat="1">
      <c r="A1228" s="39">
        <v>44734</v>
      </c>
      <c r="B1228" s="11" t="s">
        <v>49</v>
      </c>
      <c r="C1228" s="16" t="s">
        <v>5131</v>
      </c>
      <c r="D1228" s="16"/>
      <c r="E1228" s="38">
        <v>25428</v>
      </c>
      <c r="F1228" s="38"/>
      <c r="G1228" s="10" t="s">
        <v>2321</v>
      </c>
      <c r="H1228" s="12" t="s">
        <v>5132</v>
      </c>
      <c r="I1228" s="13" t="s">
        <v>5133</v>
      </c>
      <c r="J1228" s="15" t="s">
        <v>2324</v>
      </c>
      <c r="K1228" s="12"/>
      <c r="L1228" s="11" t="s">
        <v>33</v>
      </c>
      <c r="M1228" s="15"/>
      <c r="N1228" s="17">
        <v>22000</v>
      </c>
      <c r="O1228" s="17"/>
      <c r="P1228" s="17"/>
      <c r="Q1228" s="48"/>
      <c r="R1228" s="11"/>
      <c r="S1228" s="48"/>
      <c r="T1228" s="85" t="s">
        <v>8073</v>
      </c>
      <c r="U1228" s="88"/>
      <c r="V1228" s="32" t="s">
        <v>5134</v>
      </c>
      <c r="W1228" s="25" t="s">
        <v>48</v>
      </c>
      <c r="X1228" s="11"/>
      <c r="Y1228" s="50" t="s">
        <v>13</v>
      </c>
      <c r="Z1228" s="50"/>
      <c r="AA1228" s="50"/>
      <c r="AB1228" s="50"/>
      <c r="AC1228" s="50"/>
      <c r="AD1228" s="50"/>
      <c r="AE1228" s="50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65"/>
      <c r="AP1228" s="69"/>
      <c r="AQ1228" s="62"/>
      <c r="AR1228" s="34"/>
    </row>
    <row r="1229" spans="1:44" customFormat="1">
      <c r="A1229" s="39">
        <v>44736</v>
      </c>
      <c r="B1229" s="11" t="s">
        <v>22</v>
      </c>
      <c r="C1229" s="16" t="s">
        <v>5141</v>
      </c>
      <c r="D1229" s="16"/>
      <c r="E1229" s="38">
        <v>29242</v>
      </c>
      <c r="F1229" s="38"/>
      <c r="G1229" s="10" t="s">
        <v>5135</v>
      </c>
      <c r="H1229" s="12" t="s">
        <v>5136</v>
      </c>
      <c r="I1229" s="13" t="s">
        <v>5137</v>
      </c>
      <c r="J1229" s="15" t="s">
        <v>5139</v>
      </c>
      <c r="K1229" s="14" t="s">
        <v>5138</v>
      </c>
      <c r="L1229" s="11" t="s">
        <v>36</v>
      </c>
      <c r="M1229" s="15" t="s">
        <v>3584</v>
      </c>
      <c r="N1229" s="17">
        <v>8800</v>
      </c>
      <c r="O1229" s="17"/>
      <c r="P1229" s="17"/>
      <c r="Q1229" s="48"/>
      <c r="R1229" s="11"/>
      <c r="S1229" s="48"/>
      <c r="T1229" s="85"/>
      <c r="U1229" s="88"/>
      <c r="V1229" s="32" t="s">
        <v>5140</v>
      </c>
      <c r="W1229" s="25" t="s">
        <v>48</v>
      </c>
      <c r="X1229" s="11"/>
      <c r="Y1229" s="50" t="s">
        <v>13</v>
      </c>
      <c r="Z1229" s="50"/>
      <c r="AA1229" s="50"/>
      <c r="AB1229" s="50"/>
      <c r="AC1229" s="50"/>
      <c r="AD1229" s="50"/>
      <c r="AE1229" s="50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65"/>
      <c r="AP1229" s="69"/>
      <c r="AQ1229" s="62"/>
      <c r="AR1229" s="34"/>
    </row>
    <row r="1230" spans="1:44" customFormat="1">
      <c r="A1230" s="39">
        <v>44737</v>
      </c>
      <c r="B1230" s="11" t="s">
        <v>22</v>
      </c>
      <c r="C1230" s="16" t="s">
        <v>5142</v>
      </c>
      <c r="D1230" s="16"/>
      <c r="E1230" s="38">
        <v>32553</v>
      </c>
      <c r="F1230" s="38"/>
      <c r="G1230" s="10" t="s">
        <v>29</v>
      </c>
      <c r="H1230" s="12" t="s">
        <v>5143</v>
      </c>
      <c r="I1230" s="13" t="s">
        <v>1835</v>
      </c>
      <c r="J1230" s="15" t="s">
        <v>5144</v>
      </c>
      <c r="K1230" s="12"/>
      <c r="L1230" s="11" t="s">
        <v>35</v>
      </c>
      <c r="M1230" s="15" t="s">
        <v>3584</v>
      </c>
      <c r="N1230" s="17">
        <v>3300</v>
      </c>
      <c r="O1230" s="17"/>
      <c r="P1230" s="17"/>
      <c r="Q1230" s="48"/>
      <c r="R1230" s="11"/>
      <c r="S1230" s="48"/>
      <c r="T1230" s="85"/>
      <c r="U1230" s="88"/>
      <c r="V1230" s="32"/>
      <c r="W1230" s="25" t="s">
        <v>3847</v>
      </c>
      <c r="X1230" s="11"/>
      <c r="Y1230" s="50" t="s">
        <v>12</v>
      </c>
      <c r="Z1230" s="50"/>
      <c r="AA1230" s="50"/>
      <c r="AB1230" s="50"/>
      <c r="AC1230" s="50"/>
      <c r="AD1230" s="50"/>
      <c r="AE1230" s="50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65"/>
      <c r="AP1230" s="69"/>
      <c r="AQ1230" s="62"/>
      <c r="AR1230" s="34"/>
    </row>
    <row r="1231" spans="1:44" customFormat="1">
      <c r="A1231" s="39">
        <v>44737</v>
      </c>
      <c r="B1231" s="11" t="s">
        <v>22</v>
      </c>
      <c r="C1231" s="16" t="s">
        <v>5145</v>
      </c>
      <c r="D1231" s="16"/>
      <c r="E1231" s="38">
        <v>32298</v>
      </c>
      <c r="F1231" s="38"/>
      <c r="G1231" s="10" t="s">
        <v>636</v>
      </c>
      <c r="H1231" s="12" t="s">
        <v>5146</v>
      </c>
      <c r="I1231" s="13" t="s">
        <v>1911</v>
      </c>
      <c r="J1231" s="15" t="s">
        <v>5147</v>
      </c>
      <c r="K1231" s="12"/>
      <c r="L1231" s="11" t="s">
        <v>34</v>
      </c>
      <c r="M1231" s="15" t="s">
        <v>3599</v>
      </c>
      <c r="N1231" s="17">
        <v>3300</v>
      </c>
      <c r="O1231" s="17"/>
      <c r="P1231" s="17"/>
      <c r="Q1231" s="48"/>
      <c r="R1231" s="11"/>
      <c r="S1231" s="48"/>
      <c r="T1231" s="85"/>
      <c r="U1231" s="88"/>
      <c r="V1231" s="32"/>
      <c r="W1231" s="25" t="s">
        <v>3847</v>
      </c>
      <c r="X1231" s="11"/>
      <c r="Y1231" s="50" t="s">
        <v>18</v>
      </c>
      <c r="Z1231" s="50"/>
      <c r="AA1231" s="50"/>
      <c r="AB1231" s="50"/>
      <c r="AC1231" s="50"/>
      <c r="AD1231" s="50"/>
      <c r="AE1231" s="50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65"/>
      <c r="AP1231" s="69"/>
      <c r="AQ1231" s="62"/>
      <c r="AR1231" s="34"/>
    </row>
    <row r="1232" spans="1:44" customFormat="1">
      <c r="A1232" s="39">
        <v>44738</v>
      </c>
      <c r="B1232" s="11" t="s">
        <v>22</v>
      </c>
      <c r="C1232" s="16" t="s">
        <v>5148</v>
      </c>
      <c r="D1232" s="16"/>
      <c r="E1232" s="38">
        <v>34480</v>
      </c>
      <c r="F1232" s="38"/>
      <c r="G1232" s="10">
        <v>2510052</v>
      </c>
      <c r="H1232" s="12" t="s">
        <v>5149</v>
      </c>
      <c r="I1232" s="13" t="s">
        <v>5150</v>
      </c>
      <c r="J1232" s="15" t="s">
        <v>5151</v>
      </c>
      <c r="K1232" s="12"/>
      <c r="L1232" s="11"/>
      <c r="M1232" s="15" t="s">
        <v>3599</v>
      </c>
      <c r="N1232" s="17">
        <v>3300</v>
      </c>
      <c r="O1232" s="17"/>
      <c r="P1232" s="17"/>
      <c r="Q1232" s="48"/>
      <c r="R1232" s="11"/>
      <c r="S1232" s="48"/>
      <c r="T1232" s="85"/>
      <c r="U1232" s="88"/>
      <c r="V1232" s="32" t="s">
        <v>5152</v>
      </c>
      <c r="W1232" s="25" t="s">
        <v>8</v>
      </c>
      <c r="X1232" s="11"/>
      <c r="Y1232" s="50"/>
      <c r="Z1232" s="50"/>
      <c r="AA1232" s="50"/>
      <c r="AB1232" s="50"/>
      <c r="AC1232" s="50"/>
      <c r="AD1232" s="50"/>
      <c r="AE1232" s="50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65"/>
      <c r="AP1232" s="69"/>
      <c r="AQ1232" s="62"/>
      <c r="AR1232" s="34"/>
    </row>
    <row r="1233" spans="1:44" customFormat="1">
      <c r="A1233" s="39">
        <v>44739</v>
      </c>
      <c r="B1233" s="11" t="s">
        <v>49</v>
      </c>
      <c r="C1233" s="16" t="s">
        <v>5153</v>
      </c>
      <c r="D1233" s="16"/>
      <c r="E1233" s="38">
        <v>39389</v>
      </c>
      <c r="F1233" s="38"/>
      <c r="G1233" s="10" t="s">
        <v>69</v>
      </c>
      <c r="H1233" s="12" t="s">
        <v>5154</v>
      </c>
      <c r="I1233" s="13" t="s">
        <v>1693</v>
      </c>
      <c r="J1233" s="15" t="s">
        <v>5155</v>
      </c>
      <c r="K1233" s="12"/>
      <c r="L1233" s="11" t="s">
        <v>38</v>
      </c>
      <c r="M1233" s="15" t="s">
        <v>3599</v>
      </c>
      <c r="N1233" s="17">
        <v>22000</v>
      </c>
      <c r="O1233" s="17"/>
      <c r="P1233" s="17"/>
      <c r="Q1233" s="48"/>
      <c r="R1233" s="11"/>
      <c r="S1233" s="48"/>
      <c r="T1233" s="85"/>
      <c r="U1233" s="88"/>
      <c r="V1233" s="32" t="s">
        <v>5156</v>
      </c>
      <c r="W1233" s="25" t="s">
        <v>48</v>
      </c>
      <c r="X1233" s="11"/>
      <c r="Y1233" s="50" t="s">
        <v>13</v>
      </c>
      <c r="Z1233" s="50"/>
      <c r="AA1233" s="50"/>
      <c r="AB1233" s="50"/>
      <c r="AC1233" s="50"/>
      <c r="AD1233" s="50"/>
      <c r="AE1233" s="50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65"/>
      <c r="AP1233" s="69"/>
      <c r="AQ1233" s="62"/>
      <c r="AR1233" s="34"/>
    </row>
    <row r="1234" spans="1:44" customFormat="1">
      <c r="A1234" s="39">
        <v>44743</v>
      </c>
      <c r="B1234" s="11" t="s">
        <v>49</v>
      </c>
      <c r="C1234" s="16" t="s">
        <v>5157</v>
      </c>
      <c r="D1234" s="16"/>
      <c r="E1234" s="38">
        <v>39348</v>
      </c>
      <c r="F1234" s="38"/>
      <c r="G1234" s="10" t="s">
        <v>5158</v>
      </c>
      <c r="H1234" s="12" t="s">
        <v>5159</v>
      </c>
      <c r="I1234" s="13" t="s">
        <v>5160</v>
      </c>
      <c r="J1234" s="15" t="s">
        <v>5161</v>
      </c>
      <c r="K1234" s="12"/>
      <c r="L1234" s="11" t="s">
        <v>38</v>
      </c>
      <c r="M1234" s="15" t="s">
        <v>3599</v>
      </c>
      <c r="N1234" s="17">
        <v>19800</v>
      </c>
      <c r="O1234" s="17"/>
      <c r="P1234" s="17"/>
      <c r="Q1234" s="48"/>
      <c r="R1234" s="11"/>
      <c r="S1234" s="48"/>
      <c r="T1234" s="85"/>
      <c r="U1234" s="88"/>
      <c r="V1234" s="32" t="s">
        <v>5162</v>
      </c>
      <c r="W1234" s="25" t="s">
        <v>8</v>
      </c>
      <c r="X1234" s="11"/>
      <c r="Y1234" s="50"/>
      <c r="Z1234" s="50"/>
      <c r="AA1234" s="50"/>
      <c r="AB1234" s="50"/>
      <c r="AC1234" s="50"/>
      <c r="AD1234" s="50"/>
      <c r="AE1234" s="50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65"/>
      <c r="AP1234" s="69"/>
      <c r="AQ1234" s="62"/>
      <c r="AR1234" s="34"/>
    </row>
    <row r="1235" spans="1:44" customFormat="1">
      <c r="A1235" s="39">
        <v>44744</v>
      </c>
      <c r="B1235" s="11" t="s">
        <v>24</v>
      </c>
      <c r="C1235" s="16" t="s">
        <v>5163</v>
      </c>
      <c r="D1235" s="16"/>
      <c r="E1235" s="38">
        <v>29831</v>
      </c>
      <c r="F1235" s="38"/>
      <c r="G1235" s="10" t="s">
        <v>5164</v>
      </c>
      <c r="H1235" s="12" t="s">
        <v>5165</v>
      </c>
      <c r="I1235" s="13" t="s">
        <v>5167</v>
      </c>
      <c r="J1235" s="15" t="s">
        <v>5166</v>
      </c>
      <c r="K1235" s="12"/>
      <c r="L1235" s="11" t="s">
        <v>33</v>
      </c>
      <c r="M1235" s="15"/>
      <c r="N1235" s="17">
        <v>8800</v>
      </c>
      <c r="O1235" s="17"/>
      <c r="P1235" s="17"/>
      <c r="Q1235" s="48"/>
      <c r="R1235" s="11"/>
      <c r="S1235" s="48"/>
      <c r="T1235" s="85"/>
      <c r="U1235" s="88"/>
      <c r="V1235" s="32"/>
      <c r="W1235" s="25"/>
      <c r="X1235" s="11"/>
      <c r="Y1235" s="50"/>
      <c r="Z1235" s="50"/>
      <c r="AA1235" s="50"/>
      <c r="AB1235" s="50"/>
      <c r="AC1235" s="50"/>
      <c r="AD1235" s="50"/>
      <c r="AE1235" s="50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65"/>
      <c r="AP1235" s="69"/>
      <c r="AQ1235" s="62"/>
      <c r="AR1235" s="34"/>
    </row>
    <row r="1236" spans="1:44" customFormat="1">
      <c r="A1236" s="39">
        <v>44745</v>
      </c>
      <c r="B1236" s="11" t="s">
        <v>49</v>
      </c>
      <c r="C1236" s="16" t="s">
        <v>5168</v>
      </c>
      <c r="D1236" s="16"/>
      <c r="E1236" s="38">
        <v>22086</v>
      </c>
      <c r="F1236" s="38"/>
      <c r="G1236" s="10" t="s">
        <v>2547</v>
      </c>
      <c r="H1236" s="12" t="s">
        <v>5169</v>
      </c>
      <c r="I1236" s="13" t="s">
        <v>5170</v>
      </c>
      <c r="J1236" s="15" t="s">
        <v>5171</v>
      </c>
      <c r="K1236" s="12"/>
      <c r="L1236" s="11" t="s">
        <v>36</v>
      </c>
      <c r="M1236" s="15" t="s">
        <v>3599</v>
      </c>
      <c r="N1236" s="17">
        <v>16500</v>
      </c>
      <c r="O1236" s="17"/>
      <c r="P1236" s="17"/>
      <c r="Q1236" s="48"/>
      <c r="R1236" s="11"/>
      <c r="S1236" s="48"/>
      <c r="T1236" s="85" t="s">
        <v>8073</v>
      </c>
      <c r="U1236" s="88"/>
      <c r="V1236" s="32"/>
      <c r="W1236" s="25" t="s">
        <v>48</v>
      </c>
      <c r="X1236" s="11"/>
      <c r="Y1236" s="50" t="s">
        <v>13</v>
      </c>
      <c r="Z1236" s="50"/>
      <c r="AA1236" s="50"/>
      <c r="AB1236" s="50"/>
      <c r="AC1236" s="50"/>
      <c r="AD1236" s="50"/>
      <c r="AE1236" s="50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65"/>
      <c r="AP1236" s="69"/>
      <c r="AQ1236" s="62"/>
      <c r="AR1236" s="34"/>
    </row>
    <row r="1237" spans="1:44" customFormat="1">
      <c r="A1237" s="39">
        <v>44745</v>
      </c>
      <c r="B1237" s="11" t="s">
        <v>49</v>
      </c>
      <c r="C1237" s="16" t="s">
        <v>5172</v>
      </c>
      <c r="D1237" s="16"/>
      <c r="E1237" s="38">
        <v>32878</v>
      </c>
      <c r="F1237" s="38"/>
      <c r="G1237" s="10" t="s">
        <v>5066</v>
      </c>
      <c r="H1237" s="12" t="s">
        <v>5173</v>
      </c>
      <c r="I1237" s="13" t="s">
        <v>1607</v>
      </c>
      <c r="J1237" s="15" t="s">
        <v>5175</v>
      </c>
      <c r="K1237" s="14" t="s">
        <v>5174</v>
      </c>
      <c r="L1237" s="11" t="s">
        <v>36</v>
      </c>
      <c r="M1237" s="15" t="s">
        <v>3599</v>
      </c>
      <c r="N1237" s="17">
        <v>16500</v>
      </c>
      <c r="O1237" s="17"/>
      <c r="P1237" s="17"/>
      <c r="Q1237" s="48"/>
      <c r="R1237" s="11"/>
      <c r="S1237" s="48"/>
      <c r="T1237" s="85"/>
      <c r="U1237" s="88"/>
      <c r="V1237" s="32"/>
      <c r="W1237" s="25" t="s">
        <v>48</v>
      </c>
      <c r="X1237" s="11"/>
      <c r="Y1237" s="50" t="s">
        <v>13</v>
      </c>
      <c r="Z1237" s="50"/>
      <c r="AA1237" s="50"/>
      <c r="AB1237" s="50"/>
      <c r="AC1237" s="50"/>
      <c r="AD1237" s="50"/>
      <c r="AE1237" s="50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65"/>
      <c r="AP1237" s="69"/>
      <c r="AQ1237" s="62"/>
      <c r="AR1237" s="34"/>
    </row>
    <row r="1238" spans="1:44" customFormat="1">
      <c r="A1238" s="39">
        <v>44745</v>
      </c>
      <c r="B1238" s="11" t="s">
        <v>22</v>
      </c>
      <c r="C1238" s="16" t="s">
        <v>5181</v>
      </c>
      <c r="D1238" s="16"/>
      <c r="E1238" s="38">
        <v>32740</v>
      </c>
      <c r="F1238" s="38"/>
      <c r="G1238" s="10" t="s">
        <v>5176</v>
      </c>
      <c r="H1238" s="12" t="s">
        <v>5177</v>
      </c>
      <c r="I1238" s="13" t="s">
        <v>5178</v>
      </c>
      <c r="J1238" s="15" t="s">
        <v>5180</v>
      </c>
      <c r="K1238" s="14" t="s">
        <v>5179</v>
      </c>
      <c r="L1238" s="11" t="s">
        <v>39</v>
      </c>
      <c r="M1238" s="15" t="s">
        <v>3584</v>
      </c>
      <c r="N1238" s="17">
        <v>3300</v>
      </c>
      <c r="O1238" s="17"/>
      <c r="P1238" s="17"/>
      <c r="Q1238" s="48"/>
      <c r="R1238" s="11"/>
      <c r="S1238" s="48"/>
      <c r="T1238" s="85" t="s">
        <v>8079</v>
      </c>
      <c r="U1238" s="88"/>
      <c r="V1238" s="32"/>
      <c r="W1238" s="25" t="s">
        <v>48</v>
      </c>
      <c r="X1238" s="11"/>
      <c r="Y1238" s="50" t="s">
        <v>12</v>
      </c>
      <c r="Z1238" s="50"/>
      <c r="AA1238" s="50"/>
      <c r="AB1238" s="50"/>
      <c r="AC1238" s="50"/>
      <c r="AD1238" s="50"/>
      <c r="AE1238" s="50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65"/>
      <c r="AP1238" s="69"/>
      <c r="AQ1238" s="62" t="s">
        <v>8079</v>
      </c>
      <c r="AR1238" s="34"/>
    </row>
    <row r="1239" spans="1:44" customFormat="1">
      <c r="A1239" s="39">
        <v>44746</v>
      </c>
      <c r="B1239" s="11" t="s">
        <v>49</v>
      </c>
      <c r="C1239" s="16" t="s">
        <v>2532</v>
      </c>
      <c r="D1239" s="16"/>
      <c r="E1239" s="38">
        <v>26150</v>
      </c>
      <c r="F1239" s="38"/>
      <c r="G1239" s="10" t="s">
        <v>2533</v>
      </c>
      <c r="H1239" s="12" t="s">
        <v>5182</v>
      </c>
      <c r="I1239" s="13" t="s">
        <v>5183</v>
      </c>
      <c r="J1239" s="15" t="s">
        <v>2536</v>
      </c>
      <c r="K1239" s="14" t="s">
        <v>2535</v>
      </c>
      <c r="L1239" s="11" t="s">
        <v>33</v>
      </c>
      <c r="M1239" s="15" t="s">
        <v>3629</v>
      </c>
      <c r="N1239" s="17">
        <v>14850</v>
      </c>
      <c r="O1239" s="17"/>
      <c r="P1239" s="17"/>
      <c r="Q1239" s="48"/>
      <c r="R1239" s="11"/>
      <c r="S1239" s="48"/>
      <c r="T1239" s="85" t="s">
        <v>8073</v>
      </c>
      <c r="U1239" s="88"/>
      <c r="V1239" s="32" t="s">
        <v>5184</v>
      </c>
      <c r="W1239" s="25" t="s">
        <v>8</v>
      </c>
      <c r="X1239" s="11"/>
      <c r="Y1239" s="50" t="s">
        <v>14</v>
      </c>
      <c r="Z1239" s="50"/>
      <c r="AA1239" s="50"/>
      <c r="AB1239" s="50"/>
      <c r="AC1239" s="50"/>
      <c r="AD1239" s="50"/>
      <c r="AE1239" s="50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65"/>
      <c r="AP1239" s="69"/>
      <c r="AQ1239" s="62"/>
      <c r="AR1239" s="34"/>
    </row>
    <row r="1240" spans="1:44" customFormat="1">
      <c r="A1240" s="39">
        <v>44750</v>
      </c>
      <c r="B1240" s="11" t="s">
        <v>49</v>
      </c>
      <c r="C1240" s="16" t="s">
        <v>5185</v>
      </c>
      <c r="D1240" s="16"/>
      <c r="E1240" s="38">
        <v>25609</v>
      </c>
      <c r="F1240" s="38"/>
      <c r="G1240" s="10" t="s">
        <v>5186</v>
      </c>
      <c r="H1240" s="12" t="s">
        <v>5187</v>
      </c>
      <c r="I1240" s="13" t="s">
        <v>5188</v>
      </c>
      <c r="J1240" s="15" t="s">
        <v>5189</v>
      </c>
      <c r="K1240" s="12"/>
      <c r="L1240" s="11" t="s">
        <v>33</v>
      </c>
      <c r="M1240" s="15" t="s">
        <v>3629</v>
      </c>
      <c r="N1240" s="17">
        <v>16500</v>
      </c>
      <c r="O1240" s="17"/>
      <c r="P1240" s="17"/>
      <c r="Q1240" s="48"/>
      <c r="R1240" s="11"/>
      <c r="S1240" s="48"/>
      <c r="T1240" s="85" t="s">
        <v>8073</v>
      </c>
      <c r="U1240" s="88"/>
      <c r="V1240" s="32"/>
      <c r="W1240" s="25" t="s">
        <v>8</v>
      </c>
      <c r="X1240" s="11"/>
      <c r="Y1240" s="50" t="s">
        <v>13</v>
      </c>
      <c r="Z1240" s="50"/>
      <c r="AA1240" s="50"/>
      <c r="AB1240" s="50"/>
      <c r="AC1240" s="50"/>
      <c r="AD1240" s="50"/>
      <c r="AE1240" s="50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65"/>
      <c r="AP1240" s="69"/>
      <c r="AQ1240" s="62"/>
      <c r="AR1240" s="34"/>
    </row>
    <row r="1241" spans="1:44" customFormat="1">
      <c r="A1241" s="39">
        <v>44751</v>
      </c>
      <c r="B1241" s="11"/>
      <c r="C1241" s="16" t="s">
        <v>4084</v>
      </c>
      <c r="D1241" s="16"/>
      <c r="E1241" s="38"/>
      <c r="F1241" s="38"/>
      <c r="G1241" s="10"/>
      <c r="H1241" s="12"/>
      <c r="I1241" s="13"/>
      <c r="J1241" s="15"/>
      <c r="K1241" s="12"/>
      <c r="L1241" s="11"/>
      <c r="M1241" s="15"/>
      <c r="N1241" s="17">
        <v>8250</v>
      </c>
      <c r="O1241" s="17"/>
      <c r="P1241" s="17"/>
      <c r="Q1241" s="48"/>
      <c r="R1241" s="11"/>
      <c r="S1241" s="48"/>
      <c r="T1241" s="85"/>
      <c r="U1241" s="88"/>
      <c r="V1241" s="32" t="s">
        <v>2130</v>
      </c>
      <c r="W1241" s="25"/>
      <c r="X1241" s="11"/>
      <c r="Y1241" s="50"/>
      <c r="Z1241" s="50"/>
      <c r="AA1241" s="50"/>
      <c r="AB1241" s="50"/>
      <c r="AC1241" s="50"/>
      <c r="AD1241" s="50"/>
      <c r="AE1241" s="50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65"/>
      <c r="AP1241" s="69"/>
      <c r="AQ1241" s="62"/>
      <c r="AR1241" s="34"/>
    </row>
    <row r="1242" spans="1:44" customFormat="1">
      <c r="A1242" s="39">
        <v>44751</v>
      </c>
      <c r="B1242" s="11" t="s">
        <v>49</v>
      </c>
      <c r="C1242" s="16" t="s">
        <v>5196</v>
      </c>
      <c r="D1242" s="16"/>
      <c r="E1242" s="38">
        <v>27884</v>
      </c>
      <c r="F1242" s="38"/>
      <c r="G1242" s="10" t="s">
        <v>5190</v>
      </c>
      <c r="H1242" s="12" t="s">
        <v>5191</v>
      </c>
      <c r="I1242" s="13" t="s">
        <v>5195</v>
      </c>
      <c r="J1242" s="15" t="s">
        <v>5193</v>
      </c>
      <c r="K1242" s="14" t="s">
        <v>5192</v>
      </c>
      <c r="L1242" s="11" t="s">
        <v>33</v>
      </c>
      <c r="M1242" s="15" t="s">
        <v>3629</v>
      </c>
      <c r="N1242" s="17">
        <v>14850</v>
      </c>
      <c r="O1242" s="17"/>
      <c r="P1242" s="17"/>
      <c r="Q1242" s="48"/>
      <c r="R1242" s="11"/>
      <c r="S1242" s="48"/>
      <c r="T1242" s="85" t="s">
        <v>8073</v>
      </c>
      <c r="U1242" s="88"/>
      <c r="V1242" s="32" t="s">
        <v>5194</v>
      </c>
      <c r="W1242" s="25" t="s">
        <v>8</v>
      </c>
      <c r="X1242" s="11"/>
      <c r="Y1242" s="50" t="s">
        <v>13</v>
      </c>
      <c r="Z1242" s="50"/>
      <c r="AA1242" s="50"/>
      <c r="AB1242" s="50"/>
      <c r="AC1242" s="50"/>
      <c r="AD1242" s="50"/>
      <c r="AE1242" s="50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65"/>
      <c r="AP1242" s="69"/>
      <c r="AQ1242" s="62"/>
      <c r="AR1242" s="34"/>
    </row>
    <row r="1243" spans="1:44" customFormat="1">
      <c r="A1243" s="39">
        <v>44751</v>
      </c>
      <c r="B1243" s="11" t="s">
        <v>24</v>
      </c>
      <c r="C1243" s="16" t="s">
        <v>5198</v>
      </c>
      <c r="D1243" s="16"/>
      <c r="E1243" s="38">
        <v>33603</v>
      </c>
      <c r="F1243" s="38"/>
      <c r="G1243" s="10" t="s">
        <v>5197</v>
      </c>
      <c r="H1243" s="12" t="s">
        <v>5202</v>
      </c>
      <c r="I1243" s="13" t="s">
        <v>5199</v>
      </c>
      <c r="J1243" s="15" t="s">
        <v>5200</v>
      </c>
      <c r="K1243" s="12"/>
      <c r="L1243" s="11" t="s">
        <v>36</v>
      </c>
      <c r="M1243" s="15"/>
      <c r="N1243" s="17">
        <v>8800</v>
      </c>
      <c r="O1243" s="17"/>
      <c r="P1243" s="17"/>
      <c r="Q1243" s="48"/>
      <c r="R1243" s="11"/>
      <c r="S1243" s="48"/>
      <c r="T1243" s="85"/>
      <c r="U1243" s="88"/>
      <c r="V1243" s="32"/>
      <c r="W1243" s="25" t="s">
        <v>48</v>
      </c>
      <c r="X1243" s="11"/>
      <c r="Y1243" s="50" t="s">
        <v>12</v>
      </c>
      <c r="Z1243" s="50"/>
      <c r="AA1243" s="50"/>
      <c r="AB1243" s="50"/>
      <c r="AC1243" s="50"/>
      <c r="AD1243" s="50"/>
      <c r="AE1243" s="50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65"/>
      <c r="AP1243" s="69"/>
      <c r="AQ1243" s="62"/>
      <c r="AR1243" s="34"/>
    </row>
    <row r="1244" spans="1:44" customFormat="1">
      <c r="A1244" s="39">
        <v>44751</v>
      </c>
      <c r="B1244" s="11" t="s">
        <v>24</v>
      </c>
      <c r="C1244" s="16" t="s">
        <v>5201</v>
      </c>
      <c r="D1244" s="16"/>
      <c r="E1244" s="38">
        <v>34781</v>
      </c>
      <c r="F1244" s="38"/>
      <c r="G1244" s="10" t="s">
        <v>5197</v>
      </c>
      <c r="H1244" s="12" t="s">
        <v>5203</v>
      </c>
      <c r="I1244" s="13" t="s">
        <v>5199</v>
      </c>
      <c r="J1244" s="15" t="s">
        <v>5204</v>
      </c>
      <c r="K1244" s="12"/>
      <c r="L1244" s="11" t="s">
        <v>36</v>
      </c>
      <c r="M1244" s="15"/>
      <c r="N1244" s="17">
        <v>8800</v>
      </c>
      <c r="O1244" s="17"/>
      <c r="P1244" s="17"/>
      <c r="Q1244" s="48"/>
      <c r="R1244" s="11"/>
      <c r="S1244" s="48"/>
      <c r="T1244" s="85"/>
      <c r="U1244" s="88"/>
      <c r="V1244" s="32"/>
      <c r="W1244" s="25" t="s">
        <v>8</v>
      </c>
      <c r="X1244" s="11"/>
      <c r="Y1244" s="50" t="s">
        <v>12</v>
      </c>
      <c r="Z1244" s="50"/>
      <c r="AA1244" s="50"/>
      <c r="AB1244" s="50"/>
      <c r="AC1244" s="50"/>
      <c r="AD1244" s="50"/>
      <c r="AE1244" s="50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65"/>
      <c r="AP1244" s="69"/>
      <c r="AQ1244" s="62"/>
      <c r="AR1244" s="34"/>
    </row>
    <row r="1245" spans="1:44" customFormat="1">
      <c r="A1245" s="39">
        <v>44752</v>
      </c>
      <c r="B1245" s="11" t="s">
        <v>49</v>
      </c>
      <c r="C1245" s="16" t="s">
        <v>5205</v>
      </c>
      <c r="D1245" s="16"/>
      <c r="E1245" s="38">
        <v>22396</v>
      </c>
      <c r="F1245" s="38"/>
      <c r="G1245" s="10" t="s">
        <v>5206</v>
      </c>
      <c r="H1245" s="12" t="s">
        <v>5207</v>
      </c>
      <c r="I1245" s="13" t="s">
        <v>5208</v>
      </c>
      <c r="J1245" s="15" t="s">
        <v>5210</v>
      </c>
      <c r="K1245" s="14" t="s">
        <v>5209</v>
      </c>
      <c r="L1245" s="11" t="s">
        <v>33</v>
      </c>
      <c r="M1245" s="15" t="s">
        <v>3584</v>
      </c>
      <c r="N1245" s="17">
        <v>22000</v>
      </c>
      <c r="O1245" s="17"/>
      <c r="P1245" s="17"/>
      <c r="Q1245" s="48"/>
      <c r="R1245" s="11"/>
      <c r="S1245" s="48"/>
      <c r="T1245" s="85"/>
      <c r="U1245" s="88"/>
      <c r="V1245" s="32"/>
      <c r="W1245" s="25" t="s">
        <v>48</v>
      </c>
      <c r="X1245" s="11"/>
      <c r="Y1245" s="50" t="s">
        <v>12</v>
      </c>
      <c r="Z1245" s="50"/>
      <c r="AA1245" s="50"/>
      <c r="AB1245" s="50"/>
      <c r="AC1245" s="50"/>
      <c r="AD1245" s="50"/>
      <c r="AE1245" s="50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65"/>
      <c r="AP1245" s="69"/>
      <c r="AQ1245" s="62"/>
      <c r="AR1245" s="34"/>
    </row>
    <row r="1246" spans="1:44" customFormat="1">
      <c r="A1246" s="39">
        <v>44753</v>
      </c>
      <c r="B1246" s="11" t="s">
        <v>22</v>
      </c>
      <c r="C1246" s="16" t="s">
        <v>5211</v>
      </c>
      <c r="D1246" s="16"/>
      <c r="E1246" s="38">
        <v>25582</v>
      </c>
      <c r="F1246" s="38"/>
      <c r="G1246" s="10" t="s">
        <v>3915</v>
      </c>
      <c r="H1246" s="12" t="s">
        <v>5212</v>
      </c>
      <c r="I1246" s="13" t="s">
        <v>5219</v>
      </c>
      <c r="J1246" s="15" t="s">
        <v>5213</v>
      </c>
      <c r="K1246" s="12"/>
      <c r="L1246" s="11" t="s">
        <v>33</v>
      </c>
      <c r="M1246" s="15" t="s">
        <v>3599</v>
      </c>
      <c r="N1246" s="17">
        <v>3300</v>
      </c>
      <c r="O1246" s="17"/>
      <c r="P1246" s="17"/>
      <c r="Q1246" s="48"/>
      <c r="R1246" s="11"/>
      <c r="S1246" s="48"/>
      <c r="T1246" s="85"/>
      <c r="U1246" s="88"/>
      <c r="V1246" s="32"/>
      <c r="W1246" s="25" t="s">
        <v>10</v>
      </c>
      <c r="X1246" s="11"/>
      <c r="Y1246" s="50" t="s">
        <v>14</v>
      </c>
      <c r="Z1246" s="50"/>
      <c r="AA1246" s="50"/>
      <c r="AB1246" s="50"/>
      <c r="AC1246" s="50"/>
      <c r="AD1246" s="50"/>
      <c r="AE1246" s="50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65"/>
      <c r="AP1246" s="69"/>
      <c r="AQ1246" s="62"/>
      <c r="AR1246" s="34"/>
    </row>
    <row r="1247" spans="1:44" customFormat="1">
      <c r="A1247" s="39">
        <v>44753</v>
      </c>
      <c r="B1247" s="11" t="s">
        <v>22</v>
      </c>
      <c r="C1247" s="16" t="s">
        <v>5214</v>
      </c>
      <c r="D1247" s="16"/>
      <c r="E1247" s="38">
        <v>25618</v>
      </c>
      <c r="F1247" s="38"/>
      <c r="G1247" s="10" t="s">
        <v>5215</v>
      </c>
      <c r="H1247" s="12" t="s">
        <v>5216</v>
      </c>
      <c r="I1247" s="13" t="s">
        <v>1613</v>
      </c>
      <c r="J1247" s="15" t="s">
        <v>5218</v>
      </c>
      <c r="K1247" s="14" t="s">
        <v>5217</v>
      </c>
      <c r="L1247" s="11" t="s">
        <v>33</v>
      </c>
      <c r="M1247" s="15" t="s">
        <v>3584</v>
      </c>
      <c r="N1247" s="17">
        <v>3300</v>
      </c>
      <c r="O1247" s="17"/>
      <c r="P1247" s="17"/>
      <c r="Q1247" s="48"/>
      <c r="R1247" s="11"/>
      <c r="S1247" s="48"/>
      <c r="T1247" s="85"/>
      <c r="U1247" s="88"/>
      <c r="V1247" s="32"/>
      <c r="W1247" s="25" t="s">
        <v>10</v>
      </c>
      <c r="X1247" s="11"/>
      <c r="Y1247" s="50" t="s">
        <v>11</v>
      </c>
      <c r="Z1247" s="50"/>
      <c r="AA1247" s="50"/>
      <c r="AB1247" s="50"/>
      <c r="AC1247" s="50"/>
      <c r="AD1247" s="50"/>
      <c r="AE1247" s="50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65"/>
      <c r="AP1247" s="69"/>
      <c r="AQ1247" s="62"/>
      <c r="AR1247" s="34"/>
    </row>
    <row r="1248" spans="1:44" customFormat="1">
      <c r="A1248" s="39">
        <v>44756</v>
      </c>
      <c r="B1248" s="11" t="s">
        <v>5659</v>
      </c>
      <c r="C1248" s="16" t="s">
        <v>4624</v>
      </c>
      <c r="D1248" s="16"/>
      <c r="E1248" s="38">
        <v>22832</v>
      </c>
      <c r="F1248" s="38"/>
      <c r="G1248" s="10"/>
      <c r="H1248" s="12"/>
      <c r="I1248" s="13"/>
      <c r="J1248" s="15"/>
      <c r="K1248" s="12"/>
      <c r="L1248" s="11"/>
      <c r="M1248" s="15"/>
      <c r="N1248" s="17">
        <v>0</v>
      </c>
      <c r="O1248" s="17"/>
      <c r="P1248" s="17"/>
      <c r="Q1248" s="48"/>
      <c r="R1248" s="11"/>
      <c r="S1248" s="48"/>
      <c r="T1248" s="85"/>
      <c r="U1248" s="88"/>
      <c r="V1248" s="32"/>
      <c r="W1248" s="25"/>
      <c r="X1248" s="11"/>
      <c r="Y1248" s="50"/>
      <c r="Z1248" s="50"/>
      <c r="AA1248" s="50"/>
      <c r="AB1248" s="50"/>
      <c r="AC1248" s="50"/>
      <c r="AD1248" s="50"/>
      <c r="AE1248" s="50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65"/>
      <c r="AP1248" s="69"/>
      <c r="AQ1248" s="62"/>
      <c r="AR1248" s="34"/>
    </row>
    <row r="1249" spans="1:44" customFormat="1">
      <c r="A1249" s="39">
        <v>44758</v>
      </c>
      <c r="B1249" s="11" t="s">
        <v>49</v>
      </c>
      <c r="C1249" s="16" t="s">
        <v>5220</v>
      </c>
      <c r="D1249" s="16"/>
      <c r="E1249" s="38">
        <v>28889</v>
      </c>
      <c r="F1249" s="38"/>
      <c r="G1249" s="10" t="s">
        <v>5221</v>
      </c>
      <c r="H1249" s="12" t="s">
        <v>5222</v>
      </c>
      <c r="I1249" s="13" t="s">
        <v>5223</v>
      </c>
      <c r="J1249" s="15" t="s">
        <v>5224</v>
      </c>
      <c r="K1249" s="12"/>
      <c r="L1249" s="11" t="s">
        <v>33</v>
      </c>
      <c r="M1249" s="15" t="s">
        <v>3629</v>
      </c>
      <c r="N1249" s="17">
        <v>16500</v>
      </c>
      <c r="O1249" s="17"/>
      <c r="P1249" s="17"/>
      <c r="Q1249" s="48"/>
      <c r="R1249" s="11"/>
      <c r="S1249" s="48"/>
      <c r="T1249" s="85" t="s">
        <v>8073</v>
      </c>
      <c r="U1249" s="88"/>
      <c r="V1249" s="32"/>
      <c r="W1249" s="25" t="s">
        <v>48</v>
      </c>
      <c r="X1249" s="11"/>
      <c r="Y1249" s="50" t="s">
        <v>13</v>
      </c>
      <c r="Z1249" s="50"/>
      <c r="AA1249" s="50"/>
      <c r="AB1249" s="50"/>
      <c r="AC1249" s="50"/>
      <c r="AD1249" s="50"/>
      <c r="AE1249" s="50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65"/>
      <c r="AP1249" s="69"/>
      <c r="AQ1249" s="62"/>
      <c r="AR1249" s="34"/>
    </row>
    <row r="1250" spans="1:44" customFormat="1">
      <c r="A1250" s="39">
        <v>44759</v>
      </c>
      <c r="B1250" s="11" t="s">
        <v>49</v>
      </c>
      <c r="C1250" s="16" t="s">
        <v>5225</v>
      </c>
      <c r="D1250" s="16"/>
      <c r="E1250" s="38">
        <v>33630</v>
      </c>
      <c r="F1250" s="38"/>
      <c r="G1250" s="10" t="s">
        <v>3511</v>
      </c>
      <c r="H1250" s="12" t="s">
        <v>5226</v>
      </c>
      <c r="I1250" s="13" t="s">
        <v>5227</v>
      </c>
      <c r="J1250" s="15" t="s">
        <v>5228</v>
      </c>
      <c r="K1250" s="12"/>
      <c r="L1250" s="11" t="s">
        <v>34</v>
      </c>
      <c r="M1250" s="15" t="s">
        <v>3629</v>
      </c>
      <c r="N1250" s="17">
        <v>16500</v>
      </c>
      <c r="O1250" s="17"/>
      <c r="P1250" s="17"/>
      <c r="Q1250" s="48"/>
      <c r="R1250" s="11"/>
      <c r="S1250" s="48"/>
      <c r="T1250" s="85" t="s">
        <v>8073</v>
      </c>
      <c r="U1250" s="88"/>
      <c r="V1250" s="32"/>
      <c r="W1250" s="25" t="s">
        <v>48</v>
      </c>
      <c r="X1250" s="11"/>
      <c r="Y1250" s="50" t="s">
        <v>13</v>
      </c>
      <c r="Z1250" s="50"/>
      <c r="AA1250" s="50"/>
      <c r="AB1250" s="50"/>
      <c r="AC1250" s="50"/>
      <c r="AD1250" s="50"/>
      <c r="AE1250" s="50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65"/>
      <c r="AP1250" s="69"/>
      <c r="AQ1250" s="62"/>
      <c r="AR1250" s="34"/>
    </row>
    <row r="1251" spans="1:44" customFormat="1">
      <c r="A1251" s="39">
        <v>44760</v>
      </c>
      <c r="B1251" s="11" t="s">
        <v>49</v>
      </c>
      <c r="C1251" s="16" t="s">
        <v>5229</v>
      </c>
      <c r="D1251" s="16"/>
      <c r="E1251" s="38">
        <v>27950</v>
      </c>
      <c r="F1251" s="38"/>
      <c r="G1251" s="10" t="s">
        <v>5230</v>
      </c>
      <c r="H1251" s="12" t="s">
        <v>5231</v>
      </c>
      <c r="I1251" s="13" t="s">
        <v>5232</v>
      </c>
      <c r="J1251" s="15" t="s">
        <v>5234</v>
      </c>
      <c r="K1251" s="14" t="s">
        <v>5233</v>
      </c>
      <c r="L1251" s="11" t="s">
        <v>36</v>
      </c>
      <c r="M1251" s="15" t="s">
        <v>3584</v>
      </c>
      <c r="N1251" s="17">
        <v>16500</v>
      </c>
      <c r="O1251" s="17"/>
      <c r="P1251" s="17"/>
      <c r="Q1251" s="48"/>
      <c r="R1251" s="11"/>
      <c r="S1251" s="48"/>
      <c r="T1251" s="85"/>
      <c r="U1251" s="88"/>
      <c r="V1251" s="32"/>
      <c r="W1251" s="25" t="s">
        <v>48</v>
      </c>
      <c r="X1251" s="11"/>
      <c r="Y1251" s="50" t="s">
        <v>12</v>
      </c>
      <c r="Z1251" s="50"/>
      <c r="AA1251" s="50"/>
      <c r="AB1251" s="50"/>
      <c r="AC1251" s="50"/>
      <c r="AD1251" s="50"/>
      <c r="AE1251" s="50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65"/>
      <c r="AP1251" s="69"/>
      <c r="AQ1251" s="62"/>
      <c r="AR1251" s="34"/>
    </row>
    <row r="1252" spans="1:44" customFormat="1">
      <c r="A1252" s="39">
        <v>44767</v>
      </c>
      <c r="B1252" s="11" t="s">
        <v>22</v>
      </c>
      <c r="C1252" s="16" t="s">
        <v>5237</v>
      </c>
      <c r="D1252" s="16"/>
      <c r="E1252" s="38">
        <v>21570</v>
      </c>
      <c r="F1252" s="38"/>
      <c r="G1252" s="10" t="s">
        <v>1413</v>
      </c>
      <c r="H1252" s="12" t="s">
        <v>5238</v>
      </c>
      <c r="I1252" s="13">
        <v>6</v>
      </c>
      <c r="J1252" s="15" t="s">
        <v>5239</v>
      </c>
      <c r="K1252" s="12"/>
      <c r="L1252" s="11" t="s">
        <v>34</v>
      </c>
      <c r="M1252" s="15" t="s">
        <v>3629</v>
      </c>
      <c r="N1252" s="17">
        <v>3300</v>
      </c>
      <c r="O1252" s="17"/>
      <c r="P1252" s="17"/>
      <c r="Q1252" s="48"/>
      <c r="R1252" s="11"/>
      <c r="S1252" s="48"/>
      <c r="T1252" s="85"/>
      <c r="U1252" s="88"/>
      <c r="V1252" s="32"/>
      <c r="W1252" s="25" t="s">
        <v>48</v>
      </c>
      <c r="X1252" s="11"/>
      <c r="Y1252" s="50" t="s">
        <v>14</v>
      </c>
      <c r="Z1252" s="50"/>
      <c r="AA1252" s="50"/>
      <c r="AB1252" s="50"/>
      <c r="AC1252" s="50"/>
      <c r="AD1252" s="50"/>
      <c r="AE1252" s="50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65"/>
      <c r="AP1252" s="69"/>
      <c r="AQ1252" s="62"/>
      <c r="AR1252" s="34"/>
    </row>
    <row r="1253" spans="1:44" customFormat="1">
      <c r="A1253" s="39">
        <v>44769</v>
      </c>
      <c r="B1253" s="11" t="s">
        <v>22</v>
      </c>
      <c r="C1253" s="16" t="s">
        <v>5235</v>
      </c>
      <c r="D1253" s="16"/>
      <c r="E1253" s="38">
        <v>22096</v>
      </c>
      <c r="F1253" s="38"/>
      <c r="G1253" s="10"/>
      <c r="H1253" s="12"/>
      <c r="I1253" s="13"/>
      <c r="J1253" s="15"/>
      <c r="K1253" s="12"/>
      <c r="L1253" s="11"/>
      <c r="M1253" s="15"/>
      <c r="N1253" s="17">
        <v>3300</v>
      </c>
      <c r="O1253" s="17"/>
      <c r="P1253" s="17"/>
      <c r="Q1253" s="48"/>
      <c r="R1253" s="11"/>
      <c r="S1253" s="48"/>
      <c r="T1253" s="85"/>
      <c r="U1253" s="88"/>
      <c r="V1253" s="32" t="s">
        <v>5236</v>
      </c>
      <c r="W1253" s="25" t="s">
        <v>10</v>
      </c>
      <c r="X1253" s="11"/>
      <c r="Y1253" s="50"/>
      <c r="Z1253" s="50"/>
      <c r="AA1253" s="50"/>
      <c r="AB1253" s="50"/>
      <c r="AC1253" s="50"/>
      <c r="AD1253" s="50"/>
      <c r="AE1253" s="50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65"/>
      <c r="AP1253" s="69"/>
      <c r="AQ1253" s="62"/>
      <c r="AR1253" s="34"/>
    </row>
    <row r="1254" spans="1:44" customFormat="1">
      <c r="A1254" s="39">
        <v>44769</v>
      </c>
      <c r="B1254" s="11" t="s">
        <v>49</v>
      </c>
      <c r="C1254" s="16" t="s">
        <v>5240</v>
      </c>
      <c r="D1254" s="16"/>
      <c r="E1254" s="38">
        <v>23757</v>
      </c>
      <c r="F1254" s="38"/>
      <c r="G1254" s="10" t="s">
        <v>225</v>
      </c>
      <c r="H1254" s="12" t="s">
        <v>5241</v>
      </c>
      <c r="I1254" s="13" t="s">
        <v>5242</v>
      </c>
      <c r="J1254" s="15" t="s">
        <v>5244</v>
      </c>
      <c r="K1254" s="14" t="s">
        <v>5243</v>
      </c>
      <c r="L1254" s="11" t="s">
        <v>33</v>
      </c>
      <c r="M1254" s="15" t="s">
        <v>3584</v>
      </c>
      <c r="N1254" s="17">
        <v>22000</v>
      </c>
      <c r="O1254" s="17"/>
      <c r="P1254" s="17"/>
      <c r="Q1254" s="48"/>
      <c r="R1254" s="11"/>
      <c r="S1254" s="48"/>
      <c r="T1254" s="85" t="s">
        <v>8073</v>
      </c>
      <c r="U1254" s="88"/>
      <c r="V1254" s="32"/>
      <c r="W1254" s="25" t="s">
        <v>48</v>
      </c>
      <c r="X1254" s="11"/>
      <c r="Y1254" s="50" t="s">
        <v>13</v>
      </c>
      <c r="Z1254" s="50"/>
      <c r="AA1254" s="50"/>
      <c r="AB1254" s="50"/>
      <c r="AC1254" s="50"/>
      <c r="AD1254" s="50"/>
      <c r="AE1254" s="50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65"/>
      <c r="AP1254" s="69"/>
      <c r="AQ1254" s="62"/>
      <c r="AR1254" s="34"/>
    </row>
    <row r="1255" spans="1:44" customFormat="1">
      <c r="A1255" s="39">
        <v>44770</v>
      </c>
      <c r="B1255" s="11" t="s">
        <v>22</v>
      </c>
      <c r="C1255" s="16" t="s">
        <v>5245</v>
      </c>
      <c r="D1255" s="16"/>
      <c r="E1255" s="38">
        <v>32719</v>
      </c>
      <c r="F1255" s="38"/>
      <c r="G1255" s="10" t="s">
        <v>328</v>
      </c>
      <c r="H1255" s="12" t="s">
        <v>5246</v>
      </c>
      <c r="I1255" s="13">
        <v>1.8</v>
      </c>
      <c r="J1255" s="15" t="s">
        <v>5248</v>
      </c>
      <c r="K1255" s="14" t="s">
        <v>5247</v>
      </c>
      <c r="L1255" s="11" t="s">
        <v>36</v>
      </c>
      <c r="M1255" s="15" t="s">
        <v>3584</v>
      </c>
      <c r="N1255" s="17">
        <v>3300</v>
      </c>
      <c r="O1255" s="17"/>
      <c r="P1255" s="17"/>
      <c r="Q1255" s="48"/>
      <c r="R1255" s="11"/>
      <c r="S1255" s="48"/>
      <c r="T1255" s="85" t="s">
        <v>8079</v>
      </c>
      <c r="U1255" s="88"/>
      <c r="V1255" s="32"/>
      <c r="W1255" s="25" t="s">
        <v>10</v>
      </c>
      <c r="X1255" s="11"/>
      <c r="Y1255" s="50" t="s">
        <v>12</v>
      </c>
      <c r="Z1255" s="50"/>
      <c r="AA1255" s="50"/>
      <c r="AB1255" s="50"/>
      <c r="AC1255" s="50"/>
      <c r="AD1255" s="50"/>
      <c r="AE1255" s="50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65"/>
      <c r="AP1255" s="69"/>
      <c r="AQ1255" s="62" t="s">
        <v>8079</v>
      </c>
      <c r="AR1255" s="34"/>
    </row>
    <row r="1256" spans="1:44" customFormat="1">
      <c r="A1256" s="39">
        <v>44772</v>
      </c>
      <c r="B1256" s="11" t="s">
        <v>22</v>
      </c>
      <c r="C1256" s="16" t="s">
        <v>5249</v>
      </c>
      <c r="D1256" s="16"/>
      <c r="E1256" s="38">
        <v>29903</v>
      </c>
      <c r="F1256" s="38"/>
      <c r="G1256" s="10" t="s">
        <v>363</v>
      </c>
      <c r="H1256" s="12" t="s">
        <v>5250</v>
      </c>
      <c r="I1256" s="13" t="s">
        <v>5251</v>
      </c>
      <c r="J1256" s="15" t="s">
        <v>5253</v>
      </c>
      <c r="K1256" s="14" t="s">
        <v>5252</v>
      </c>
      <c r="L1256" s="11" t="s">
        <v>33</v>
      </c>
      <c r="M1256" s="15" t="s">
        <v>3584</v>
      </c>
      <c r="N1256" s="17">
        <v>3300</v>
      </c>
      <c r="O1256" s="17"/>
      <c r="P1256" s="17"/>
      <c r="Q1256" s="48"/>
      <c r="R1256" s="11"/>
      <c r="S1256" s="48"/>
      <c r="T1256" s="85" t="s">
        <v>8079</v>
      </c>
      <c r="U1256" s="88"/>
      <c r="V1256" s="32"/>
      <c r="W1256" s="25" t="s">
        <v>10</v>
      </c>
      <c r="X1256" s="11"/>
      <c r="Y1256" s="50" t="s">
        <v>11</v>
      </c>
      <c r="Z1256" s="50"/>
      <c r="AA1256" s="50"/>
      <c r="AB1256" s="50"/>
      <c r="AC1256" s="50"/>
      <c r="AD1256" s="50"/>
      <c r="AE1256" s="50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65"/>
      <c r="AP1256" s="69"/>
      <c r="AQ1256" s="62"/>
      <c r="AR1256" s="34"/>
    </row>
    <row r="1257" spans="1:44" customFormat="1">
      <c r="A1257" s="39">
        <v>44772</v>
      </c>
      <c r="B1257" s="11" t="s">
        <v>22</v>
      </c>
      <c r="C1257" s="16" t="s">
        <v>5254</v>
      </c>
      <c r="D1257" s="16"/>
      <c r="E1257" s="38">
        <v>31286</v>
      </c>
      <c r="F1257" s="38"/>
      <c r="G1257" s="10" t="s">
        <v>363</v>
      </c>
      <c r="H1257" s="12" t="s">
        <v>5250</v>
      </c>
      <c r="I1257" s="13" t="s">
        <v>5251</v>
      </c>
      <c r="J1257" s="15" t="s">
        <v>5255</v>
      </c>
      <c r="K1257" s="12"/>
      <c r="L1257" s="11" t="s">
        <v>34</v>
      </c>
      <c r="M1257" s="15" t="s">
        <v>3599</v>
      </c>
      <c r="N1257" s="17">
        <v>3300</v>
      </c>
      <c r="O1257" s="17"/>
      <c r="P1257" s="17"/>
      <c r="Q1257" s="48"/>
      <c r="R1257" s="11"/>
      <c r="S1257" s="48"/>
      <c r="T1257" s="85" t="s">
        <v>8079</v>
      </c>
      <c r="U1257" s="88"/>
      <c r="V1257" s="32"/>
      <c r="W1257" s="25" t="s">
        <v>10</v>
      </c>
      <c r="X1257" s="11"/>
      <c r="Y1257" s="50" t="s">
        <v>11</v>
      </c>
      <c r="Z1257" s="50"/>
      <c r="AA1257" s="50"/>
      <c r="AB1257" s="50"/>
      <c r="AC1257" s="50"/>
      <c r="AD1257" s="50"/>
      <c r="AE1257" s="50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65"/>
      <c r="AP1257" s="69"/>
      <c r="AQ1257" s="62" t="s">
        <v>8079</v>
      </c>
      <c r="AR1257" s="34"/>
    </row>
    <row r="1258" spans="1:44" customFormat="1">
      <c r="A1258" s="39">
        <v>44772</v>
      </c>
      <c r="B1258" s="11" t="s">
        <v>49</v>
      </c>
      <c r="C1258" s="16" t="s">
        <v>2319</v>
      </c>
      <c r="D1258" s="16"/>
      <c r="E1258" s="38" t="s">
        <v>2320</v>
      </c>
      <c r="F1258" s="38"/>
      <c r="G1258" s="10" t="s">
        <v>2321</v>
      </c>
      <c r="H1258" s="12" t="s">
        <v>2322</v>
      </c>
      <c r="I1258" s="13" t="s">
        <v>2323</v>
      </c>
      <c r="J1258" s="15" t="s">
        <v>2324</v>
      </c>
      <c r="K1258" s="12"/>
      <c r="L1258" s="11" t="s">
        <v>33</v>
      </c>
      <c r="M1258" s="15"/>
      <c r="N1258" s="17">
        <v>16500</v>
      </c>
      <c r="O1258" s="17"/>
      <c r="P1258" s="17"/>
      <c r="Q1258" s="48"/>
      <c r="R1258" s="11"/>
      <c r="S1258" s="48"/>
      <c r="T1258" s="85" t="s">
        <v>8073</v>
      </c>
      <c r="U1258" s="88"/>
      <c r="V1258" s="32" t="s">
        <v>2389</v>
      </c>
      <c r="W1258" s="25" t="s">
        <v>48</v>
      </c>
      <c r="X1258" s="11"/>
      <c r="Y1258" s="50" t="s">
        <v>13</v>
      </c>
      <c r="Z1258" s="50"/>
      <c r="AA1258" s="50"/>
      <c r="AB1258" s="50"/>
      <c r="AC1258" s="50"/>
      <c r="AD1258" s="50"/>
      <c r="AE1258" s="50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65"/>
      <c r="AP1258" s="69"/>
      <c r="AQ1258" s="62" t="s">
        <v>8079</v>
      </c>
      <c r="AR1258" s="34"/>
    </row>
    <row r="1259" spans="1:44" customFormat="1">
      <c r="A1259" s="39">
        <v>44773</v>
      </c>
      <c r="B1259" s="11" t="s">
        <v>49</v>
      </c>
      <c r="C1259" s="16" t="s">
        <v>4084</v>
      </c>
      <c r="D1259" s="16"/>
      <c r="E1259" s="38">
        <v>30371</v>
      </c>
      <c r="F1259" s="38"/>
      <c r="G1259" s="10" t="s">
        <v>4085</v>
      </c>
      <c r="H1259" s="12" t="s">
        <v>4254</v>
      </c>
      <c r="I1259" s="13" t="s">
        <v>2444</v>
      </c>
      <c r="J1259" s="15" t="s">
        <v>4087</v>
      </c>
      <c r="K1259" s="14" t="s">
        <v>4086</v>
      </c>
      <c r="L1259" s="11" t="s">
        <v>33</v>
      </c>
      <c r="M1259" s="15" t="s">
        <v>3584</v>
      </c>
      <c r="N1259" s="17">
        <v>16500</v>
      </c>
      <c r="O1259" s="17"/>
      <c r="P1259" s="17"/>
      <c r="Q1259" s="48"/>
      <c r="R1259" s="11"/>
      <c r="S1259" s="48"/>
      <c r="T1259" s="85" t="s">
        <v>8073</v>
      </c>
      <c r="U1259" s="88"/>
      <c r="V1259" s="32" t="s">
        <v>2389</v>
      </c>
      <c r="W1259" s="25" t="s">
        <v>48</v>
      </c>
      <c r="X1259" s="11"/>
      <c r="Y1259" s="50" t="s">
        <v>12</v>
      </c>
      <c r="Z1259" s="50"/>
      <c r="AA1259" s="50"/>
      <c r="AB1259" s="50"/>
      <c r="AC1259" s="50"/>
      <c r="AD1259" s="50"/>
      <c r="AE1259" s="50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65"/>
      <c r="AP1259" s="69"/>
      <c r="AQ1259" s="62"/>
      <c r="AR1259" s="34"/>
    </row>
    <row r="1260" spans="1:44" customFormat="1">
      <c r="A1260" s="39">
        <v>44778</v>
      </c>
      <c r="B1260" s="11" t="s">
        <v>49</v>
      </c>
      <c r="C1260" s="16" t="s">
        <v>5256</v>
      </c>
      <c r="D1260" s="16"/>
      <c r="E1260" s="38">
        <v>29921</v>
      </c>
      <c r="F1260" s="38"/>
      <c r="G1260" s="10" t="s">
        <v>5257</v>
      </c>
      <c r="H1260" s="12" t="s">
        <v>5258</v>
      </c>
      <c r="I1260" s="13" t="s">
        <v>5259</v>
      </c>
      <c r="J1260" s="15" t="s">
        <v>5260</v>
      </c>
      <c r="K1260" s="12"/>
      <c r="L1260" s="11" t="s">
        <v>34</v>
      </c>
      <c r="M1260" s="15" t="s">
        <v>3599</v>
      </c>
      <c r="N1260" s="17">
        <v>16500</v>
      </c>
      <c r="O1260" s="17"/>
      <c r="P1260" s="17"/>
      <c r="Q1260" s="48"/>
      <c r="R1260" s="11"/>
      <c r="S1260" s="48"/>
      <c r="T1260" s="85"/>
      <c r="U1260" s="88"/>
      <c r="V1260" s="32"/>
      <c r="W1260" s="25" t="s">
        <v>48</v>
      </c>
      <c r="X1260" s="11"/>
      <c r="Y1260" s="50" t="s">
        <v>14</v>
      </c>
      <c r="Z1260" s="50"/>
      <c r="AA1260" s="50"/>
      <c r="AB1260" s="50"/>
      <c r="AC1260" s="50"/>
      <c r="AD1260" s="50"/>
      <c r="AE1260" s="50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65"/>
      <c r="AP1260" s="69"/>
      <c r="AQ1260" s="62"/>
      <c r="AR1260" s="34"/>
    </row>
    <row r="1261" spans="1:44" customFormat="1">
      <c r="A1261" s="39">
        <v>44779</v>
      </c>
      <c r="B1261" s="11" t="s">
        <v>49</v>
      </c>
      <c r="C1261" s="16" t="s">
        <v>5261</v>
      </c>
      <c r="D1261" s="16"/>
      <c r="E1261" s="38">
        <v>24786</v>
      </c>
      <c r="F1261" s="38"/>
      <c r="G1261" s="10" t="s">
        <v>3809</v>
      </c>
      <c r="H1261" s="12" t="s">
        <v>5262</v>
      </c>
      <c r="I1261" s="13" t="s">
        <v>2659</v>
      </c>
      <c r="J1261" s="15" t="s">
        <v>5263</v>
      </c>
      <c r="K1261" s="12"/>
      <c r="L1261" s="11" t="s">
        <v>36</v>
      </c>
      <c r="M1261" s="15" t="s">
        <v>3599</v>
      </c>
      <c r="N1261" s="17">
        <v>16500</v>
      </c>
      <c r="O1261" s="17"/>
      <c r="P1261" s="17"/>
      <c r="Q1261" s="48"/>
      <c r="R1261" s="11"/>
      <c r="S1261" s="48"/>
      <c r="T1261" s="85" t="s">
        <v>8073</v>
      </c>
      <c r="U1261" s="88"/>
      <c r="V1261" s="32"/>
      <c r="W1261" s="25" t="s">
        <v>48</v>
      </c>
      <c r="X1261" s="11"/>
      <c r="Y1261" s="50" t="s">
        <v>12</v>
      </c>
      <c r="Z1261" s="50"/>
      <c r="AA1261" s="50"/>
      <c r="AB1261" s="50"/>
      <c r="AC1261" s="50"/>
      <c r="AD1261" s="50"/>
      <c r="AE1261" s="50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65"/>
      <c r="AP1261" s="69"/>
      <c r="AQ1261" s="62"/>
      <c r="AR1261" s="34"/>
    </row>
    <row r="1262" spans="1:44" customFormat="1">
      <c r="A1262" s="39">
        <v>44783</v>
      </c>
      <c r="B1262" s="11" t="s">
        <v>5659</v>
      </c>
      <c r="C1262" s="16" t="s">
        <v>4624</v>
      </c>
      <c r="D1262" s="16"/>
      <c r="E1262" s="38">
        <v>22832</v>
      </c>
      <c r="F1262" s="38"/>
      <c r="G1262" s="10"/>
      <c r="H1262" s="12"/>
      <c r="I1262" s="13"/>
      <c r="J1262" s="15"/>
      <c r="K1262" s="12"/>
      <c r="L1262" s="11"/>
      <c r="M1262" s="15"/>
      <c r="N1262" s="17">
        <v>0</v>
      </c>
      <c r="O1262" s="17"/>
      <c r="P1262" s="17"/>
      <c r="Q1262" s="48"/>
      <c r="R1262" s="11"/>
      <c r="S1262" s="48"/>
      <c r="T1262" s="85"/>
      <c r="U1262" s="88"/>
      <c r="V1262" s="32"/>
      <c r="W1262" s="25"/>
      <c r="X1262" s="11"/>
      <c r="Y1262" s="50"/>
      <c r="Z1262" s="50"/>
      <c r="AA1262" s="50"/>
      <c r="AB1262" s="50"/>
      <c r="AC1262" s="50"/>
      <c r="AD1262" s="50"/>
      <c r="AE1262" s="50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65"/>
      <c r="AP1262" s="69"/>
      <c r="AQ1262" s="62"/>
      <c r="AR1262" s="34"/>
    </row>
    <row r="1263" spans="1:44" customFormat="1">
      <c r="A1263" s="39">
        <v>44785</v>
      </c>
      <c r="B1263" s="11" t="s">
        <v>49</v>
      </c>
      <c r="C1263" s="16" t="s">
        <v>5264</v>
      </c>
      <c r="D1263" s="16"/>
      <c r="E1263" s="38">
        <v>26925</v>
      </c>
      <c r="F1263" s="38"/>
      <c r="G1263" s="10" t="s">
        <v>5266</v>
      </c>
      <c r="H1263" s="12" t="s">
        <v>5267</v>
      </c>
      <c r="I1263" s="13" t="s">
        <v>2710</v>
      </c>
      <c r="J1263" s="15" t="s">
        <v>5270</v>
      </c>
      <c r="K1263" s="14" t="s">
        <v>5268</v>
      </c>
      <c r="L1263" s="11" t="s">
        <v>33</v>
      </c>
      <c r="M1263" s="15" t="s">
        <v>3584</v>
      </c>
      <c r="N1263" s="17">
        <v>16500</v>
      </c>
      <c r="O1263" s="17"/>
      <c r="P1263" s="17"/>
      <c r="Q1263" s="48"/>
      <c r="R1263" s="11"/>
      <c r="S1263" s="48"/>
      <c r="T1263" s="85" t="s">
        <v>8073</v>
      </c>
      <c r="U1263" s="88"/>
      <c r="V1263" s="32" t="s">
        <v>5272</v>
      </c>
      <c r="W1263" s="25" t="s">
        <v>48</v>
      </c>
      <c r="X1263" s="11"/>
      <c r="Y1263" s="50" t="s">
        <v>13</v>
      </c>
      <c r="Z1263" s="50"/>
      <c r="AA1263" s="50"/>
      <c r="AB1263" s="50"/>
      <c r="AC1263" s="50"/>
      <c r="AD1263" s="50"/>
      <c r="AE1263" s="50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65"/>
      <c r="AP1263" s="69"/>
      <c r="AQ1263" s="62"/>
      <c r="AR1263" s="34"/>
    </row>
    <row r="1264" spans="1:44" customFormat="1">
      <c r="A1264" s="39">
        <v>44785</v>
      </c>
      <c r="B1264" s="11" t="s">
        <v>49</v>
      </c>
      <c r="C1264" s="16" t="s">
        <v>5265</v>
      </c>
      <c r="D1264" s="16"/>
      <c r="E1264" s="38">
        <v>27668</v>
      </c>
      <c r="F1264" s="38"/>
      <c r="G1264" s="10" t="s">
        <v>5266</v>
      </c>
      <c r="H1264" s="12" t="s">
        <v>5267</v>
      </c>
      <c r="I1264" s="13" t="s">
        <v>2710</v>
      </c>
      <c r="J1264" s="15" t="s">
        <v>5271</v>
      </c>
      <c r="K1264" s="14" t="s">
        <v>5269</v>
      </c>
      <c r="L1264" s="11" t="s">
        <v>33</v>
      </c>
      <c r="M1264" s="15" t="s">
        <v>3584</v>
      </c>
      <c r="N1264" s="17">
        <v>16500</v>
      </c>
      <c r="O1264" s="17"/>
      <c r="P1264" s="17"/>
      <c r="Q1264" s="48"/>
      <c r="R1264" s="11"/>
      <c r="S1264" s="48"/>
      <c r="T1264" s="85" t="s">
        <v>8073</v>
      </c>
      <c r="U1264" s="88"/>
      <c r="V1264" s="32" t="s">
        <v>5272</v>
      </c>
      <c r="W1264" s="25" t="s">
        <v>48</v>
      </c>
      <c r="X1264" s="11"/>
      <c r="Y1264" s="50" t="s">
        <v>13</v>
      </c>
      <c r="Z1264" s="50"/>
      <c r="AA1264" s="50"/>
      <c r="AB1264" s="50"/>
      <c r="AC1264" s="50"/>
      <c r="AD1264" s="50"/>
      <c r="AE1264" s="50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65"/>
      <c r="AP1264" s="69"/>
      <c r="AQ1264" s="62"/>
      <c r="AR1264" s="34"/>
    </row>
    <row r="1265" spans="1:44" customFormat="1">
      <c r="A1265" s="39">
        <v>44785</v>
      </c>
      <c r="B1265" s="11" t="s">
        <v>49</v>
      </c>
      <c r="C1265" s="16" t="s">
        <v>5273</v>
      </c>
      <c r="D1265" s="16"/>
      <c r="E1265" s="38">
        <v>34692</v>
      </c>
      <c r="F1265" s="38"/>
      <c r="G1265" s="10" t="s">
        <v>3710</v>
      </c>
      <c r="H1265" s="12" t="s">
        <v>5274</v>
      </c>
      <c r="I1265" s="13" t="s">
        <v>5275</v>
      </c>
      <c r="J1265" s="15" t="s">
        <v>5277</v>
      </c>
      <c r="K1265" s="14" t="s">
        <v>5276</v>
      </c>
      <c r="L1265" s="11"/>
      <c r="M1265" s="15" t="s">
        <v>3599</v>
      </c>
      <c r="N1265" s="17">
        <v>16500</v>
      </c>
      <c r="O1265" s="17"/>
      <c r="P1265" s="17"/>
      <c r="Q1265" s="48"/>
      <c r="R1265" s="11"/>
      <c r="S1265" s="48"/>
      <c r="T1265" s="85"/>
      <c r="U1265" s="88"/>
      <c r="V1265" s="32" t="s">
        <v>5288</v>
      </c>
      <c r="W1265" s="25" t="s">
        <v>8</v>
      </c>
      <c r="X1265" s="11"/>
      <c r="Y1265" s="50" t="s">
        <v>18</v>
      </c>
      <c r="Z1265" s="50"/>
      <c r="AA1265" s="50"/>
      <c r="AB1265" s="50"/>
      <c r="AC1265" s="50"/>
      <c r="AD1265" s="50"/>
      <c r="AE1265" s="50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65"/>
      <c r="AP1265" s="69"/>
      <c r="AQ1265" s="62"/>
      <c r="AR1265" s="34"/>
    </row>
    <row r="1266" spans="1:44" customFormat="1">
      <c r="A1266" s="39">
        <v>44785</v>
      </c>
      <c r="B1266" s="11" t="s">
        <v>49</v>
      </c>
      <c r="C1266" s="16" t="s">
        <v>5278</v>
      </c>
      <c r="D1266" s="16"/>
      <c r="E1266" s="38">
        <v>35437</v>
      </c>
      <c r="F1266" s="38"/>
      <c r="G1266" s="10" t="s">
        <v>5279</v>
      </c>
      <c r="H1266" s="12" t="s">
        <v>5280</v>
      </c>
      <c r="I1266" s="13" t="s">
        <v>5281</v>
      </c>
      <c r="J1266" s="15" t="s">
        <v>5282</v>
      </c>
      <c r="K1266" s="12"/>
      <c r="L1266" s="11" t="s">
        <v>36</v>
      </c>
      <c r="M1266" s="15" t="s">
        <v>3629</v>
      </c>
      <c r="N1266" s="17">
        <v>16500</v>
      </c>
      <c r="O1266" s="17"/>
      <c r="P1266" s="17"/>
      <c r="Q1266" s="48"/>
      <c r="R1266" s="11"/>
      <c r="S1266" s="48"/>
      <c r="T1266" s="85"/>
      <c r="U1266" s="88"/>
      <c r="V1266" s="32" t="s">
        <v>5288</v>
      </c>
      <c r="W1266" s="25" t="s">
        <v>10</v>
      </c>
      <c r="X1266" s="11"/>
      <c r="Y1266" s="50" t="s">
        <v>12</v>
      </c>
      <c r="Z1266" s="50"/>
      <c r="AA1266" s="50"/>
      <c r="AB1266" s="50"/>
      <c r="AC1266" s="50"/>
      <c r="AD1266" s="50"/>
      <c r="AE1266" s="50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65"/>
      <c r="AP1266" s="69"/>
      <c r="AQ1266" s="62"/>
      <c r="AR1266" s="34"/>
    </row>
    <row r="1267" spans="1:44" customFormat="1">
      <c r="A1267" s="39">
        <v>44786</v>
      </c>
      <c r="B1267" s="11" t="s">
        <v>49</v>
      </c>
      <c r="C1267" s="16" t="s">
        <v>5283</v>
      </c>
      <c r="D1267" s="16"/>
      <c r="E1267" s="38">
        <v>34188</v>
      </c>
      <c r="F1267" s="38"/>
      <c r="G1267" s="10" t="s">
        <v>5284</v>
      </c>
      <c r="H1267" s="12" t="s">
        <v>5285</v>
      </c>
      <c r="I1267" s="13" t="s">
        <v>5286</v>
      </c>
      <c r="J1267" s="15" t="s">
        <v>5287</v>
      </c>
      <c r="K1267" s="12"/>
      <c r="L1267" s="11" t="s">
        <v>36</v>
      </c>
      <c r="M1267" s="15" t="s">
        <v>3584</v>
      </c>
      <c r="N1267" s="17">
        <v>16500</v>
      </c>
      <c r="O1267" s="17"/>
      <c r="P1267" s="17"/>
      <c r="Q1267" s="48"/>
      <c r="R1267" s="11"/>
      <c r="S1267" s="48"/>
      <c r="T1267" s="85"/>
      <c r="U1267" s="88"/>
      <c r="V1267" s="32"/>
      <c r="W1267" s="25" t="s">
        <v>48</v>
      </c>
      <c r="X1267" s="11"/>
      <c r="Y1267" s="50" t="s">
        <v>13</v>
      </c>
      <c r="Z1267" s="50"/>
      <c r="AA1267" s="50"/>
      <c r="AB1267" s="50"/>
      <c r="AC1267" s="50"/>
      <c r="AD1267" s="50"/>
      <c r="AE1267" s="50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65"/>
      <c r="AP1267" s="69"/>
      <c r="AQ1267" s="62"/>
      <c r="AR1267" s="34"/>
    </row>
    <row r="1268" spans="1:44" customFormat="1">
      <c r="A1268" s="39">
        <v>44786</v>
      </c>
      <c r="B1268" s="11" t="s">
        <v>22</v>
      </c>
      <c r="C1268" s="16" t="s">
        <v>5289</v>
      </c>
      <c r="D1268" s="16"/>
      <c r="E1268" s="38">
        <v>33379</v>
      </c>
      <c r="F1268" s="38"/>
      <c r="G1268" s="10" t="s">
        <v>78</v>
      </c>
      <c r="H1268" s="12" t="s">
        <v>5291</v>
      </c>
      <c r="I1268" s="13" t="s">
        <v>4394</v>
      </c>
      <c r="J1268" s="15" t="s">
        <v>5293</v>
      </c>
      <c r="K1268" s="14" t="s">
        <v>5292</v>
      </c>
      <c r="L1268" s="11" t="s">
        <v>36</v>
      </c>
      <c r="M1268" s="15" t="s">
        <v>3584</v>
      </c>
      <c r="N1268" s="17">
        <v>3300</v>
      </c>
      <c r="O1268" s="17"/>
      <c r="P1268" s="17"/>
      <c r="Q1268" s="48"/>
      <c r="R1268" s="11"/>
      <c r="S1268" s="48"/>
      <c r="T1268" s="85"/>
      <c r="U1268" s="88"/>
      <c r="V1268" s="32"/>
      <c r="W1268" s="25" t="s">
        <v>10</v>
      </c>
      <c r="X1268" s="11"/>
      <c r="Y1268" s="50"/>
      <c r="Z1268" s="50"/>
      <c r="AA1268" s="50"/>
      <c r="AB1268" s="50"/>
      <c r="AC1268" s="50"/>
      <c r="AD1268" s="50"/>
      <c r="AE1268" s="50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65"/>
      <c r="AP1268" s="69"/>
      <c r="AQ1268" s="62"/>
      <c r="AR1268" s="34"/>
    </row>
    <row r="1269" spans="1:44" customFormat="1">
      <c r="A1269" s="39">
        <v>44786</v>
      </c>
      <c r="B1269" s="11" t="s">
        <v>22</v>
      </c>
      <c r="C1269" s="16" t="s">
        <v>5290</v>
      </c>
      <c r="D1269" s="16"/>
      <c r="E1269" s="38">
        <v>33441</v>
      </c>
      <c r="F1269" s="38"/>
      <c r="G1269" s="10" t="s">
        <v>78</v>
      </c>
      <c r="H1269" s="12" t="s">
        <v>5291</v>
      </c>
      <c r="I1269" s="13" t="s">
        <v>4394</v>
      </c>
      <c r="J1269" s="15" t="s">
        <v>5294</v>
      </c>
      <c r="K1269" s="12"/>
      <c r="L1269" s="11" t="s">
        <v>35</v>
      </c>
      <c r="M1269" s="15" t="s">
        <v>3629</v>
      </c>
      <c r="N1269" s="17">
        <v>3300</v>
      </c>
      <c r="O1269" s="17"/>
      <c r="P1269" s="17"/>
      <c r="Q1269" s="48"/>
      <c r="R1269" s="11"/>
      <c r="S1269" s="48"/>
      <c r="T1269" s="85"/>
      <c r="U1269" s="88"/>
      <c r="V1269" s="32"/>
      <c r="W1269" s="25" t="s">
        <v>10</v>
      </c>
      <c r="X1269" s="11"/>
      <c r="Y1269" s="50"/>
      <c r="Z1269" s="50"/>
      <c r="AA1269" s="50"/>
      <c r="AB1269" s="50"/>
      <c r="AC1269" s="50"/>
      <c r="AD1269" s="50"/>
      <c r="AE1269" s="50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65"/>
      <c r="AP1269" s="69"/>
      <c r="AQ1269" s="62"/>
      <c r="AR1269" s="34"/>
    </row>
    <row r="1270" spans="1:44" customFormat="1">
      <c r="A1270" s="39">
        <v>44786</v>
      </c>
      <c r="B1270" s="11" t="s">
        <v>49</v>
      </c>
      <c r="C1270" s="16" t="s">
        <v>68</v>
      </c>
      <c r="D1270" s="16"/>
      <c r="E1270" s="38">
        <v>23281</v>
      </c>
      <c r="F1270" s="38"/>
      <c r="G1270" s="10" t="s">
        <v>69</v>
      </c>
      <c r="H1270" s="12" t="s">
        <v>70</v>
      </c>
      <c r="I1270" s="13" t="s">
        <v>2617</v>
      </c>
      <c r="J1270" s="15" t="s">
        <v>71</v>
      </c>
      <c r="K1270" s="12"/>
      <c r="L1270" s="11" t="s">
        <v>36</v>
      </c>
      <c r="M1270" s="15" t="s">
        <v>3599</v>
      </c>
      <c r="N1270" s="17">
        <v>16500</v>
      </c>
      <c r="O1270" s="17"/>
      <c r="P1270" s="17"/>
      <c r="Q1270" s="48"/>
      <c r="R1270" s="11"/>
      <c r="S1270" s="48"/>
      <c r="T1270" s="85"/>
      <c r="U1270" s="88"/>
      <c r="V1270" s="32"/>
      <c r="W1270" s="25" t="s">
        <v>48</v>
      </c>
      <c r="X1270" s="11"/>
      <c r="Y1270" s="50" t="s">
        <v>12</v>
      </c>
      <c r="Z1270" s="50"/>
      <c r="AA1270" s="50"/>
      <c r="AB1270" s="50"/>
      <c r="AC1270" s="50"/>
      <c r="AD1270" s="50"/>
      <c r="AE1270" s="50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65"/>
      <c r="AP1270" s="69"/>
      <c r="AQ1270" s="62"/>
      <c r="AR1270" s="34"/>
    </row>
    <row r="1271" spans="1:44" customFormat="1">
      <c r="A1271" s="39">
        <v>44786</v>
      </c>
      <c r="B1271" s="11"/>
      <c r="C1271" s="16" t="s">
        <v>5148</v>
      </c>
      <c r="D1271" s="16"/>
      <c r="E1271" s="38"/>
      <c r="F1271" s="38"/>
      <c r="G1271" s="10"/>
      <c r="H1271" s="12"/>
      <c r="I1271" s="13"/>
      <c r="J1271" s="15"/>
      <c r="K1271" s="12"/>
      <c r="L1271" s="11"/>
      <c r="M1271" s="15"/>
      <c r="N1271" s="17">
        <v>3300</v>
      </c>
      <c r="O1271" s="17"/>
      <c r="P1271" s="17"/>
      <c r="Q1271" s="48"/>
      <c r="R1271" s="11"/>
      <c r="S1271" s="48"/>
      <c r="T1271" s="85"/>
      <c r="U1271" s="88"/>
      <c r="V1271" s="32" t="s">
        <v>5152</v>
      </c>
      <c r="W1271" s="25"/>
      <c r="X1271" s="11"/>
      <c r="Y1271" s="50"/>
      <c r="Z1271" s="50"/>
      <c r="AA1271" s="50"/>
      <c r="AB1271" s="50"/>
      <c r="AC1271" s="50"/>
      <c r="AD1271" s="50"/>
      <c r="AE1271" s="50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65"/>
      <c r="AP1271" s="69"/>
      <c r="AQ1271" s="62"/>
      <c r="AR1271" s="34"/>
    </row>
    <row r="1272" spans="1:44" customFormat="1">
      <c r="A1272" s="39">
        <v>44788</v>
      </c>
      <c r="B1272" s="11" t="s">
        <v>22</v>
      </c>
      <c r="C1272" s="56" t="s">
        <v>5300</v>
      </c>
      <c r="D1272" s="16"/>
      <c r="E1272" s="38">
        <v>25987</v>
      </c>
      <c r="F1272" s="38"/>
      <c r="G1272" s="10" t="s">
        <v>485</v>
      </c>
      <c r="H1272" s="12" t="s">
        <v>5301</v>
      </c>
      <c r="I1272" s="13" t="s">
        <v>5302</v>
      </c>
      <c r="J1272" s="15" t="s">
        <v>5304</v>
      </c>
      <c r="K1272" s="14" t="s">
        <v>5303</v>
      </c>
      <c r="L1272" s="11" t="s">
        <v>36</v>
      </c>
      <c r="M1272" s="15" t="s">
        <v>3629</v>
      </c>
      <c r="N1272" s="17">
        <v>3300</v>
      </c>
      <c r="O1272" s="17"/>
      <c r="P1272" s="17"/>
      <c r="Q1272" s="48"/>
      <c r="R1272" s="11"/>
      <c r="S1272" s="48"/>
      <c r="T1272" s="85" t="s">
        <v>8079</v>
      </c>
      <c r="U1272" s="89">
        <v>44788</v>
      </c>
      <c r="V1272" s="32"/>
      <c r="W1272" s="25" t="s">
        <v>48</v>
      </c>
      <c r="X1272" s="11"/>
      <c r="Y1272" s="50" t="s">
        <v>18</v>
      </c>
      <c r="Z1272" s="50"/>
      <c r="AA1272" s="50"/>
      <c r="AB1272" s="50"/>
      <c r="AC1272" s="50"/>
      <c r="AD1272" s="50"/>
      <c r="AE1272" s="50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65"/>
      <c r="AP1272" s="69"/>
      <c r="AQ1272" s="62" t="s">
        <v>8079</v>
      </c>
      <c r="AR1272" s="78">
        <v>44788</v>
      </c>
    </row>
    <row r="1273" spans="1:44" customFormat="1">
      <c r="A1273" s="39">
        <v>44788</v>
      </c>
      <c r="B1273" s="11" t="s">
        <v>22</v>
      </c>
      <c r="C1273" s="56" t="s">
        <v>5295</v>
      </c>
      <c r="D1273" s="16"/>
      <c r="E1273" s="38">
        <v>25056</v>
      </c>
      <c r="F1273" s="38"/>
      <c r="G1273" s="10" t="s">
        <v>5296</v>
      </c>
      <c r="H1273" s="12" t="s">
        <v>5297</v>
      </c>
      <c r="I1273" s="13">
        <v>9.1999999999999993</v>
      </c>
      <c r="J1273" s="15" t="s">
        <v>5299</v>
      </c>
      <c r="K1273" s="14" t="s">
        <v>5298</v>
      </c>
      <c r="L1273" s="11"/>
      <c r="M1273" s="15" t="s">
        <v>3584</v>
      </c>
      <c r="N1273" s="17">
        <v>3300</v>
      </c>
      <c r="O1273" s="17"/>
      <c r="P1273" s="17"/>
      <c r="Q1273" s="48"/>
      <c r="R1273" s="11"/>
      <c r="S1273" s="48"/>
      <c r="T1273" s="85" t="s">
        <v>8079</v>
      </c>
      <c r="U1273" s="89">
        <v>44788</v>
      </c>
      <c r="V1273" s="32"/>
      <c r="W1273" s="25" t="s">
        <v>48</v>
      </c>
      <c r="X1273" s="11"/>
      <c r="Y1273" s="50"/>
      <c r="Z1273" s="50"/>
      <c r="AA1273" s="50"/>
      <c r="AB1273" s="50"/>
      <c r="AC1273" s="50"/>
      <c r="AD1273" s="50"/>
      <c r="AE1273" s="50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65"/>
      <c r="AP1273" s="69"/>
      <c r="AQ1273" s="62" t="s">
        <v>8079</v>
      </c>
      <c r="AR1273" s="78">
        <v>44788</v>
      </c>
    </row>
    <row r="1274" spans="1:44" customFormat="1">
      <c r="A1274" s="39">
        <v>44790</v>
      </c>
      <c r="B1274" s="11" t="s">
        <v>22</v>
      </c>
      <c r="C1274" s="16" t="s">
        <v>5305</v>
      </c>
      <c r="D1274" s="16"/>
      <c r="E1274" s="38">
        <v>27373</v>
      </c>
      <c r="F1274" s="38"/>
      <c r="G1274" s="10" t="s">
        <v>426</v>
      </c>
      <c r="H1274" s="12" t="s">
        <v>5306</v>
      </c>
      <c r="I1274" s="13" t="s">
        <v>1640</v>
      </c>
      <c r="J1274" s="15" t="s">
        <v>5308</v>
      </c>
      <c r="K1274" s="14" t="s">
        <v>5307</v>
      </c>
      <c r="L1274" s="11" t="s">
        <v>33</v>
      </c>
      <c r="M1274" s="15" t="s">
        <v>3584</v>
      </c>
      <c r="N1274" s="17">
        <v>3300</v>
      </c>
      <c r="O1274" s="17"/>
      <c r="P1274" s="17"/>
      <c r="Q1274" s="48"/>
      <c r="R1274" s="11"/>
      <c r="S1274" s="48"/>
      <c r="T1274" s="85"/>
      <c r="U1274" s="88"/>
      <c r="V1274" s="32" t="s">
        <v>5309</v>
      </c>
      <c r="W1274" s="25" t="s">
        <v>8</v>
      </c>
      <c r="X1274" s="11"/>
      <c r="Y1274" s="50" t="s">
        <v>17</v>
      </c>
      <c r="Z1274" s="50"/>
      <c r="AA1274" s="50"/>
      <c r="AB1274" s="50"/>
      <c r="AC1274" s="50"/>
      <c r="AD1274" s="50"/>
      <c r="AE1274" s="50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65"/>
      <c r="AP1274" s="69"/>
      <c r="AQ1274" s="62"/>
      <c r="AR1274" s="34"/>
    </row>
    <row r="1275" spans="1:44" customFormat="1">
      <c r="A1275" s="39">
        <v>44793</v>
      </c>
      <c r="B1275" s="11" t="s">
        <v>22</v>
      </c>
      <c r="C1275" s="56" t="s">
        <v>5310</v>
      </c>
      <c r="D1275" s="16"/>
      <c r="E1275" s="38">
        <v>22653</v>
      </c>
      <c r="F1275" s="38"/>
      <c r="G1275" s="10" t="s">
        <v>5311</v>
      </c>
      <c r="H1275" s="12" t="s">
        <v>5312</v>
      </c>
      <c r="I1275" s="13" t="s">
        <v>2592</v>
      </c>
      <c r="J1275" s="15" t="s">
        <v>5314</v>
      </c>
      <c r="K1275" s="14" t="s">
        <v>5313</v>
      </c>
      <c r="L1275" s="11" t="s">
        <v>37</v>
      </c>
      <c r="M1275" s="15" t="s">
        <v>3584</v>
      </c>
      <c r="N1275" s="17">
        <v>3300</v>
      </c>
      <c r="O1275" s="17"/>
      <c r="P1275" s="17"/>
      <c r="Q1275" s="48"/>
      <c r="R1275" s="11"/>
      <c r="S1275" s="48"/>
      <c r="T1275" s="85" t="s">
        <v>8079</v>
      </c>
      <c r="U1275" s="89">
        <v>44809</v>
      </c>
      <c r="V1275" s="32"/>
      <c r="W1275" s="25" t="s">
        <v>48</v>
      </c>
      <c r="X1275" s="11"/>
      <c r="Y1275" s="50" t="s">
        <v>11</v>
      </c>
      <c r="Z1275" s="50"/>
      <c r="AA1275" s="50"/>
      <c r="AB1275" s="50"/>
      <c r="AC1275" s="50"/>
      <c r="AD1275" s="50"/>
      <c r="AE1275" s="50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65"/>
      <c r="AP1275" s="69"/>
      <c r="AQ1275" s="62" t="s">
        <v>8079</v>
      </c>
      <c r="AR1275" s="78">
        <v>44809</v>
      </c>
    </row>
    <row r="1276" spans="1:44" customFormat="1">
      <c r="A1276" s="39">
        <v>44794</v>
      </c>
      <c r="B1276" s="11" t="s">
        <v>49</v>
      </c>
      <c r="C1276" s="16" t="s">
        <v>5315</v>
      </c>
      <c r="D1276" s="16"/>
      <c r="E1276" s="38">
        <v>23607</v>
      </c>
      <c r="F1276" s="38"/>
      <c r="G1276" s="10" t="s">
        <v>5316</v>
      </c>
      <c r="H1276" s="12" t="s">
        <v>5317</v>
      </c>
      <c r="I1276" s="13">
        <v>18.8</v>
      </c>
      <c r="J1276" s="15" t="s">
        <v>5318</v>
      </c>
      <c r="K1276" s="12"/>
      <c r="L1276" s="11" t="s">
        <v>34</v>
      </c>
      <c r="M1276" s="15" t="s">
        <v>3629</v>
      </c>
      <c r="N1276" s="17">
        <v>22000</v>
      </c>
      <c r="O1276" s="17"/>
      <c r="P1276" s="17"/>
      <c r="Q1276" s="48"/>
      <c r="R1276" s="11"/>
      <c r="S1276" s="48"/>
      <c r="T1276" s="85"/>
      <c r="U1276" s="88"/>
      <c r="V1276" s="32"/>
      <c r="W1276" s="25" t="s">
        <v>8</v>
      </c>
      <c r="X1276" s="11"/>
      <c r="Y1276" s="50" t="s">
        <v>13</v>
      </c>
      <c r="Z1276" s="50"/>
      <c r="AA1276" s="50"/>
      <c r="AB1276" s="50"/>
      <c r="AC1276" s="50"/>
      <c r="AD1276" s="50"/>
      <c r="AE1276" s="50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65"/>
      <c r="AP1276" s="69"/>
      <c r="AQ1276" s="62"/>
      <c r="AR1276" s="34"/>
    </row>
    <row r="1277" spans="1:44" customFormat="1">
      <c r="A1277" s="39">
        <v>44795</v>
      </c>
      <c r="B1277" s="11" t="s">
        <v>23</v>
      </c>
      <c r="C1277" s="16" t="s">
        <v>2922</v>
      </c>
      <c r="D1277" s="16"/>
      <c r="E1277" s="38">
        <v>26142</v>
      </c>
      <c r="F1277" s="38"/>
      <c r="G1277" s="10" t="s">
        <v>2923</v>
      </c>
      <c r="H1277" s="12" t="s">
        <v>2924</v>
      </c>
      <c r="I1277" s="13" t="s">
        <v>2925</v>
      </c>
      <c r="J1277" s="15" t="s">
        <v>5319</v>
      </c>
      <c r="K1277" s="12"/>
      <c r="L1277" s="11" t="s">
        <v>33</v>
      </c>
      <c r="M1277" s="15" t="s">
        <v>5320</v>
      </c>
      <c r="N1277" s="17">
        <v>16500</v>
      </c>
      <c r="O1277" s="17"/>
      <c r="P1277" s="17"/>
      <c r="Q1277" s="48"/>
      <c r="R1277" s="11"/>
      <c r="S1277" s="48"/>
      <c r="T1277" s="85" t="s">
        <v>8073</v>
      </c>
      <c r="U1277" s="88"/>
      <c r="V1277" s="32" t="s">
        <v>5321</v>
      </c>
      <c r="W1277" s="25" t="s">
        <v>48</v>
      </c>
      <c r="X1277" s="11"/>
      <c r="Y1277" s="50" t="s">
        <v>12</v>
      </c>
      <c r="Z1277" s="50"/>
      <c r="AA1277" s="50"/>
      <c r="AB1277" s="50"/>
      <c r="AC1277" s="50"/>
      <c r="AD1277" s="50"/>
      <c r="AE1277" s="50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65"/>
      <c r="AP1277" s="69"/>
      <c r="AQ1277" s="62"/>
      <c r="AR1277" s="34"/>
    </row>
    <row r="1278" spans="1:44" customFormat="1">
      <c r="A1278" s="39">
        <v>44797</v>
      </c>
      <c r="B1278" s="11" t="s">
        <v>22</v>
      </c>
      <c r="C1278" s="16" t="s">
        <v>5322</v>
      </c>
      <c r="D1278" s="16"/>
      <c r="E1278" s="38">
        <v>32841</v>
      </c>
      <c r="F1278" s="38"/>
      <c r="G1278" s="10" t="s">
        <v>4841</v>
      </c>
      <c r="H1278" s="12" t="s">
        <v>5323</v>
      </c>
      <c r="I1278" s="13">
        <v>3.5</v>
      </c>
      <c r="J1278" s="15" t="s">
        <v>5325</v>
      </c>
      <c r="K1278" s="14" t="s">
        <v>5324</v>
      </c>
      <c r="L1278" s="11" t="s">
        <v>33</v>
      </c>
      <c r="M1278" s="15" t="s">
        <v>3599</v>
      </c>
      <c r="N1278" s="17">
        <v>3300</v>
      </c>
      <c r="O1278" s="17"/>
      <c r="P1278" s="17"/>
      <c r="Q1278" s="48"/>
      <c r="R1278" s="11"/>
      <c r="S1278" s="48"/>
      <c r="T1278" s="85"/>
      <c r="U1278" s="88"/>
      <c r="V1278" s="32"/>
      <c r="W1278" s="25" t="s">
        <v>8</v>
      </c>
      <c r="X1278" s="11"/>
      <c r="Y1278" s="50" t="s">
        <v>11</v>
      </c>
      <c r="Z1278" s="50"/>
      <c r="AA1278" s="50"/>
      <c r="AB1278" s="50"/>
      <c r="AC1278" s="50"/>
      <c r="AD1278" s="50"/>
      <c r="AE1278" s="50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65"/>
      <c r="AP1278" s="69"/>
      <c r="AQ1278" s="62"/>
      <c r="AR1278" s="34"/>
    </row>
    <row r="1279" spans="1:44" customFormat="1">
      <c r="A1279" s="39">
        <v>44799</v>
      </c>
      <c r="B1279" s="11" t="s">
        <v>22</v>
      </c>
      <c r="C1279" s="16" t="s">
        <v>5326</v>
      </c>
      <c r="D1279" s="16"/>
      <c r="E1279" s="38">
        <v>26248</v>
      </c>
      <c r="F1279" s="38"/>
      <c r="G1279" s="10" t="s">
        <v>4807</v>
      </c>
      <c r="H1279" s="12" t="s">
        <v>5327</v>
      </c>
      <c r="I1279" s="13">
        <v>30.4</v>
      </c>
      <c r="J1279" s="15" t="s">
        <v>5329</v>
      </c>
      <c r="K1279" s="14" t="s">
        <v>5328</v>
      </c>
      <c r="L1279" s="11" t="s">
        <v>35</v>
      </c>
      <c r="M1279" s="15" t="s">
        <v>3584</v>
      </c>
      <c r="N1279" s="17">
        <v>3300</v>
      </c>
      <c r="O1279" s="17"/>
      <c r="P1279" s="17"/>
      <c r="Q1279" s="48"/>
      <c r="R1279" s="11"/>
      <c r="S1279" s="48"/>
      <c r="T1279" s="85"/>
      <c r="U1279" s="88"/>
      <c r="V1279" s="32"/>
      <c r="W1279" s="25" t="s">
        <v>48</v>
      </c>
      <c r="X1279" s="11"/>
      <c r="Y1279" s="50" t="s">
        <v>11</v>
      </c>
      <c r="Z1279" s="50"/>
      <c r="AA1279" s="50"/>
      <c r="AB1279" s="50"/>
      <c r="AC1279" s="50"/>
      <c r="AD1279" s="50"/>
      <c r="AE1279" s="50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65"/>
      <c r="AP1279" s="69"/>
      <c r="AQ1279" s="62"/>
      <c r="AR1279" s="34"/>
    </row>
    <row r="1280" spans="1:44" customFormat="1">
      <c r="A1280" s="39">
        <v>44801</v>
      </c>
      <c r="B1280" s="11" t="s">
        <v>49</v>
      </c>
      <c r="C1280" s="16" t="s">
        <v>5330</v>
      </c>
      <c r="D1280" s="16"/>
      <c r="E1280" s="38">
        <v>31764</v>
      </c>
      <c r="F1280" s="38"/>
      <c r="G1280" s="10" t="s">
        <v>5331</v>
      </c>
      <c r="H1280" s="12" t="s">
        <v>5332</v>
      </c>
      <c r="I1280" s="13">
        <v>26.9</v>
      </c>
      <c r="J1280" s="15" t="s">
        <v>5334</v>
      </c>
      <c r="K1280" s="14" t="s">
        <v>5333</v>
      </c>
      <c r="L1280" s="11" t="s">
        <v>36</v>
      </c>
      <c r="M1280" s="15" t="s">
        <v>3584</v>
      </c>
      <c r="N1280" s="17">
        <v>16500</v>
      </c>
      <c r="O1280" s="17"/>
      <c r="P1280" s="17"/>
      <c r="Q1280" s="48"/>
      <c r="R1280" s="11"/>
      <c r="S1280" s="48"/>
      <c r="T1280" s="85"/>
      <c r="U1280" s="88"/>
      <c r="V1280" s="32"/>
      <c r="W1280" s="25" t="s">
        <v>8</v>
      </c>
      <c r="X1280" s="11"/>
      <c r="Y1280" s="50" t="s">
        <v>12</v>
      </c>
      <c r="Z1280" s="50"/>
      <c r="AA1280" s="50"/>
      <c r="AB1280" s="50"/>
      <c r="AC1280" s="50"/>
      <c r="AD1280" s="50"/>
      <c r="AE1280" s="50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65"/>
      <c r="AP1280" s="69"/>
      <c r="AQ1280" s="62"/>
      <c r="AR1280" s="34"/>
    </row>
    <row r="1281" spans="1:44" customFormat="1">
      <c r="A1281" s="39">
        <v>44804</v>
      </c>
      <c r="B1281" s="11" t="s">
        <v>49</v>
      </c>
      <c r="C1281" s="16" t="s">
        <v>5335</v>
      </c>
      <c r="D1281" s="16"/>
      <c r="E1281" s="38">
        <v>28435</v>
      </c>
      <c r="F1281" s="38"/>
      <c r="G1281" s="10" t="s">
        <v>5336</v>
      </c>
      <c r="H1281" s="12" t="s">
        <v>5337</v>
      </c>
      <c r="I1281" s="13">
        <v>19.7</v>
      </c>
      <c r="J1281" s="15" t="s">
        <v>5339</v>
      </c>
      <c r="K1281" s="14" t="s">
        <v>5338</v>
      </c>
      <c r="L1281" s="11" t="s">
        <v>36</v>
      </c>
      <c r="M1281" s="15" t="s">
        <v>3584</v>
      </c>
      <c r="N1281" s="17">
        <v>16500</v>
      </c>
      <c r="O1281" s="17"/>
      <c r="P1281" s="17"/>
      <c r="Q1281" s="48"/>
      <c r="R1281" s="11"/>
      <c r="S1281" s="48"/>
      <c r="T1281" s="85" t="s">
        <v>8073</v>
      </c>
      <c r="U1281" s="88"/>
      <c r="V1281" s="32" t="s">
        <v>5340</v>
      </c>
      <c r="W1281" s="25" t="s">
        <v>10</v>
      </c>
      <c r="X1281" s="11"/>
      <c r="Y1281" s="50" t="s">
        <v>13</v>
      </c>
      <c r="Z1281" s="50"/>
      <c r="AA1281" s="50"/>
      <c r="AB1281" s="50"/>
      <c r="AC1281" s="50"/>
      <c r="AD1281" s="50"/>
      <c r="AE1281" s="50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65"/>
      <c r="AP1281" s="69"/>
      <c r="AQ1281" s="62"/>
      <c r="AR1281" s="34"/>
    </row>
    <row r="1282" spans="1:44" customFormat="1">
      <c r="A1282" s="39">
        <v>44804</v>
      </c>
      <c r="B1282" s="11" t="s">
        <v>49</v>
      </c>
      <c r="C1282" s="16" t="s">
        <v>3378</v>
      </c>
      <c r="D1282" s="16"/>
      <c r="E1282" s="38">
        <v>31238</v>
      </c>
      <c r="F1282" s="38"/>
      <c r="G1282" s="10" t="s">
        <v>5341</v>
      </c>
      <c r="H1282" s="12" t="s">
        <v>3379</v>
      </c>
      <c r="I1282" s="13" t="s">
        <v>5342</v>
      </c>
      <c r="J1282" s="15" t="s">
        <v>5343</v>
      </c>
      <c r="K1282" s="12"/>
      <c r="L1282" s="11" t="s">
        <v>34</v>
      </c>
      <c r="M1282" s="15"/>
      <c r="N1282" s="17">
        <v>22000</v>
      </c>
      <c r="O1282" s="17"/>
      <c r="P1282" s="17"/>
      <c r="Q1282" s="48"/>
      <c r="R1282" s="11"/>
      <c r="S1282" s="48"/>
      <c r="T1282" s="85" t="s">
        <v>8073</v>
      </c>
      <c r="U1282" s="88"/>
      <c r="V1282" s="32" t="s">
        <v>5344</v>
      </c>
      <c r="W1282" s="25" t="s">
        <v>48</v>
      </c>
      <c r="X1282" s="11"/>
      <c r="Y1282" s="50" t="s">
        <v>13</v>
      </c>
      <c r="Z1282" s="50"/>
      <c r="AA1282" s="50"/>
      <c r="AB1282" s="50"/>
      <c r="AC1282" s="50"/>
      <c r="AD1282" s="50"/>
      <c r="AE1282" s="50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65"/>
      <c r="AP1282" s="69"/>
      <c r="AQ1282" s="62"/>
      <c r="AR1282" s="34"/>
    </row>
    <row r="1283" spans="1:44" customFormat="1">
      <c r="A1283" s="39">
        <v>44804</v>
      </c>
      <c r="B1283" s="11" t="s">
        <v>22</v>
      </c>
      <c r="C1283" s="16" t="s">
        <v>5345</v>
      </c>
      <c r="D1283" s="16"/>
      <c r="E1283" s="38">
        <v>31182</v>
      </c>
      <c r="F1283" s="38"/>
      <c r="G1283" s="10" t="s">
        <v>617</v>
      </c>
      <c r="H1283" s="12" t="s">
        <v>5346</v>
      </c>
      <c r="I1283" s="13">
        <v>4.5999999999999996</v>
      </c>
      <c r="J1283" s="15" t="s">
        <v>5348</v>
      </c>
      <c r="K1283" s="14" t="s">
        <v>5347</v>
      </c>
      <c r="L1283" s="11" t="s">
        <v>36</v>
      </c>
      <c r="M1283" s="15" t="s">
        <v>3584</v>
      </c>
      <c r="N1283" s="17">
        <v>3300</v>
      </c>
      <c r="O1283" s="17"/>
      <c r="P1283" s="17"/>
      <c r="Q1283" s="48"/>
      <c r="R1283" s="11"/>
      <c r="S1283" s="48"/>
      <c r="T1283" s="85"/>
      <c r="U1283" s="88"/>
      <c r="V1283" s="32"/>
      <c r="W1283" s="25" t="s">
        <v>10</v>
      </c>
      <c r="X1283" s="11"/>
      <c r="Y1283" s="50" t="s">
        <v>11</v>
      </c>
      <c r="Z1283" s="50"/>
      <c r="AA1283" s="50"/>
      <c r="AB1283" s="50"/>
      <c r="AC1283" s="50"/>
      <c r="AD1283" s="50"/>
      <c r="AE1283" s="50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65"/>
      <c r="AP1283" s="69"/>
      <c r="AQ1283" s="62"/>
      <c r="AR1283" s="34"/>
    </row>
    <row r="1284" spans="1:44" customFormat="1">
      <c r="A1284" s="39">
        <v>44807</v>
      </c>
      <c r="B1284" s="11" t="s">
        <v>2171</v>
      </c>
      <c r="C1284" s="16" t="s">
        <v>3344</v>
      </c>
      <c r="D1284" s="16"/>
      <c r="E1284" s="38">
        <v>36547</v>
      </c>
      <c r="F1284" s="38"/>
      <c r="G1284" s="10" t="s">
        <v>5349</v>
      </c>
      <c r="H1284" s="12" t="s">
        <v>1588</v>
      </c>
      <c r="I1284" s="13">
        <v>3.3</v>
      </c>
      <c r="J1284" s="15" t="s">
        <v>5350</v>
      </c>
      <c r="K1284" s="12"/>
      <c r="L1284" s="11" t="s">
        <v>38</v>
      </c>
      <c r="M1284" s="15"/>
      <c r="N1284" s="17">
        <v>3300</v>
      </c>
      <c r="O1284" s="17"/>
      <c r="P1284" s="17"/>
      <c r="Q1284" s="48"/>
      <c r="R1284" s="11"/>
      <c r="S1284" s="48"/>
      <c r="T1284" s="85"/>
      <c r="U1284" s="88"/>
      <c r="V1284" s="32" t="s">
        <v>5352</v>
      </c>
      <c r="W1284" s="25" t="s">
        <v>8</v>
      </c>
      <c r="X1284" s="11"/>
      <c r="Y1284" s="50"/>
      <c r="Z1284" s="50"/>
      <c r="AA1284" s="50"/>
      <c r="AB1284" s="50"/>
      <c r="AC1284" s="50"/>
      <c r="AD1284" s="50"/>
      <c r="AE1284" s="50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65"/>
      <c r="AP1284" s="69"/>
      <c r="AQ1284" s="62"/>
      <c r="AR1284" s="34"/>
    </row>
    <row r="1285" spans="1:44" customFormat="1">
      <c r="A1285" s="39">
        <v>44807</v>
      </c>
      <c r="B1285" s="11" t="s">
        <v>2171</v>
      </c>
      <c r="C1285" s="16" t="s">
        <v>5351</v>
      </c>
      <c r="D1285" s="16"/>
      <c r="E1285" s="38"/>
      <c r="F1285" s="38"/>
      <c r="G1285" s="10"/>
      <c r="H1285" s="12"/>
      <c r="I1285" s="13"/>
      <c r="J1285" s="15"/>
      <c r="K1285" s="12"/>
      <c r="L1285" s="11"/>
      <c r="M1285" s="15"/>
      <c r="N1285" s="17">
        <v>3300</v>
      </c>
      <c r="O1285" s="17"/>
      <c r="P1285" s="17"/>
      <c r="Q1285" s="48"/>
      <c r="R1285" s="11"/>
      <c r="S1285" s="48"/>
      <c r="T1285" s="85"/>
      <c r="U1285" s="88"/>
      <c r="V1285" s="32" t="s">
        <v>5353</v>
      </c>
      <c r="W1285" s="25" t="s">
        <v>8</v>
      </c>
      <c r="X1285" s="11"/>
      <c r="Y1285" s="50"/>
      <c r="Z1285" s="50"/>
      <c r="AA1285" s="50"/>
      <c r="AB1285" s="50"/>
      <c r="AC1285" s="50"/>
      <c r="AD1285" s="50"/>
      <c r="AE1285" s="50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65"/>
      <c r="AP1285" s="69"/>
      <c r="AQ1285" s="62"/>
      <c r="AR1285" s="34"/>
    </row>
    <row r="1286" spans="1:44" customFormat="1">
      <c r="A1286" s="39">
        <v>44809</v>
      </c>
      <c r="B1286" s="11" t="s">
        <v>22</v>
      </c>
      <c r="C1286" s="16" t="s">
        <v>5354</v>
      </c>
      <c r="D1286" s="16"/>
      <c r="E1286" s="38">
        <v>1975</v>
      </c>
      <c r="F1286" s="38"/>
      <c r="G1286" s="10" t="s">
        <v>5359</v>
      </c>
      <c r="H1286" s="12" t="s">
        <v>5355</v>
      </c>
      <c r="I1286" s="13" t="s">
        <v>5356</v>
      </c>
      <c r="J1286" s="15" t="s">
        <v>5358</v>
      </c>
      <c r="K1286" s="14" t="s">
        <v>5357</v>
      </c>
      <c r="L1286" s="11" t="s">
        <v>33</v>
      </c>
      <c r="M1286" s="15" t="s">
        <v>3629</v>
      </c>
      <c r="N1286" s="17">
        <v>3300</v>
      </c>
      <c r="O1286" s="17"/>
      <c r="P1286" s="17"/>
      <c r="Q1286" s="48"/>
      <c r="R1286" s="11"/>
      <c r="S1286" s="48"/>
      <c r="T1286" s="85" t="s">
        <v>8079</v>
      </c>
      <c r="U1286" s="91">
        <v>44809</v>
      </c>
      <c r="V1286" s="32"/>
      <c r="W1286" s="25" t="s">
        <v>10</v>
      </c>
      <c r="X1286" s="11"/>
      <c r="Y1286" s="50" t="s">
        <v>19</v>
      </c>
      <c r="Z1286" s="50"/>
      <c r="AA1286" s="50"/>
      <c r="AB1286" s="50"/>
      <c r="AC1286" s="50"/>
      <c r="AD1286" s="50"/>
      <c r="AE1286" s="50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65"/>
      <c r="AP1286" s="69"/>
      <c r="AQ1286" s="62" t="s">
        <v>8079</v>
      </c>
      <c r="AR1286" s="80">
        <v>44809</v>
      </c>
    </row>
    <row r="1287" spans="1:44" customFormat="1">
      <c r="A1287" s="39">
        <v>44812</v>
      </c>
      <c r="B1287" s="11" t="s">
        <v>22</v>
      </c>
      <c r="C1287" s="16" t="s">
        <v>5366</v>
      </c>
      <c r="D1287" s="16"/>
      <c r="E1287" s="38">
        <v>34932</v>
      </c>
      <c r="F1287" s="38"/>
      <c r="G1287" s="10" t="s">
        <v>448</v>
      </c>
      <c r="H1287" s="12" t="s">
        <v>5367</v>
      </c>
      <c r="I1287" s="13" t="s">
        <v>4951</v>
      </c>
      <c r="J1287" s="15" t="s">
        <v>5368</v>
      </c>
      <c r="K1287" s="12"/>
      <c r="L1287" s="11" t="s">
        <v>33</v>
      </c>
      <c r="M1287" s="15" t="s">
        <v>3629</v>
      </c>
      <c r="N1287" s="17">
        <v>3300</v>
      </c>
      <c r="O1287" s="17"/>
      <c r="P1287" s="17"/>
      <c r="Q1287" s="48"/>
      <c r="R1287" s="11"/>
      <c r="S1287" s="48"/>
      <c r="T1287" s="85" t="s">
        <v>8079</v>
      </c>
      <c r="U1287" s="91">
        <v>44814</v>
      </c>
      <c r="V1287" s="32"/>
      <c r="W1287" s="25" t="s">
        <v>48</v>
      </c>
      <c r="X1287" s="11"/>
      <c r="Y1287" s="50" t="s">
        <v>15</v>
      </c>
      <c r="Z1287" s="50"/>
      <c r="AA1287" s="50"/>
      <c r="AB1287" s="50"/>
      <c r="AC1287" s="50"/>
      <c r="AD1287" s="50"/>
      <c r="AE1287" s="50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65"/>
      <c r="AP1287" s="69"/>
      <c r="AQ1287" s="62"/>
      <c r="AR1287" s="80"/>
    </row>
    <row r="1288" spans="1:44" customFormat="1">
      <c r="A1288" s="39">
        <v>44812</v>
      </c>
      <c r="B1288" s="11" t="s">
        <v>22</v>
      </c>
      <c r="C1288" s="16" t="s">
        <v>5369</v>
      </c>
      <c r="D1288" s="16"/>
      <c r="E1288" s="38">
        <v>29183</v>
      </c>
      <c r="F1288" s="38"/>
      <c r="G1288" s="10" t="s">
        <v>4388</v>
      </c>
      <c r="H1288" s="12" t="s">
        <v>8081</v>
      </c>
      <c r="I1288" s="13" t="s">
        <v>1693</v>
      </c>
      <c r="J1288" s="15" t="s">
        <v>5360</v>
      </c>
      <c r="K1288" s="12"/>
      <c r="L1288" s="11" t="s">
        <v>36</v>
      </c>
      <c r="M1288" s="15" t="s">
        <v>3629</v>
      </c>
      <c r="N1288" s="17">
        <v>3300</v>
      </c>
      <c r="O1288" s="17"/>
      <c r="P1288" s="17"/>
      <c r="Q1288" s="48"/>
      <c r="R1288" s="11"/>
      <c r="S1288" s="48"/>
      <c r="T1288" s="85"/>
      <c r="U1288" s="91"/>
      <c r="V1288" s="32"/>
      <c r="W1288" s="25" t="s">
        <v>48</v>
      </c>
      <c r="X1288" s="11"/>
      <c r="Y1288" s="50" t="s">
        <v>11</v>
      </c>
      <c r="Z1288" s="50"/>
      <c r="AA1288" s="50"/>
      <c r="AB1288" s="50"/>
      <c r="AC1288" s="50"/>
      <c r="AD1288" s="50"/>
      <c r="AE1288" s="50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65"/>
      <c r="AP1288" s="69"/>
      <c r="AQ1288" s="62"/>
      <c r="AR1288" s="80"/>
    </row>
    <row r="1289" spans="1:44" customFormat="1">
      <c r="A1289" s="39">
        <v>44812</v>
      </c>
      <c r="B1289" s="11" t="s">
        <v>22</v>
      </c>
      <c r="C1289" s="16" t="s">
        <v>5361</v>
      </c>
      <c r="D1289" s="16"/>
      <c r="E1289" s="38">
        <v>32086</v>
      </c>
      <c r="F1289" s="38"/>
      <c r="G1289" s="10" t="s">
        <v>5362</v>
      </c>
      <c r="H1289" s="12" t="s">
        <v>5363</v>
      </c>
      <c r="I1289" s="13" t="s">
        <v>4722</v>
      </c>
      <c r="J1289" s="15" t="s">
        <v>5365</v>
      </c>
      <c r="K1289" s="14" t="s">
        <v>5364</v>
      </c>
      <c r="L1289" s="11" t="s">
        <v>36</v>
      </c>
      <c r="M1289" s="15" t="s">
        <v>3584</v>
      </c>
      <c r="N1289" s="17">
        <v>3300</v>
      </c>
      <c r="O1289" s="17"/>
      <c r="P1289" s="17"/>
      <c r="Q1289" s="48"/>
      <c r="R1289" s="11"/>
      <c r="S1289" s="48"/>
      <c r="T1289" s="85"/>
      <c r="U1289" s="91"/>
      <c r="V1289" s="32"/>
      <c r="W1289" s="25" t="s">
        <v>8</v>
      </c>
      <c r="X1289" s="11"/>
      <c r="Y1289" s="50" t="s">
        <v>15</v>
      </c>
      <c r="Z1289" s="50"/>
      <c r="AA1289" s="50"/>
      <c r="AB1289" s="50"/>
      <c r="AC1289" s="50"/>
      <c r="AD1289" s="50"/>
      <c r="AE1289" s="50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65"/>
      <c r="AP1289" s="69"/>
      <c r="AQ1289" s="62" t="s">
        <v>8079</v>
      </c>
      <c r="AR1289" s="80">
        <v>44814</v>
      </c>
    </row>
    <row r="1290" spans="1:44" customFormat="1">
      <c r="A1290" s="39">
        <v>44814</v>
      </c>
      <c r="B1290" s="11" t="s">
        <v>49</v>
      </c>
      <c r="C1290" s="16" t="s">
        <v>5370</v>
      </c>
      <c r="D1290" s="16"/>
      <c r="E1290" s="38">
        <v>26761</v>
      </c>
      <c r="F1290" s="38"/>
      <c r="G1290" s="10" t="s">
        <v>2201</v>
      </c>
      <c r="H1290" s="12" t="s">
        <v>5371</v>
      </c>
      <c r="I1290" s="13" t="s">
        <v>3135</v>
      </c>
      <c r="J1290" s="15" t="s">
        <v>5373</v>
      </c>
      <c r="K1290" s="14" t="s">
        <v>5372</v>
      </c>
      <c r="L1290" s="11" t="s">
        <v>35</v>
      </c>
      <c r="M1290" s="15" t="s">
        <v>3599</v>
      </c>
      <c r="N1290" s="17">
        <v>16500</v>
      </c>
      <c r="O1290" s="17"/>
      <c r="P1290" s="17"/>
      <c r="Q1290" s="48"/>
      <c r="R1290" s="11"/>
      <c r="S1290" s="48"/>
      <c r="T1290" s="85"/>
      <c r="U1290" s="88"/>
      <c r="V1290" s="32"/>
      <c r="W1290" s="25" t="s">
        <v>8</v>
      </c>
      <c r="X1290" s="11"/>
      <c r="Y1290" s="50" t="s">
        <v>13</v>
      </c>
      <c r="Z1290" s="50"/>
      <c r="AA1290" s="50"/>
      <c r="AB1290" s="50"/>
      <c r="AC1290" s="50"/>
      <c r="AD1290" s="50"/>
      <c r="AE1290" s="50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65"/>
      <c r="AP1290" s="69"/>
      <c r="AQ1290" s="62"/>
      <c r="AR1290" s="34"/>
    </row>
    <row r="1291" spans="1:44" customFormat="1">
      <c r="A1291" s="39">
        <v>44814</v>
      </c>
      <c r="B1291" s="11" t="s">
        <v>22</v>
      </c>
      <c r="C1291" s="16" t="s">
        <v>5379</v>
      </c>
      <c r="D1291" s="16"/>
      <c r="E1291" s="38">
        <v>33092</v>
      </c>
      <c r="F1291" s="38"/>
      <c r="G1291" s="10" t="s">
        <v>5380</v>
      </c>
      <c r="H1291" s="12" t="s">
        <v>5381</v>
      </c>
      <c r="I1291" s="13">
        <v>58</v>
      </c>
      <c r="J1291" s="15" t="s">
        <v>5383</v>
      </c>
      <c r="K1291" s="14" t="s">
        <v>5382</v>
      </c>
      <c r="L1291" s="11" t="s">
        <v>36</v>
      </c>
      <c r="M1291" s="15" t="s">
        <v>3584</v>
      </c>
      <c r="N1291" s="17">
        <v>3300</v>
      </c>
      <c r="O1291" s="17"/>
      <c r="P1291" s="17"/>
      <c r="Q1291" s="48"/>
      <c r="R1291" s="11"/>
      <c r="S1291" s="48"/>
      <c r="T1291" s="85"/>
      <c r="U1291" s="91"/>
      <c r="V1291" s="32"/>
      <c r="W1291" s="25" t="s">
        <v>48</v>
      </c>
      <c r="X1291" s="11"/>
      <c r="Y1291" s="50" t="s">
        <v>12</v>
      </c>
      <c r="Z1291" s="50"/>
      <c r="AA1291" s="50"/>
      <c r="AB1291" s="50"/>
      <c r="AC1291" s="50"/>
      <c r="AD1291" s="50"/>
      <c r="AE1291" s="50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65"/>
      <c r="AP1291" s="69"/>
      <c r="AQ1291" s="62"/>
      <c r="AR1291" s="34"/>
    </row>
    <row r="1292" spans="1:44" customFormat="1">
      <c r="A1292" s="39">
        <v>44815</v>
      </c>
      <c r="B1292" s="11" t="s">
        <v>49</v>
      </c>
      <c r="C1292" s="16" t="s">
        <v>5374</v>
      </c>
      <c r="D1292" s="16"/>
      <c r="E1292" s="38">
        <v>25384</v>
      </c>
      <c r="F1292" s="38"/>
      <c r="G1292" s="10" t="s">
        <v>551</v>
      </c>
      <c r="H1292" s="12" t="s">
        <v>5375</v>
      </c>
      <c r="I1292" s="13">
        <v>2.5</v>
      </c>
      <c r="J1292" s="15" t="s">
        <v>5377</v>
      </c>
      <c r="K1292" s="14" t="s">
        <v>5376</v>
      </c>
      <c r="L1292" s="11" t="s">
        <v>35</v>
      </c>
      <c r="M1292" s="15" t="s">
        <v>3584</v>
      </c>
      <c r="N1292" s="17">
        <v>11000</v>
      </c>
      <c r="O1292" s="17"/>
      <c r="P1292" s="17"/>
      <c r="Q1292" s="48"/>
      <c r="R1292" s="11"/>
      <c r="S1292" s="48"/>
      <c r="T1292" s="85"/>
      <c r="U1292" s="88"/>
      <c r="V1292" s="32" t="s">
        <v>5378</v>
      </c>
      <c r="W1292" s="25" t="s">
        <v>10</v>
      </c>
      <c r="X1292" s="11"/>
      <c r="Y1292" s="50" t="s">
        <v>12</v>
      </c>
      <c r="Z1292" s="50"/>
      <c r="AA1292" s="50"/>
      <c r="AB1292" s="50"/>
      <c r="AC1292" s="50"/>
      <c r="AD1292" s="50"/>
      <c r="AE1292" s="50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65"/>
      <c r="AP1292" s="69"/>
      <c r="AQ1292" s="62"/>
      <c r="AR1292" s="80"/>
    </row>
    <row r="1293" spans="1:44" customFormat="1">
      <c r="A1293" s="39">
        <v>44816</v>
      </c>
      <c r="B1293" s="11" t="s">
        <v>22</v>
      </c>
      <c r="C1293" s="16" t="s">
        <v>5389</v>
      </c>
      <c r="D1293" s="16"/>
      <c r="E1293" s="38">
        <v>32066</v>
      </c>
      <c r="F1293" s="38"/>
      <c r="G1293" s="10" t="s">
        <v>4431</v>
      </c>
      <c r="H1293" s="12" t="s">
        <v>5390</v>
      </c>
      <c r="I1293" s="13" t="s">
        <v>3149</v>
      </c>
      <c r="J1293" s="15" t="s">
        <v>5392</v>
      </c>
      <c r="K1293" s="14" t="s">
        <v>5391</v>
      </c>
      <c r="L1293" s="11" t="s">
        <v>36</v>
      </c>
      <c r="M1293" s="15" t="s">
        <v>3599</v>
      </c>
      <c r="N1293" s="17">
        <v>3300</v>
      </c>
      <c r="O1293" s="17"/>
      <c r="P1293" s="17"/>
      <c r="Q1293" s="48"/>
      <c r="R1293" s="11"/>
      <c r="S1293" s="48"/>
      <c r="T1293" s="85" t="s">
        <v>8079</v>
      </c>
      <c r="U1293" s="91">
        <v>44822</v>
      </c>
      <c r="V1293" s="32"/>
      <c r="W1293" s="25" t="s">
        <v>48</v>
      </c>
      <c r="X1293" s="11"/>
      <c r="Y1293" s="50" t="s">
        <v>11</v>
      </c>
      <c r="Z1293" s="50"/>
      <c r="AA1293" s="50"/>
      <c r="AB1293" s="50"/>
      <c r="AC1293" s="50"/>
      <c r="AD1293" s="50"/>
      <c r="AE1293" s="50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65"/>
      <c r="AP1293" s="69"/>
      <c r="AQ1293" s="62"/>
      <c r="AR1293" s="34"/>
    </row>
    <row r="1294" spans="1:44" customFormat="1">
      <c r="A1294" s="39">
        <v>44816</v>
      </c>
      <c r="B1294" s="11" t="s">
        <v>49</v>
      </c>
      <c r="C1294" s="16" t="s">
        <v>5384</v>
      </c>
      <c r="D1294" s="16"/>
      <c r="E1294" s="38">
        <v>26467</v>
      </c>
      <c r="F1294" s="38"/>
      <c r="G1294" s="10" t="s">
        <v>5385</v>
      </c>
      <c r="H1294" s="12" t="s">
        <v>5386</v>
      </c>
      <c r="I1294" s="13" t="s">
        <v>5387</v>
      </c>
      <c r="J1294" s="15" t="s">
        <v>5388</v>
      </c>
      <c r="K1294" s="12"/>
      <c r="L1294" s="11" t="s">
        <v>36</v>
      </c>
      <c r="M1294" s="15" t="s">
        <v>3680</v>
      </c>
      <c r="N1294" s="17">
        <v>22000</v>
      </c>
      <c r="O1294" s="17"/>
      <c r="P1294" s="17"/>
      <c r="Q1294" s="48"/>
      <c r="R1294" s="11"/>
      <c r="S1294" s="48"/>
      <c r="T1294" s="85" t="s">
        <v>8073</v>
      </c>
      <c r="U1294" s="88"/>
      <c r="V1294" s="32"/>
      <c r="W1294" s="25" t="s">
        <v>48</v>
      </c>
      <c r="X1294" s="11"/>
      <c r="Y1294" s="50" t="s">
        <v>13</v>
      </c>
      <c r="Z1294" s="50"/>
      <c r="AA1294" s="50"/>
      <c r="AB1294" s="50"/>
      <c r="AC1294" s="50"/>
      <c r="AD1294" s="50"/>
      <c r="AE1294" s="50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65"/>
      <c r="AP1294" s="69"/>
      <c r="AQ1294" s="62" t="s">
        <v>8079</v>
      </c>
      <c r="AR1294" s="80">
        <v>44822</v>
      </c>
    </row>
    <row r="1295" spans="1:44" customFormat="1">
      <c r="A1295" s="39">
        <v>44818</v>
      </c>
      <c r="B1295" s="11" t="s">
        <v>49</v>
      </c>
      <c r="C1295" s="16" t="s">
        <v>5393</v>
      </c>
      <c r="D1295" s="16"/>
      <c r="E1295" s="38">
        <v>30740</v>
      </c>
      <c r="F1295" s="38"/>
      <c r="G1295" s="10" t="s">
        <v>5396</v>
      </c>
      <c r="H1295" s="12" t="s">
        <v>5394</v>
      </c>
      <c r="I1295" s="13" t="s">
        <v>5395</v>
      </c>
      <c r="J1295" s="15" t="s">
        <v>5397</v>
      </c>
      <c r="K1295" s="12"/>
      <c r="L1295" s="11" t="s">
        <v>36</v>
      </c>
      <c r="M1295" s="15" t="s">
        <v>3599</v>
      </c>
      <c r="N1295" s="17">
        <v>16500</v>
      </c>
      <c r="O1295" s="17"/>
      <c r="P1295" s="17"/>
      <c r="Q1295" s="48"/>
      <c r="R1295" s="11"/>
      <c r="S1295" s="48"/>
      <c r="T1295" s="85"/>
      <c r="U1295" s="88"/>
      <c r="V1295" s="32"/>
      <c r="W1295" s="25" t="s">
        <v>48</v>
      </c>
      <c r="X1295" s="11"/>
      <c r="Y1295" s="50"/>
      <c r="Z1295" s="50"/>
      <c r="AA1295" s="50"/>
      <c r="AB1295" s="50"/>
      <c r="AC1295" s="50"/>
      <c r="AD1295" s="50"/>
      <c r="AE1295" s="50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65"/>
      <c r="AP1295" s="69"/>
      <c r="AQ1295" s="62"/>
      <c r="AR1295" s="34"/>
    </row>
    <row r="1296" spans="1:44" customFormat="1">
      <c r="A1296" s="39">
        <v>44821</v>
      </c>
      <c r="B1296" s="11" t="s">
        <v>49</v>
      </c>
      <c r="C1296" s="16" t="s">
        <v>5398</v>
      </c>
      <c r="D1296" s="16"/>
      <c r="E1296" s="38">
        <v>29520</v>
      </c>
      <c r="F1296" s="38"/>
      <c r="G1296" s="10" t="s">
        <v>5399</v>
      </c>
      <c r="H1296" s="12" t="s">
        <v>5400</v>
      </c>
      <c r="I1296" s="13" t="s">
        <v>5402</v>
      </c>
      <c r="J1296" s="15" t="s">
        <v>5401</v>
      </c>
      <c r="K1296" s="12"/>
      <c r="L1296" s="11" t="s">
        <v>36</v>
      </c>
      <c r="M1296" s="15"/>
      <c r="N1296" s="17">
        <v>22000</v>
      </c>
      <c r="O1296" s="17"/>
      <c r="P1296" s="17"/>
      <c r="Q1296" s="48"/>
      <c r="R1296" s="11"/>
      <c r="S1296" s="48"/>
      <c r="T1296" s="85" t="s">
        <v>8073</v>
      </c>
      <c r="U1296" s="88"/>
      <c r="V1296" s="32"/>
      <c r="W1296" s="25" t="s">
        <v>48</v>
      </c>
      <c r="X1296" s="11"/>
      <c r="Y1296" s="50" t="s">
        <v>12</v>
      </c>
      <c r="Z1296" s="50"/>
      <c r="AA1296" s="50"/>
      <c r="AB1296" s="50"/>
      <c r="AC1296" s="50"/>
      <c r="AD1296" s="50"/>
      <c r="AE1296" s="50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65"/>
      <c r="AP1296" s="69"/>
      <c r="AQ1296" s="62"/>
      <c r="AR1296" s="34"/>
    </row>
    <row r="1297" spans="1:44" customFormat="1">
      <c r="A1297" s="39">
        <v>44821</v>
      </c>
      <c r="B1297" s="11" t="s">
        <v>49</v>
      </c>
      <c r="C1297" s="16" t="s">
        <v>5403</v>
      </c>
      <c r="D1297" s="16"/>
      <c r="E1297" s="38">
        <v>21317</v>
      </c>
      <c r="F1297" s="38"/>
      <c r="G1297" s="10" t="s">
        <v>1524</v>
      </c>
      <c r="H1297" s="12" t="s">
        <v>5404</v>
      </c>
      <c r="I1297" s="13">
        <v>30.1</v>
      </c>
      <c r="J1297" s="15" t="s">
        <v>5406</v>
      </c>
      <c r="K1297" s="14" t="s">
        <v>5405</v>
      </c>
      <c r="L1297" s="11" t="s">
        <v>37</v>
      </c>
      <c r="M1297" s="15" t="s">
        <v>3584</v>
      </c>
      <c r="N1297" s="17">
        <v>8250</v>
      </c>
      <c r="O1297" s="17"/>
      <c r="P1297" s="17"/>
      <c r="Q1297" s="48"/>
      <c r="R1297" s="11"/>
      <c r="S1297" s="48"/>
      <c r="T1297" s="85" t="s">
        <v>8073</v>
      </c>
      <c r="U1297" s="88"/>
      <c r="V1297" s="32" t="s">
        <v>5412</v>
      </c>
      <c r="W1297" s="25" t="s">
        <v>8</v>
      </c>
      <c r="X1297" s="11"/>
      <c r="Y1297" s="50" t="s">
        <v>13</v>
      </c>
      <c r="Z1297" s="50"/>
      <c r="AA1297" s="50"/>
      <c r="AB1297" s="50"/>
      <c r="AC1297" s="50"/>
      <c r="AD1297" s="50"/>
      <c r="AE1297" s="50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65"/>
      <c r="AP1297" s="69"/>
      <c r="AQ1297" s="62"/>
      <c r="AR1297" s="34"/>
    </row>
    <row r="1298" spans="1:44" customFormat="1">
      <c r="A1298" s="39">
        <v>44821</v>
      </c>
      <c r="B1298" s="11" t="s">
        <v>49</v>
      </c>
      <c r="C1298" s="16" t="s">
        <v>5407</v>
      </c>
      <c r="D1298" s="16"/>
      <c r="E1298" s="38">
        <v>23327</v>
      </c>
      <c r="F1298" s="38"/>
      <c r="G1298" s="10" t="s">
        <v>5408</v>
      </c>
      <c r="H1298" s="12" t="s">
        <v>5409</v>
      </c>
      <c r="I1298" s="13">
        <v>57.5</v>
      </c>
      <c r="J1298" s="15" t="s">
        <v>5411</v>
      </c>
      <c r="K1298" s="14" t="s">
        <v>5410</v>
      </c>
      <c r="L1298" s="11" t="s">
        <v>36</v>
      </c>
      <c r="M1298" s="15" t="s">
        <v>3584</v>
      </c>
      <c r="N1298" s="17">
        <v>11000</v>
      </c>
      <c r="O1298" s="17"/>
      <c r="P1298" s="17"/>
      <c r="Q1298" s="48"/>
      <c r="R1298" s="11"/>
      <c r="S1298" s="48"/>
      <c r="T1298" s="85" t="s">
        <v>8073</v>
      </c>
      <c r="U1298" s="88"/>
      <c r="V1298" s="32" t="s">
        <v>5413</v>
      </c>
      <c r="W1298" s="25" t="s">
        <v>8</v>
      </c>
      <c r="X1298" s="11"/>
      <c r="Y1298" s="50" t="s">
        <v>13</v>
      </c>
      <c r="Z1298" s="50"/>
      <c r="AA1298" s="50"/>
      <c r="AB1298" s="50"/>
      <c r="AC1298" s="50"/>
      <c r="AD1298" s="50"/>
      <c r="AE1298" s="50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65"/>
      <c r="AP1298" s="69"/>
      <c r="AQ1298" s="62"/>
      <c r="AR1298" s="34"/>
    </row>
    <row r="1299" spans="1:44" customFormat="1">
      <c r="A1299" s="39">
        <v>44823</v>
      </c>
      <c r="B1299" s="11" t="s">
        <v>24</v>
      </c>
      <c r="C1299" s="16" t="s">
        <v>5414</v>
      </c>
      <c r="D1299" s="16"/>
      <c r="E1299" s="38">
        <v>32311</v>
      </c>
      <c r="F1299" s="38"/>
      <c r="G1299" s="10" t="s">
        <v>5415</v>
      </c>
      <c r="H1299" s="12" t="s">
        <v>5416</v>
      </c>
      <c r="I1299" s="13" t="s">
        <v>5188</v>
      </c>
      <c r="J1299" s="15" t="s">
        <v>5417</v>
      </c>
      <c r="K1299" s="12"/>
      <c r="L1299" s="11" t="s">
        <v>34</v>
      </c>
      <c r="M1299" s="15" t="s">
        <v>3629</v>
      </c>
      <c r="N1299" s="17">
        <v>8800</v>
      </c>
      <c r="O1299" s="17"/>
      <c r="P1299" s="17"/>
      <c r="Q1299" s="48"/>
      <c r="R1299" s="11"/>
      <c r="S1299" s="48"/>
      <c r="T1299" s="85"/>
      <c r="U1299" s="88"/>
      <c r="V1299" s="32" t="s">
        <v>5418</v>
      </c>
      <c r="W1299" s="25" t="s">
        <v>10</v>
      </c>
      <c r="X1299" s="11"/>
      <c r="Y1299" s="50" t="s">
        <v>12</v>
      </c>
      <c r="Z1299" s="50"/>
      <c r="AA1299" s="50"/>
      <c r="AB1299" s="50"/>
      <c r="AC1299" s="50"/>
      <c r="AD1299" s="50"/>
      <c r="AE1299" s="50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65"/>
      <c r="AP1299" s="69"/>
      <c r="AQ1299" s="62"/>
      <c r="AR1299" s="34"/>
    </row>
    <row r="1300" spans="1:44" customFormat="1">
      <c r="A1300" s="39">
        <v>44823</v>
      </c>
      <c r="B1300" s="11" t="s">
        <v>49</v>
      </c>
      <c r="C1300" s="16" t="s">
        <v>4308</v>
      </c>
      <c r="D1300" s="16"/>
      <c r="E1300" s="38">
        <v>23128</v>
      </c>
      <c r="F1300" s="38"/>
      <c r="G1300" s="10" t="s">
        <v>4309</v>
      </c>
      <c r="H1300" s="12" t="s">
        <v>4310</v>
      </c>
      <c r="I1300" s="13" t="s">
        <v>2865</v>
      </c>
      <c r="J1300" s="15" t="s">
        <v>4312</v>
      </c>
      <c r="K1300" s="14" t="s">
        <v>4311</v>
      </c>
      <c r="L1300" s="11" t="s">
        <v>36</v>
      </c>
      <c r="M1300" s="15" t="s">
        <v>3584</v>
      </c>
      <c r="N1300" s="17">
        <v>14850</v>
      </c>
      <c r="O1300" s="17"/>
      <c r="P1300" s="17"/>
      <c r="Q1300" s="48"/>
      <c r="R1300" s="11"/>
      <c r="S1300" s="48"/>
      <c r="T1300" s="85"/>
      <c r="U1300" s="88"/>
      <c r="V1300" s="32" t="s">
        <v>5419</v>
      </c>
      <c r="W1300" s="25" t="s">
        <v>8</v>
      </c>
      <c r="X1300" s="11"/>
      <c r="Y1300" s="50" t="s">
        <v>12</v>
      </c>
      <c r="Z1300" s="50"/>
      <c r="AA1300" s="50"/>
      <c r="AB1300" s="50"/>
      <c r="AC1300" s="50"/>
      <c r="AD1300" s="50"/>
      <c r="AE1300" s="50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65"/>
      <c r="AP1300" s="69"/>
      <c r="AQ1300" s="62"/>
      <c r="AR1300" s="34"/>
    </row>
    <row r="1301" spans="1:44" customFormat="1">
      <c r="A1301" s="39">
        <v>44825</v>
      </c>
      <c r="B1301" s="11" t="s">
        <v>49</v>
      </c>
      <c r="C1301" s="16" t="s">
        <v>2508</v>
      </c>
      <c r="D1301" s="16"/>
      <c r="E1301" s="38">
        <v>26360</v>
      </c>
      <c r="F1301" s="38"/>
      <c r="G1301" s="10" t="s">
        <v>2511</v>
      </c>
      <c r="H1301" s="12" t="s">
        <v>2512</v>
      </c>
      <c r="I1301" s="13" t="s">
        <v>2513</v>
      </c>
      <c r="J1301" s="15" t="s">
        <v>2517</v>
      </c>
      <c r="K1301" s="14" t="s">
        <v>2515</v>
      </c>
      <c r="L1301" s="11" t="s">
        <v>33</v>
      </c>
      <c r="M1301" s="15"/>
      <c r="N1301" s="17">
        <v>16500</v>
      </c>
      <c r="O1301" s="17"/>
      <c r="P1301" s="17"/>
      <c r="Q1301" s="48"/>
      <c r="R1301" s="11"/>
      <c r="S1301" s="48"/>
      <c r="T1301" s="85" t="s">
        <v>8073</v>
      </c>
      <c r="U1301" s="88"/>
      <c r="V1301" s="32" t="s">
        <v>5420</v>
      </c>
      <c r="W1301" s="25" t="s">
        <v>8</v>
      </c>
      <c r="X1301" s="11"/>
      <c r="Y1301" s="50"/>
      <c r="Z1301" s="50"/>
      <c r="AA1301" s="50"/>
      <c r="AB1301" s="50"/>
      <c r="AC1301" s="50"/>
      <c r="AD1301" s="50"/>
      <c r="AE1301" s="50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65"/>
      <c r="AP1301" s="69"/>
      <c r="AQ1301" s="62"/>
      <c r="AR1301" s="34"/>
    </row>
    <row r="1302" spans="1:44" customFormat="1">
      <c r="A1302" s="39">
        <v>44825</v>
      </c>
      <c r="B1302" s="11" t="s">
        <v>49</v>
      </c>
      <c r="C1302" s="16" t="s">
        <v>5424</v>
      </c>
      <c r="D1302" s="16"/>
      <c r="E1302" s="38">
        <v>13299</v>
      </c>
      <c r="F1302" s="38"/>
      <c r="G1302" s="10" t="s">
        <v>130</v>
      </c>
      <c r="H1302" s="12" t="s">
        <v>5421</v>
      </c>
      <c r="I1302" s="13">
        <v>0.4</v>
      </c>
      <c r="J1302" s="15" t="s">
        <v>5423</v>
      </c>
      <c r="K1302" s="14" t="s">
        <v>5422</v>
      </c>
      <c r="L1302" s="11" t="s">
        <v>33</v>
      </c>
      <c r="M1302" s="15" t="s">
        <v>3599</v>
      </c>
      <c r="N1302" s="17">
        <v>16500</v>
      </c>
      <c r="O1302" s="17"/>
      <c r="P1302" s="17"/>
      <c r="Q1302" s="48"/>
      <c r="R1302" s="11"/>
      <c r="S1302" s="48"/>
      <c r="T1302" s="85" t="s">
        <v>8073</v>
      </c>
      <c r="U1302" s="88"/>
      <c r="V1302" s="32"/>
      <c r="W1302" s="25" t="s">
        <v>10</v>
      </c>
      <c r="X1302" s="11"/>
      <c r="Y1302" s="50" t="s">
        <v>18</v>
      </c>
      <c r="Z1302" s="50"/>
      <c r="AA1302" s="50"/>
      <c r="AB1302" s="50"/>
      <c r="AC1302" s="50"/>
      <c r="AD1302" s="50"/>
      <c r="AE1302" s="50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65"/>
      <c r="AP1302" s="69"/>
      <c r="AQ1302" s="62"/>
      <c r="AR1302" s="34"/>
    </row>
    <row r="1303" spans="1:44" customFormat="1">
      <c r="A1303" s="39">
        <v>44826</v>
      </c>
      <c r="B1303" s="11" t="s">
        <v>49</v>
      </c>
      <c r="C1303" s="16" t="s">
        <v>5384</v>
      </c>
      <c r="D1303" s="16"/>
      <c r="E1303" s="38">
        <v>26467</v>
      </c>
      <c r="F1303" s="38"/>
      <c r="G1303" s="10" t="s">
        <v>5425</v>
      </c>
      <c r="H1303" s="12" t="s">
        <v>5386</v>
      </c>
      <c r="I1303" s="13" t="s">
        <v>5426</v>
      </c>
      <c r="J1303" s="15" t="s">
        <v>5427</v>
      </c>
      <c r="K1303" s="12"/>
      <c r="L1303" s="11" t="s">
        <v>36</v>
      </c>
      <c r="M1303" s="15" t="s">
        <v>3680</v>
      </c>
      <c r="N1303" s="17">
        <v>16500</v>
      </c>
      <c r="O1303" s="17"/>
      <c r="P1303" s="17"/>
      <c r="Q1303" s="48"/>
      <c r="R1303" s="11"/>
      <c r="S1303" s="48"/>
      <c r="T1303" s="85" t="s">
        <v>8073</v>
      </c>
      <c r="U1303" s="88"/>
      <c r="V1303" s="32" t="s">
        <v>5428</v>
      </c>
      <c r="W1303" s="25" t="s">
        <v>48</v>
      </c>
      <c r="X1303" s="11"/>
      <c r="Y1303" s="50" t="s">
        <v>13</v>
      </c>
      <c r="Z1303" s="50"/>
      <c r="AA1303" s="50"/>
      <c r="AB1303" s="50"/>
      <c r="AC1303" s="50"/>
      <c r="AD1303" s="50"/>
      <c r="AE1303" s="50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65"/>
      <c r="AP1303" s="69"/>
      <c r="AQ1303" s="62"/>
      <c r="AR1303" s="34"/>
    </row>
    <row r="1304" spans="1:44" customFormat="1">
      <c r="A1304" s="39">
        <v>44826</v>
      </c>
      <c r="B1304" s="11" t="s">
        <v>49</v>
      </c>
      <c r="C1304" s="16" t="s">
        <v>4164</v>
      </c>
      <c r="D1304" s="16"/>
      <c r="E1304" s="38">
        <v>30230</v>
      </c>
      <c r="F1304" s="38"/>
      <c r="G1304" s="10" t="s">
        <v>4165</v>
      </c>
      <c r="H1304" s="12" t="s">
        <v>5429</v>
      </c>
      <c r="I1304" s="13">
        <v>24.8</v>
      </c>
      <c r="J1304" s="15" t="s">
        <v>4167</v>
      </c>
      <c r="K1304" s="12"/>
      <c r="L1304" s="11" t="s">
        <v>39</v>
      </c>
      <c r="M1304" s="15" t="s">
        <v>3599</v>
      </c>
      <c r="N1304" s="17">
        <v>14850</v>
      </c>
      <c r="O1304" s="17"/>
      <c r="P1304" s="17"/>
      <c r="Q1304" s="48"/>
      <c r="R1304" s="11"/>
      <c r="S1304" s="48"/>
      <c r="T1304" s="85" t="s">
        <v>8073</v>
      </c>
      <c r="U1304" s="88"/>
      <c r="V1304" s="32" t="s">
        <v>5162</v>
      </c>
      <c r="W1304" s="25" t="s">
        <v>8</v>
      </c>
      <c r="X1304" s="11"/>
      <c r="Y1304" s="50" t="s">
        <v>13</v>
      </c>
      <c r="Z1304" s="50"/>
      <c r="AA1304" s="50"/>
      <c r="AB1304" s="50"/>
      <c r="AC1304" s="50"/>
      <c r="AD1304" s="50"/>
      <c r="AE1304" s="50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65"/>
      <c r="AP1304" s="69"/>
      <c r="AQ1304" s="62"/>
      <c r="AR1304" s="34"/>
    </row>
    <row r="1305" spans="1:44" customFormat="1">
      <c r="A1305" s="39">
        <v>44826</v>
      </c>
      <c r="B1305" s="11" t="s">
        <v>22</v>
      </c>
      <c r="C1305" s="16" t="s">
        <v>5430</v>
      </c>
      <c r="D1305" s="16"/>
      <c r="E1305" s="38">
        <v>31869</v>
      </c>
      <c r="F1305" s="38"/>
      <c r="G1305" s="10" t="s">
        <v>4337</v>
      </c>
      <c r="H1305" s="12" t="s">
        <v>5431</v>
      </c>
      <c r="I1305" s="13">
        <v>8.1999999999999993</v>
      </c>
      <c r="J1305" s="15" t="s">
        <v>5432</v>
      </c>
      <c r="K1305" s="12"/>
      <c r="L1305" s="11" t="s">
        <v>36</v>
      </c>
      <c r="M1305" s="15" t="s">
        <v>3599</v>
      </c>
      <c r="N1305" s="17">
        <v>3300</v>
      </c>
      <c r="O1305" s="17"/>
      <c r="P1305" s="17"/>
      <c r="Q1305" s="48"/>
      <c r="R1305" s="11"/>
      <c r="S1305" s="48"/>
      <c r="T1305" s="85"/>
      <c r="U1305" s="91"/>
      <c r="V1305" s="32" t="s">
        <v>5162</v>
      </c>
      <c r="W1305" s="25" t="s">
        <v>8</v>
      </c>
      <c r="X1305" s="11"/>
      <c r="Y1305" s="50" t="s">
        <v>18</v>
      </c>
      <c r="Z1305" s="50"/>
      <c r="AA1305" s="50"/>
      <c r="AB1305" s="50"/>
      <c r="AC1305" s="50"/>
      <c r="AD1305" s="50"/>
      <c r="AE1305" s="50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65"/>
      <c r="AP1305" s="69"/>
      <c r="AQ1305" s="62"/>
      <c r="AR1305" s="80"/>
    </row>
    <row r="1306" spans="1:44" customFormat="1">
      <c r="A1306" s="39">
        <v>44827</v>
      </c>
      <c r="B1306" s="11" t="s">
        <v>22</v>
      </c>
      <c r="C1306" s="16" t="s">
        <v>5433</v>
      </c>
      <c r="D1306" s="16"/>
      <c r="E1306" s="38"/>
      <c r="F1306" s="38"/>
      <c r="G1306" s="10" t="s">
        <v>5434</v>
      </c>
      <c r="H1306" s="12" t="s">
        <v>5435</v>
      </c>
      <c r="I1306" s="13">
        <v>20.9</v>
      </c>
      <c r="J1306" s="15" t="s">
        <v>1772</v>
      </c>
      <c r="K1306" s="12"/>
      <c r="L1306" s="11"/>
      <c r="M1306" s="15"/>
      <c r="N1306" s="17">
        <v>7700</v>
      </c>
      <c r="O1306" s="17"/>
      <c r="P1306" s="17"/>
      <c r="Q1306" s="48"/>
      <c r="R1306" s="11"/>
      <c r="S1306" s="48"/>
      <c r="T1306" s="85"/>
      <c r="U1306" s="91"/>
      <c r="V1306" s="32" t="s">
        <v>5436</v>
      </c>
      <c r="W1306" s="25"/>
      <c r="X1306" s="11"/>
      <c r="Y1306" s="50"/>
      <c r="Z1306" s="50"/>
      <c r="AA1306" s="50"/>
      <c r="AB1306" s="50"/>
      <c r="AC1306" s="50"/>
      <c r="AD1306" s="50"/>
      <c r="AE1306" s="50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65"/>
      <c r="AP1306" s="69"/>
      <c r="AQ1306" s="62"/>
      <c r="AR1306" s="80"/>
    </row>
    <row r="1307" spans="1:44" customFormat="1">
      <c r="A1307" s="39">
        <v>44832</v>
      </c>
      <c r="B1307" s="11" t="s">
        <v>49</v>
      </c>
      <c r="C1307" s="16" t="s">
        <v>5437</v>
      </c>
      <c r="D1307" s="16"/>
      <c r="E1307" s="38">
        <v>36514</v>
      </c>
      <c r="F1307" s="38"/>
      <c r="G1307" s="10" t="s">
        <v>5438</v>
      </c>
      <c r="H1307" s="12" t="s">
        <v>5439</v>
      </c>
      <c r="I1307" s="13">
        <v>1557</v>
      </c>
      <c r="J1307" s="15" t="s">
        <v>5440</v>
      </c>
      <c r="K1307" s="12"/>
      <c r="L1307" s="11"/>
      <c r="M1307" s="15"/>
      <c r="N1307" s="17">
        <v>0</v>
      </c>
      <c r="O1307" s="17"/>
      <c r="P1307" s="17"/>
      <c r="Q1307" s="48"/>
      <c r="R1307" s="11"/>
      <c r="S1307" s="48"/>
      <c r="T1307" s="85"/>
      <c r="U1307" s="88"/>
      <c r="V1307" s="32" t="s">
        <v>5441</v>
      </c>
      <c r="W1307" s="25"/>
      <c r="X1307" s="11"/>
      <c r="Y1307" s="50"/>
      <c r="Z1307" s="50"/>
      <c r="AA1307" s="50"/>
      <c r="AB1307" s="50"/>
      <c r="AC1307" s="50"/>
      <c r="AD1307" s="50"/>
      <c r="AE1307" s="50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65"/>
      <c r="AP1307" s="69"/>
      <c r="AQ1307" s="62"/>
      <c r="AR1307" s="34"/>
    </row>
    <row r="1308" spans="1:44" customFormat="1">
      <c r="A1308" s="39">
        <v>44832</v>
      </c>
      <c r="B1308" s="11" t="s">
        <v>49</v>
      </c>
      <c r="C1308" s="16" t="s">
        <v>5442</v>
      </c>
      <c r="D1308" s="16"/>
      <c r="E1308" s="38">
        <v>18595</v>
      </c>
      <c r="F1308" s="38"/>
      <c r="G1308" s="10" t="s">
        <v>5443</v>
      </c>
      <c r="H1308" s="12" t="s">
        <v>5444</v>
      </c>
      <c r="I1308" s="13">
        <v>319</v>
      </c>
      <c r="J1308" s="15" t="s">
        <v>5445</v>
      </c>
      <c r="K1308" s="12"/>
      <c r="L1308" s="11" t="s">
        <v>33</v>
      </c>
      <c r="M1308" s="15" t="s">
        <v>3599</v>
      </c>
      <c r="N1308" s="17">
        <v>22000</v>
      </c>
      <c r="O1308" s="17"/>
      <c r="P1308" s="17"/>
      <c r="Q1308" s="48"/>
      <c r="R1308" s="11"/>
      <c r="S1308" s="48"/>
      <c r="T1308" s="85" t="s">
        <v>8073</v>
      </c>
      <c r="U1308" s="88"/>
      <c r="V1308" s="32"/>
      <c r="W1308" s="25" t="s">
        <v>48</v>
      </c>
      <c r="X1308" s="11"/>
      <c r="Y1308" s="50" t="s">
        <v>13</v>
      </c>
      <c r="Z1308" s="50"/>
      <c r="AA1308" s="50"/>
      <c r="AB1308" s="50"/>
      <c r="AC1308" s="50"/>
      <c r="AD1308" s="50"/>
      <c r="AE1308" s="50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65"/>
      <c r="AP1308" s="69"/>
      <c r="AQ1308" s="62"/>
      <c r="AR1308" s="34"/>
    </row>
    <row r="1309" spans="1:44" customFormat="1">
      <c r="A1309" s="39">
        <v>44832</v>
      </c>
      <c r="B1309" s="11" t="s">
        <v>49</v>
      </c>
      <c r="C1309" s="16" t="s">
        <v>5446</v>
      </c>
      <c r="D1309" s="16"/>
      <c r="E1309" s="38">
        <v>18651</v>
      </c>
      <c r="F1309" s="38"/>
      <c r="G1309" s="10" t="s">
        <v>5447</v>
      </c>
      <c r="H1309" s="12" t="s">
        <v>5448</v>
      </c>
      <c r="I1309" s="13">
        <v>322</v>
      </c>
      <c r="J1309" s="15" t="s">
        <v>5450</v>
      </c>
      <c r="K1309" s="14" t="s">
        <v>5449</v>
      </c>
      <c r="L1309" s="11" t="s">
        <v>34</v>
      </c>
      <c r="M1309" s="15" t="s">
        <v>3584</v>
      </c>
      <c r="N1309" s="17">
        <v>16500</v>
      </c>
      <c r="O1309" s="17"/>
      <c r="P1309" s="17"/>
      <c r="Q1309" s="48"/>
      <c r="R1309" s="11"/>
      <c r="S1309" s="48"/>
      <c r="T1309" s="85"/>
      <c r="U1309" s="88"/>
      <c r="V1309" s="32"/>
      <c r="W1309" s="25" t="s">
        <v>8</v>
      </c>
      <c r="X1309" s="11"/>
      <c r="Y1309" s="50" t="s">
        <v>12</v>
      </c>
      <c r="Z1309" s="50"/>
      <c r="AA1309" s="50"/>
      <c r="AB1309" s="50"/>
      <c r="AC1309" s="50"/>
      <c r="AD1309" s="50"/>
      <c r="AE1309" s="50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65"/>
      <c r="AP1309" s="69"/>
      <c r="AQ1309" s="62"/>
      <c r="AR1309" s="34"/>
    </row>
    <row r="1310" spans="1:44" customFormat="1">
      <c r="A1310" s="39">
        <v>44833</v>
      </c>
      <c r="B1310" s="11" t="s">
        <v>22</v>
      </c>
      <c r="C1310" s="16" t="s">
        <v>5451</v>
      </c>
      <c r="D1310" s="16"/>
      <c r="E1310" s="38">
        <v>16546</v>
      </c>
      <c r="F1310" s="38"/>
      <c r="G1310" s="10" t="s">
        <v>328</v>
      </c>
      <c r="H1310" s="12" t="s">
        <v>5452</v>
      </c>
      <c r="I1310" s="13" t="s">
        <v>1784</v>
      </c>
      <c r="J1310" s="15" t="s">
        <v>5453</v>
      </c>
      <c r="K1310" s="14" t="s">
        <v>5454</v>
      </c>
      <c r="L1310" s="11" t="s">
        <v>39</v>
      </c>
      <c r="M1310" s="15" t="s">
        <v>3584</v>
      </c>
      <c r="N1310" s="17">
        <v>3300</v>
      </c>
      <c r="O1310" s="17"/>
      <c r="P1310" s="17"/>
      <c r="Q1310" s="48"/>
      <c r="R1310" s="11"/>
      <c r="S1310" s="48"/>
      <c r="T1310" s="85" t="s">
        <v>8079</v>
      </c>
      <c r="U1310" s="91">
        <v>44833</v>
      </c>
      <c r="V1310" s="32"/>
      <c r="W1310" s="25" t="s">
        <v>10</v>
      </c>
      <c r="X1310" s="11"/>
      <c r="Y1310" s="50" t="s">
        <v>18</v>
      </c>
      <c r="Z1310" s="50"/>
      <c r="AA1310" s="50"/>
      <c r="AB1310" s="50"/>
      <c r="AC1310" s="50"/>
      <c r="AD1310" s="50"/>
      <c r="AE1310" s="50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65"/>
      <c r="AP1310" s="69"/>
      <c r="AQ1310" s="62" t="s">
        <v>8079</v>
      </c>
      <c r="AR1310" s="80">
        <v>44833</v>
      </c>
    </row>
    <row r="1311" spans="1:44" customFormat="1">
      <c r="A1311" s="39">
        <v>44834</v>
      </c>
      <c r="B1311" s="11" t="s">
        <v>22</v>
      </c>
      <c r="C1311" s="16" t="s">
        <v>5455</v>
      </c>
      <c r="D1311" s="16"/>
      <c r="E1311" s="38">
        <v>27393</v>
      </c>
      <c r="F1311" s="38"/>
      <c r="G1311" s="10" t="s">
        <v>3776</v>
      </c>
      <c r="H1311" s="12" t="s">
        <v>5456</v>
      </c>
      <c r="I1311" s="13">
        <v>47.3</v>
      </c>
      <c r="J1311" s="15" t="s">
        <v>5458</v>
      </c>
      <c r="K1311" s="14" t="s">
        <v>5457</v>
      </c>
      <c r="L1311" s="11" t="s">
        <v>33</v>
      </c>
      <c r="M1311" s="15" t="s">
        <v>3599</v>
      </c>
      <c r="N1311" s="17">
        <v>3300</v>
      </c>
      <c r="O1311" s="17"/>
      <c r="P1311" s="17"/>
      <c r="Q1311" s="48"/>
      <c r="R1311" s="11"/>
      <c r="S1311" s="48"/>
      <c r="T1311" s="85"/>
      <c r="U1311" s="91"/>
      <c r="V1311" s="32"/>
      <c r="W1311" s="25" t="s">
        <v>8</v>
      </c>
      <c r="X1311" s="11"/>
      <c r="Y1311" s="50" t="s">
        <v>15</v>
      </c>
      <c r="Z1311" s="50"/>
      <c r="AA1311" s="50"/>
      <c r="AB1311" s="50"/>
      <c r="AC1311" s="50"/>
      <c r="AD1311" s="50"/>
      <c r="AE1311" s="50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65"/>
      <c r="AP1311" s="69"/>
      <c r="AQ1311" s="62"/>
      <c r="AR1311" s="80"/>
    </row>
    <row r="1312" spans="1:44" customFormat="1">
      <c r="A1312" s="39">
        <v>44835</v>
      </c>
      <c r="B1312" s="11" t="s">
        <v>49</v>
      </c>
      <c r="C1312" s="16" t="s">
        <v>5459</v>
      </c>
      <c r="D1312" s="16"/>
      <c r="E1312" s="38">
        <v>28486</v>
      </c>
      <c r="F1312" s="38"/>
      <c r="G1312" s="10" t="s">
        <v>5460</v>
      </c>
      <c r="H1312" s="12" t="s">
        <v>5461</v>
      </c>
      <c r="I1312" s="13">
        <v>54.9</v>
      </c>
      <c r="J1312" s="15" t="s">
        <v>5462</v>
      </c>
      <c r="K1312" s="12"/>
      <c r="L1312" s="11" t="s">
        <v>33</v>
      </c>
      <c r="M1312" s="15" t="s">
        <v>3599</v>
      </c>
      <c r="N1312" s="17">
        <v>14850</v>
      </c>
      <c r="O1312" s="17"/>
      <c r="P1312" s="17"/>
      <c r="Q1312" s="48"/>
      <c r="R1312" s="11"/>
      <c r="S1312" s="48"/>
      <c r="T1312" s="85" t="s">
        <v>8073</v>
      </c>
      <c r="U1312" s="88"/>
      <c r="V1312" s="32" t="s">
        <v>5162</v>
      </c>
      <c r="W1312" s="25" t="s">
        <v>8</v>
      </c>
      <c r="X1312" s="11"/>
      <c r="Y1312" s="50" t="s">
        <v>14</v>
      </c>
      <c r="Z1312" s="50"/>
      <c r="AA1312" s="50"/>
      <c r="AB1312" s="50"/>
      <c r="AC1312" s="50"/>
      <c r="AD1312" s="50"/>
      <c r="AE1312" s="50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65"/>
      <c r="AP1312" s="69"/>
      <c r="AQ1312" s="62"/>
      <c r="AR1312" s="34"/>
    </row>
    <row r="1313" spans="1:44" customFormat="1">
      <c r="A1313" s="39">
        <v>44835</v>
      </c>
      <c r="B1313" s="11" t="s">
        <v>49</v>
      </c>
      <c r="C1313" s="16" t="s">
        <v>5463</v>
      </c>
      <c r="D1313" s="16"/>
      <c r="E1313" s="38">
        <v>24812</v>
      </c>
      <c r="F1313" s="38"/>
      <c r="G1313" s="10" t="s">
        <v>5464</v>
      </c>
      <c r="H1313" s="12" t="s">
        <v>5465</v>
      </c>
      <c r="I1313" s="13">
        <v>53.4</v>
      </c>
      <c r="J1313" s="15" t="s">
        <v>5466</v>
      </c>
      <c r="K1313" s="12"/>
      <c r="L1313" s="11" t="s">
        <v>33</v>
      </c>
      <c r="M1313" s="15" t="s">
        <v>3629</v>
      </c>
      <c r="N1313" s="17">
        <v>14850</v>
      </c>
      <c r="O1313" s="17"/>
      <c r="P1313" s="17"/>
      <c r="Q1313" s="48"/>
      <c r="R1313" s="11"/>
      <c r="S1313" s="48"/>
      <c r="T1313" s="85"/>
      <c r="U1313" s="88"/>
      <c r="V1313" s="32" t="s">
        <v>5467</v>
      </c>
      <c r="W1313" s="25"/>
      <c r="X1313" s="11"/>
      <c r="Y1313" s="50"/>
      <c r="Z1313" s="50"/>
      <c r="AA1313" s="50"/>
      <c r="AB1313" s="50"/>
      <c r="AC1313" s="50"/>
      <c r="AD1313" s="50"/>
      <c r="AE1313" s="50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65"/>
      <c r="AP1313" s="69"/>
      <c r="AQ1313" s="62"/>
      <c r="AR1313" s="34"/>
    </row>
    <row r="1314" spans="1:44" customFormat="1">
      <c r="A1314" s="39">
        <v>44839</v>
      </c>
      <c r="B1314" s="11" t="s">
        <v>22</v>
      </c>
      <c r="C1314" s="16" t="s">
        <v>5468</v>
      </c>
      <c r="D1314" s="16"/>
      <c r="E1314" s="38">
        <v>18666</v>
      </c>
      <c r="F1314" s="38"/>
      <c r="G1314" s="10" t="s">
        <v>650</v>
      </c>
      <c r="H1314" s="12" t="s">
        <v>5469</v>
      </c>
      <c r="I1314" s="13" t="s">
        <v>5470</v>
      </c>
      <c r="J1314" s="15" t="s">
        <v>5471</v>
      </c>
      <c r="K1314" s="12"/>
      <c r="L1314" s="11" t="s">
        <v>34</v>
      </c>
      <c r="M1314" s="15" t="s">
        <v>3599</v>
      </c>
      <c r="N1314" s="17">
        <v>3300</v>
      </c>
      <c r="O1314" s="17"/>
      <c r="P1314" s="17"/>
      <c r="Q1314" s="48"/>
      <c r="R1314" s="11"/>
      <c r="S1314" s="48"/>
      <c r="T1314" s="85" t="s">
        <v>8079</v>
      </c>
      <c r="U1314" s="91">
        <v>44839</v>
      </c>
      <c r="V1314" s="32"/>
      <c r="W1314" s="25" t="s">
        <v>10</v>
      </c>
      <c r="X1314" s="11"/>
      <c r="Y1314" s="50" t="s">
        <v>14</v>
      </c>
      <c r="Z1314" s="50"/>
      <c r="AA1314" s="50"/>
      <c r="AB1314" s="50"/>
      <c r="AC1314" s="50"/>
      <c r="AD1314" s="50"/>
      <c r="AE1314" s="50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65"/>
      <c r="AP1314" s="69"/>
      <c r="AQ1314" s="62" t="s">
        <v>8079</v>
      </c>
      <c r="AR1314" s="80">
        <v>44839</v>
      </c>
    </row>
    <row r="1315" spans="1:44" customFormat="1">
      <c r="A1315" s="39">
        <v>44840</v>
      </c>
      <c r="B1315" s="11" t="s">
        <v>22</v>
      </c>
      <c r="C1315" s="16" t="s">
        <v>5472</v>
      </c>
      <c r="D1315" s="16"/>
      <c r="E1315" s="38">
        <v>26263</v>
      </c>
      <c r="F1315" s="38"/>
      <c r="G1315" s="10" t="s">
        <v>5473</v>
      </c>
      <c r="H1315" s="12" t="s">
        <v>5474</v>
      </c>
      <c r="I1315" s="13">
        <v>139</v>
      </c>
      <c r="J1315" s="15" t="s">
        <v>5475</v>
      </c>
      <c r="K1315" s="12"/>
      <c r="L1315" s="11" t="s">
        <v>34</v>
      </c>
      <c r="M1315" s="15" t="s">
        <v>3629</v>
      </c>
      <c r="N1315" s="17">
        <v>3300</v>
      </c>
      <c r="O1315" s="17"/>
      <c r="P1315" s="17"/>
      <c r="Q1315" s="48"/>
      <c r="R1315" s="11"/>
      <c r="S1315" s="48"/>
      <c r="T1315" s="85"/>
      <c r="U1315" s="91"/>
      <c r="V1315" s="32" t="s">
        <v>5476</v>
      </c>
      <c r="W1315" s="25" t="s">
        <v>48</v>
      </c>
      <c r="X1315" s="11"/>
      <c r="Y1315" s="50"/>
      <c r="Z1315" s="50"/>
      <c r="AA1315" s="50"/>
      <c r="AB1315" s="50"/>
      <c r="AC1315" s="50"/>
      <c r="AD1315" s="50"/>
      <c r="AE1315" s="50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65"/>
      <c r="AP1315" s="69"/>
      <c r="AQ1315" s="62"/>
      <c r="AR1315" s="80"/>
    </row>
    <row r="1316" spans="1:44" customFormat="1">
      <c r="A1316" s="39">
        <v>44841</v>
      </c>
      <c r="B1316" s="11" t="s">
        <v>24</v>
      </c>
      <c r="C1316" s="16" t="s">
        <v>5477</v>
      </c>
      <c r="D1316" s="16"/>
      <c r="E1316" s="38">
        <v>27028</v>
      </c>
      <c r="F1316" s="38"/>
      <c r="G1316" s="10" t="s">
        <v>5478</v>
      </c>
      <c r="H1316" s="12" t="s">
        <v>5479</v>
      </c>
      <c r="I1316" s="13">
        <v>88.5</v>
      </c>
      <c r="J1316" s="15" t="s">
        <v>5480</v>
      </c>
      <c r="K1316" s="12"/>
      <c r="L1316" s="11" t="s">
        <v>36</v>
      </c>
      <c r="M1316" s="15"/>
      <c r="N1316" s="17">
        <v>8800</v>
      </c>
      <c r="O1316" s="17"/>
      <c r="P1316" s="17"/>
      <c r="Q1316" s="48"/>
      <c r="R1316" s="11"/>
      <c r="S1316" s="48"/>
      <c r="T1316" s="85"/>
      <c r="U1316" s="88"/>
      <c r="V1316" s="32" t="s">
        <v>5481</v>
      </c>
      <c r="W1316" s="25" t="s">
        <v>10</v>
      </c>
      <c r="X1316" s="11"/>
      <c r="Y1316" s="50" t="s">
        <v>12</v>
      </c>
      <c r="Z1316" s="50"/>
      <c r="AA1316" s="50"/>
      <c r="AB1316" s="50"/>
      <c r="AC1316" s="50"/>
      <c r="AD1316" s="50"/>
      <c r="AE1316" s="50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65"/>
      <c r="AP1316" s="69"/>
      <c r="AQ1316" s="62"/>
      <c r="AR1316" s="34"/>
    </row>
    <row r="1317" spans="1:44" customFormat="1">
      <c r="A1317" s="39">
        <v>44841</v>
      </c>
      <c r="B1317" s="11" t="s">
        <v>49</v>
      </c>
      <c r="C1317" s="16" t="s">
        <v>5482</v>
      </c>
      <c r="D1317" s="16"/>
      <c r="E1317" s="38">
        <v>25421</v>
      </c>
      <c r="F1317" s="38"/>
      <c r="G1317" s="10" t="s">
        <v>5483</v>
      </c>
      <c r="H1317" s="12" t="s">
        <v>5484</v>
      </c>
      <c r="I1317" s="13">
        <v>75.3</v>
      </c>
      <c r="J1317" s="15" t="s">
        <v>5486</v>
      </c>
      <c r="K1317" s="14" t="s">
        <v>5485</v>
      </c>
      <c r="L1317" s="11" t="s">
        <v>36</v>
      </c>
      <c r="M1317" s="15" t="s">
        <v>3584</v>
      </c>
      <c r="N1317" s="17">
        <v>22000</v>
      </c>
      <c r="O1317" s="17"/>
      <c r="P1317" s="17"/>
      <c r="Q1317" s="48"/>
      <c r="R1317" s="11"/>
      <c r="S1317" s="48"/>
      <c r="T1317" s="85"/>
      <c r="U1317" s="88"/>
      <c r="V1317" s="32"/>
      <c r="W1317" s="25" t="s">
        <v>48</v>
      </c>
      <c r="X1317" s="11"/>
      <c r="Y1317" s="50" t="s">
        <v>12</v>
      </c>
      <c r="Z1317" s="50"/>
      <c r="AA1317" s="50"/>
      <c r="AB1317" s="50"/>
      <c r="AC1317" s="50"/>
      <c r="AD1317" s="50"/>
      <c r="AE1317" s="50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65"/>
      <c r="AP1317" s="69"/>
      <c r="AQ1317" s="62"/>
      <c r="AR1317" s="34"/>
    </row>
    <row r="1318" spans="1:44" customFormat="1">
      <c r="A1318" s="39">
        <v>44842</v>
      </c>
      <c r="B1318" s="11" t="s">
        <v>22</v>
      </c>
      <c r="C1318" s="16" t="s">
        <v>1363</v>
      </c>
      <c r="D1318" s="16"/>
      <c r="E1318" s="38">
        <v>25010</v>
      </c>
      <c r="F1318" s="38"/>
      <c r="G1318" s="10" t="s">
        <v>1245</v>
      </c>
      <c r="H1318" s="12" t="s">
        <v>5487</v>
      </c>
      <c r="I1318" s="13">
        <v>3.3</v>
      </c>
      <c r="J1318" s="15" t="s">
        <v>1364</v>
      </c>
      <c r="K1318" s="12"/>
      <c r="L1318" s="11" t="s">
        <v>33</v>
      </c>
      <c r="M1318" s="15" t="s">
        <v>3680</v>
      </c>
      <c r="N1318" s="17">
        <v>3300</v>
      </c>
      <c r="O1318" s="17"/>
      <c r="P1318" s="17"/>
      <c r="Q1318" s="48"/>
      <c r="R1318" s="11"/>
      <c r="S1318" s="48"/>
      <c r="T1318" s="85"/>
      <c r="U1318" s="91"/>
      <c r="V1318" s="32" t="s">
        <v>5488</v>
      </c>
      <c r="W1318" s="25" t="s">
        <v>8</v>
      </c>
      <c r="X1318" s="11"/>
      <c r="Y1318" s="50"/>
      <c r="Z1318" s="50"/>
      <c r="AA1318" s="50"/>
      <c r="AB1318" s="50"/>
      <c r="AC1318" s="50"/>
      <c r="AD1318" s="50"/>
      <c r="AE1318" s="50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65"/>
      <c r="AP1318" s="69"/>
      <c r="AQ1318" s="62"/>
      <c r="AR1318" s="80"/>
    </row>
    <row r="1319" spans="1:44" customFormat="1">
      <c r="A1319" s="39">
        <v>44843</v>
      </c>
      <c r="B1319" s="11" t="s">
        <v>49</v>
      </c>
      <c r="C1319" s="16" t="s">
        <v>5489</v>
      </c>
      <c r="D1319" s="16"/>
      <c r="E1319" s="38">
        <v>34026</v>
      </c>
      <c r="F1319" s="38"/>
      <c r="G1319" s="10" t="s">
        <v>5490</v>
      </c>
      <c r="H1319" s="12" t="s">
        <v>5491</v>
      </c>
      <c r="I1319" s="13">
        <v>30.5</v>
      </c>
      <c r="J1319" s="15" t="s">
        <v>5493</v>
      </c>
      <c r="K1319" s="14" t="s">
        <v>5492</v>
      </c>
      <c r="L1319" s="11" t="s">
        <v>36</v>
      </c>
      <c r="M1319" s="15" t="s">
        <v>3584</v>
      </c>
      <c r="N1319" s="17">
        <v>22000</v>
      </c>
      <c r="O1319" s="17"/>
      <c r="P1319" s="17"/>
      <c r="Q1319" s="48"/>
      <c r="R1319" s="11"/>
      <c r="S1319" s="48"/>
      <c r="T1319" s="85"/>
      <c r="U1319" s="88"/>
      <c r="V1319" s="32" t="s">
        <v>5494</v>
      </c>
      <c r="W1319" s="25" t="s">
        <v>8</v>
      </c>
      <c r="X1319" s="11"/>
      <c r="Y1319" s="50" t="s">
        <v>12</v>
      </c>
      <c r="Z1319" s="50"/>
      <c r="AA1319" s="50"/>
      <c r="AB1319" s="50"/>
      <c r="AC1319" s="50"/>
      <c r="AD1319" s="50"/>
      <c r="AE1319" s="50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65"/>
      <c r="AP1319" s="69"/>
      <c r="AQ1319" s="62"/>
      <c r="AR1319" s="34"/>
    </row>
    <row r="1320" spans="1:44" customFormat="1">
      <c r="A1320" s="39">
        <v>44844</v>
      </c>
      <c r="B1320" s="11" t="s">
        <v>49</v>
      </c>
      <c r="C1320" s="16" t="s">
        <v>5495</v>
      </c>
      <c r="D1320" s="16"/>
      <c r="E1320" s="38">
        <v>28989</v>
      </c>
      <c r="F1320" s="38"/>
      <c r="G1320" s="10" t="s">
        <v>515</v>
      </c>
      <c r="H1320" s="12" t="s">
        <v>5496</v>
      </c>
      <c r="I1320" s="13">
        <v>10.199999999999999</v>
      </c>
      <c r="J1320" s="15" t="s">
        <v>5497</v>
      </c>
      <c r="K1320" s="12"/>
      <c r="L1320" s="11" t="s">
        <v>33</v>
      </c>
      <c r="M1320" s="15" t="s">
        <v>3629</v>
      </c>
      <c r="N1320" s="17">
        <v>16500</v>
      </c>
      <c r="O1320" s="17"/>
      <c r="P1320" s="17"/>
      <c r="Q1320" s="48"/>
      <c r="R1320" s="11"/>
      <c r="S1320" s="48"/>
      <c r="T1320" s="85"/>
      <c r="U1320" s="88"/>
      <c r="V1320" s="32"/>
      <c r="W1320" s="25" t="s">
        <v>48</v>
      </c>
      <c r="X1320" s="11"/>
      <c r="Y1320" s="50" t="s">
        <v>13</v>
      </c>
      <c r="Z1320" s="50"/>
      <c r="AA1320" s="50"/>
      <c r="AB1320" s="50"/>
      <c r="AC1320" s="50"/>
      <c r="AD1320" s="50"/>
      <c r="AE1320" s="50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65"/>
      <c r="AP1320" s="69"/>
      <c r="AQ1320" s="62"/>
      <c r="AR1320" s="34"/>
    </row>
    <row r="1321" spans="1:44" customFormat="1">
      <c r="A1321" s="39">
        <v>44851</v>
      </c>
      <c r="B1321" s="11" t="s">
        <v>5659</v>
      </c>
      <c r="C1321" s="16" t="s">
        <v>4494</v>
      </c>
      <c r="D1321" s="16"/>
      <c r="E1321" s="38">
        <v>21353</v>
      </c>
      <c r="F1321" s="38"/>
      <c r="G1321" s="10" t="s">
        <v>406</v>
      </c>
      <c r="H1321" s="12" t="s">
        <v>4496</v>
      </c>
      <c r="I1321" s="13" t="s">
        <v>5498</v>
      </c>
      <c r="J1321" s="15" t="s">
        <v>5499</v>
      </c>
      <c r="K1321" s="12"/>
      <c r="L1321" s="11" t="s">
        <v>36</v>
      </c>
      <c r="M1321" s="15" t="s">
        <v>3599</v>
      </c>
      <c r="N1321" s="17">
        <v>3300</v>
      </c>
      <c r="O1321" s="17"/>
      <c r="P1321" s="17"/>
      <c r="Q1321" s="48"/>
      <c r="R1321" s="11"/>
      <c r="S1321" s="48"/>
      <c r="T1321" s="85"/>
      <c r="U1321" s="88"/>
      <c r="V1321" s="32" t="s">
        <v>5500</v>
      </c>
      <c r="W1321" s="25" t="s">
        <v>10</v>
      </c>
      <c r="X1321" s="11"/>
      <c r="Y1321" s="50" t="s">
        <v>12</v>
      </c>
      <c r="Z1321" s="50"/>
      <c r="AA1321" s="50"/>
      <c r="AB1321" s="50"/>
      <c r="AC1321" s="50"/>
      <c r="AD1321" s="50"/>
      <c r="AE1321" s="50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65"/>
      <c r="AP1321" s="69"/>
      <c r="AQ1321" s="62"/>
      <c r="AR1321" s="34"/>
    </row>
    <row r="1322" spans="1:44" customFormat="1">
      <c r="A1322" s="39">
        <v>44853</v>
      </c>
      <c r="B1322" s="11" t="s">
        <v>49</v>
      </c>
      <c r="C1322" s="16" t="s">
        <v>5501</v>
      </c>
      <c r="D1322" s="16"/>
      <c r="E1322" s="38">
        <v>24927</v>
      </c>
      <c r="F1322" s="38"/>
      <c r="G1322" s="10" t="s">
        <v>946</v>
      </c>
      <c r="H1322" s="12" t="s">
        <v>5502</v>
      </c>
      <c r="I1322" s="13" t="s">
        <v>2513</v>
      </c>
      <c r="J1322" s="15" t="s">
        <v>5504</v>
      </c>
      <c r="K1322" s="14" t="s">
        <v>5503</v>
      </c>
      <c r="L1322" s="11" t="s">
        <v>36</v>
      </c>
      <c r="M1322" s="15" t="s">
        <v>3599</v>
      </c>
      <c r="N1322" s="17">
        <v>16500</v>
      </c>
      <c r="O1322" s="17"/>
      <c r="P1322" s="17"/>
      <c r="Q1322" s="48"/>
      <c r="R1322" s="11"/>
      <c r="S1322" s="48"/>
      <c r="T1322" s="85" t="s">
        <v>8073</v>
      </c>
      <c r="U1322" s="88"/>
      <c r="V1322" s="32" t="s">
        <v>5505</v>
      </c>
      <c r="W1322" s="25" t="s">
        <v>8</v>
      </c>
      <c r="X1322" s="11"/>
      <c r="Y1322" s="50" t="s">
        <v>13</v>
      </c>
      <c r="Z1322" s="50"/>
      <c r="AA1322" s="50"/>
      <c r="AB1322" s="50"/>
      <c r="AC1322" s="50"/>
      <c r="AD1322" s="50"/>
      <c r="AE1322" s="50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65"/>
      <c r="AP1322" s="69"/>
      <c r="AQ1322" s="62"/>
      <c r="AR1322" s="34"/>
    </row>
    <row r="1323" spans="1:44" customFormat="1">
      <c r="A1323" s="39">
        <v>44854</v>
      </c>
      <c r="B1323" s="11" t="s">
        <v>22</v>
      </c>
      <c r="C1323" s="16" t="s">
        <v>5506</v>
      </c>
      <c r="D1323" s="16"/>
      <c r="E1323" s="38">
        <v>20992</v>
      </c>
      <c r="F1323" s="38"/>
      <c r="G1323" s="10" t="s">
        <v>78</v>
      </c>
      <c r="H1323" s="12" t="s">
        <v>5507</v>
      </c>
      <c r="I1323" s="13" t="s">
        <v>5508</v>
      </c>
      <c r="J1323" s="15" t="s">
        <v>5510</v>
      </c>
      <c r="K1323" s="14" t="s">
        <v>5509</v>
      </c>
      <c r="L1323" s="11" t="s">
        <v>35</v>
      </c>
      <c r="M1323" s="15" t="s">
        <v>3584</v>
      </c>
      <c r="N1323" s="17">
        <v>3300</v>
      </c>
      <c r="O1323" s="17"/>
      <c r="P1323" s="17"/>
      <c r="Q1323" s="48"/>
      <c r="R1323" s="11"/>
      <c r="S1323" s="48"/>
      <c r="T1323" s="85" t="s">
        <v>8079</v>
      </c>
      <c r="U1323" s="91">
        <v>44854</v>
      </c>
      <c r="V1323" s="32"/>
      <c r="W1323" s="25" t="s">
        <v>10</v>
      </c>
      <c r="X1323" s="11"/>
      <c r="Y1323" s="50" t="s">
        <v>15</v>
      </c>
      <c r="Z1323" s="50"/>
      <c r="AA1323" s="50"/>
      <c r="AB1323" s="50"/>
      <c r="AC1323" s="50"/>
      <c r="AD1323" s="50"/>
      <c r="AE1323" s="50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65"/>
      <c r="AP1323" s="69"/>
      <c r="AQ1323" s="62" t="s">
        <v>8079</v>
      </c>
      <c r="AR1323" s="80">
        <v>44854</v>
      </c>
    </row>
    <row r="1324" spans="1:44" customFormat="1">
      <c r="A1324" s="39">
        <v>44855</v>
      </c>
      <c r="B1324" s="11" t="s">
        <v>49</v>
      </c>
      <c r="C1324" s="16" t="s">
        <v>5511</v>
      </c>
      <c r="D1324" s="16"/>
      <c r="E1324" s="38">
        <v>26798</v>
      </c>
      <c r="F1324" s="38"/>
      <c r="G1324" s="10" t="s">
        <v>5512</v>
      </c>
      <c r="H1324" s="12" t="s">
        <v>6036</v>
      </c>
      <c r="I1324" s="13">
        <v>318</v>
      </c>
      <c r="J1324" s="15" t="s">
        <v>5513</v>
      </c>
      <c r="K1324" s="12"/>
      <c r="L1324" s="11" t="s">
        <v>33</v>
      </c>
      <c r="M1324" s="15"/>
      <c r="N1324" s="17">
        <v>16500</v>
      </c>
      <c r="O1324" s="17"/>
      <c r="P1324" s="17"/>
      <c r="Q1324" s="48"/>
      <c r="R1324" s="11"/>
      <c r="S1324" s="48"/>
      <c r="T1324" s="85" t="s">
        <v>8073</v>
      </c>
      <c r="U1324" s="88"/>
      <c r="V1324" s="32"/>
      <c r="W1324" s="25" t="s">
        <v>48</v>
      </c>
      <c r="X1324" s="11"/>
      <c r="Y1324" s="50"/>
      <c r="Z1324" s="50"/>
      <c r="AA1324" s="50"/>
      <c r="AB1324" s="50"/>
      <c r="AC1324" s="50"/>
      <c r="AD1324" s="50"/>
      <c r="AE1324" s="50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65"/>
      <c r="AP1324" s="69"/>
      <c r="AQ1324" s="62"/>
      <c r="AR1324" s="34"/>
    </row>
    <row r="1325" spans="1:44" customFormat="1">
      <c r="A1325" s="39">
        <v>44855</v>
      </c>
      <c r="B1325" s="11" t="s">
        <v>49</v>
      </c>
      <c r="C1325" s="16" t="s">
        <v>5514</v>
      </c>
      <c r="D1325" s="16"/>
      <c r="E1325" s="38">
        <v>29272</v>
      </c>
      <c r="F1325" s="38"/>
      <c r="G1325" s="10" t="s">
        <v>5515</v>
      </c>
      <c r="H1325" s="12" t="s">
        <v>5516</v>
      </c>
      <c r="I1325" s="13">
        <v>312</v>
      </c>
      <c r="J1325" s="15" t="s">
        <v>5517</v>
      </c>
      <c r="K1325" s="12"/>
      <c r="L1325" s="11" t="s">
        <v>33</v>
      </c>
      <c r="M1325" s="15" t="s">
        <v>3599</v>
      </c>
      <c r="N1325" s="17">
        <v>16500</v>
      </c>
      <c r="O1325" s="17"/>
      <c r="P1325" s="17"/>
      <c r="Q1325" s="48"/>
      <c r="R1325" s="11"/>
      <c r="S1325" s="48"/>
      <c r="T1325" s="85" t="s">
        <v>8073</v>
      </c>
      <c r="U1325" s="88"/>
      <c r="V1325" s="32"/>
      <c r="W1325" s="25" t="s">
        <v>8</v>
      </c>
      <c r="X1325" s="11"/>
      <c r="Y1325" s="50" t="s">
        <v>13</v>
      </c>
      <c r="Z1325" s="50"/>
      <c r="AA1325" s="50"/>
      <c r="AB1325" s="50"/>
      <c r="AC1325" s="50"/>
      <c r="AD1325" s="50"/>
      <c r="AE1325" s="50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65"/>
      <c r="AP1325" s="69"/>
      <c r="AQ1325" s="62"/>
      <c r="AR1325" s="34"/>
    </row>
    <row r="1326" spans="1:44" customFormat="1">
      <c r="A1326" s="39">
        <v>44856</v>
      </c>
      <c r="B1326" s="11" t="s">
        <v>22</v>
      </c>
      <c r="C1326" s="16" t="s">
        <v>5522</v>
      </c>
      <c r="D1326" s="16"/>
      <c r="E1326" s="38">
        <v>26290</v>
      </c>
      <c r="F1326" s="38"/>
      <c r="G1326" s="10" t="s">
        <v>3363</v>
      </c>
      <c r="H1326" s="12" t="s">
        <v>5523</v>
      </c>
      <c r="I1326" s="13" t="s">
        <v>2077</v>
      </c>
      <c r="J1326" s="15" t="s">
        <v>5525</v>
      </c>
      <c r="K1326" s="14" t="s">
        <v>5524</v>
      </c>
      <c r="L1326" s="11" t="s">
        <v>36</v>
      </c>
      <c r="M1326" s="15" t="s">
        <v>3584</v>
      </c>
      <c r="N1326" s="17">
        <v>3300</v>
      </c>
      <c r="O1326" s="17"/>
      <c r="P1326" s="17"/>
      <c r="Q1326" s="48"/>
      <c r="R1326" s="11"/>
      <c r="S1326" s="48"/>
      <c r="T1326" s="85"/>
      <c r="U1326" s="91"/>
      <c r="V1326" s="32"/>
      <c r="W1326" s="25" t="s">
        <v>48</v>
      </c>
      <c r="X1326" s="11"/>
      <c r="Y1326" s="50" t="s">
        <v>12</v>
      </c>
      <c r="Z1326" s="50"/>
      <c r="AA1326" s="50"/>
      <c r="AB1326" s="50"/>
      <c r="AC1326" s="50"/>
      <c r="AD1326" s="50"/>
      <c r="AE1326" s="50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65"/>
      <c r="AP1326" s="69"/>
      <c r="AQ1326" s="62" t="s">
        <v>8079</v>
      </c>
      <c r="AR1326" s="80">
        <v>44856</v>
      </c>
    </row>
    <row r="1327" spans="1:44" customFormat="1">
      <c r="A1327" s="39">
        <v>44856</v>
      </c>
      <c r="B1327" s="11" t="s">
        <v>22</v>
      </c>
      <c r="C1327" s="16" t="s">
        <v>5526</v>
      </c>
      <c r="D1327" s="16"/>
      <c r="E1327" s="38">
        <v>34801</v>
      </c>
      <c r="F1327" s="38"/>
      <c r="G1327" s="10" t="s">
        <v>5527</v>
      </c>
      <c r="H1327" s="12" t="s">
        <v>5528</v>
      </c>
      <c r="I1327" s="13">
        <v>20.7</v>
      </c>
      <c r="J1327" s="15" t="s">
        <v>5530</v>
      </c>
      <c r="K1327" s="14" t="s">
        <v>5529</v>
      </c>
      <c r="L1327" s="11" t="s">
        <v>36</v>
      </c>
      <c r="M1327" s="15" t="s">
        <v>3584</v>
      </c>
      <c r="N1327" s="17">
        <v>3300</v>
      </c>
      <c r="O1327" s="17"/>
      <c r="P1327" s="17"/>
      <c r="Q1327" s="48"/>
      <c r="R1327" s="11"/>
      <c r="S1327" s="48"/>
      <c r="T1327" s="85"/>
      <c r="U1327" s="91"/>
      <c r="V1327" s="32"/>
      <c r="W1327" s="25" t="s">
        <v>8</v>
      </c>
      <c r="X1327" s="11"/>
      <c r="Y1327" s="50" t="s">
        <v>12</v>
      </c>
      <c r="Z1327" s="50"/>
      <c r="AA1327" s="50"/>
      <c r="AB1327" s="50"/>
      <c r="AC1327" s="50"/>
      <c r="AD1327" s="50"/>
      <c r="AE1327" s="50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65"/>
      <c r="AP1327" s="69"/>
      <c r="AQ1327" s="62"/>
      <c r="AR1327" s="80"/>
    </row>
    <row r="1328" spans="1:44" customFormat="1">
      <c r="A1328" s="39">
        <v>44856</v>
      </c>
      <c r="B1328" s="11" t="s">
        <v>22</v>
      </c>
      <c r="C1328" s="16" t="s">
        <v>5531</v>
      </c>
      <c r="D1328" s="16"/>
      <c r="E1328" s="38">
        <v>35072</v>
      </c>
      <c r="F1328" s="38"/>
      <c r="G1328" s="10" t="s">
        <v>5532</v>
      </c>
      <c r="H1328" s="12" t="s">
        <v>5533</v>
      </c>
      <c r="I1328" s="13">
        <v>28.6</v>
      </c>
      <c r="J1328" s="15" t="s">
        <v>5535</v>
      </c>
      <c r="K1328" s="14" t="s">
        <v>5534</v>
      </c>
      <c r="L1328" s="11" t="s">
        <v>36</v>
      </c>
      <c r="M1328" s="15" t="s">
        <v>3584</v>
      </c>
      <c r="N1328" s="17">
        <v>3300</v>
      </c>
      <c r="O1328" s="17"/>
      <c r="P1328" s="17"/>
      <c r="Q1328" s="48"/>
      <c r="R1328" s="11"/>
      <c r="S1328" s="48"/>
      <c r="T1328" s="85"/>
      <c r="U1328" s="91"/>
      <c r="V1328" s="32"/>
      <c r="W1328" s="25" t="s">
        <v>8</v>
      </c>
      <c r="X1328" s="11"/>
      <c r="Y1328" s="50" t="s">
        <v>12</v>
      </c>
      <c r="Z1328" s="50"/>
      <c r="AA1328" s="50"/>
      <c r="AB1328" s="50"/>
      <c r="AC1328" s="50"/>
      <c r="AD1328" s="50"/>
      <c r="AE1328" s="50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65"/>
      <c r="AP1328" s="69"/>
      <c r="AQ1328" s="62"/>
      <c r="AR1328" s="80"/>
    </row>
    <row r="1329" spans="1:44" customFormat="1">
      <c r="A1329" s="39">
        <v>44856</v>
      </c>
      <c r="B1329" s="11" t="s">
        <v>22</v>
      </c>
      <c r="C1329" s="16" t="s">
        <v>5518</v>
      </c>
      <c r="D1329" s="16"/>
      <c r="E1329" s="38">
        <v>26468</v>
      </c>
      <c r="F1329" s="38"/>
      <c r="G1329" s="10" t="s">
        <v>44</v>
      </c>
      <c r="H1329" s="12" t="s">
        <v>5519</v>
      </c>
      <c r="I1329" s="13" t="s">
        <v>5251</v>
      </c>
      <c r="J1329" s="15" t="s">
        <v>5521</v>
      </c>
      <c r="K1329" s="14" t="s">
        <v>5520</v>
      </c>
      <c r="L1329" s="11" t="s">
        <v>36</v>
      </c>
      <c r="M1329" s="15" t="s">
        <v>3584</v>
      </c>
      <c r="N1329" s="17">
        <v>3300</v>
      </c>
      <c r="O1329" s="17"/>
      <c r="P1329" s="17"/>
      <c r="Q1329" s="48"/>
      <c r="R1329" s="11"/>
      <c r="S1329" s="48"/>
      <c r="T1329" s="85" t="s">
        <v>8079</v>
      </c>
      <c r="U1329" s="91">
        <v>44856</v>
      </c>
      <c r="V1329" s="32"/>
      <c r="W1329" s="25" t="s">
        <v>48</v>
      </c>
      <c r="X1329" s="11"/>
      <c r="Y1329" s="50" t="s">
        <v>12</v>
      </c>
      <c r="Z1329" s="50"/>
      <c r="AA1329" s="50"/>
      <c r="AB1329" s="50"/>
      <c r="AC1329" s="50"/>
      <c r="AD1329" s="50"/>
      <c r="AE1329" s="50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65"/>
      <c r="AP1329" s="69"/>
      <c r="AQ1329" s="62"/>
      <c r="AR1329" s="80"/>
    </row>
    <row r="1330" spans="1:44" customFormat="1">
      <c r="A1330" s="39">
        <v>44857</v>
      </c>
      <c r="B1330" s="11" t="s">
        <v>22</v>
      </c>
      <c r="C1330" s="16" t="s">
        <v>5536</v>
      </c>
      <c r="D1330" s="16"/>
      <c r="E1330" s="38">
        <v>25738</v>
      </c>
      <c r="F1330" s="38"/>
      <c r="G1330" s="10" t="s">
        <v>5537</v>
      </c>
      <c r="H1330" s="12" t="s">
        <v>5538</v>
      </c>
      <c r="I1330" s="13">
        <v>5.3</v>
      </c>
      <c r="J1330" s="15" t="s">
        <v>5540</v>
      </c>
      <c r="K1330" s="14" t="s">
        <v>5539</v>
      </c>
      <c r="L1330" s="11" t="s">
        <v>36</v>
      </c>
      <c r="M1330" s="15" t="s">
        <v>3584</v>
      </c>
      <c r="N1330" s="17">
        <v>3300</v>
      </c>
      <c r="O1330" s="17"/>
      <c r="P1330" s="17"/>
      <c r="Q1330" s="48"/>
      <c r="R1330" s="11"/>
      <c r="S1330" s="48"/>
      <c r="T1330" s="85" t="s">
        <v>8079</v>
      </c>
      <c r="U1330" s="91">
        <v>44857</v>
      </c>
      <c r="V1330" s="32"/>
      <c r="W1330" s="25" t="s">
        <v>8</v>
      </c>
      <c r="X1330" s="11"/>
      <c r="Y1330" s="50" t="s">
        <v>11</v>
      </c>
      <c r="Z1330" s="50"/>
      <c r="AA1330" s="50"/>
      <c r="AB1330" s="50"/>
      <c r="AC1330" s="50"/>
      <c r="AD1330" s="50"/>
      <c r="AE1330" s="50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65"/>
      <c r="AP1330" s="69"/>
      <c r="AQ1330" s="62" t="s">
        <v>8079</v>
      </c>
      <c r="AR1330" s="80">
        <v>44857</v>
      </c>
    </row>
    <row r="1331" spans="1:44" customFormat="1">
      <c r="A1331" s="39">
        <v>44865</v>
      </c>
      <c r="B1331" s="11" t="s">
        <v>49</v>
      </c>
      <c r="C1331" s="16" t="s">
        <v>5541</v>
      </c>
      <c r="D1331" s="16"/>
      <c r="E1331" s="38">
        <v>29343</v>
      </c>
      <c r="F1331" s="38"/>
      <c r="G1331" s="10" t="s">
        <v>2353</v>
      </c>
      <c r="H1331" s="12" t="s">
        <v>5542</v>
      </c>
      <c r="I1331" s="13">
        <v>30.5</v>
      </c>
      <c r="J1331" s="15" t="s">
        <v>2350</v>
      </c>
      <c r="K1331" s="14" t="s">
        <v>2351</v>
      </c>
      <c r="L1331" s="11" t="s">
        <v>33</v>
      </c>
      <c r="M1331" s="15" t="s">
        <v>3584</v>
      </c>
      <c r="N1331" s="17">
        <v>16500</v>
      </c>
      <c r="O1331" s="17"/>
      <c r="P1331" s="17"/>
      <c r="Q1331" s="48"/>
      <c r="R1331" s="11"/>
      <c r="S1331" s="48"/>
      <c r="T1331" s="85" t="s">
        <v>8073</v>
      </c>
      <c r="U1331" s="88"/>
      <c r="V1331" s="32" t="s">
        <v>5543</v>
      </c>
      <c r="W1331" s="25" t="s">
        <v>8</v>
      </c>
      <c r="X1331" s="11"/>
      <c r="Y1331" s="50" t="s">
        <v>13</v>
      </c>
      <c r="Z1331" s="50"/>
      <c r="AA1331" s="50"/>
      <c r="AB1331" s="50"/>
      <c r="AC1331" s="50"/>
      <c r="AD1331" s="50"/>
      <c r="AE1331" s="50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65"/>
      <c r="AP1331" s="69"/>
      <c r="AQ1331" s="62"/>
      <c r="AR1331" s="34"/>
    </row>
    <row r="1332" spans="1:44" customFormat="1">
      <c r="A1332" s="39">
        <v>44869</v>
      </c>
      <c r="B1332" s="11" t="s">
        <v>22</v>
      </c>
      <c r="C1332" s="16" t="s">
        <v>5544</v>
      </c>
      <c r="D1332" s="16"/>
      <c r="E1332" s="38">
        <v>32841</v>
      </c>
      <c r="F1332" s="38"/>
      <c r="G1332" s="10" t="s">
        <v>5545</v>
      </c>
      <c r="H1332" s="12" t="s">
        <v>5546</v>
      </c>
      <c r="I1332" s="13">
        <v>3.9</v>
      </c>
      <c r="J1332" s="15" t="s">
        <v>5547</v>
      </c>
      <c r="K1332" s="12"/>
      <c r="L1332" s="11" t="s">
        <v>39</v>
      </c>
      <c r="M1332" s="15" t="s">
        <v>3629</v>
      </c>
      <c r="N1332" s="17">
        <v>13200</v>
      </c>
      <c r="O1332" s="17"/>
      <c r="P1332" s="17"/>
      <c r="Q1332" s="48"/>
      <c r="R1332" s="11"/>
      <c r="S1332" s="48"/>
      <c r="T1332" s="85"/>
      <c r="U1332" s="91"/>
      <c r="V1332" s="32" t="s">
        <v>5548</v>
      </c>
      <c r="W1332" s="25" t="s">
        <v>8</v>
      </c>
      <c r="X1332" s="11"/>
      <c r="Y1332" s="50"/>
      <c r="Z1332" s="50"/>
      <c r="AA1332" s="50"/>
      <c r="AB1332" s="50"/>
      <c r="AC1332" s="50"/>
      <c r="AD1332" s="50"/>
      <c r="AE1332" s="50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65"/>
      <c r="AP1332" s="69"/>
      <c r="AQ1332" s="62"/>
      <c r="AR1332" s="80"/>
    </row>
    <row r="1333" spans="1:44" customFormat="1">
      <c r="A1333" s="39">
        <v>44870</v>
      </c>
      <c r="B1333" s="11" t="s">
        <v>22</v>
      </c>
      <c r="C1333" s="16" t="s">
        <v>5549</v>
      </c>
      <c r="D1333" s="16"/>
      <c r="E1333" s="38">
        <v>18976</v>
      </c>
      <c r="F1333" s="38"/>
      <c r="G1333" s="10" t="s">
        <v>5550</v>
      </c>
      <c r="H1333" s="12" t="s">
        <v>5551</v>
      </c>
      <c r="I1333" s="13">
        <v>11.9</v>
      </c>
      <c r="J1333" s="15" t="s">
        <v>5553</v>
      </c>
      <c r="K1333" s="14" t="s">
        <v>5552</v>
      </c>
      <c r="L1333" s="11" t="s">
        <v>33</v>
      </c>
      <c r="M1333" s="15" t="s">
        <v>3599</v>
      </c>
      <c r="N1333" s="17">
        <v>3300</v>
      </c>
      <c r="O1333" s="17"/>
      <c r="P1333" s="17"/>
      <c r="Q1333" s="48"/>
      <c r="R1333" s="11"/>
      <c r="S1333" s="48"/>
      <c r="T1333" s="85"/>
      <c r="U1333" s="91"/>
      <c r="V1333" s="32"/>
      <c r="W1333" s="25" t="s">
        <v>48</v>
      </c>
      <c r="X1333" s="11"/>
      <c r="Y1333" s="50" t="s">
        <v>13</v>
      </c>
      <c r="Z1333" s="50"/>
      <c r="AA1333" s="50"/>
      <c r="AB1333" s="50"/>
      <c r="AC1333" s="50"/>
      <c r="AD1333" s="50"/>
      <c r="AE1333" s="50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65"/>
      <c r="AP1333" s="69"/>
      <c r="AQ1333" s="62"/>
      <c r="AR1333" s="80"/>
    </row>
    <row r="1334" spans="1:44" customFormat="1">
      <c r="A1334" s="39">
        <v>44874</v>
      </c>
      <c r="B1334" s="11" t="s">
        <v>22</v>
      </c>
      <c r="C1334" s="16" t="s">
        <v>3843</v>
      </c>
      <c r="D1334" s="16"/>
      <c r="E1334" s="38">
        <v>35132</v>
      </c>
      <c r="F1334" s="38"/>
      <c r="G1334" s="10" t="s">
        <v>3844</v>
      </c>
      <c r="H1334" s="12" t="s">
        <v>3845</v>
      </c>
      <c r="I1334" s="13" t="s">
        <v>3850</v>
      </c>
      <c r="J1334" s="15" t="s">
        <v>3846</v>
      </c>
      <c r="K1334" s="12"/>
      <c r="L1334" s="11" t="s">
        <v>39</v>
      </c>
      <c r="M1334" s="15" t="s">
        <v>3599</v>
      </c>
      <c r="N1334" s="17">
        <v>3300</v>
      </c>
      <c r="O1334" s="17"/>
      <c r="P1334" s="17"/>
      <c r="Q1334" s="48"/>
      <c r="R1334" s="11"/>
      <c r="S1334" s="48"/>
      <c r="T1334" s="85"/>
      <c r="U1334" s="91"/>
      <c r="V1334" s="32"/>
      <c r="W1334" s="25" t="s">
        <v>48</v>
      </c>
      <c r="X1334" s="11"/>
      <c r="Y1334" s="50" t="s">
        <v>12</v>
      </c>
      <c r="Z1334" s="50"/>
      <c r="AA1334" s="50"/>
      <c r="AB1334" s="50"/>
      <c r="AC1334" s="50"/>
      <c r="AD1334" s="50"/>
      <c r="AE1334" s="50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65"/>
      <c r="AP1334" s="69"/>
      <c r="AQ1334" s="62"/>
      <c r="AR1334" s="80"/>
    </row>
    <row r="1335" spans="1:44" customFormat="1">
      <c r="A1335" s="39">
        <v>44874</v>
      </c>
      <c r="B1335" s="11" t="s">
        <v>49</v>
      </c>
      <c r="C1335" s="16" t="s">
        <v>5554</v>
      </c>
      <c r="D1335" s="16"/>
      <c r="E1335" s="38">
        <v>24807</v>
      </c>
      <c r="F1335" s="38"/>
      <c r="G1335" s="10" t="s">
        <v>5555</v>
      </c>
      <c r="H1335" s="12" t="s">
        <v>5556</v>
      </c>
      <c r="I1335" s="13" t="s">
        <v>1619</v>
      </c>
      <c r="J1335" s="15" t="s">
        <v>5557</v>
      </c>
      <c r="K1335" s="12"/>
      <c r="L1335" s="11" t="s">
        <v>33</v>
      </c>
      <c r="M1335" s="15" t="s">
        <v>3629</v>
      </c>
      <c r="N1335" s="17">
        <v>14850</v>
      </c>
      <c r="O1335" s="17"/>
      <c r="P1335" s="17"/>
      <c r="Q1335" s="48"/>
      <c r="R1335" s="11"/>
      <c r="S1335" s="48"/>
      <c r="T1335" s="85" t="s">
        <v>8073</v>
      </c>
      <c r="U1335" s="88"/>
      <c r="V1335" s="32" t="s">
        <v>5558</v>
      </c>
      <c r="W1335" s="25" t="s">
        <v>8</v>
      </c>
      <c r="X1335" s="11"/>
      <c r="Y1335" s="50" t="s">
        <v>13</v>
      </c>
      <c r="Z1335" s="50"/>
      <c r="AA1335" s="50"/>
      <c r="AB1335" s="50"/>
      <c r="AC1335" s="50"/>
      <c r="AD1335" s="50"/>
      <c r="AE1335" s="50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65"/>
      <c r="AP1335" s="69"/>
      <c r="AQ1335" s="62"/>
      <c r="AR1335" s="34"/>
    </row>
    <row r="1336" spans="1:44" customFormat="1">
      <c r="A1336" s="39">
        <v>44874</v>
      </c>
      <c r="B1336" s="11" t="s">
        <v>49</v>
      </c>
      <c r="C1336" s="16" t="s">
        <v>5559</v>
      </c>
      <c r="D1336" s="16"/>
      <c r="E1336" s="38">
        <v>30468</v>
      </c>
      <c r="F1336" s="38"/>
      <c r="G1336" s="10" t="s">
        <v>2984</v>
      </c>
      <c r="H1336" s="12" t="s">
        <v>5560</v>
      </c>
      <c r="I1336" s="13" t="s">
        <v>5251</v>
      </c>
      <c r="J1336" s="15" t="s">
        <v>5561</v>
      </c>
      <c r="K1336" s="12"/>
      <c r="L1336" s="11" t="s">
        <v>36</v>
      </c>
      <c r="M1336" s="15" t="s">
        <v>3599</v>
      </c>
      <c r="N1336" s="17">
        <v>16500</v>
      </c>
      <c r="O1336" s="17"/>
      <c r="P1336" s="17"/>
      <c r="Q1336" s="48"/>
      <c r="R1336" s="11"/>
      <c r="S1336" s="48"/>
      <c r="T1336" s="85" t="s">
        <v>8073</v>
      </c>
      <c r="U1336" s="88"/>
      <c r="V1336" s="32"/>
      <c r="W1336" s="25" t="s">
        <v>8</v>
      </c>
      <c r="X1336" s="11"/>
      <c r="Y1336" s="50" t="s">
        <v>13</v>
      </c>
      <c r="Z1336" s="50"/>
      <c r="AA1336" s="50"/>
      <c r="AB1336" s="50"/>
      <c r="AC1336" s="50"/>
      <c r="AD1336" s="50"/>
      <c r="AE1336" s="50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65"/>
      <c r="AP1336" s="69"/>
      <c r="AQ1336" s="62"/>
      <c r="AR1336" s="34"/>
    </row>
    <row r="1337" spans="1:44" customFormat="1">
      <c r="A1337" s="39">
        <v>44874</v>
      </c>
      <c r="B1337" s="11" t="s">
        <v>22</v>
      </c>
      <c r="C1337" s="16" t="s">
        <v>5562</v>
      </c>
      <c r="D1337" s="16"/>
      <c r="E1337" s="38">
        <v>34290</v>
      </c>
      <c r="F1337" s="38"/>
      <c r="G1337" s="10" t="s">
        <v>621</v>
      </c>
      <c r="H1337" s="12" t="s">
        <v>5563</v>
      </c>
      <c r="I1337" s="13" t="s">
        <v>5566</v>
      </c>
      <c r="J1337" s="15" t="s">
        <v>5564</v>
      </c>
      <c r="K1337" s="14" t="s">
        <v>5565</v>
      </c>
      <c r="L1337" s="11" t="s">
        <v>36</v>
      </c>
      <c r="M1337" s="15" t="s">
        <v>3584</v>
      </c>
      <c r="N1337" s="17">
        <v>3300</v>
      </c>
      <c r="O1337" s="17"/>
      <c r="P1337" s="17"/>
      <c r="Q1337" s="48"/>
      <c r="R1337" s="11"/>
      <c r="S1337" s="48"/>
      <c r="T1337" s="85" t="s">
        <v>8079</v>
      </c>
      <c r="U1337" s="91">
        <v>44876</v>
      </c>
      <c r="V1337" s="32"/>
      <c r="W1337" s="25" t="s">
        <v>9</v>
      </c>
      <c r="X1337" s="11"/>
      <c r="Y1337" s="50"/>
      <c r="Z1337" s="50"/>
      <c r="AA1337" s="50"/>
      <c r="AB1337" s="50"/>
      <c r="AC1337" s="50"/>
      <c r="AD1337" s="50"/>
      <c r="AE1337" s="50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65"/>
      <c r="AP1337" s="69"/>
      <c r="AQ1337" s="62" t="s">
        <v>8079</v>
      </c>
      <c r="AR1337" s="80">
        <v>44876</v>
      </c>
    </row>
    <row r="1338" spans="1:44" customFormat="1">
      <c r="A1338" s="39">
        <v>44875</v>
      </c>
      <c r="B1338" s="11" t="s">
        <v>22</v>
      </c>
      <c r="C1338" s="16" t="s">
        <v>5567</v>
      </c>
      <c r="D1338" s="16"/>
      <c r="E1338" s="38">
        <v>24864</v>
      </c>
      <c r="F1338" s="38"/>
      <c r="G1338" s="10" t="s">
        <v>5568</v>
      </c>
      <c r="H1338" s="12" t="s">
        <v>5569</v>
      </c>
      <c r="I1338" s="13">
        <v>7.4</v>
      </c>
      <c r="J1338" s="15" t="s">
        <v>5570</v>
      </c>
      <c r="K1338" s="14" t="s">
        <v>5571</v>
      </c>
      <c r="L1338" s="11" t="s">
        <v>36</v>
      </c>
      <c r="M1338" s="15" t="s">
        <v>3629</v>
      </c>
      <c r="N1338" s="17">
        <v>3300</v>
      </c>
      <c r="O1338" s="17"/>
      <c r="P1338" s="17"/>
      <c r="Q1338" s="48"/>
      <c r="R1338" s="11"/>
      <c r="S1338" s="48"/>
      <c r="T1338" s="85" t="s">
        <v>8079</v>
      </c>
      <c r="U1338" s="91">
        <v>44875</v>
      </c>
      <c r="V1338" s="32" t="s">
        <v>5577</v>
      </c>
      <c r="W1338" s="25" t="s">
        <v>48</v>
      </c>
      <c r="X1338" s="11"/>
      <c r="Y1338" s="50" t="s">
        <v>11</v>
      </c>
      <c r="Z1338" s="50"/>
      <c r="AA1338" s="50"/>
      <c r="AB1338" s="50"/>
      <c r="AC1338" s="50"/>
      <c r="AD1338" s="50"/>
      <c r="AE1338" s="50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65"/>
      <c r="AP1338" s="69"/>
      <c r="AQ1338" s="62" t="s">
        <v>8079</v>
      </c>
      <c r="AR1338" s="80">
        <v>44875</v>
      </c>
    </row>
    <row r="1339" spans="1:44" customFormat="1">
      <c r="A1339" s="39">
        <v>44875</v>
      </c>
      <c r="B1339" s="11" t="s">
        <v>49</v>
      </c>
      <c r="C1339" s="16" t="s">
        <v>5572</v>
      </c>
      <c r="D1339" s="16"/>
      <c r="E1339" s="38">
        <v>31187</v>
      </c>
      <c r="F1339" s="38"/>
      <c r="G1339" s="10" t="s">
        <v>5573</v>
      </c>
      <c r="H1339" s="12" t="s">
        <v>5574</v>
      </c>
      <c r="I1339" s="13" t="s">
        <v>5575</v>
      </c>
      <c r="J1339" s="15" t="s">
        <v>5576</v>
      </c>
      <c r="K1339" s="12"/>
      <c r="L1339" s="11" t="s">
        <v>36</v>
      </c>
      <c r="M1339" s="15" t="s">
        <v>3599</v>
      </c>
      <c r="N1339" s="17">
        <v>16500</v>
      </c>
      <c r="O1339" s="17"/>
      <c r="P1339" s="17"/>
      <c r="Q1339" s="48"/>
      <c r="R1339" s="11"/>
      <c r="S1339" s="48"/>
      <c r="T1339" s="85" t="s">
        <v>8073</v>
      </c>
      <c r="U1339" s="88"/>
      <c r="V1339" s="32"/>
      <c r="W1339" s="25" t="s">
        <v>3847</v>
      </c>
      <c r="X1339" s="11"/>
      <c r="Y1339" s="50" t="s">
        <v>13</v>
      </c>
      <c r="Z1339" s="50"/>
      <c r="AA1339" s="50"/>
      <c r="AB1339" s="50"/>
      <c r="AC1339" s="50"/>
      <c r="AD1339" s="50"/>
      <c r="AE1339" s="50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65"/>
      <c r="AP1339" s="69"/>
      <c r="AQ1339" s="62"/>
      <c r="AR1339" s="34"/>
    </row>
    <row r="1340" spans="1:44" customFormat="1">
      <c r="A1340" s="39">
        <v>44875</v>
      </c>
      <c r="B1340" s="11" t="s">
        <v>22</v>
      </c>
      <c r="C1340" s="16" t="s">
        <v>5578</v>
      </c>
      <c r="D1340" s="16"/>
      <c r="E1340" s="38">
        <v>29539</v>
      </c>
      <c r="F1340" s="38"/>
      <c r="G1340" s="10" t="s">
        <v>1818</v>
      </c>
      <c r="H1340" s="12" t="s">
        <v>5579</v>
      </c>
      <c r="I1340" s="13" t="s">
        <v>5581</v>
      </c>
      <c r="J1340" s="15" t="s">
        <v>5580</v>
      </c>
      <c r="K1340" s="12"/>
      <c r="L1340" s="11" t="s">
        <v>33</v>
      </c>
      <c r="M1340" s="15" t="s">
        <v>3584</v>
      </c>
      <c r="N1340" s="17">
        <v>3300</v>
      </c>
      <c r="O1340" s="17"/>
      <c r="P1340" s="17"/>
      <c r="Q1340" s="48"/>
      <c r="R1340" s="11"/>
      <c r="S1340" s="48"/>
      <c r="T1340" s="85"/>
      <c r="U1340" s="91"/>
      <c r="V1340" s="32"/>
      <c r="W1340" s="25" t="s">
        <v>48</v>
      </c>
      <c r="X1340" s="11"/>
      <c r="Y1340" s="50" t="s">
        <v>11</v>
      </c>
      <c r="Z1340" s="50"/>
      <c r="AA1340" s="50"/>
      <c r="AB1340" s="50"/>
      <c r="AC1340" s="50"/>
      <c r="AD1340" s="50"/>
      <c r="AE1340" s="50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65"/>
      <c r="AP1340" s="69"/>
      <c r="AQ1340" s="62"/>
      <c r="AR1340" s="80"/>
    </row>
    <row r="1341" spans="1:44" customFormat="1">
      <c r="A1341" s="39">
        <v>44877</v>
      </c>
      <c r="B1341" s="11" t="s">
        <v>49</v>
      </c>
      <c r="C1341" s="16" t="s">
        <v>5582</v>
      </c>
      <c r="D1341" s="16"/>
      <c r="E1341" s="38">
        <v>26362</v>
      </c>
      <c r="F1341" s="38"/>
      <c r="G1341" s="10" t="s">
        <v>5583</v>
      </c>
      <c r="H1341" s="12" t="s">
        <v>5584</v>
      </c>
      <c r="I1341" s="13">
        <v>35.6</v>
      </c>
      <c r="J1341" s="15" t="s">
        <v>5585</v>
      </c>
      <c r="K1341" s="12"/>
      <c r="L1341" s="11" t="s">
        <v>36</v>
      </c>
      <c r="M1341" s="15" t="s">
        <v>3629</v>
      </c>
      <c r="N1341" s="17">
        <v>16500</v>
      </c>
      <c r="O1341" s="17"/>
      <c r="P1341" s="17"/>
      <c r="Q1341" s="48"/>
      <c r="R1341" s="11"/>
      <c r="S1341" s="48"/>
      <c r="T1341" s="85"/>
      <c r="U1341" s="88"/>
      <c r="V1341" s="32"/>
      <c r="W1341" s="25" t="s">
        <v>10</v>
      </c>
      <c r="X1341" s="11"/>
      <c r="Y1341" s="50" t="s">
        <v>12</v>
      </c>
      <c r="Z1341" s="50"/>
      <c r="AA1341" s="50"/>
      <c r="AB1341" s="50"/>
      <c r="AC1341" s="50"/>
      <c r="AD1341" s="50"/>
      <c r="AE1341" s="50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65"/>
      <c r="AP1341" s="69"/>
      <c r="AQ1341" s="62"/>
      <c r="AR1341" s="34"/>
    </row>
    <row r="1342" spans="1:44" customFormat="1">
      <c r="A1342" s="39">
        <v>44878</v>
      </c>
      <c r="B1342" s="11" t="s">
        <v>49</v>
      </c>
      <c r="C1342" s="16" t="s">
        <v>5586</v>
      </c>
      <c r="D1342" s="16"/>
      <c r="E1342" s="38">
        <v>25528</v>
      </c>
      <c r="F1342" s="38"/>
      <c r="G1342" s="10" t="s">
        <v>5587</v>
      </c>
      <c r="H1342" s="12" t="s">
        <v>5588</v>
      </c>
      <c r="I1342" s="13">
        <v>27.4</v>
      </c>
      <c r="J1342" s="15" t="s">
        <v>5590</v>
      </c>
      <c r="K1342" s="14" t="s">
        <v>5589</v>
      </c>
      <c r="L1342" s="11" t="s">
        <v>36</v>
      </c>
      <c r="M1342" s="15" t="s">
        <v>3584</v>
      </c>
      <c r="N1342" s="17">
        <v>16500</v>
      </c>
      <c r="O1342" s="17"/>
      <c r="P1342" s="17"/>
      <c r="Q1342" s="48"/>
      <c r="R1342" s="11"/>
      <c r="S1342" s="48"/>
      <c r="T1342" s="85"/>
      <c r="U1342" s="88"/>
      <c r="V1342" s="32"/>
      <c r="W1342" s="25" t="s">
        <v>48</v>
      </c>
      <c r="X1342" s="11"/>
      <c r="Y1342" s="50" t="s">
        <v>13</v>
      </c>
      <c r="Z1342" s="50"/>
      <c r="AA1342" s="50"/>
      <c r="AB1342" s="50"/>
      <c r="AC1342" s="50"/>
      <c r="AD1342" s="50"/>
      <c r="AE1342" s="50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65"/>
      <c r="AP1342" s="69"/>
      <c r="AQ1342" s="62"/>
      <c r="AR1342" s="34"/>
    </row>
    <row r="1343" spans="1:44" customFormat="1">
      <c r="A1343" s="39">
        <v>44878</v>
      </c>
      <c r="B1343" s="11" t="s">
        <v>49</v>
      </c>
      <c r="C1343" s="16" t="s">
        <v>5591</v>
      </c>
      <c r="D1343" s="16"/>
      <c r="E1343" s="38">
        <v>23378</v>
      </c>
      <c r="F1343" s="38"/>
      <c r="G1343" s="10" t="s">
        <v>3363</v>
      </c>
      <c r="H1343" s="12" t="s">
        <v>5593</v>
      </c>
      <c r="I1343" s="13" t="s">
        <v>5594</v>
      </c>
      <c r="J1343" s="15" t="s">
        <v>5592</v>
      </c>
      <c r="K1343" s="14" t="s">
        <v>5595</v>
      </c>
      <c r="L1343" s="11" t="s">
        <v>34</v>
      </c>
      <c r="M1343" s="15" t="s">
        <v>3584</v>
      </c>
      <c r="N1343" s="17">
        <v>8250</v>
      </c>
      <c r="O1343" s="17"/>
      <c r="P1343" s="17"/>
      <c r="Q1343" s="48"/>
      <c r="R1343" s="11"/>
      <c r="S1343" s="48"/>
      <c r="T1343" s="85"/>
      <c r="U1343" s="88"/>
      <c r="V1343" s="32" t="s">
        <v>5596</v>
      </c>
      <c r="W1343" s="25" t="s">
        <v>8</v>
      </c>
      <c r="X1343" s="11"/>
      <c r="Y1343" s="50" t="s">
        <v>13</v>
      </c>
      <c r="Z1343" s="50"/>
      <c r="AA1343" s="50"/>
      <c r="AB1343" s="50"/>
      <c r="AC1343" s="50"/>
      <c r="AD1343" s="50"/>
      <c r="AE1343" s="50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65"/>
      <c r="AP1343" s="69"/>
      <c r="AQ1343" s="62"/>
      <c r="AR1343" s="34"/>
    </row>
    <row r="1344" spans="1:44" customFormat="1">
      <c r="A1344" s="39">
        <v>44881</v>
      </c>
      <c r="B1344" s="11" t="s">
        <v>22</v>
      </c>
      <c r="C1344" s="16" t="s">
        <v>5544</v>
      </c>
      <c r="D1344" s="16"/>
      <c r="E1344" s="38">
        <v>32841</v>
      </c>
      <c r="F1344" s="38"/>
      <c r="G1344" s="10" t="s">
        <v>5545</v>
      </c>
      <c r="H1344" s="12" t="s">
        <v>5546</v>
      </c>
      <c r="I1344" s="13">
        <v>3.9</v>
      </c>
      <c r="J1344" s="15" t="s">
        <v>5547</v>
      </c>
      <c r="K1344" s="12"/>
      <c r="L1344" s="11" t="s">
        <v>39</v>
      </c>
      <c r="M1344" s="15" t="s">
        <v>3629</v>
      </c>
      <c r="N1344" s="17">
        <v>3300</v>
      </c>
      <c r="O1344" s="17"/>
      <c r="P1344" s="17"/>
      <c r="Q1344" s="48"/>
      <c r="R1344" s="11"/>
      <c r="S1344" s="48"/>
      <c r="T1344" s="85"/>
      <c r="U1344" s="91"/>
      <c r="V1344" s="32" t="s">
        <v>5597</v>
      </c>
      <c r="W1344" s="25" t="s">
        <v>8</v>
      </c>
      <c r="X1344" s="11"/>
      <c r="Y1344" s="50"/>
      <c r="Z1344" s="50"/>
      <c r="AA1344" s="50"/>
      <c r="AB1344" s="50"/>
      <c r="AC1344" s="50"/>
      <c r="AD1344" s="50"/>
      <c r="AE1344" s="50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65"/>
      <c r="AP1344" s="69"/>
      <c r="AQ1344" s="62"/>
      <c r="AR1344" s="80"/>
    </row>
    <row r="1345" spans="1:44" customFormat="1">
      <c r="A1345" s="39">
        <v>44881</v>
      </c>
      <c r="B1345" s="11" t="s">
        <v>5659</v>
      </c>
      <c r="C1345" s="16" t="s">
        <v>5603</v>
      </c>
      <c r="D1345" s="16"/>
      <c r="E1345" s="38">
        <v>35230</v>
      </c>
      <c r="F1345" s="38"/>
      <c r="G1345" s="10" t="s">
        <v>5598</v>
      </c>
      <c r="H1345" s="12" t="s">
        <v>5599</v>
      </c>
      <c r="I1345" s="13" t="s">
        <v>5600</v>
      </c>
      <c r="J1345" s="15" t="s">
        <v>5601</v>
      </c>
      <c r="K1345" s="12"/>
      <c r="L1345" s="11"/>
      <c r="M1345" s="15"/>
      <c r="N1345" s="17">
        <v>0</v>
      </c>
      <c r="O1345" s="17"/>
      <c r="P1345" s="17"/>
      <c r="Q1345" s="48"/>
      <c r="R1345" s="11"/>
      <c r="S1345" s="48"/>
      <c r="T1345" s="85"/>
      <c r="U1345" s="88"/>
      <c r="V1345" s="32" t="s">
        <v>5602</v>
      </c>
      <c r="W1345" s="25" t="s">
        <v>8</v>
      </c>
      <c r="X1345" s="11"/>
      <c r="Y1345" s="50"/>
      <c r="Z1345" s="50"/>
      <c r="AA1345" s="50"/>
      <c r="AB1345" s="50"/>
      <c r="AC1345" s="50"/>
      <c r="AD1345" s="50"/>
      <c r="AE1345" s="50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65"/>
      <c r="AP1345" s="69"/>
      <c r="AQ1345" s="62"/>
      <c r="AR1345" s="34"/>
    </row>
    <row r="1346" spans="1:44" customFormat="1">
      <c r="A1346" s="39">
        <v>44884</v>
      </c>
      <c r="B1346" s="11" t="s">
        <v>49</v>
      </c>
      <c r="C1346" s="16" t="s">
        <v>5604</v>
      </c>
      <c r="D1346" s="16"/>
      <c r="E1346" s="38">
        <v>37480</v>
      </c>
      <c r="F1346" s="38"/>
      <c r="G1346" s="10" t="s">
        <v>5605</v>
      </c>
      <c r="H1346" s="12" t="s">
        <v>5606</v>
      </c>
      <c r="I1346" s="13" t="s">
        <v>5609</v>
      </c>
      <c r="J1346" s="15" t="s">
        <v>5608</v>
      </c>
      <c r="K1346" s="14" t="s">
        <v>5607</v>
      </c>
      <c r="L1346" s="11" t="s">
        <v>38</v>
      </c>
      <c r="M1346" s="15" t="s">
        <v>3599</v>
      </c>
      <c r="N1346" s="17">
        <v>8250</v>
      </c>
      <c r="O1346" s="17"/>
      <c r="P1346" s="17"/>
      <c r="Q1346" s="48"/>
      <c r="R1346" s="11"/>
      <c r="S1346" s="48"/>
      <c r="T1346" s="85" t="s">
        <v>8073</v>
      </c>
      <c r="U1346" s="88"/>
      <c r="V1346" s="32" t="s">
        <v>5613</v>
      </c>
      <c r="W1346" s="25" t="s">
        <v>3847</v>
      </c>
      <c r="X1346" s="11"/>
      <c r="Y1346" s="50" t="s">
        <v>12</v>
      </c>
      <c r="Z1346" s="50"/>
      <c r="AA1346" s="50"/>
      <c r="AB1346" s="50"/>
      <c r="AC1346" s="50"/>
      <c r="AD1346" s="50"/>
      <c r="AE1346" s="50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65"/>
      <c r="AP1346" s="69"/>
      <c r="AQ1346" s="62"/>
      <c r="AR1346" s="34"/>
    </row>
    <row r="1347" spans="1:44" customFormat="1">
      <c r="A1347" s="39">
        <v>44884</v>
      </c>
      <c r="B1347" s="11" t="s">
        <v>49</v>
      </c>
      <c r="C1347" s="16" t="s">
        <v>5610</v>
      </c>
      <c r="D1347" s="16"/>
      <c r="E1347" s="38">
        <v>27536</v>
      </c>
      <c r="F1347" s="38"/>
      <c r="G1347" s="10" t="s">
        <v>2034</v>
      </c>
      <c r="H1347" s="12" t="s">
        <v>5611</v>
      </c>
      <c r="I1347" s="13" t="s">
        <v>1682</v>
      </c>
      <c r="J1347" s="15" t="s">
        <v>5612</v>
      </c>
      <c r="K1347" s="12"/>
      <c r="L1347" s="11" t="s">
        <v>37</v>
      </c>
      <c r="M1347" s="15" t="s">
        <v>3629</v>
      </c>
      <c r="N1347" s="17">
        <v>16500</v>
      </c>
      <c r="O1347" s="17"/>
      <c r="P1347" s="17"/>
      <c r="Q1347" s="48"/>
      <c r="R1347" s="11"/>
      <c r="S1347" s="48"/>
      <c r="T1347" s="85"/>
      <c r="U1347" s="88"/>
      <c r="V1347" s="32"/>
      <c r="W1347" s="25" t="s">
        <v>9</v>
      </c>
      <c r="X1347" s="11"/>
      <c r="Y1347" s="50" t="s">
        <v>14</v>
      </c>
      <c r="Z1347" s="50"/>
      <c r="AA1347" s="50"/>
      <c r="AB1347" s="50"/>
      <c r="AC1347" s="50"/>
      <c r="AD1347" s="50"/>
      <c r="AE1347" s="50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65"/>
      <c r="AP1347" s="69"/>
      <c r="AQ1347" s="62"/>
      <c r="AR1347" s="34"/>
    </row>
    <row r="1348" spans="1:44" customFormat="1">
      <c r="A1348" s="39">
        <v>44885</v>
      </c>
      <c r="B1348" s="11" t="s">
        <v>22</v>
      </c>
      <c r="C1348" s="16" t="s">
        <v>5614</v>
      </c>
      <c r="D1348" s="16"/>
      <c r="E1348" s="38">
        <v>26020</v>
      </c>
      <c r="F1348" s="38"/>
      <c r="G1348" s="10" t="s">
        <v>795</v>
      </c>
      <c r="H1348" s="12" t="s">
        <v>5615</v>
      </c>
      <c r="I1348" s="13">
        <v>5.0999999999999996</v>
      </c>
      <c r="J1348" s="15" t="s">
        <v>5617</v>
      </c>
      <c r="K1348" s="14" t="s">
        <v>5616</v>
      </c>
      <c r="L1348" s="11" t="s">
        <v>36</v>
      </c>
      <c r="M1348" s="15" t="s">
        <v>3584</v>
      </c>
      <c r="N1348" s="17">
        <v>3300</v>
      </c>
      <c r="O1348" s="17"/>
      <c r="P1348" s="17"/>
      <c r="Q1348" s="48"/>
      <c r="R1348" s="11"/>
      <c r="S1348" s="48"/>
      <c r="T1348" s="85" t="s">
        <v>8079</v>
      </c>
      <c r="U1348" s="91">
        <v>44896</v>
      </c>
      <c r="V1348" s="32"/>
      <c r="W1348" s="25" t="s">
        <v>48</v>
      </c>
      <c r="X1348" s="11"/>
      <c r="Y1348" s="50" t="s">
        <v>11</v>
      </c>
      <c r="Z1348" s="50"/>
      <c r="AA1348" s="50"/>
      <c r="AB1348" s="50"/>
      <c r="AC1348" s="50"/>
      <c r="AD1348" s="50"/>
      <c r="AE1348" s="50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65"/>
      <c r="AP1348" s="69"/>
      <c r="AQ1348" s="62" t="s">
        <v>8079</v>
      </c>
      <c r="AR1348" s="80">
        <v>44896</v>
      </c>
    </row>
    <row r="1349" spans="1:44" customFormat="1">
      <c r="A1349" s="39">
        <v>44885</v>
      </c>
      <c r="B1349" s="11" t="s">
        <v>49</v>
      </c>
      <c r="C1349" s="16" t="s">
        <v>5618</v>
      </c>
      <c r="D1349" s="16"/>
      <c r="E1349" s="38">
        <v>34421</v>
      </c>
      <c r="F1349" s="38"/>
      <c r="G1349" s="10" t="s">
        <v>5619</v>
      </c>
      <c r="H1349" s="12" t="s">
        <v>5621</v>
      </c>
      <c r="I1349" s="13">
        <v>31.8</v>
      </c>
      <c r="J1349" s="15" t="s">
        <v>5620</v>
      </c>
      <c r="K1349" s="12"/>
      <c r="L1349" s="11" t="s">
        <v>39</v>
      </c>
      <c r="M1349" s="15"/>
      <c r="N1349" s="17">
        <v>11000</v>
      </c>
      <c r="O1349" s="17"/>
      <c r="P1349" s="17"/>
      <c r="Q1349" s="48"/>
      <c r="R1349" s="11"/>
      <c r="S1349" s="48"/>
      <c r="T1349" s="85"/>
      <c r="U1349" s="88"/>
      <c r="V1349" s="32" t="s">
        <v>1281</v>
      </c>
      <c r="W1349" s="25" t="s">
        <v>48</v>
      </c>
      <c r="X1349" s="11"/>
      <c r="Y1349" s="50" t="s">
        <v>13</v>
      </c>
      <c r="Z1349" s="50"/>
      <c r="AA1349" s="50"/>
      <c r="AB1349" s="50"/>
      <c r="AC1349" s="50"/>
      <c r="AD1349" s="50"/>
      <c r="AE1349" s="50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65"/>
      <c r="AP1349" s="69"/>
      <c r="AQ1349" s="62"/>
      <c r="AR1349" s="34"/>
    </row>
    <row r="1350" spans="1:44" customFormat="1">
      <c r="A1350" s="39">
        <v>44886</v>
      </c>
      <c r="B1350" s="11" t="s">
        <v>49</v>
      </c>
      <c r="C1350" s="16" t="s">
        <v>5604</v>
      </c>
      <c r="D1350" s="16"/>
      <c r="E1350" s="38">
        <v>37480</v>
      </c>
      <c r="F1350" s="38"/>
      <c r="G1350" s="10" t="s">
        <v>5623</v>
      </c>
      <c r="H1350" s="12" t="s">
        <v>5606</v>
      </c>
      <c r="I1350" s="13" t="s">
        <v>5624</v>
      </c>
      <c r="J1350" s="15" t="s">
        <v>5622</v>
      </c>
      <c r="K1350" s="14" t="s">
        <v>5607</v>
      </c>
      <c r="L1350" s="11" t="s">
        <v>38</v>
      </c>
      <c r="M1350" s="15" t="s">
        <v>3599</v>
      </c>
      <c r="N1350" s="17">
        <v>0</v>
      </c>
      <c r="O1350" s="17"/>
      <c r="P1350" s="17"/>
      <c r="Q1350" s="48"/>
      <c r="R1350" s="11"/>
      <c r="S1350" s="48"/>
      <c r="T1350" s="85"/>
      <c r="U1350" s="88"/>
      <c r="V1350" s="32" t="s">
        <v>5625</v>
      </c>
      <c r="W1350" s="25" t="s">
        <v>3847</v>
      </c>
      <c r="X1350" s="11"/>
      <c r="Y1350" s="50" t="s">
        <v>12</v>
      </c>
      <c r="Z1350" s="50"/>
      <c r="AA1350" s="50"/>
      <c r="AB1350" s="50"/>
      <c r="AC1350" s="50"/>
      <c r="AD1350" s="50"/>
      <c r="AE1350" s="50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65"/>
      <c r="AP1350" s="69"/>
      <c r="AQ1350" s="62"/>
      <c r="AR1350" s="34"/>
    </row>
    <row r="1351" spans="1:44" customFormat="1">
      <c r="A1351" s="39">
        <v>44888</v>
      </c>
      <c r="B1351" s="11" t="s">
        <v>22</v>
      </c>
      <c r="C1351" s="16" t="s">
        <v>5630</v>
      </c>
      <c r="D1351" s="16"/>
      <c r="E1351" s="38">
        <v>25261</v>
      </c>
      <c r="F1351" s="38"/>
      <c r="G1351" s="10" t="s">
        <v>44</v>
      </c>
      <c r="H1351" s="12" t="s">
        <v>5631</v>
      </c>
      <c r="I1351" s="13" t="s">
        <v>1637</v>
      </c>
      <c r="J1351" s="15" t="s">
        <v>5633</v>
      </c>
      <c r="K1351" s="14" t="s">
        <v>5632</v>
      </c>
      <c r="L1351" s="11" t="s">
        <v>33</v>
      </c>
      <c r="M1351" s="15" t="s">
        <v>3629</v>
      </c>
      <c r="N1351" s="17">
        <v>3300</v>
      </c>
      <c r="O1351" s="17"/>
      <c r="P1351" s="17"/>
      <c r="Q1351" s="48"/>
      <c r="R1351" s="11"/>
      <c r="S1351" s="48"/>
      <c r="T1351" s="85" t="s">
        <v>8079</v>
      </c>
      <c r="U1351" s="91">
        <v>44891</v>
      </c>
      <c r="V1351" s="32"/>
      <c r="W1351" s="25" t="s">
        <v>10</v>
      </c>
      <c r="X1351" s="11"/>
      <c r="Y1351" s="50" t="s">
        <v>18</v>
      </c>
      <c r="Z1351" s="50"/>
      <c r="AA1351" s="50"/>
      <c r="AB1351" s="50"/>
      <c r="AC1351" s="50"/>
      <c r="AD1351" s="50"/>
      <c r="AE1351" s="50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65"/>
      <c r="AP1351" s="69"/>
      <c r="AQ1351" s="62"/>
      <c r="AR1351" s="34"/>
    </row>
    <row r="1352" spans="1:44" customFormat="1">
      <c r="A1352" s="39">
        <v>44888</v>
      </c>
      <c r="B1352" s="11" t="s">
        <v>49</v>
      </c>
      <c r="C1352" s="16" t="s">
        <v>5626</v>
      </c>
      <c r="D1352" s="16"/>
      <c r="E1352" s="38">
        <v>28661</v>
      </c>
      <c r="F1352" s="38"/>
      <c r="G1352" s="10" t="s">
        <v>2948</v>
      </c>
      <c r="H1352" s="12" t="s">
        <v>5627</v>
      </c>
      <c r="I1352" s="13" t="s">
        <v>1668</v>
      </c>
      <c r="J1352" s="15" t="s">
        <v>5629</v>
      </c>
      <c r="K1352" s="14" t="s">
        <v>5628</v>
      </c>
      <c r="L1352" s="11" t="s">
        <v>36</v>
      </c>
      <c r="M1352" s="15" t="s">
        <v>3584</v>
      </c>
      <c r="N1352" s="17">
        <v>16500</v>
      </c>
      <c r="O1352" s="17"/>
      <c r="P1352" s="17"/>
      <c r="Q1352" s="48"/>
      <c r="R1352" s="11"/>
      <c r="S1352" s="48"/>
      <c r="T1352" s="85" t="s">
        <v>8073</v>
      </c>
      <c r="U1352" s="88"/>
      <c r="V1352" s="32"/>
      <c r="W1352" s="25" t="s">
        <v>48</v>
      </c>
      <c r="X1352" s="11"/>
      <c r="Y1352" s="50" t="s">
        <v>12</v>
      </c>
      <c r="Z1352" s="50"/>
      <c r="AA1352" s="50"/>
      <c r="AB1352" s="50"/>
      <c r="AC1352" s="50"/>
      <c r="AD1352" s="50"/>
      <c r="AE1352" s="50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65"/>
      <c r="AP1352" s="69"/>
      <c r="AQ1352" s="62" t="s">
        <v>8079</v>
      </c>
      <c r="AR1352" s="80">
        <v>44891</v>
      </c>
    </row>
    <row r="1353" spans="1:44" customFormat="1">
      <c r="A1353" s="39">
        <v>44889</v>
      </c>
      <c r="B1353" s="11" t="s">
        <v>49</v>
      </c>
      <c r="C1353" s="16" t="s">
        <v>5634</v>
      </c>
      <c r="D1353" s="16" t="s">
        <v>6324</v>
      </c>
      <c r="E1353" s="38">
        <v>22339</v>
      </c>
      <c r="F1353" s="38"/>
      <c r="G1353" s="10" t="s">
        <v>5635</v>
      </c>
      <c r="H1353" s="12" t="s">
        <v>5636</v>
      </c>
      <c r="I1353" s="13">
        <v>12.1</v>
      </c>
      <c r="J1353" s="15" t="s">
        <v>5637</v>
      </c>
      <c r="K1353" s="12" t="s">
        <v>6325</v>
      </c>
      <c r="L1353" s="11" t="s">
        <v>39</v>
      </c>
      <c r="M1353" s="15" t="s">
        <v>3629</v>
      </c>
      <c r="N1353" s="17">
        <v>11000</v>
      </c>
      <c r="O1353" s="17"/>
      <c r="P1353" s="17"/>
      <c r="Q1353" s="48"/>
      <c r="R1353" s="11"/>
      <c r="S1353" s="48"/>
      <c r="T1353" s="85"/>
      <c r="U1353" s="88"/>
      <c r="V1353" s="32" t="s">
        <v>5638</v>
      </c>
      <c r="W1353" s="25" t="s">
        <v>8</v>
      </c>
      <c r="X1353" s="11"/>
      <c r="Y1353" s="50" t="s">
        <v>14</v>
      </c>
      <c r="Z1353" s="50"/>
      <c r="AA1353" s="50"/>
      <c r="AB1353" s="50"/>
      <c r="AC1353" s="50"/>
      <c r="AD1353" s="50"/>
      <c r="AE1353" s="50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65"/>
      <c r="AP1353" s="69"/>
      <c r="AQ1353" s="62"/>
      <c r="AR1353" s="34"/>
    </row>
    <row r="1354" spans="1:44" customFormat="1">
      <c r="A1354" s="39">
        <v>44889</v>
      </c>
      <c r="B1354" s="11" t="s">
        <v>22</v>
      </c>
      <c r="C1354" s="16" t="s">
        <v>5639</v>
      </c>
      <c r="D1354" s="16"/>
      <c r="E1354" s="38">
        <v>30387</v>
      </c>
      <c r="F1354" s="38"/>
      <c r="G1354" s="10" t="s">
        <v>5640</v>
      </c>
      <c r="H1354" s="12" t="s">
        <v>5641</v>
      </c>
      <c r="I1354" s="13">
        <v>25.3</v>
      </c>
      <c r="J1354" s="15" t="s">
        <v>5642</v>
      </c>
      <c r="K1354" s="12"/>
      <c r="L1354" s="11"/>
      <c r="M1354" s="15"/>
      <c r="N1354" s="17">
        <v>3300</v>
      </c>
      <c r="O1354" s="17"/>
      <c r="P1354" s="17"/>
      <c r="Q1354" s="48"/>
      <c r="R1354" s="11"/>
      <c r="S1354" s="48"/>
      <c r="T1354" s="85"/>
      <c r="U1354" s="91"/>
      <c r="V1354" s="32" t="s">
        <v>4313</v>
      </c>
      <c r="W1354" s="25" t="s">
        <v>8</v>
      </c>
      <c r="X1354" s="11"/>
      <c r="Y1354" s="50"/>
      <c r="Z1354" s="50"/>
      <c r="AA1354" s="50"/>
      <c r="AB1354" s="50"/>
      <c r="AC1354" s="50"/>
      <c r="AD1354" s="50"/>
      <c r="AE1354" s="50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65"/>
      <c r="AP1354" s="69"/>
      <c r="AQ1354" s="62"/>
      <c r="AR1354" s="80"/>
    </row>
    <row r="1355" spans="1:44" customFormat="1">
      <c r="A1355" s="39">
        <v>44891</v>
      </c>
      <c r="B1355" s="11" t="s">
        <v>22</v>
      </c>
      <c r="C1355" s="16" t="s">
        <v>5643</v>
      </c>
      <c r="D1355" s="16"/>
      <c r="E1355" s="38">
        <v>33982</v>
      </c>
      <c r="F1355" s="38"/>
      <c r="G1355" s="10" t="s">
        <v>5644</v>
      </c>
      <c r="H1355" s="12" t="s">
        <v>5645</v>
      </c>
      <c r="I1355" s="13">
        <v>3.7</v>
      </c>
      <c r="J1355" s="15" t="s">
        <v>5646</v>
      </c>
      <c r="K1355" s="12"/>
      <c r="L1355" s="11" t="s">
        <v>36</v>
      </c>
      <c r="M1355" s="15" t="s">
        <v>3680</v>
      </c>
      <c r="N1355" s="17">
        <v>3300</v>
      </c>
      <c r="O1355" s="17"/>
      <c r="P1355" s="17"/>
      <c r="Q1355" s="48"/>
      <c r="R1355" s="11"/>
      <c r="S1355" s="48"/>
      <c r="T1355" s="85"/>
      <c r="U1355" s="91"/>
      <c r="V1355" s="32" t="s">
        <v>5647</v>
      </c>
      <c r="W1355" s="25" t="s">
        <v>8</v>
      </c>
      <c r="X1355" s="11"/>
      <c r="Y1355" s="50" t="s">
        <v>17</v>
      </c>
      <c r="Z1355" s="50"/>
      <c r="AA1355" s="50"/>
      <c r="AB1355" s="50"/>
      <c r="AC1355" s="50"/>
      <c r="AD1355" s="50"/>
      <c r="AE1355" s="50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65"/>
      <c r="AP1355" s="69"/>
      <c r="AQ1355" s="62"/>
      <c r="AR1355" s="80"/>
    </row>
    <row r="1356" spans="1:44" customFormat="1">
      <c r="A1356" s="39">
        <v>44892</v>
      </c>
      <c r="B1356" s="11" t="s">
        <v>22</v>
      </c>
      <c r="C1356" s="16" t="s">
        <v>5648</v>
      </c>
      <c r="D1356" s="16"/>
      <c r="E1356" s="38">
        <v>31506</v>
      </c>
      <c r="F1356" s="38"/>
      <c r="G1356" s="10" t="s">
        <v>5649</v>
      </c>
      <c r="H1356" s="12" t="s">
        <v>5650</v>
      </c>
      <c r="I1356" s="13">
        <v>6.6</v>
      </c>
      <c r="J1356" s="15" t="s">
        <v>5651</v>
      </c>
      <c r="K1356" s="12"/>
      <c r="L1356" s="11" t="s">
        <v>33</v>
      </c>
      <c r="M1356" s="15"/>
      <c r="N1356" s="17">
        <v>3300</v>
      </c>
      <c r="O1356" s="17"/>
      <c r="P1356" s="17"/>
      <c r="Q1356" s="48"/>
      <c r="R1356" s="11"/>
      <c r="S1356" s="48"/>
      <c r="T1356" s="85" t="s">
        <v>8079</v>
      </c>
      <c r="U1356" s="91">
        <v>44900</v>
      </c>
      <c r="V1356" s="32"/>
      <c r="W1356" s="25" t="s">
        <v>48</v>
      </c>
      <c r="X1356" s="11"/>
      <c r="Y1356" s="50" t="s">
        <v>12</v>
      </c>
      <c r="Z1356" s="50"/>
      <c r="AA1356" s="50"/>
      <c r="AB1356" s="50"/>
      <c r="AC1356" s="50"/>
      <c r="AD1356" s="50"/>
      <c r="AE1356" s="50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65"/>
      <c r="AP1356" s="69"/>
      <c r="AQ1356" s="62" t="s">
        <v>8079</v>
      </c>
      <c r="AR1356" s="80">
        <v>44900</v>
      </c>
    </row>
    <row r="1357" spans="1:44" customFormat="1">
      <c r="A1357" s="39">
        <v>44895</v>
      </c>
      <c r="B1357" s="11" t="s">
        <v>22</v>
      </c>
      <c r="C1357" s="16" t="s">
        <v>5655</v>
      </c>
      <c r="D1357" s="16"/>
      <c r="E1357" s="38">
        <v>34496</v>
      </c>
      <c r="F1357" s="38"/>
      <c r="G1357" s="10" t="s">
        <v>999</v>
      </c>
      <c r="H1357" s="12" t="s">
        <v>5656</v>
      </c>
      <c r="I1357" s="13">
        <v>12</v>
      </c>
      <c r="J1357" s="15" t="s">
        <v>5658</v>
      </c>
      <c r="K1357" s="14" t="s">
        <v>5657</v>
      </c>
      <c r="L1357" s="11" t="s">
        <v>36</v>
      </c>
      <c r="M1357" s="15" t="s">
        <v>3584</v>
      </c>
      <c r="N1357" s="17">
        <v>3300</v>
      </c>
      <c r="O1357" s="17"/>
      <c r="P1357" s="17"/>
      <c r="Q1357" s="48"/>
      <c r="R1357" s="11"/>
      <c r="S1357" s="48"/>
      <c r="T1357" s="85" t="s">
        <v>8079</v>
      </c>
      <c r="U1357" s="91">
        <v>44895</v>
      </c>
      <c r="V1357" s="32"/>
      <c r="W1357" s="25" t="s">
        <v>48</v>
      </c>
      <c r="X1357" s="11"/>
      <c r="Y1357" s="50" t="s">
        <v>12</v>
      </c>
      <c r="Z1357" s="50"/>
      <c r="AA1357" s="50"/>
      <c r="AB1357" s="50"/>
      <c r="AC1357" s="50"/>
      <c r="AD1357" s="50"/>
      <c r="AE1357" s="50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65"/>
      <c r="AP1357" s="69"/>
      <c r="AQ1357" s="62"/>
      <c r="AR1357" s="34"/>
    </row>
    <row r="1358" spans="1:44" customFormat="1">
      <c r="A1358" s="39">
        <v>44895</v>
      </c>
      <c r="B1358" s="11" t="s">
        <v>49</v>
      </c>
      <c r="C1358" s="16" t="s">
        <v>645</v>
      </c>
      <c r="D1358" s="16"/>
      <c r="E1358" s="38">
        <v>26002</v>
      </c>
      <c r="F1358" s="38"/>
      <c r="G1358" s="10" t="s">
        <v>646</v>
      </c>
      <c r="H1358" s="12" t="s">
        <v>5652</v>
      </c>
      <c r="I1358" s="13" t="s">
        <v>5653</v>
      </c>
      <c r="J1358" s="15" t="s">
        <v>648</v>
      </c>
      <c r="K1358" s="12"/>
      <c r="L1358" s="11" t="s">
        <v>33</v>
      </c>
      <c r="M1358" s="15"/>
      <c r="N1358" s="17">
        <v>11000</v>
      </c>
      <c r="O1358" s="17"/>
      <c r="P1358" s="17"/>
      <c r="Q1358" s="48"/>
      <c r="R1358" s="11"/>
      <c r="S1358" s="48"/>
      <c r="T1358" s="85" t="s">
        <v>8073</v>
      </c>
      <c r="U1358" s="88"/>
      <c r="V1358" s="32" t="s">
        <v>5654</v>
      </c>
      <c r="W1358" s="25" t="s">
        <v>8</v>
      </c>
      <c r="X1358" s="11"/>
      <c r="Y1358" s="50" t="s">
        <v>13</v>
      </c>
      <c r="Z1358" s="50"/>
      <c r="AA1358" s="50"/>
      <c r="AB1358" s="50"/>
      <c r="AC1358" s="50"/>
      <c r="AD1358" s="50"/>
      <c r="AE1358" s="50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65"/>
      <c r="AP1358" s="69"/>
      <c r="AQ1358" s="62" t="s">
        <v>8079</v>
      </c>
      <c r="AR1358" s="80">
        <v>44895</v>
      </c>
    </row>
    <row r="1359" spans="1:44" customFormat="1">
      <c r="A1359" s="39">
        <v>44898</v>
      </c>
      <c r="B1359" s="11" t="s">
        <v>22</v>
      </c>
      <c r="C1359" s="16" t="s">
        <v>1543</v>
      </c>
      <c r="D1359" s="16"/>
      <c r="E1359" s="38">
        <v>38863</v>
      </c>
      <c r="F1359" s="38"/>
      <c r="G1359" s="10" t="s">
        <v>1544</v>
      </c>
      <c r="H1359" s="12" t="s">
        <v>2713</v>
      </c>
      <c r="I1359" s="13">
        <v>21.1</v>
      </c>
      <c r="J1359" s="15" t="s">
        <v>1546</v>
      </c>
      <c r="K1359" s="12"/>
      <c r="L1359" s="11" t="s">
        <v>38</v>
      </c>
      <c r="M1359" s="15" t="s">
        <v>3599</v>
      </c>
      <c r="N1359" s="17">
        <v>3300</v>
      </c>
      <c r="O1359" s="17"/>
      <c r="P1359" s="17"/>
      <c r="Q1359" s="48"/>
      <c r="R1359" s="11"/>
      <c r="S1359" s="48"/>
      <c r="T1359" s="85" t="s">
        <v>8079</v>
      </c>
      <c r="U1359" s="91">
        <v>44898</v>
      </c>
      <c r="V1359" s="32"/>
      <c r="W1359" s="25" t="s">
        <v>8</v>
      </c>
      <c r="X1359" s="11"/>
      <c r="Y1359" s="50" t="s">
        <v>11</v>
      </c>
      <c r="Z1359" s="50"/>
      <c r="AA1359" s="50"/>
      <c r="AB1359" s="50"/>
      <c r="AC1359" s="50"/>
      <c r="AD1359" s="50"/>
      <c r="AE1359" s="50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65"/>
      <c r="AP1359" s="69"/>
      <c r="AQ1359" s="62" t="s">
        <v>8079</v>
      </c>
      <c r="AR1359" s="80">
        <v>44898</v>
      </c>
    </row>
    <row r="1360" spans="1:44" customFormat="1">
      <c r="A1360" s="39">
        <v>44900</v>
      </c>
      <c r="B1360" s="11" t="s">
        <v>5659</v>
      </c>
      <c r="C1360" s="16" t="s">
        <v>5603</v>
      </c>
      <c r="D1360" s="16"/>
      <c r="E1360" s="38">
        <v>35230</v>
      </c>
      <c r="F1360" s="38"/>
      <c r="G1360" s="10" t="s">
        <v>5598</v>
      </c>
      <c r="H1360" s="12" t="s">
        <v>5599</v>
      </c>
      <c r="I1360" s="13" t="s">
        <v>5600</v>
      </c>
      <c r="J1360" s="15" t="s">
        <v>5601</v>
      </c>
      <c r="K1360" s="12"/>
      <c r="L1360" s="11"/>
      <c r="M1360" s="15"/>
      <c r="N1360" s="17">
        <v>2200</v>
      </c>
      <c r="O1360" s="17"/>
      <c r="P1360" s="17"/>
      <c r="Q1360" s="48"/>
      <c r="R1360" s="11"/>
      <c r="S1360" s="48"/>
      <c r="T1360" s="85"/>
      <c r="U1360" s="88"/>
      <c r="V1360" s="32" t="s">
        <v>5660</v>
      </c>
      <c r="W1360" s="25" t="s">
        <v>8</v>
      </c>
      <c r="X1360" s="11"/>
      <c r="Y1360" s="50"/>
      <c r="Z1360" s="50"/>
      <c r="AA1360" s="50"/>
      <c r="AB1360" s="50"/>
      <c r="AC1360" s="50"/>
      <c r="AD1360" s="50"/>
      <c r="AE1360" s="50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65"/>
      <c r="AP1360" s="69"/>
      <c r="AQ1360" s="62"/>
      <c r="AR1360" s="34"/>
    </row>
    <row r="1361" spans="1:44" customFormat="1">
      <c r="A1361" s="39">
        <v>44900</v>
      </c>
      <c r="B1361" s="11" t="s">
        <v>5659</v>
      </c>
      <c r="C1361" s="16" t="s">
        <v>5661</v>
      </c>
      <c r="D1361" s="16"/>
      <c r="E1361" s="38">
        <v>37015</v>
      </c>
      <c r="F1361" s="38"/>
      <c r="G1361" s="10" t="s">
        <v>5662</v>
      </c>
      <c r="H1361" s="12" t="s">
        <v>5663</v>
      </c>
      <c r="I1361" s="13" t="s">
        <v>5665</v>
      </c>
      <c r="J1361" s="15" t="s">
        <v>5664</v>
      </c>
      <c r="K1361" s="12"/>
      <c r="L1361" s="11" t="s">
        <v>39</v>
      </c>
      <c r="M1361" s="15" t="s">
        <v>3599</v>
      </c>
      <c r="N1361" s="17">
        <v>2200</v>
      </c>
      <c r="O1361" s="17"/>
      <c r="P1361" s="17"/>
      <c r="Q1361" s="48"/>
      <c r="R1361" s="11"/>
      <c r="S1361" s="48"/>
      <c r="T1361" s="85"/>
      <c r="U1361" s="88"/>
      <c r="V1361" s="32" t="s">
        <v>5660</v>
      </c>
      <c r="W1361" s="25" t="s">
        <v>8</v>
      </c>
      <c r="X1361" s="11"/>
      <c r="Y1361" s="50" t="s">
        <v>17</v>
      </c>
      <c r="Z1361" s="50"/>
      <c r="AA1361" s="50"/>
      <c r="AB1361" s="50"/>
      <c r="AC1361" s="50"/>
      <c r="AD1361" s="50"/>
      <c r="AE1361" s="50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65"/>
      <c r="AP1361" s="69"/>
      <c r="AQ1361" s="62"/>
      <c r="AR1361" s="34"/>
    </row>
    <row r="1362" spans="1:44" customFormat="1">
      <c r="A1362" s="39">
        <v>44902</v>
      </c>
      <c r="B1362" s="11" t="s">
        <v>22</v>
      </c>
      <c r="C1362" s="16" t="s">
        <v>5666</v>
      </c>
      <c r="D1362" s="16" t="s">
        <v>5673</v>
      </c>
      <c r="E1362" s="38">
        <v>30870</v>
      </c>
      <c r="F1362" s="38"/>
      <c r="G1362" s="10" t="s">
        <v>5667</v>
      </c>
      <c r="H1362" s="12" t="s">
        <v>5668</v>
      </c>
      <c r="I1362" s="13" t="s">
        <v>5669</v>
      </c>
      <c r="J1362" s="15" t="s">
        <v>5670</v>
      </c>
      <c r="K1362" s="12"/>
      <c r="L1362" s="11" t="s">
        <v>34</v>
      </c>
      <c r="M1362" s="15"/>
      <c r="N1362" s="17">
        <v>3300</v>
      </c>
      <c r="O1362" s="17"/>
      <c r="P1362" s="17"/>
      <c r="Q1362" s="48"/>
      <c r="R1362" s="11"/>
      <c r="S1362" s="48"/>
      <c r="T1362" s="85"/>
      <c r="U1362" s="91"/>
      <c r="V1362" s="32" t="s">
        <v>5671</v>
      </c>
      <c r="W1362" s="25"/>
      <c r="X1362" s="11"/>
      <c r="Y1362" s="50"/>
      <c r="Z1362" s="50"/>
      <c r="AA1362" s="50"/>
      <c r="AB1362" s="50"/>
      <c r="AC1362" s="50"/>
      <c r="AD1362" s="50"/>
      <c r="AE1362" s="50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65"/>
      <c r="AP1362" s="69"/>
      <c r="AQ1362" s="62"/>
      <c r="AR1362" s="80"/>
    </row>
    <row r="1363" spans="1:44" customFormat="1">
      <c r="A1363" s="39">
        <v>44903</v>
      </c>
      <c r="B1363" s="11" t="s">
        <v>22</v>
      </c>
      <c r="C1363" s="16" t="s">
        <v>5674</v>
      </c>
      <c r="D1363" s="16" t="s">
        <v>5675</v>
      </c>
      <c r="E1363" s="38">
        <v>26751</v>
      </c>
      <c r="F1363" s="38"/>
      <c r="G1363" s="10" t="s">
        <v>5676</v>
      </c>
      <c r="H1363" s="22" t="s">
        <v>5677</v>
      </c>
      <c r="I1363" s="13">
        <v>3.8</v>
      </c>
      <c r="J1363" s="15" t="s">
        <v>5678</v>
      </c>
      <c r="K1363" s="12"/>
      <c r="L1363" s="11" t="s">
        <v>34</v>
      </c>
      <c r="M1363" s="15" t="s">
        <v>3599</v>
      </c>
      <c r="N1363" s="17">
        <v>3300</v>
      </c>
      <c r="O1363" s="17"/>
      <c r="P1363" s="17"/>
      <c r="Q1363" s="48"/>
      <c r="R1363" s="11"/>
      <c r="S1363" s="48"/>
      <c r="T1363" s="85"/>
      <c r="U1363" s="91"/>
      <c r="V1363" s="32" t="s">
        <v>5679</v>
      </c>
      <c r="W1363" s="25" t="s">
        <v>8</v>
      </c>
      <c r="X1363" s="11"/>
      <c r="Y1363" s="50" t="s">
        <v>17</v>
      </c>
      <c r="Z1363" s="50"/>
      <c r="AA1363" s="50"/>
      <c r="AB1363" s="50"/>
      <c r="AC1363" s="50"/>
      <c r="AD1363" s="50"/>
      <c r="AE1363" s="50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65"/>
      <c r="AP1363" s="69"/>
      <c r="AQ1363" s="62"/>
      <c r="AR1363" s="80"/>
    </row>
    <row r="1364" spans="1:44" customFormat="1">
      <c r="A1364" s="39">
        <v>44904</v>
      </c>
      <c r="B1364" s="11" t="s">
        <v>49</v>
      </c>
      <c r="C1364" s="16" t="s">
        <v>5680</v>
      </c>
      <c r="D1364" s="16" t="s">
        <v>5681</v>
      </c>
      <c r="E1364" s="38">
        <v>27905</v>
      </c>
      <c r="F1364" s="38"/>
      <c r="G1364" s="10" t="s">
        <v>2460</v>
      </c>
      <c r="H1364" s="22" t="s">
        <v>5682</v>
      </c>
      <c r="I1364" s="13">
        <v>42.4</v>
      </c>
      <c r="J1364" s="15" t="s">
        <v>5684</v>
      </c>
      <c r="K1364" s="14" t="s">
        <v>5683</v>
      </c>
      <c r="L1364" s="11" t="s">
        <v>33</v>
      </c>
      <c r="M1364" s="15" t="s">
        <v>3584</v>
      </c>
      <c r="N1364" s="17">
        <v>14850</v>
      </c>
      <c r="O1364" s="17"/>
      <c r="P1364" s="17"/>
      <c r="Q1364" s="48"/>
      <c r="R1364" s="11"/>
      <c r="S1364" s="48"/>
      <c r="T1364" s="85" t="s">
        <v>8073</v>
      </c>
      <c r="U1364" s="88"/>
      <c r="V1364" s="32" t="s">
        <v>5660</v>
      </c>
      <c r="W1364" s="25" t="s">
        <v>8</v>
      </c>
      <c r="X1364" s="11"/>
      <c r="Y1364" s="50" t="s">
        <v>13</v>
      </c>
      <c r="Z1364" s="50"/>
      <c r="AA1364" s="50"/>
      <c r="AB1364" s="50"/>
      <c r="AC1364" s="50"/>
      <c r="AD1364" s="50"/>
      <c r="AE1364" s="50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65"/>
      <c r="AP1364" s="69"/>
      <c r="AQ1364" s="62"/>
      <c r="AR1364" s="34"/>
    </row>
    <row r="1365" spans="1:44" customFormat="1">
      <c r="A1365" s="39">
        <v>44910</v>
      </c>
      <c r="B1365" s="11" t="s">
        <v>22</v>
      </c>
      <c r="C1365" s="16" t="s">
        <v>5685</v>
      </c>
      <c r="D1365" s="16" t="s">
        <v>5686</v>
      </c>
      <c r="E1365" s="38">
        <v>17797</v>
      </c>
      <c r="F1365" s="38"/>
      <c r="G1365" s="10" t="s">
        <v>69</v>
      </c>
      <c r="H1365" s="22" t="s">
        <v>5687</v>
      </c>
      <c r="I1365" s="13">
        <v>5.4</v>
      </c>
      <c r="J1365" s="15" t="s">
        <v>5689</v>
      </c>
      <c r="K1365" s="14" t="s">
        <v>5688</v>
      </c>
      <c r="L1365" s="11" t="s">
        <v>39</v>
      </c>
      <c r="M1365" s="15" t="s">
        <v>3584</v>
      </c>
      <c r="N1365" s="17">
        <v>3300</v>
      </c>
      <c r="O1365" s="17"/>
      <c r="P1365" s="17"/>
      <c r="Q1365" s="48"/>
      <c r="R1365" s="11"/>
      <c r="S1365" s="48"/>
      <c r="T1365" s="85"/>
      <c r="U1365" s="91"/>
      <c r="V1365" s="32"/>
      <c r="W1365" s="25" t="s">
        <v>48</v>
      </c>
      <c r="X1365" s="11"/>
      <c r="Y1365" s="50" t="s">
        <v>15</v>
      </c>
      <c r="Z1365" s="50"/>
      <c r="AA1365" s="50"/>
      <c r="AB1365" s="50"/>
      <c r="AC1365" s="50"/>
      <c r="AD1365" s="50"/>
      <c r="AE1365" s="50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65"/>
      <c r="AP1365" s="69"/>
      <c r="AQ1365" s="62"/>
      <c r="AR1365" s="80"/>
    </row>
    <row r="1366" spans="1:44" customFormat="1">
      <c r="A1366" s="39">
        <v>44911</v>
      </c>
      <c r="B1366" s="11" t="s">
        <v>2170</v>
      </c>
      <c r="C1366" s="16" t="s">
        <v>5028</v>
      </c>
      <c r="D1366" s="16" t="s">
        <v>5690</v>
      </c>
      <c r="E1366" s="38" t="s">
        <v>5691</v>
      </c>
      <c r="F1366" s="38"/>
      <c r="G1366" s="10" t="s">
        <v>252</v>
      </c>
      <c r="H1366" s="22" t="s">
        <v>5692</v>
      </c>
      <c r="I1366" s="13">
        <v>2.2000000000000002</v>
      </c>
      <c r="J1366" s="15" t="s">
        <v>5691</v>
      </c>
      <c r="K1366" s="12"/>
      <c r="L1366" s="11" t="s">
        <v>34</v>
      </c>
      <c r="M1366" s="15"/>
      <c r="N1366" s="17">
        <v>8250</v>
      </c>
      <c r="O1366" s="17"/>
      <c r="P1366" s="17"/>
      <c r="Q1366" s="48"/>
      <c r="R1366" s="11"/>
      <c r="S1366" s="48"/>
      <c r="T1366" s="85"/>
      <c r="U1366" s="88"/>
      <c r="V1366" s="32"/>
      <c r="W1366" s="25"/>
      <c r="X1366" s="11"/>
      <c r="Y1366" s="50"/>
      <c r="Z1366" s="50"/>
      <c r="AA1366" s="50"/>
      <c r="AB1366" s="50"/>
      <c r="AC1366" s="50"/>
      <c r="AD1366" s="50"/>
      <c r="AE1366" s="50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65"/>
      <c r="AP1366" s="69"/>
      <c r="AQ1366" s="62"/>
      <c r="AR1366" s="34"/>
    </row>
    <row r="1367" spans="1:44" customFormat="1">
      <c r="A1367" s="39">
        <v>44912</v>
      </c>
      <c r="B1367" s="11" t="s">
        <v>2170</v>
      </c>
      <c r="C1367" s="16" t="s">
        <v>4084</v>
      </c>
      <c r="D1367" s="16" t="s">
        <v>5693</v>
      </c>
      <c r="E1367" s="38">
        <v>30371</v>
      </c>
      <c r="F1367" s="38"/>
      <c r="G1367" s="10" t="s">
        <v>4085</v>
      </c>
      <c r="H1367" s="12" t="s">
        <v>4254</v>
      </c>
      <c r="I1367" s="13" t="s">
        <v>2444</v>
      </c>
      <c r="J1367" s="15" t="s">
        <v>4087</v>
      </c>
      <c r="K1367" s="14" t="s">
        <v>4086</v>
      </c>
      <c r="L1367" s="11" t="s">
        <v>33</v>
      </c>
      <c r="M1367" s="15" t="s">
        <v>3584</v>
      </c>
      <c r="N1367" s="17">
        <v>8250</v>
      </c>
      <c r="O1367" s="17"/>
      <c r="P1367" s="17"/>
      <c r="Q1367" s="48"/>
      <c r="R1367" s="11"/>
      <c r="S1367" s="48"/>
      <c r="T1367" s="85"/>
      <c r="U1367" s="88"/>
      <c r="V1367" s="32"/>
      <c r="W1367" s="25" t="s">
        <v>48</v>
      </c>
      <c r="X1367" s="11"/>
      <c r="Y1367" s="50" t="s">
        <v>12</v>
      </c>
      <c r="Z1367" s="50"/>
      <c r="AA1367" s="50"/>
      <c r="AB1367" s="50"/>
      <c r="AC1367" s="50"/>
      <c r="AD1367" s="50"/>
      <c r="AE1367" s="50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65"/>
      <c r="AP1367" s="69"/>
      <c r="AQ1367" s="62"/>
      <c r="AR1367" s="34"/>
    </row>
    <row r="1368" spans="1:44" customFormat="1">
      <c r="A1368" s="39">
        <v>44912</v>
      </c>
      <c r="B1368" s="11" t="s">
        <v>22</v>
      </c>
      <c r="C1368" s="16" t="s">
        <v>5694</v>
      </c>
      <c r="D1368" s="16" t="s">
        <v>5695</v>
      </c>
      <c r="E1368" s="38">
        <v>30432</v>
      </c>
      <c r="F1368" s="38"/>
      <c r="G1368" s="10" t="s">
        <v>901</v>
      </c>
      <c r="H1368" s="12" t="s">
        <v>5696</v>
      </c>
      <c r="I1368" s="13" t="s">
        <v>1611</v>
      </c>
      <c r="J1368" s="15" t="s">
        <v>5697</v>
      </c>
      <c r="K1368" s="12"/>
      <c r="L1368" s="11" t="s">
        <v>33</v>
      </c>
      <c r="M1368" s="15" t="s">
        <v>3599</v>
      </c>
      <c r="N1368" s="17">
        <v>3300</v>
      </c>
      <c r="O1368" s="17"/>
      <c r="P1368" s="17"/>
      <c r="Q1368" s="48"/>
      <c r="R1368" s="11"/>
      <c r="S1368" s="48"/>
      <c r="T1368" s="85"/>
      <c r="U1368" s="91"/>
      <c r="V1368" s="32"/>
      <c r="W1368" s="25" t="s">
        <v>48</v>
      </c>
      <c r="X1368" s="11"/>
      <c r="Y1368" s="50" t="s">
        <v>11</v>
      </c>
      <c r="Z1368" s="50"/>
      <c r="AA1368" s="50"/>
      <c r="AB1368" s="50"/>
      <c r="AC1368" s="50"/>
      <c r="AD1368" s="50"/>
      <c r="AE1368" s="50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65"/>
      <c r="AP1368" s="69"/>
      <c r="AQ1368" s="62"/>
      <c r="AR1368" s="80"/>
    </row>
    <row r="1369" spans="1:44" customFormat="1">
      <c r="A1369" s="39">
        <v>44914</v>
      </c>
      <c r="B1369" s="11" t="s">
        <v>49</v>
      </c>
      <c r="C1369" s="16" t="s">
        <v>5698</v>
      </c>
      <c r="D1369" s="16" t="s">
        <v>5699</v>
      </c>
      <c r="E1369" s="38">
        <v>30860</v>
      </c>
      <c r="F1369" s="38"/>
      <c r="G1369" s="10" t="s">
        <v>3809</v>
      </c>
      <c r="H1369" s="22" t="s">
        <v>5700</v>
      </c>
      <c r="I1369" s="13">
        <v>8.1999999999999993</v>
      </c>
      <c r="J1369" s="15" t="s">
        <v>5702</v>
      </c>
      <c r="K1369" s="14" t="s">
        <v>5701</v>
      </c>
      <c r="L1369" s="11" t="s">
        <v>33</v>
      </c>
      <c r="M1369" s="15" t="s">
        <v>3584</v>
      </c>
      <c r="N1369" s="17">
        <v>16500</v>
      </c>
      <c r="O1369" s="17"/>
      <c r="P1369" s="17"/>
      <c r="Q1369" s="48"/>
      <c r="R1369" s="11"/>
      <c r="S1369" s="48"/>
      <c r="T1369" s="85" t="s">
        <v>8073</v>
      </c>
      <c r="U1369" s="88"/>
      <c r="V1369" s="32"/>
      <c r="W1369" s="25" t="s">
        <v>8</v>
      </c>
      <c r="X1369" s="11"/>
      <c r="Y1369" s="50" t="s">
        <v>17</v>
      </c>
      <c r="Z1369" s="50"/>
      <c r="AA1369" s="50"/>
      <c r="AB1369" s="50"/>
      <c r="AC1369" s="50"/>
      <c r="AD1369" s="50"/>
      <c r="AE1369" s="50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65"/>
      <c r="AP1369" s="69"/>
      <c r="AQ1369" s="62"/>
      <c r="AR1369" s="34"/>
    </row>
    <row r="1370" spans="1:44" customFormat="1">
      <c r="A1370" s="39">
        <v>44914</v>
      </c>
      <c r="B1370" s="11" t="s">
        <v>49</v>
      </c>
      <c r="C1370" s="16" t="s">
        <v>5703</v>
      </c>
      <c r="D1370" s="16" t="s">
        <v>5704</v>
      </c>
      <c r="E1370" s="38">
        <v>30785</v>
      </c>
      <c r="F1370" s="38"/>
      <c r="G1370" s="10" t="s">
        <v>1159</v>
      </c>
      <c r="H1370" s="22" t="s">
        <v>5705</v>
      </c>
      <c r="I1370" s="13">
        <v>5.4</v>
      </c>
      <c r="J1370" s="15" t="s">
        <v>5707</v>
      </c>
      <c r="K1370" s="14" t="s">
        <v>5706</v>
      </c>
      <c r="L1370" s="11" t="s">
        <v>33</v>
      </c>
      <c r="M1370" s="15" t="s">
        <v>3584</v>
      </c>
      <c r="N1370" s="17">
        <v>16500</v>
      </c>
      <c r="O1370" s="17"/>
      <c r="P1370" s="17"/>
      <c r="Q1370" s="48"/>
      <c r="R1370" s="11"/>
      <c r="S1370" s="48"/>
      <c r="T1370" s="85"/>
      <c r="U1370" s="88"/>
      <c r="V1370" s="32"/>
      <c r="W1370" s="25" t="s">
        <v>8</v>
      </c>
      <c r="X1370" s="11"/>
      <c r="Y1370" s="50" t="s">
        <v>13</v>
      </c>
      <c r="Z1370" s="50"/>
      <c r="AA1370" s="50"/>
      <c r="AB1370" s="50"/>
      <c r="AC1370" s="50"/>
      <c r="AD1370" s="50"/>
      <c r="AE1370" s="50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65"/>
      <c r="AP1370" s="69"/>
      <c r="AQ1370" s="62"/>
      <c r="AR1370" s="34"/>
    </row>
    <row r="1371" spans="1:44" customFormat="1">
      <c r="A1371" s="39">
        <v>44914</v>
      </c>
      <c r="B1371" s="11" t="s">
        <v>49</v>
      </c>
      <c r="C1371" s="16" t="s">
        <v>5708</v>
      </c>
      <c r="D1371" s="16" t="s">
        <v>5709</v>
      </c>
      <c r="E1371" s="38">
        <v>30812</v>
      </c>
      <c r="F1371" s="38"/>
      <c r="G1371" s="10" t="s">
        <v>5710</v>
      </c>
      <c r="H1371" s="22" t="s">
        <v>5711</v>
      </c>
      <c r="I1371" s="13">
        <v>8.6999999999999993</v>
      </c>
      <c r="J1371" s="15" t="s">
        <v>5713</v>
      </c>
      <c r="K1371" s="14" t="s">
        <v>5712</v>
      </c>
      <c r="L1371" s="11" t="s">
        <v>34</v>
      </c>
      <c r="M1371" s="15" t="s">
        <v>3584</v>
      </c>
      <c r="N1371" s="17">
        <v>16500</v>
      </c>
      <c r="O1371" s="17"/>
      <c r="P1371" s="17"/>
      <c r="Q1371" s="48"/>
      <c r="R1371" s="11"/>
      <c r="S1371" s="48"/>
      <c r="T1371" s="85" t="s">
        <v>8073</v>
      </c>
      <c r="U1371" s="88"/>
      <c r="V1371" s="32"/>
      <c r="W1371" s="25" t="s">
        <v>48</v>
      </c>
      <c r="X1371" s="11"/>
      <c r="Y1371" s="50" t="s">
        <v>12</v>
      </c>
      <c r="Z1371" s="50"/>
      <c r="AA1371" s="50"/>
      <c r="AB1371" s="50"/>
      <c r="AC1371" s="50"/>
      <c r="AD1371" s="50"/>
      <c r="AE1371" s="50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65"/>
      <c r="AP1371" s="69"/>
      <c r="AQ1371" s="62"/>
      <c r="AR1371" s="34"/>
    </row>
    <row r="1372" spans="1:44" customFormat="1">
      <c r="A1372" s="39">
        <v>44914</v>
      </c>
      <c r="B1372" s="11" t="s">
        <v>22</v>
      </c>
      <c r="C1372" s="16" t="s">
        <v>5714</v>
      </c>
      <c r="D1372" s="16" t="s">
        <v>5715</v>
      </c>
      <c r="E1372" s="38">
        <v>30040</v>
      </c>
      <c r="F1372" s="38"/>
      <c r="G1372" s="10" t="s">
        <v>344</v>
      </c>
      <c r="H1372" s="22" t="s">
        <v>5716</v>
      </c>
      <c r="I1372" s="13" t="s">
        <v>5717</v>
      </c>
      <c r="J1372" s="15" t="s">
        <v>5718</v>
      </c>
      <c r="K1372" s="12"/>
      <c r="L1372" s="11" t="s">
        <v>34</v>
      </c>
      <c r="M1372" s="15" t="s">
        <v>3599</v>
      </c>
      <c r="N1372" s="17">
        <v>3300</v>
      </c>
      <c r="O1372" s="17"/>
      <c r="P1372" s="17"/>
      <c r="Q1372" s="48"/>
      <c r="R1372" s="11"/>
      <c r="S1372" s="48"/>
      <c r="T1372" s="85"/>
      <c r="U1372" s="91"/>
      <c r="V1372" s="32"/>
      <c r="W1372" s="25" t="s">
        <v>10</v>
      </c>
      <c r="X1372" s="11"/>
      <c r="Y1372" s="50" t="s">
        <v>18</v>
      </c>
      <c r="Z1372" s="50"/>
      <c r="AA1372" s="50"/>
      <c r="AB1372" s="50"/>
      <c r="AC1372" s="50"/>
      <c r="AD1372" s="50"/>
      <c r="AE1372" s="50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65"/>
      <c r="AP1372" s="69"/>
      <c r="AQ1372" s="62"/>
      <c r="AR1372" s="80"/>
    </row>
    <row r="1373" spans="1:44" customFormat="1">
      <c r="A1373" s="39">
        <v>44916</v>
      </c>
      <c r="B1373" s="11" t="s">
        <v>49</v>
      </c>
      <c r="C1373" s="16" t="s">
        <v>5719</v>
      </c>
      <c r="D1373" s="16" t="s">
        <v>5720</v>
      </c>
      <c r="E1373" s="38">
        <v>23429</v>
      </c>
      <c r="F1373" s="38"/>
      <c r="G1373" s="10" t="s">
        <v>3809</v>
      </c>
      <c r="H1373" s="22" t="s">
        <v>5721</v>
      </c>
      <c r="I1373" s="13">
        <v>8.1</v>
      </c>
      <c r="J1373" s="15" t="s">
        <v>5722</v>
      </c>
      <c r="K1373" s="12"/>
      <c r="L1373" s="11" t="s">
        <v>37</v>
      </c>
      <c r="M1373" s="15" t="s">
        <v>3599</v>
      </c>
      <c r="N1373" s="17">
        <v>11000</v>
      </c>
      <c r="O1373" s="17"/>
      <c r="P1373" s="17"/>
      <c r="Q1373" s="48"/>
      <c r="R1373" s="11"/>
      <c r="S1373" s="48"/>
      <c r="T1373" s="85" t="s">
        <v>8073</v>
      </c>
      <c r="U1373" s="88"/>
      <c r="V1373" s="32" t="s">
        <v>5723</v>
      </c>
      <c r="W1373" s="25" t="s">
        <v>8</v>
      </c>
      <c r="X1373" s="11"/>
      <c r="Y1373" s="50"/>
      <c r="Z1373" s="50"/>
      <c r="AA1373" s="50"/>
      <c r="AB1373" s="50"/>
      <c r="AC1373" s="50"/>
      <c r="AD1373" s="50"/>
      <c r="AE1373" s="50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65"/>
      <c r="AP1373" s="69"/>
      <c r="AQ1373" s="62"/>
      <c r="AR1373" s="34"/>
    </row>
    <row r="1374" spans="1:44" customFormat="1">
      <c r="A1374" s="39">
        <v>44916</v>
      </c>
      <c r="B1374" s="11" t="s">
        <v>22</v>
      </c>
      <c r="C1374" s="16" t="s">
        <v>5724</v>
      </c>
      <c r="D1374" s="16" t="s">
        <v>5725</v>
      </c>
      <c r="E1374" s="39">
        <v>22625</v>
      </c>
      <c r="F1374" s="39"/>
      <c r="G1374" s="11" t="s">
        <v>3809</v>
      </c>
      <c r="H1374" s="22" t="s">
        <v>5721</v>
      </c>
      <c r="I1374" s="13">
        <v>8.1</v>
      </c>
      <c r="J1374" s="12" t="s">
        <v>5726</v>
      </c>
      <c r="K1374" s="32"/>
      <c r="L1374" s="11" t="s">
        <v>33</v>
      </c>
      <c r="M1374" s="15" t="s">
        <v>3599</v>
      </c>
      <c r="N1374" s="17">
        <v>3300</v>
      </c>
      <c r="O1374" s="17"/>
      <c r="P1374" s="17"/>
      <c r="Q1374" s="48"/>
      <c r="R1374" s="11"/>
      <c r="S1374" s="48"/>
      <c r="T1374" s="85"/>
      <c r="U1374" s="92"/>
      <c r="V1374" s="32"/>
      <c r="W1374" s="25" t="s">
        <v>8</v>
      </c>
      <c r="X1374" s="11"/>
      <c r="Y1374" s="50" t="s">
        <v>12</v>
      </c>
      <c r="Z1374" s="50"/>
      <c r="AA1374" s="50"/>
      <c r="AB1374" s="50"/>
      <c r="AC1374" s="50"/>
      <c r="AD1374" s="50"/>
      <c r="AE1374" s="50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65"/>
      <c r="AP1374" s="69"/>
      <c r="AQ1374" s="62"/>
      <c r="AR1374" s="81"/>
    </row>
    <row r="1375" spans="1:44" customFormat="1">
      <c r="A1375" s="39">
        <v>44918</v>
      </c>
      <c r="B1375" s="11" t="s">
        <v>22</v>
      </c>
      <c r="C1375" s="16" t="s">
        <v>5727</v>
      </c>
      <c r="D1375" s="16" t="s">
        <v>5728</v>
      </c>
      <c r="E1375" s="39">
        <v>27835</v>
      </c>
      <c r="F1375" s="39"/>
      <c r="G1375" s="11" t="s">
        <v>5215</v>
      </c>
      <c r="H1375" s="12" t="s">
        <v>5729</v>
      </c>
      <c r="I1375" s="13">
        <v>5.7</v>
      </c>
      <c r="J1375" s="12" t="s">
        <v>5730</v>
      </c>
      <c r="K1375" s="12"/>
      <c r="L1375" s="11" t="s">
        <v>36</v>
      </c>
      <c r="M1375" s="15" t="s">
        <v>3599</v>
      </c>
      <c r="N1375" s="17">
        <v>3300</v>
      </c>
      <c r="O1375" s="17"/>
      <c r="P1375" s="17"/>
      <c r="Q1375" s="48"/>
      <c r="R1375" s="11"/>
      <c r="S1375" s="48"/>
      <c r="T1375" s="85" t="s">
        <v>8079</v>
      </c>
      <c r="U1375" s="92">
        <v>44918</v>
      </c>
      <c r="V1375" s="32"/>
      <c r="W1375" s="25" t="s">
        <v>10</v>
      </c>
      <c r="X1375" s="11"/>
      <c r="Y1375" s="50" t="s">
        <v>11</v>
      </c>
      <c r="Z1375" s="50"/>
      <c r="AA1375" s="50"/>
      <c r="AB1375" s="50"/>
      <c r="AC1375" s="50"/>
      <c r="AD1375" s="50"/>
      <c r="AE1375" s="50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65"/>
      <c r="AP1375" s="69"/>
      <c r="AQ1375" s="62" t="s">
        <v>8079</v>
      </c>
      <c r="AR1375" s="81">
        <v>44918</v>
      </c>
    </row>
    <row r="1376" spans="1:44" customFormat="1">
      <c r="A1376" s="39">
        <v>44920</v>
      </c>
      <c r="B1376" s="11" t="s">
        <v>22</v>
      </c>
      <c r="C1376" s="16" t="s">
        <v>5731</v>
      </c>
      <c r="D1376" s="16" t="s">
        <v>5732</v>
      </c>
      <c r="E1376" s="39">
        <v>30562</v>
      </c>
      <c r="F1376" s="39"/>
      <c r="G1376" s="11" t="s">
        <v>5733</v>
      </c>
      <c r="H1376" s="12" t="s">
        <v>5734</v>
      </c>
      <c r="I1376" s="13" t="s">
        <v>1613</v>
      </c>
      <c r="J1376" s="12" t="s">
        <v>5735</v>
      </c>
      <c r="K1376" s="12"/>
      <c r="L1376" s="11" t="s">
        <v>34</v>
      </c>
      <c r="M1376" s="15"/>
      <c r="N1376" s="17">
        <v>3300</v>
      </c>
      <c r="O1376" s="17"/>
      <c r="P1376" s="17"/>
      <c r="Q1376" s="48"/>
      <c r="R1376" s="11"/>
      <c r="S1376" s="48"/>
      <c r="T1376" s="85" t="s">
        <v>8079</v>
      </c>
      <c r="U1376" s="92">
        <v>44930</v>
      </c>
      <c r="V1376" s="32"/>
      <c r="W1376" s="25" t="s">
        <v>48</v>
      </c>
      <c r="X1376" s="11"/>
      <c r="Y1376" s="50" t="s">
        <v>14</v>
      </c>
      <c r="Z1376" s="50"/>
      <c r="AA1376" s="50"/>
      <c r="AB1376" s="50"/>
      <c r="AC1376" s="50"/>
      <c r="AD1376" s="50"/>
      <c r="AE1376" s="50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65"/>
      <c r="AP1376" s="69"/>
      <c r="AQ1376" s="62" t="s">
        <v>8079</v>
      </c>
      <c r="AR1376" s="81">
        <v>44930</v>
      </c>
    </row>
    <row r="1377" spans="1:44" customFormat="1">
      <c r="A1377" s="39">
        <v>44923</v>
      </c>
      <c r="B1377" s="11" t="s">
        <v>22</v>
      </c>
      <c r="C1377" s="16" t="s">
        <v>5736</v>
      </c>
      <c r="D1377" s="16" t="s">
        <v>5737</v>
      </c>
      <c r="E1377" s="39">
        <v>23914</v>
      </c>
      <c r="F1377" s="39"/>
      <c r="G1377" s="11" t="s">
        <v>5738</v>
      </c>
      <c r="H1377" s="12" t="s">
        <v>5739</v>
      </c>
      <c r="I1377" s="13" t="s">
        <v>5740</v>
      </c>
      <c r="J1377" s="12" t="s">
        <v>5742</v>
      </c>
      <c r="K1377" s="14" t="s">
        <v>5741</v>
      </c>
      <c r="L1377" s="11" t="s">
        <v>36</v>
      </c>
      <c r="M1377" s="15" t="s">
        <v>3584</v>
      </c>
      <c r="N1377" s="17">
        <v>0</v>
      </c>
      <c r="O1377" s="17"/>
      <c r="P1377" s="17"/>
      <c r="Q1377" s="48"/>
      <c r="R1377" s="11"/>
      <c r="S1377" s="48"/>
      <c r="T1377" s="85" t="s">
        <v>8079</v>
      </c>
      <c r="U1377" s="92">
        <v>44993</v>
      </c>
      <c r="V1377" s="32" t="s">
        <v>5743</v>
      </c>
      <c r="W1377" s="25" t="s">
        <v>8</v>
      </c>
      <c r="X1377" s="11"/>
      <c r="Y1377" s="50"/>
      <c r="Z1377" s="50"/>
      <c r="AA1377" s="50"/>
      <c r="AB1377" s="50"/>
      <c r="AC1377" s="50"/>
      <c r="AD1377" s="50"/>
      <c r="AE1377" s="50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65"/>
      <c r="AP1377" s="69"/>
      <c r="AQ1377" s="62" t="s">
        <v>8079</v>
      </c>
      <c r="AR1377" s="81">
        <v>44993</v>
      </c>
    </row>
    <row r="1378" spans="1:44" customFormat="1">
      <c r="A1378" s="39">
        <v>44924</v>
      </c>
      <c r="B1378" s="11" t="s">
        <v>49</v>
      </c>
      <c r="C1378" s="16" t="s">
        <v>5744</v>
      </c>
      <c r="D1378" s="16" t="s">
        <v>5745</v>
      </c>
      <c r="E1378" s="39">
        <v>34610</v>
      </c>
      <c r="F1378" s="39"/>
      <c r="G1378" s="11" t="s">
        <v>5746</v>
      </c>
      <c r="H1378" s="12" t="s">
        <v>5747</v>
      </c>
      <c r="I1378" s="13">
        <v>89.5</v>
      </c>
      <c r="J1378" s="12" t="s">
        <v>5748</v>
      </c>
      <c r="K1378" s="12"/>
      <c r="L1378" s="11" t="s">
        <v>36</v>
      </c>
      <c r="M1378" s="15" t="s">
        <v>3599</v>
      </c>
      <c r="N1378" s="17">
        <v>16500</v>
      </c>
      <c r="O1378" s="17"/>
      <c r="P1378" s="17"/>
      <c r="Q1378" s="48"/>
      <c r="R1378" s="11"/>
      <c r="S1378" s="48"/>
      <c r="T1378" s="85" t="s">
        <v>8073</v>
      </c>
      <c r="U1378" s="85"/>
      <c r="V1378" s="32" t="s">
        <v>5749</v>
      </c>
      <c r="W1378" s="25" t="s">
        <v>10</v>
      </c>
      <c r="X1378" s="11"/>
      <c r="Y1378" s="50" t="s">
        <v>14</v>
      </c>
      <c r="Z1378" s="50"/>
      <c r="AA1378" s="50"/>
      <c r="AB1378" s="50"/>
      <c r="AC1378" s="50"/>
      <c r="AD1378" s="50"/>
      <c r="AE1378" s="50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65"/>
      <c r="AP1378" s="69"/>
      <c r="AQ1378" s="62"/>
      <c r="AR1378" s="62"/>
    </row>
    <row r="1379" spans="1:44" customFormat="1">
      <c r="A1379" s="39">
        <v>44930</v>
      </c>
      <c r="B1379" s="11" t="s">
        <v>22</v>
      </c>
      <c r="C1379" s="16" t="s">
        <v>5759</v>
      </c>
      <c r="D1379" s="16" t="s">
        <v>5760</v>
      </c>
      <c r="E1379" s="39">
        <v>24777</v>
      </c>
      <c r="F1379" s="39"/>
      <c r="G1379" s="11" t="s">
        <v>44</v>
      </c>
      <c r="H1379" s="12" t="s">
        <v>5761</v>
      </c>
      <c r="I1379" s="13">
        <v>2.9</v>
      </c>
      <c r="J1379" s="12" t="s">
        <v>5763</v>
      </c>
      <c r="K1379" s="14" t="s">
        <v>5762</v>
      </c>
      <c r="L1379" s="11" t="s">
        <v>37</v>
      </c>
      <c r="M1379" s="15" t="s">
        <v>3584</v>
      </c>
      <c r="N1379" s="17">
        <v>2750</v>
      </c>
      <c r="O1379" s="17"/>
      <c r="P1379" s="17"/>
      <c r="Q1379" s="48"/>
      <c r="R1379" s="11"/>
      <c r="S1379" s="48"/>
      <c r="T1379" s="85" t="s">
        <v>8079</v>
      </c>
      <c r="U1379" s="92">
        <v>44930</v>
      </c>
      <c r="V1379" s="32" t="s">
        <v>5743</v>
      </c>
      <c r="W1379" s="25" t="s">
        <v>8</v>
      </c>
      <c r="X1379" s="11"/>
      <c r="Y1379" s="50" t="s">
        <v>11</v>
      </c>
      <c r="Z1379" s="50"/>
      <c r="AA1379" s="50"/>
      <c r="AB1379" s="50"/>
      <c r="AC1379" s="50"/>
      <c r="AD1379" s="50"/>
      <c r="AE1379" s="50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65"/>
      <c r="AP1379" s="69"/>
      <c r="AQ1379" s="62"/>
      <c r="AR1379" s="81"/>
    </row>
    <row r="1380" spans="1:44" customFormat="1">
      <c r="A1380" s="39">
        <v>44930</v>
      </c>
      <c r="B1380" s="11" t="s">
        <v>22</v>
      </c>
      <c r="C1380" s="16" t="s">
        <v>5755</v>
      </c>
      <c r="D1380" s="16" t="s">
        <v>5756</v>
      </c>
      <c r="E1380" s="39">
        <v>22590</v>
      </c>
      <c r="F1380" s="39"/>
      <c r="G1380" s="11" t="s">
        <v>44</v>
      </c>
      <c r="H1380" s="12" t="s">
        <v>5757</v>
      </c>
      <c r="I1380" s="13">
        <v>2.7</v>
      </c>
      <c r="J1380" s="12" t="s">
        <v>5758</v>
      </c>
      <c r="K1380" s="12"/>
      <c r="L1380" s="11" t="s">
        <v>34</v>
      </c>
      <c r="M1380" s="15" t="s">
        <v>3584</v>
      </c>
      <c r="N1380" s="17">
        <v>2750</v>
      </c>
      <c r="O1380" s="17"/>
      <c r="P1380" s="17"/>
      <c r="Q1380" s="48"/>
      <c r="R1380" s="11"/>
      <c r="S1380" s="48"/>
      <c r="T1380" s="85" t="s">
        <v>8079</v>
      </c>
      <c r="U1380" s="92">
        <v>44930</v>
      </c>
      <c r="V1380" s="32" t="s">
        <v>5743</v>
      </c>
      <c r="W1380" s="25" t="s">
        <v>8</v>
      </c>
      <c r="X1380" s="11"/>
      <c r="Y1380" s="50" t="s">
        <v>12</v>
      </c>
      <c r="Z1380" s="50"/>
      <c r="AA1380" s="50"/>
      <c r="AB1380" s="50"/>
      <c r="AC1380" s="50"/>
      <c r="AD1380" s="50"/>
      <c r="AE1380" s="50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65"/>
      <c r="AP1380" s="69"/>
      <c r="AQ1380" s="62" t="s">
        <v>8079</v>
      </c>
      <c r="AR1380" s="81">
        <v>44930</v>
      </c>
    </row>
    <row r="1381" spans="1:44" customFormat="1">
      <c r="A1381" s="39">
        <v>44930</v>
      </c>
      <c r="B1381" s="11" t="s">
        <v>22</v>
      </c>
      <c r="C1381" s="16" t="s">
        <v>5750</v>
      </c>
      <c r="D1381" s="16" t="s">
        <v>5751</v>
      </c>
      <c r="E1381" s="39">
        <v>24720</v>
      </c>
      <c r="F1381" s="39"/>
      <c r="G1381" s="11" t="s">
        <v>2615</v>
      </c>
      <c r="H1381" s="12" t="s">
        <v>5752</v>
      </c>
      <c r="I1381" s="13">
        <v>5.9</v>
      </c>
      <c r="J1381" s="12" t="s">
        <v>5754</v>
      </c>
      <c r="K1381" s="14" t="s">
        <v>5753</v>
      </c>
      <c r="L1381" s="11" t="s">
        <v>34</v>
      </c>
      <c r="M1381" s="15" t="s">
        <v>3584</v>
      </c>
      <c r="N1381" s="17">
        <v>3300</v>
      </c>
      <c r="O1381" s="17"/>
      <c r="P1381" s="17"/>
      <c r="Q1381" s="48"/>
      <c r="R1381" s="11"/>
      <c r="S1381" s="48"/>
      <c r="T1381" s="85"/>
      <c r="U1381" s="92"/>
      <c r="V1381" s="32"/>
      <c r="W1381" s="25" t="s">
        <v>48</v>
      </c>
      <c r="X1381" s="11"/>
      <c r="Y1381" s="50" t="s">
        <v>11</v>
      </c>
      <c r="Z1381" s="50"/>
      <c r="AA1381" s="50"/>
      <c r="AB1381" s="50"/>
      <c r="AC1381" s="50"/>
      <c r="AD1381" s="50"/>
      <c r="AE1381" s="50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65"/>
      <c r="AP1381" s="69"/>
      <c r="AQ1381" s="62" t="s">
        <v>8079</v>
      </c>
      <c r="AR1381" s="81">
        <v>44930</v>
      </c>
    </row>
    <row r="1382" spans="1:44" customFormat="1">
      <c r="A1382" s="39">
        <v>44931</v>
      </c>
      <c r="B1382" s="11" t="s">
        <v>22</v>
      </c>
      <c r="C1382" s="16" t="s">
        <v>5772</v>
      </c>
      <c r="D1382" s="16" t="s">
        <v>5764</v>
      </c>
      <c r="E1382" s="39">
        <v>25522</v>
      </c>
      <c r="F1382" s="39"/>
      <c r="G1382" s="11" t="s">
        <v>4503</v>
      </c>
      <c r="H1382" s="12" t="s">
        <v>5765</v>
      </c>
      <c r="I1382" s="13" t="s">
        <v>1639</v>
      </c>
      <c r="J1382" s="12" t="s">
        <v>5767</v>
      </c>
      <c r="K1382" s="14" t="s">
        <v>5766</v>
      </c>
      <c r="L1382" s="11" t="s">
        <v>33</v>
      </c>
      <c r="M1382" s="15" t="s">
        <v>3584</v>
      </c>
      <c r="N1382" s="17">
        <v>3300</v>
      </c>
      <c r="O1382" s="17"/>
      <c r="P1382" s="17"/>
      <c r="Q1382" s="48"/>
      <c r="R1382" s="11"/>
      <c r="S1382" s="48"/>
      <c r="T1382" s="85" t="s">
        <v>8079</v>
      </c>
      <c r="U1382" s="92">
        <v>44931</v>
      </c>
      <c r="V1382" s="32"/>
      <c r="W1382" s="25" t="s">
        <v>48</v>
      </c>
      <c r="X1382" s="11"/>
      <c r="Y1382" s="50" t="s">
        <v>11</v>
      </c>
      <c r="Z1382" s="50"/>
      <c r="AA1382" s="50"/>
      <c r="AB1382" s="50"/>
      <c r="AC1382" s="50"/>
      <c r="AD1382" s="50"/>
      <c r="AE1382" s="50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65"/>
      <c r="AP1382" s="69"/>
      <c r="AQ1382" s="62" t="s">
        <v>8079</v>
      </c>
      <c r="AR1382" s="81">
        <v>44931</v>
      </c>
    </row>
    <row r="1383" spans="1:44" customFormat="1">
      <c r="A1383" s="39">
        <v>44931</v>
      </c>
      <c r="B1383" s="11" t="s">
        <v>22</v>
      </c>
      <c r="C1383" s="16" t="s">
        <v>5768</v>
      </c>
      <c r="D1383" s="16" t="s">
        <v>5768</v>
      </c>
      <c r="E1383" s="39">
        <v>37653</v>
      </c>
      <c r="F1383" s="39"/>
      <c r="G1383" s="11" t="s">
        <v>4503</v>
      </c>
      <c r="H1383" s="12" t="s">
        <v>5765</v>
      </c>
      <c r="I1383" s="13" t="s">
        <v>1639</v>
      </c>
      <c r="J1383" s="12" t="s">
        <v>5770</v>
      </c>
      <c r="K1383" s="14" t="s">
        <v>5769</v>
      </c>
      <c r="L1383" s="11" t="s">
        <v>38</v>
      </c>
      <c r="M1383" s="15" t="s">
        <v>3584</v>
      </c>
      <c r="N1383" s="17">
        <v>3300</v>
      </c>
      <c r="O1383" s="17"/>
      <c r="P1383" s="17"/>
      <c r="Q1383" s="48"/>
      <c r="R1383" s="11"/>
      <c r="S1383" s="48"/>
      <c r="T1383" s="85"/>
      <c r="U1383" s="92"/>
      <c r="V1383" s="32"/>
      <c r="W1383" s="25" t="s">
        <v>48</v>
      </c>
      <c r="X1383" s="11"/>
      <c r="Y1383" s="50" t="s">
        <v>18</v>
      </c>
      <c r="Z1383" s="50"/>
      <c r="AA1383" s="50"/>
      <c r="AB1383" s="50"/>
      <c r="AC1383" s="50"/>
      <c r="AD1383" s="50"/>
      <c r="AE1383" s="50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65"/>
      <c r="AP1383" s="69"/>
      <c r="AQ1383" s="62"/>
      <c r="AR1383" s="81"/>
    </row>
    <row r="1384" spans="1:44" customFormat="1">
      <c r="A1384" s="39">
        <v>44933</v>
      </c>
      <c r="B1384" s="11" t="s">
        <v>49</v>
      </c>
      <c r="C1384" s="16" t="s">
        <v>5773</v>
      </c>
      <c r="D1384" s="16" t="s">
        <v>5774</v>
      </c>
      <c r="E1384" s="39">
        <v>30723</v>
      </c>
      <c r="F1384" s="39"/>
      <c r="G1384" s="11" t="s">
        <v>769</v>
      </c>
      <c r="H1384" s="12" t="s">
        <v>5775</v>
      </c>
      <c r="I1384" s="13">
        <v>13.4</v>
      </c>
      <c r="J1384" s="12" t="s">
        <v>5777</v>
      </c>
      <c r="K1384" s="46" t="s">
        <v>5776</v>
      </c>
      <c r="L1384" s="11" t="s">
        <v>36</v>
      </c>
      <c r="M1384" s="15" t="s">
        <v>3584</v>
      </c>
      <c r="N1384" s="17">
        <v>16500</v>
      </c>
      <c r="O1384" s="17"/>
      <c r="P1384" s="17"/>
      <c r="Q1384" s="48"/>
      <c r="R1384" s="11"/>
      <c r="S1384" s="48"/>
      <c r="T1384" s="85" t="s">
        <v>8073</v>
      </c>
      <c r="U1384" s="85"/>
      <c r="V1384" s="32" t="s">
        <v>5749</v>
      </c>
      <c r="W1384" s="25" t="s">
        <v>10</v>
      </c>
      <c r="X1384" s="11"/>
      <c r="Y1384" s="50" t="s">
        <v>12</v>
      </c>
      <c r="Z1384" s="50"/>
      <c r="AA1384" s="50"/>
      <c r="AB1384" s="50"/>
      <c r="AC1384" s="50"/>
      <c r="AD1384" s="50"/>
      <c r="AE1384" s="50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65"/>
      <c r="AP1384" s="69"/>
      <c r="AQ1384" s="62"/>
      <c r="AR1384" s="62"/>
    </row>
    <row r="1385" spans="1:44" customFormat="1">
      <c r="A1385" s="39">
        <v>44934</v>
      </c>
      <c r="B1385" s="11" t="s">
        <v>2171</v>
      </c>
      <c r="C1385" s="16" t="s">
        <v>5778</v>
      </c>
      <c r="D1385" s="16" t="s">
        <v>5778</v>
      </c>
      <c r="E1385" s="39">
        <v>37653</v>
      </c>
      <c r="F1385" s="39"/>
      <c r="G1385" s="11" t="s">
        <v>5779</v>
      </c>
      <c r="H1385" s="12" t="s">
        <v>5765</v>
      </c>
      <c r="I1385" s="13" t="s">
        <v>5780</v>
      </c>
      <c r="J1385" s="12" t="s">
        <v>5781</v>
      </c>
      <c r="K1385" s="46" t="s">
        <v>5769</v>
      </c>
      <c r="L1385" s="11" t="s">
        <v>38</v>
      </c>
      <c r="M1385" s="15" t="s">
        <v>3584</v>
      </c>
      <c r="N1385" s="17">
        <v>3300</v>
      </c>
      <c r="O1385" s="17"/>
      <c r="P1385" s="17"/>
      <c r="Q1385" s="48"/>
      <c r="R1385" s="11"/>
      <c r="S1385" s="48"/>
      <c r="T1385" s="85"/>
      <c r="U1385" s="85"/>
      <c r="V1385" s="32" t="s">
        <v>5782</v>
      </c>
      <c r="W1385" s="25" t="s">
        <v>48</v>
      </c>
      <c r="X1385" s="11"/>
      <c r="Y1385" s="50" t="s">
        <v>18</v>
      </c>
      <c r="Z1385" s="50"/>
      <c r="AA1385" s="50"/>
      <c r="AB1385" s="50"/>
      <c r="AC1385" s="50"/>
      <c r="AD1385" s="50"/>
      <c r="AE1385" s="50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65"/>
      <c r="AP1385" s="69"/>
      <c r="AQ1385" s="62"/>
      <c r="AR1385" s="62"/>
    </row>
    <row r="1386" spans="1:44" customFormat="1">
      <c r="A1386" s="39">
        <v>44934</v>
      </c>
      <c r="B1386" s="11" t="s">
        <v>49</v>
      </c>
      <c r="C1386" s="16" t="s">
        <v>5783</v>
      </c>
      <c r="D1386" s="16" t="s">
        <v>5784</v>
      </c>
      <c r="E1386" s="39">
        <v>22061</v>
      </c>
      <c r="F1386" s="39"/>
      <c r="G1386" s="11" t="s">
        <v>3789</v>
      </c>
      <c r="H1386" s="12" t="s">
        <v>5785</v>
      </c>
      <c r="I1386" s="13">
        <v>15.7</v>
      </c>
      <c r="J1386" s="12" t="s">
        <v>5787</v>
      </c>
      <c r="K1386" s="46" t="s">
        <v>5786</v>
      </c>
      <c r="L1386" s="11" t="s">
        <v>33</v>
      </c>
      <c r="M1386" s="15" t="s">
        <v>3629</v>
      </c>
      <c r="N1386" s="17">
        <v>11000</v>
      </c>
      <c r="O1386" s="17"/>
      <c r="P1386" s="17"/>
      <c r="Q1386" s="48"/>
      <c r="R1386" s="11"/>
      <c r="S1386" s="48"/>
      <c r="T1386" s="85" t="s">
        <v>8073</v>
      </c>
      <c r="U1386" s="85"/>
      <c r="V1386" s="32" t="s">
        <v>5743</v>
      </c>
      <c r="W1386" s="25" t="s">
        <v>8</v>
      </c>
      <c r="X1386" s="11"/>
      <c r="Y1386" s="50" t="s">
        <v>12</v>
      </c>
      <c r="Z1386" s="50"/>
      <c r="AA1386" s="50"/>
      <c r="AB1386" s="50"/>
      <c r="AC1386" s="50"/>
      <c r="AD1386" s="50"/>
      <c r="AE1386" s="50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65"/>
      <c r="AP1386" s="69"/>
      <c r="AQ1386" s="62"/>
      <c r="AR1386" s="62"/>
    </row>
    <row r="1387" spans="1:44" customFormat="1">
      <c r="A1387" s="39">
        <v>44934</v>
      </c>
      <c r="B1387" s="11" t="s">
        <v>49</v>
      </c>
      <c r="C1387" s="16" t="s">
        <v>5788</v>
      </c>
      <c r="D1387" s="16" t="s">
        <v>5789</v>
      </c>
      <c r="E1387" s="39">
        <v>35567</v>
      </c>
      <c r="F1387" s="39"/>
      <c r="G1387" s="11" t="s">
        <v>5790</v>
      </c>
      <c r="H1387" s="12" t="s">
        <v>5791</v>
      </c>
      <c r="I1387" s="13">
        <v>38.299999999999997</v>
      </c>
      <c r="J1387" s="12" t="s">
        <v>5792</v>
      </c>
      <c r="K1387" s="12"/>
      <c r="L1387" s="11" t="s">
        <v>36</v>
      </c>
      <c r="M1387" s="15" t="s">
        <v>3599</v>
      </c>
      <c r="N1387" s="17">
        <v>16500</v>
      </c>
      <c r="O1387" s="17"/>
      <c r="P1387" s="17"/>
      <c r="Q1387" s="48"/>
      <c r="R1387" s="11"/>
      <c r="S1387" s="48"/>
      <c r="T1387" s="85"/>
      <c r="U1387" s="85"/>
      <c r="V1387" s="32"/>
      <c r="W1387" s="25" t="s">
        <v>3847</v>
      </c>
      <c r="X1387" s="11"/>
      <c r="Y1387" s="50"/>
      <c r="Z1387" s="50"/>
      <c r="AA1387" s="50"/>
      <c r="AB1387" s="50"/>
      <c r="AC1387" s="50"/>
      <c r="AD1387" s="50"/>
      <c r="AE1387" s="50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65"/>
      <c r="AP1387" s="69"/>
      <c r="AQ1387" s="62"/>
      <c r="AR1387" s="62"/>
    </row>
    <row r="1388" spans="1:44" customFormat="1">
      <c r="A1388" s="39">
        <v>44935</v>
      </c>
      <c r="B1388" s="11" t="s">
        <v>22</v>
      </c>
      <c r="C1388" s="16" t="s">
        <v>5793</v>
      </c>
      <c r="D1388" s="16" t="s">
        <v>5795</v>
      </c>
      <c r="E1388" s="39">
        <v>26505</v>
      </c>
      <c r="F1388" s="39"/>
      <c r="G1388" s="11" t="s">
        <v>5799</v>
      </c>
      <c r="H1388" s="12" t="s">
        <v>5798</v>
      </c>
      <c r="I1388" s="13" t="s">
        <v>2596</v>
      </c>
      <c r="J1388" s="12" t="s">
        <v>5800</v>
      </c>
      <c r="K1388" s="12"/>
      <c r="L1388" s="11" t="s">
        <v>33</v>
      </c>
      <c r="M1388" s="15" t="s">
        <v>3584</v>
      </c>
      <c r="N1388" s="17">
        <v>3300</v>
      </c>
      <c r="O1388" s="17"/>
      <c r="P1388" s="17"/>
      <c r="Q1388" s="48"/>
      <c r="R1388" s="11"/>
      <c r="S1388" s="48"/>
      <c r="T1388" s="85"/>
      <c r="U1388" s="92"/>
      <c r="V1388" s="32" t="s">
        <v>5802</v>
      </c>
      <c r="W1388" s="25"/>
      <c r="X1388" s="11"/>
      <c r="Y1388" s="50"/>
      <c r="Z1388" s="50"/>
      <c r="AA1388" s="50"/>
      <c r="AB1388" s="50"/>
      <c r="AC1388" s="50"/>
      <c r="AD1388" s="50"/>
      <c r="AE1388" s="50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65" t="s">
        <v>5804</v>
      </c>
      <c r="AP1388" s="69"/>
      <c r="AQ1388" s="62"/>
      <c r="AR1388" s="81"/>
    </row>
    <row r="1389" spans="1:44" customFormat="1">
      <c r="A1389" s="39">
        <v>44935</v>
      </c>
      <c r="B1389" s="11" t="s">
        <v>22</v>
      </c>
      <c r="C1389" s="16" t="s">
        <v>5794</v>
      </c>
      <c r="D1389" s="16" t="s">
        <v>5796</v>
      </c>
      <c r="E1389" s="39">
        <v>25542</v>
      </c>
      <c r="F1389" s="39"/>
      <c r="G1389" s="11" t="s">
        <v>363</v>
      </c>
      <c r="H1389" s="12" t="s">
        <v>5797</v>
      </c>
      <c r="I1389" s="13" t="s">
        <v>1787</v>
      </c>
      <c r="J1389" s="12" t="s">
        <v>5801</v>
      </c>
      <c r="K1389" s="12"/>
      <c r="L1389" s="11" t="s">
        <v>33</v>
      </c>
      <c r="M1389" s="15"/>
      <c r="N1389" s="17">
        <v>3300</v>
      </c>
      <c r="O1389" s="17"/>
      <c r="P1389" s="17"/>
      <c r="Q1389" s="48"/>
      <c r="R1389" s="11"/>
      <c r="S1389" s="48"/>
      <c r="T1389" s="85"/>
      <c r="U1389" s="92"/>
      <c r="V1389" s="32"/>
      <c r="W1389" s="25"/>
      <c r="X1389" s="11"/>
      <c r="Y1389" s="50"/>
      <c r="Z1389" s="50"/>
      <c r="AA1389" s="50"/>
      <c r="AB1389" s="50"/>
      <c r="AC1389" s="50"/>
      <c r="AD1389" s="50"/>
      <c r="AE1389" s="50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65" t="s">
        <v>5804</v>
      </c>
      <c r="AP1389" s="69"/>
      <c r="AQ1389" s="62"/>
      <c r="AR1389" s="81"/>
    </row>
    <row r="1390" spans="1:44" customFormat="1">
      <c r="A1390" s="39">
        <v>44938</v>
      </c>
      <c r="B1390" s="11" t="s">
        <v>49</v>
      </c>
      <c r="C1390" s="16" t="s">
        <v>5805</v>
      </c>
      <c r="D1390" s="16" t="s">
        <v>5806</v>
      </c>
      <c r="E1390" s="39">
        <v>29550</v>
      </c>
      <c r="F1390" s="39"/>
      <c r="G1390" s="11" t="s">
        <v>5807</v>
      </c>
      <c r="H1390" s="12" t="s">
        <v>5808</v>
      </c>
      <c r="I1390" s="13">
        <v>1.5</v>
      </c>
      <c r="J1390" s="12" t="s">
        <v>5809</v>
      </c>
      <c r="K1390" s="12"/>
      <c r="L1390" s="11" t="s">
        <v>36</v>
      </c>
      <c r="M1390" s="15" t="s">
        <v>3599</v>
      </c>
      <c r="N1390" s="17">
        <v>16500</v>
      </c>
      <c r="O1390" s="17"/>
      <c r="P1390" s="17"/>
      <c r="Q1390" s="48"/>
      <c r="R1390" s="11"/>
      <c r="S1390" s="48"/>
      <c r="T1390" s="85"/>
      <c r="U1390" s="85"/>
      <c r="V1390" s="32"/>
      <c r="W1390" s="25" t="s">
        <v>10</v>
      </c>
      <c r="X1390" s="11"/>
      <c r="Y1390" s="50"/>
      <c r="Z1390" s="50"/>
      <c r="AA1390" s="50"/>
      <c r="AB1390" s="50"/>
      <c r="AC1390" s="50"/>
      <c r="AD1390" s="50"/>
      <c r="AE1390" s="50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65"/>
      <c r="AP1390" s="69"/>
      <c r="AQ1390" s="62"/>
      <c r="AR1390" s="62"/>
    </row>
    <row r="1391" spans="1:44" customFormat="1">
      <c r="A1391" s="39">
        <v>44939</v>
      </c>
      <c r="B1391" s="11" t="s">
        <v>49</v>
      </c>
      <c r="C1391" s="16" t="s">
        <v>1518</v>
      </c>
      <c r="D1391" s="16" t="s">
        <v>5810</v>
      </c>
      <c r="E1391" s="39">
        <v>27868</v>
      </c>
      <c r="F1391" s="39"/>
      <c r="G1391" s="11" t="s">
        <v>1519</v>
      </c>
      <c r="H1391" s="12" t="s">
        <v>5811</v>
      </c>
      <c r="I1391" s="13">
        <v>55.1</v>
      </c>
      <c r="J1391" s="12" t="s">
        <v>1521</v>
      </c>
      <c r="K1391" s="12"/>
      <c r="L1391" s="11" t="s">
        <v>36</v>
      </c>
      <c r="M1391" s="15" t="s">
        <v>3599</v>
      </c>
      <c r="N1391" s="17">
        <v>16500</v>
      </c>
      <c r="O1391" s="17"/>
      <c r="P1391" s="17"/>
      <c r="Q1391" s="48"/>
      <c r="R1391" s="11"/>
      <c r="S1391" s="48"/>
      <c r="T1391" s="85" t="s">
        <v>8073</v>
      </c>
      <c r="U1391" s="85"/>
      <c r="V1391" s="32"/>
      <c r="W1391" s="25" t="s">
        <v>48</v>
      </c>
      <c r="X1391" s="11"/>
      <c r="Y1391" s="50" t="s">
        <v>12</v>
      </c>
      <c r="Z1391" s="50"/>
      <c r="AA1391" s="50"/>
      <c r="AB1391" s="50"/>
      <c r="AC1391" s="50"/>
      <c r="AD1391" s="50"/>
      <c r="AE1391" s="50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65"/>
      <c r="AP1391" s="69"/>
      <c r="AQ1391" s="62"/>
      <c r="AR1391" s="62"/>
    </row>
    <row r="1392" spans="1:44" customFormat="1">
      <c r="A1392" s="39">
        <v>44939</v>
      </c>
      <c r="B1392" s="11" t="s">
        <v>22</v>
      </c>
      <c r="C1392" s="16" t="s">
        <v>5812</v>
      </c>
      <c r="D1392" s="16" t="s">
        <v>5813</v>
      </c>
      <c r="E1392" s="39">
        <v>30491</v>
      </c>
      <c r="F1392" s="39"/>
      <c r="G1392" s="11" t="s">
        <v>5814</v>
      </c>
      <c r="H1392" s="12" t="s">
        <v>5815</v>
      </c>
      <c r="I1392" s="13">
        <v>10.199999999999999</v>
      </c>
      <c r="J1392" s="12" t="s">
        <v>5816</v>
      </c>
      <c r="K1392" s="12"/>
      <c r="L1392" s="11" t="s">
        <v>33</v>
      </c>
      <c r="M1392" s="15" t="s">
        <v>3599</v>
      </c>
      <c r="N1392" s="17">
        <v>3300</v>
      </c>
      <c r="O1392" s="17"/>
      <c r="P1392" s="17"/>
      <c r="Q1392" s="48"/>
      <c r="R1392" s="11"/>
      <c r="S1392" s="48"/>
      <c r="T1392" s="85" t="s">
        <v>8079</v>
      </c>
      <c r="U1392" s="92">
        <v>44939</v>
      </c>
      <c r="V1392" s="32"/>
      <c r="W1392" s="25"/>
      <c r="X1392" s="11"/>
      <c r="Y1392" s="50"/>
      <c r="Z1392" s="50"/>
      <c r="AA1392" s="50"/>
      <c r="AB1392" s="50"/>
      <c r="AC1392" s="50"/>
      <c r="AD1392" s="50"/>
      <c r="AE1392" s="50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65" t="s">
        <v>5822</v>
      </c>
      <c r="AP1392" s="69"/>
      <c r="AQ1392" s="62" t="s">
        <v>8079</v>
      </c>
      <c r="AR1392" s="81">
        <v>44939</v>
      </c>
    </row>
    <row r="1393" spans="1:44" customFormat="1">
      <c r="A1393" s="39">
        <v>44940</v>
      </c>
      <c r="B1393" s="11" t="s">
        <v>49</v>
      </c>
      <c r="C1393" s="16" t="s">
        <v>5824</v>
      </c>
      <c r="D1393" s="16" t="s">
        <v>5825</v>
      </c>
      <c r="E1393" s="39">
        <v>30324</v>
      </c>
      <c r="F1393" s="39"/>
      <c r="G1393" s="11" t="s">
        <v>5826</v>
      </c>
      <c r="H1393" s="12" t="s">
        <v>5827</v>
      </c>
      <c r="I1393" s="13">
        <v>78</v>
      </c>
      <c r="J1393" s="12" t="s">
        <v>5828</v>
      </c>
      <c r="K1393" s="12"/>
      <c r="L1393" s="11" t="s">
        <v>36</v>
      </c>
      <c r="M1393" s="15" t="s">
        <v>3584</v>
      </c>
      <c r="N1393" s="17">
        <v>16500</v>
      </c>
      <c r="O1393" s="17"/>
      <c r="P1393" s="17"/>
      <c r="Q1393" s="48"/>
      <c r="R1393" s="11"/>
      <c r="S1393" s="48"/>
      <c r="T1393" s="85"/>
      <c r="U1393" s="85"/>
      <c r="V1393" s="32"/>
      <c r="W1393" s="25" t="s">
        <v>48</v>
      </c>
      <c r="X1393" s="11"/>
      <c r="Y1393" s="50" t="s">
        <v>13</v>
      </c>
      <c r="Z1393" s="50"/>
      <c r="AA1393" s="50"/>
      <c r="AB1393" s="50"/>
      <c r="AC1393" s="50"/>
      <c r="AD1393" s="50"/>
      <c r="AE1393" s="50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65" t="s">
        <v>5822</v>
      </c>
      <c r="AP1393" s="69"/>
      <c r="AQ1393" s="62" t="s">
        <v>8079</v>
      </c>
      <c r="AR1393" s="81">
        <v>44940</v>
      </c>
    </row>
    <row r="1394" spans="1:44" customFormat="1">
      <c r="A1394" s="39">
        <v>44940</v>
      </c>
      <c r="B1394" s="11" t="s">
        <v>22</v>
      </c>
      <c r="C1394" s="16" t="s">
        <v>5817</v>
      </c>
      <c r="D1394" s="16" t="s">
        <v>5818</v>
      </c>
      <c r="E1394" s="39">
        <v>28111</v>
      </c>
      <c r="F1394" s="39"/>
      <c r="G1394" s="11" t="s">
        <v>5819</v>
      </c>
      <c r="H1394" s="12" t="s">
        <v>5729</v>
      </c>
      <c r="I1394" s="13">
        <v>5.7</v>
      </c>
      <c r="J1394" s="12" t="s">
        <v>5821</v>
      </c>
      <c r="K1394" s="46" t="s">
        <v>5820</v>
      </c>
      <c r="L1394" s="11" t="s">
        <v>36</v>
      </c>
      <c r="M1394" s="15" t="s">
        <v>3629</v>
      </c>
      <c r="N1394" s="17">
        <v>3300</v>
      </c>
      <c r="O1394" s="17"/>
      <c r="P1394" s="17"/>
      <c r="Q1394" s="48"/>
      <c r="R1394" s="11"/>
      <c r="S1394" s="48"/>
      <c r="T1394" s="85" t="s">
        <v>8079</v>
      </c>
      <c r="U1394" s="92">
        <v>44940</v>
      </c>
      <c r="V1394" s="32" t="s">
        <v>5823</v>
      </c>
      <c r="W1394" s="25"/>
      <c r="X1394" s="11"/>
      <c r="Y1394" s="50"/>
      <c r="Z1394" s="50"/>
      <c r="AA1394" s="50"/>
      <c r="AB1394" s="50"/>
      <c r="AC1394" s="50"/>
      <c r="AD1394" s="50"/>
      <c r="AE1394" s="50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65"/>
      <c r="AP1394" s="69"/>
      <c r="AQ1394" s="62"/>
      <c r="AR1394" s="62"/>
    </row>
    <row r="1395" spans="1:44" customFormat="1">
      <c r="A1395" s="39">
        <v>44941</v>
      </c>
      <c r="B1395" s="11" t="s">
        <v>2171</v>
      </c>
      <c r="C1395" s="16" t="s">
        <v>5778</v>
      </c>
      <c r="D1395" s="16" t="s">
        <v>5778</v>
      </c>
      <c r="E1395" s="39">
        <v>37653</v>
      </c>
      <c r="F1395" s="39"/>
      <c r="G1395" s="11" t="s">
        <v>5779</v>
      </c>
      <c r="H1395" s="12" t="s">
        <v>5765</v>
      </c>
      <c r="I1395" s="13" t="s">
        <v>5780</v>
      </c>
      <c r="J1395" s="12" t="s">
        <v>5781</v>
      </c>
      <c r="K1395" s="46" t="s">
        <v>5769</v>
      </c>
      <c r="L1395" s="11" t="s">
        <v>38</v>
      </c>
      <c r="M1395" s="15" t="s">
        <v>3584</v>
      </c>
      <c r="N1395" s="17">
        <v>3300</v>
      </c>
      <c r="O1395" s="17"/>
      <c r="P1395" s="17"/>
      <c r="Q1395" s="48"/>
      <c r="R1395" s="11"/>
      <c r="S1395" s="48"/>
      <c r="T1395" s="85"/>
      <c r="U1395" s="85"/>
      <c r="V1395" s="32" t="s">
        <v>2389</v>
      </c>
      <c r="W1395" s="25" t="s">
        <v>48</v>
      </c>
      <c r="X1395" s="11"/>
      <c r="Y1395" s="50" t="s">
        <v>18</v>
      </c>
      <c r="Z1395" s="50"/>
      <c r="AA1395" s="50"/>
      <c r="AB1395" s="50"/>
      <c r="AC1395" s="50"/>
      <c r="AD1395" s="50"/>
      <c r="AE1395" s="50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65" t="s">
        <v>5804</v>
      </c>
      <c r="AP1395" s="69"/>
      <c r="AQ1395" s="62" t="s">
        <v>8079</v>
      </c>
      <c r="AR1395" s="81">
        <v>44941</v>
      </c>
    </row>
    <row r="1396" spans="1:44" customFormat="1">
      <c r="A1396" s="39">
        <v>44941</v>
      </c>
      <c r="B1396" s="11" t="s">
        <v>4266</v>
      </c>
      <c r="C1396" s="16" t="s">
        <v>5793</v>
      </c>
      <c r="D1396" s="16" t="s">
        <v>5834</v>
      </c>
      <c r="E1396" s="39">
        <v>26509</v>
      </c>
      <c r="F1396" s="39"/>
      <c r="G1396" s="11" t="s">
        <v>5835</v>
      </c>
      <c r="H1396" s="12" t="s">
        <v>5798</v>
      </c>
      <c r="I1396" s="13" t="s">
        <v>5836</v>
      </c>
      <c r="J1396" s="12" t="s">
        <v>5837</v>
      </c>
      <c r="K1396" s="12"/>
      <c r="L1396" s="11" t="s">
        <v>33</v>
      </c>
      <c r="M1396" s="15" t="s">
        <v>3584</v>
      </c>
      <c r="N1396" s="17">
        <v>8800</v>
      </c>
      <c r="O1396" s="17"/>
      <c r="P1396" s="17"/>
      <c r="Q1396" s="48"/>
      <c r="R1396" s="11"/>
      <c r="S1396" s="48"/>
      <c r="T1396" s="85"/>
      <c r="U1396" s="85"/>
      <c r="V1396" s="32"/>
      <c r="W1396" s="25"/>
      <c r="X1396" s="11"/>
      <c r="Y1396" s="50"/>
      <c r="Z1396" s="50"/>
      <c r="AA1396" s="50"/>
      <c r="AB1396" s="50"/>
      <c r="AC1396" s="50"/>
      <c r="AD1396" s="50"/>
      <c r="AE1396" s="50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65"/>
      <c r="AP1396" s="69"/>
      <c r="AQ1396" s="62"/>
      <c r="AR1396" s="62"/>
    </row>
    <row r="1397" spans="1:44" customFormat="1">
      <c r="A1397" s="39">
        <v>44941</v>
      </c>
      <c r="B1397" s="11" t="s">
        <v>22</v>
      </c>
      <c r="C1397" s="16" t="s">
        <v>5829</v>
      </c>
      <c r="D1397" s="16" t="s">
        <v>5830</v>
      </c>
      <c r="E1397" s="39">
        <v>26214</v>
      </c>
      <c r="F1397" s="39"/>
      <c r="G1397" s="11" t="s">
        <v>358</v>
      </c>
      <c r="H1397" s="12" t="s">
        <v>5831</v>
      </c>
      <c r="I1397" s="13" t="s">
        <v>1654</v>
      </c>
      <c r="J1397" s="12" t="s">
        <v>5833</v>
      </c>
      <c r="K1397" s="46" t="s">
        <v>5832</v>
      </c>
      <c r="L1397" s="11" t="s">
        <v>37</v>
      </c>
      <c r="M1397" s="15" t="s">
        <v>3584</v>
      </c>
      <c r="N1397" s="17">
        <v>3300</v>
      </c>
      <c r="O1397" s="17"/>
      <c r="P1397" s="17"/>
      <c r="Q1397" s="48"/>
      <c r="R1397" s="11"/>
      <c r="S1397" s="48"/>
      <c r="T1397" s="85" t="s">
        <v>8079</v>
      </c>
      <c r="U1397" s="92">
        <v>44941</v>
      </c>
      <c r="V1397" s="32"/>
      <c r="W1397" s="25" t="s">
        <v>10</v>
      </c>
      <c r="X1397" s="11"/>
      <c r="Y1397" s="50" t="s">
        <v>17</v>
      </c>
      <c r="Z1397" s="50"/>
      <c r="AA1397" s="50"/>
      <c r="AB1397" s="50"/>
      <c r="AC1397" s="50"/>
      <c r="AD1397" s="50"/>
      <c r="AE1397" s="50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65"/>
      <c r="AP1397" s="69"/>
      <c r="AQ1397" s="62"/>
      <c r="AR1397" s="62"/>
    </row>
    <row r="1398" spans="1:44" customFormat="1">
      <c r="A1398" s="39">
        <v>44941</v>
      </c>
      <c r="B1398" s="11" t="s">
        <v>22</v>
      </c>
      <c r="C1398" s="16" t="s">
        <v>5838</v>
      </c>
      <c r="D1398" s="16" t="s">
        <v>5839</v>
      </c>
      <c r="E1398" s="39">
        <v>26607</v>
      </c>
      <c r="F1398" s="39"/>
      <c r="G1398" s="11" t="s">
        <v>5840</v>
      </c>
      <c r="H1398" s="12" t="s">
        <v>5841</v>
      </c>
      <c r="I1398" s="13">
        <v>8.4</v>
      </c>
      <c r="J1398" s="12" t="s">
        <v>5843</v>
      </c>
      <c r="K1398" s="46" t="s">
        <v>5842</v>
      </c>
      <c r="L1398" s="11" t="s">
        <v>36</v>
      </c>
      <c r="M1398" s="15" t="s">
        <v>3584</v>
      </c>
      <c r="N1398" s="17">
        <v>3300</v>
      </c>
      <c r="O1398" s="17"/>
      <c r="P1398" s="17"/>
      <c r="Q1398" s="48"/>
      <c r="R1398" s="11"/>
      <c r="S1398" s="48"/>
      <c r="T1398" s="85" t="s">
        <v>8079</v>
      </c>
      <c r="U1398" s="92">
        <v>44947</v>
      </c>
      <c r="V1398" s="32"/>
      <c r="W1398" s="25"/>
      <c r="X1398" s="11"/>
      <c r="Y1398" s="50"/>
      <c r="Z1398" s="50"/>
      <c r="AA1398" s="50"/>
      <c r="AB1398" s="50"/>
      <c r="AC1398" s="50"/>
      <c r="AD1398" s="50"/>
      <c r="AE1398" s="50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65" t="s">
        <v>5804</v>
      </c>
      <c r="AP1398" s="69"/>
      <c r="AQ1398" s="62" t="s">
        <v>8079</v>
      </c>
      <c r="AR1398" s="81">
        <v>44947</v>
      </c>
    </row>
    <row r="1399" spans="1:44" customFormat="1">
      <c r="A1399" s="39">
        <v>44944</v>
      </c>
      <c r="B1399" s="11" t="s">
        <v>22</v>
      </c>
      <c r="C1399" s="16" t="s">
        <v>5844</v>
      </c>
      <c r="D1399" s="16" t="s">
        <v>5845</v>
      </c>
      <c r="E1399" s="39">
        <v>21223</v>
      </c>
      <c r="F1399" s="39"/>
      <c r="G1399" s="11" t="s">
        <v>592</v>
      </c>
      <c r="H1399" s="12" t="s">
        <v>5846</v>
      </c>
      <c r="I1399" s="13" t="s">
        <v>4339</v>
      </c>
      <c r="J1399" s="12" t="s">
        <v>5847</v>
      </c>
      <c r="K1399" s="12"/>
      <c r="L1399" s="11" t="s">
        <v>33</v>
      </c>
      <c r="M1399" s="15" t="s">
        <v>3599</v>
      </c>
      <c r="N1399" s="17">
        <v>3300</v>
      </c>
      <c r="O1399" s="17"/>
      <c r="P1399" s="17"/>
      <c r="Q1399" s="48"/>
      <c r="R1399" s="11"/>
      <c r="S1399" s="48"/>
      <c r="T1399" s="85" t="s">
        <v>8079</v>
      </c>
      <c r="U1399" s="92">
        <v>44958</v>
      </c>
      <c r="V1399" s="32" t="s">
        <v>5848</v>
      </c>
      <c r="W1399" s="25"/>
      <c r="X1399" s="11"/>
      <c r="Y1399" s="50"/>
      <c r="Z1399" s="50"/>
      <c r="AA1399" s="50"/>
      <c r="AB1399" s="50"/>
      <c r="AC1399" s="50"/>
      <c r="AD1399" s="50"/>
      <c r="AE1399" s="50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65" t="s">
        <v>5804</v>
      </c>
      <c r="AP1399" s="69"/>
      <c r="AQ1399" s="62" t="s">
        <v>8079</v>
      </c>
      <c r="AR1399" s="81">
        <v>44958</v>
      </c>
    </row>
    <row r="1400" spans="1:44" customFormat="1">
      <c r="A1400" s="39">
        <v>44946</v>
      </c>
      <c r="B1400" s="11" t="s">
        <v>49</v>
      </c>
      <c r="C1400" s="16" t="s">
        <v>5849</v>
      </c>
      <c r="D1400" s="16" t="s">
        <v>5850</v>
      </c>
      <c r="E1400" s="42"/>
      <c r="F1400" s="42"/>
      <c r="G1400" s="11" t="s">
        <v>2269</v>
      </c>
      <c r="H1400" s="12" t="s">
        <v>5851</v>
      </c>
      <c r="I1400" s="13">
        <v>85.5</v>
      </c>
      <c r="J1400" s="12" t="s">
        <v>5852</v>
      </c>
      <c r="K1400" s="12"/>
      <c r="L1400" s="11" t="s">
        <v>36</v>
      </c>
      <c r="M1400" s="15" t="s">
        <v>3599</v>
      </c>
      <c r="N1400" s="17">
        <v>14850</v>
      </c>
      <c r="O1400" s="17"/>
      <c r="P1400" s="17"/>
      <c r="Q1400" s="48"/>
      <c r="R1400" s="11"/>
      <c r="S1400" s="48"/>
      <c r="T1400" s="85" t="s">
        <v>8073</v>
      </c>
      <c r="U1400" s="85"/>
      <c r="V1400" s="32" t="s">
        <v>5853</v>
      </c>
      <c r="W1400" s="25" t="s">
        <v>8</v>
      </c>
      <c r="X1400" s="11"/>
      <c r="Y1400" s="50" t="s">
        <v>13</v>
      </c>
      <c r="Z1400" s="50"/>
      <c r="AA1400" s="50"/>
      <c r="AB1400" s="50"/>
      <c r="AC1400" s="50"/>
      <c r="AD1400" s="50"/>
      <c r="AE1400" s="50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65"/>
      <c r="AP1400" s="69"/>
      <c r="AQ1400" s="62"/>
      <c r="AR1400" s="62"/>
    </row>
    <row r="1401" spans="1:44" customFormat="1">
      <c r="A1401" s="39">
        <v>44947</v>
      </c>
      <c r="B1401" s="11" t="s">
        <v>2171</v>
      </c>
      <c r="C1401" s="16" t="s">
        <v>5778</v>
      </c>
      <c r="D1401" s="16" t="s">
        <v>5778</v>
      </c>
      <c r="E1401" s="39">
        <v>37653</v>
      </c>
      <c r="F1401" s="39"/>
      <c r="G1401" s="11" t="s">
        <v>5779</v>
      </c>
      <c r="H1401" s="12" t="s">
        <v>5765</v>
      </c>
      <c r="I1401" s="13" t="s">
        <v>5780</v>
      </c>
      <c r="J1401" s="12" t="s">
        <v>5781</v>
      </c>
      <c r="K1401" s="12" t="s">
        <v>5854</v>
      </c>
      <c r="L1401" s="11" t="s">
        <v>38</v>
      </c>
      <c r="M1401" s="15" t="s">
        <v>3584</v>
      </c>
      <c r="N1401" s="17">
        <v>3300</v>
      </c>
      <c r="O1401" s="17"/>
      <c r="P1401" s="17"/>
      <c r="Q1401" s="48"/>
      <c r="R1401" s="11"/>
      <c r="S1401" s="48"/>
      <c r="T1401" s="85"/>
      <c r="U1401" s="85"/>
      <c r="V1401" s="32"/>
      <c r="W1401" s="25" t="s">
        <v>48</v>
      </c>
      <c r="X1401" s="11"/>
      <c r="Y1401" s="50" t="s">
        <v>18</v>
      </c>
      <c r="Z1401" s="50"/>
      <c r="AA1401" s="50"/>
      <c r="AB1401" s="50"/>
      <c r="AC1401" s="50"/>
      <c r="AD1401" s="50"/>
      <c r="AE1401" s="50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65"/>
      <c r="AP1401" s="69"/>
      <c r="AQ1401" s="62"/>
      <c r="AR1401" s="62"/>
    </row>
    <row r="1402" spans="1:44" customFormat="1">
      <c r="A1402" s="39">
        <v>44947</v>
      </c>
      <c r="B1402" s="11" t="s">
        <v>49</v>
      </c>
      <c r="C1402" s="16" t="s">
        <v>5855</v>
      </c>
      <c r="D1402" s="16" t="s">
        <v>5872</v>
      </c>
      <c r="E1402" s="39">
        <v>26919</v>
      </c>
      <c r="F1402" s="39"/>
      <c r="G1402" s="11" t="s">
        <v>5856</v>
      </c>
      <c r="H1402" s="12" t="s">
        <v>5857</v>
      </c>
      <c r="I1402" s="13">
        <v>57.7</v>
      </c>
      <c r="J1402" s="12" t="s">
        <v>5858</v>
      </c>
      <c r="K1402" s="46" t="s">
        <v>5871</v>
      </c>
      <c r="L1402" s="11" t="s">
        <v>33</v>
      </c>
      <c r="M1402" s="15" t="s">
        <v>3629</v>
      </c>
      <c r="N1402" s="17">
        <v>22000</v>
      </c>
      <c r="O1402" s="17"/>
      <c r="P1402" s="17"/>
      <c r="Q1402" s="48"/>
      <c r="R1402" s="11"/>
      <c r="S1402" s="48"/>
      <c r="T1402" s="85" t="s">
        <v>8073</v>
      </c>
      <c r="U1402" s="85"/>
      <c r="V1402" s="32"/>
      <c r="W1402" s="25" t="s">
        <v>8</v>
      </c>
      <c r="X1402" s="11"/>
      <c r="Y1402" s="50" t="s">
        <v>12</v>
      </c>
      <c r="Z1402" s="50"/>
      <c r="AA1402" s="50"/>
      <c r="AB1402" s="50"/>
      <c r="AC1402" s="50"/>
      <c r="AD1402" s="50"/>
      <c r="AE1402" s="50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65"/>
      <c r="AP1402" s="69"/>
      <c r="AQ1402" s="62"/>
      <c r="AR1402" s="62"/>
    </row>
    <row r="1403" spans="1:44" customFormat="1">
      <c r="A1403" s="39">
        <v>44947</v>
      </c>
      <c r="B1403" s="11" t="s">
        <v>22</v>
      </c>
      <c r="C1403" s="16" t="s">
        <v>5859</v>
      </c>
      <c r="D1403" s="16" t="s">
        <v>5860</v>
      </c>
      <c r="E1403" s="39">
        <v>25859</v>
      </c>
      <c r="F1403" s="39"/>
      <c r="G1403" s="11" t="s">
        <v>1245</v>
      </c>
      <c r="H1403" s="12" t="s">
        <v>5861</v>
      </c>
      <c r="I1403" s="13">
        <v>3.2</v>
      </c>
      <c r="J1403" s="12" t="s">
        <v>5863</v>
      </c>
      <c r="K1403" s="46" t="s">
        <v>5862</v>
      </c>
      <c r="L1403" s="11" t="s">
        <v>34</v>
      </c>
      <c r="M1403" s="15" t="s">
        <v>3584</v>
      </c>
      <c r="N1403" s="17">
        <v>3300</v>
      </c>
      <c r="O1403" s="17"/>
      <c r="P1403" s="17"/>
      <c r="Q1403" s="48"/>
      <c r="R1403" s="11"/>
      <c r="S1403" s="48"/>
      <c r="T1403" s="85" t="s">
        <v>8079</v>
      </c>
      <c r="U1403" s="92">
        <v>44947</v>
      </c>
      <c r="V1403" s="32"/>
      <c r="W1403" s="25"/>
      <c r="X1403" s="11"/>
      <c r="Y1403" s="50"/>
      <c r="Z1403" s="50"/>
      <c r="AA1403" s="50"/>
      <c r="AB1403" s="50"/>
      <c r="AC1403" s="50"/>
      <c r="AD1403" s="50"/>
      <c r="AE1403" s="50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65" t="s">
        <v>5822</v>
      </c>
      <c r="AP1403" s="69"/>
      <c r="AQ1403" s="62" t="s">
        <v>8079</v>
      </c>
      <c r="AR1403" s="81">
        <v>44947</v>
      </c>
    </row>
    <row r="1404" spans="1:44" customFormat="1">
      <c r="A1404" s="39">
        <v>44949</v>
      </c>
      <c r="B1404" s="11" t="s">
        <v>22</v>
      </c>
      <c r="C1404" s="16" t="s">
        <v>5864</v>
      </c>
      <c r="D1404" s="16" t="s">
        <v>5865</v>
      </c>
      <c r="E1404" s="39">
        <v>38502</v>
      </c>
      <c r="F1404" s="39"/>
      <c r="G1404" s="11" t="s">
        <v>358</v>
      </c>
      <c r="H1404" s="12" t="s">
        <v>5866</v>
      </c>
      <c r="I1404" s="13">
        <v>2.7</v>
      </c>
      <c r="J1404" s="12" t="s">
        <v>5868</v>
      </c>
      <c r="K1404" s="46" t="s">
        <v>5867</v>
      </c>
      <c r="L1404" s="11" t="s">
        <v>38</v>
      </c>
      <c r="M1404" s="15"/>
      <c r="N1404" s="17">
        <v>3300</v>
      </c>
      <c r="O1404" s="17"/>
      <c r="P1404" s="17"/>
      <c r="Q1404" s="48"/>
      <c r="R1404" s="11"/>
      <c r="S1404" s="48"/>
      <c r="T1404" s="85"/>
      <c r="U1404" s="92"/>
      <c r="V1404" s="32" t="s">
        <v>5869</v>
      </c>
      <c r="W1404" s="25"/>
      <c r="X1404" s="11"/>
      <c r="Y1404" s="50"/>
      <c r="Z1404" s="50"/>
      <c r="AA1404" s="50"/>
      <c r="AB1404" s="50"/>
      <c r="AC1404" s="50"/>
      <c r="AD1404" s="50"/>
      <c r="AE1404" s="50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65"/>
      <c r="AP1404" s="69"/>
      <c r="AQ1404" s="62"/>
      <c r="AR1404" s="81"/>
    </row>
    <row r="1405" spans="1:44" customFormat="1">
      <c r="A1405" s="39">
        <v>44951</v>
      </c>
      <c r="B1405" s="11" t="s">
        <v>2170</v>
      </c>
      <c r="C1405" s="16" t="s">
        <v>3038</v>
      </c>
      <c r="D1405" s="16" t="s">
        <v>5870</v>
      </c>
      <c r="E1405" s="42"/>
      <c r="F1405" s="42"/>
      <c r="G1405" s="11"/>
      <c r="H1405" s="12"/>
      <c r="I1405" s="13"/>
      <c r="J1405" s="12" t="s">
        <v>3041</v>
      </c>
      <c r="K1405" s="12"/>
      <c r="L1405" s="11"/>
      <c r="M1405" s="15"/>
      <c r="N1405" s="17">
        <v>8250</v>
      </c>
      <c r="O1405" s="17"/>
      <c r="P1405" s="17"/>
      <c r="Q1405" s="48"/>
      <c r="R1405" s="11"/>
      <c r="S1405" s="48"/>
      <c r="T1405" s="85"/>
      <c r="U1405" s="85"/>
      <c r="V1405" s="32"/>
      <c r="W1405" s="25"/>
      <c r="X1405" s="11"/>
      <c r="Y1405" s="50"/>
      <c r="Z1405" s="50"/>
      <c r="AA1405" s="50"/>
      <c r="AB1405" s="50"/>
      <c r="AC1405" s="50"/>
      <c r="AD1405" s="50"/>
      <c r="AE1405" s="50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65"/>
      <c r="AP1405" s="69"/>
      <c r="AQ1405" s="62"/>
      <c r="AR1405" s="62"/>
    </row>
    <row r="1406" spans="1:44" customFormat="1">
      <c r="A1406" s="39">
        <v>44951</v>
      </c>
      <c r="B1406" s="11" t="s">
        <v>2171</v>
      </c>
      <c r="C1406" s="16" t="s">
        <v>5864</v>
      </c>
      <c r="D1406" s="16" t="s">
        <v>5865</v>
      </c>
      <c r="E1406" s="39">
        <v>38502</v>
      </c>
      <c r="F1406" s="39"/>
      <c r="G1406" s="11" t="s">
        <v>358</v>
      </c>
      <c r="H1406" s="12" t="s">
        <v>5866</v>
      </c>
      <c r="I1406" s="13">
        <v>2.7</v>
      </c>
      <c r="J1406" s="12" t="s">
        <v>5868</v>
      </c>
      <c r="K1406" s="46" t="s">
        <v>5867</v>
      </c>
      <c r="L1406" s="11" t="s">
        <v>38</v>
      </c>
      <c r="M1406" s="15"/>
      <c r="N1406" s="17">
        <v>3300</v>
      </c>
      <c r="O1406" s="17"/>
      <c r="P1406" s="17"/>
      <c r="Q1406" s="48"/>
      <c r="R1406" s="11"/>
      <c r="S1406" s="48"/>
      <c r="T1406" s="85"/>
      <c r="U1406" s="85"/>
      <c r="V1406" s="32" t="s">
        <v>5869</v>
      </c>
      <c r="W1406" s="25"/>
      <c r="X1406" s="11"/>
      <c r="Y1406" s="50"/>
      <c r="Z1406" s="50"/>
      <c r="AA1406" s="50"/>
      <c r="AB1406" s="50"/>
      <c r="AC1406" s="50"/>
      <c r="AD1406" s="50"/>
      <c r="AE1406" s="50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65"/>
      <c r="AP1406" s="69"/>
      <c r="AQ1406" s="62"/>
      <c r="AR1406" s="62"/>
    </row>
    <row r="1407" spans="1:44" customFormat="1">
      <c r="A1407" s="39">
        <v>44953</v>
      </c>
      <c r="B1407" s="11" t="s">
        <v>49</v>
      </c>
      <c r="C1407" s="16" t="s">
        <v>5873</v>
      </c>
      <c r="D1407" s="16" t="s">
        <v>5874</v>
      </c>
      <c r="E1407" s="42"/>
      <c r="F1407" s="42"/>
      <c r="G1407" s="11" t="s">
        <v>5875</v>
      </c>
      <c r="H1407" s="12" t="s">
        <v>5876</v>
      </c>
      <c r="I1407" s="13">
        <v>161</v>
      </c>
      <c r="J1407" s="12" t="s">
        <v>5877</v>
      </c>
      <c r="K1407" s="12"/>
      <c r="L1407" s="11" t="s">
        <v>39</v>
      </c>
      <c r="M1407" s="15"/>
      <c r="N1407" s="17">
        <v>16500</v>
      </c>
      <c r="O1407" s="17"/>
      <c r="P1407" s="17"/>
      <c r="Q1407" s="48"/>
      <c r="R1407" s="11"/>
      <c r="S1407" s="48"/>
      <c r="T1407" s="85"/>
      <c r="U1407" s="85"/>
      <c r="V1407" s="32"/>
      <c r="W1407" s="25" t="s">
        <v>10</v>
      </c>
      <c r="X1407" s="11"/>
      <c r="Y1407" s="50" t="s">
        <v>13</v>
      </c>
      <c r="Z1407" s="50"/>
      <c r="AA1407" s="50"/>
      <c r="AB1407" s="50"/>
      <c r="AC1407" s="50"/>
      <c r="AD1407" s="50"/>
      <c r="AE1407" s="50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65"/>
      <c r="AP1407" s="69"/>
      <c r="AQ1407" s="62"/>
      <c r="AR1407" s="62"/>
    </row>
    <row r="1408" spans="1:44" customFormat="1">
      <c r="A1408" s="39">
        <v>44953</v>
      </c>
      <c r="B1408" s="11" t="s">
        <v>2171</v>
      </c>
      <c r="C1408" s="16" t="s">
        <v>5864</v>
      </c>
      <c r="D1408" s="16" t="s">
        <v>5878</v>
      </c>
      <c r="E1408" s="39">
        <v>38502</v>
      </c>
      <c r="F1408" s="39"/>
      <c r="G1408" s="11" t="s">
        <v>5879</v>
      </c>
      <c r="H1408" s="12" t="s">
        <v>5866</v>
      </c>
      <c r="I1408" s="13">
        <v>2.7</v>
      </c>
      <c r="J1408" s="12" t="s">
        <v>5880</v>
      </c>
      <c r="K1408" s="46" t="s">
        <v>5867</v>
      </c>
      <c r="L1408" s="11"/>
      <c r="M1408" s="15"/>
      <c r="N1408" s="17">
        <v>3300</v>
      </c>
      <c r="O1408" s="17"/>
      <c r="P1408" s="17"/>
      <c r="Q1408" s="48"/>
      <c r="R1408" s="11"/>
      <c r="S1408" s="48"/>
      <c r="T1408" s="85"/>
      <c r="U1408" s="85"/>
      <c r="V1408" s="32"/>
      <c r="W1408" s="25"/>
      <c r="X1408" s="11"/>
      <c r="Y1408" s="50"/>
      <c r="Z1408" s="50"/>
      <c r="AA1408" s="50"/>
      <c r="AB1408" s="50"/>
      <c r="AC1408" s="50"/>
      <c r="AD1408" s="50"/>
      <c r="AE1408" s="50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65"/>
      <c r="AP1408" s="69"/>
      <c r="AQ1408" s="62"/>
      <c r="AR1408" s="62"/>
    </row>
    <row r="1409" spans="1:44" customFormat="1">
      <c r="A1409" s="39">
        <v>44954</v>
      </c>
      <c r="B1409" s="11" t="s">
        <v>49</v>
      </c>
      <c r="C1409" s="16" t="s">
        <v>5881</v>
      </c>
      <c r="D1409" s="16" t="s">
        <v>5882</v>
      </c>
      <c r="E1409" s="39">
        <v>29064</v>
      </c>
      <c r="F1409" s="39"/>
      <c r="G1409" s="11" t="s">
        <v>4894</v>
      </c>
      <c r="H1409" s="12" t="s">
        <v>5883</v>
      </c>
      <c r="I1409" s="13">
        <v>21.5</v>
      </c>
      <c r="J1409" s="12" t="s">
        <v>5884</v>
      </c>
      <c r="K1409" s="12"/>
      <c r="L1409" s="11" t="s">
        <v>33</v>
      </c>
      <c r="M1409" s="15" t="s">
        <v>3599</v>
      </c>
      <c r="N1409" s="17">
        <v>16500</v>
      </c>
      <c r="O1409" s="17"/>
      <c r="P1409" s="17"/>
      <c r="Q1409" s="48"/>
      <c r="R1409" s="11"/>
      <c r="S1409" s="48"/>
      <c r="T1409" s="85" t="s">
        <v>8073</v>
      </c>
      <c r="U1409" s="85"/>
      <c r="V1409" s="32"/>
      <c r="W1409" s="25" t="s">
        <v>48</v>
      </c>
      <c r="X1409" s="11"/>
      <c r="Y1409" s="50" t="s">
        <v>13</v>
      </c>
      <c r="Z1409" s="50"/>
      <c r="AA1409" s="50"/>
      <c r="AB1409" s="50"/>
      <c r="AC1409" s="50"/>
      <c r="AD1409" s="50"/>
      <c r="AE1409" s="50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65"/>
      <c r="AP1409" s="69"/>
      <c r="AQ1409" s="62"/>
      <c r="AR1409" s="62"/>
    </row>
    <row r="1410" spans="1:44" customFormat="1">
      <c r="A1410" s="39">
        <v>44954</v>
      </c>
      <c r="B1410" s="11" t="s">
        <v>22</v>
      </c>
      <c r="C1410" s="16" t="s">
        <v>5885</v>
      </c>
      <c r="D1410" s="16" t="s">
        <v>5886</v>
      </c>
      <c r="E1410" s="39">
        <v>34409</v>
      </c>
      <c r="F1410" s="39"/>
      <c r="G1410" s="11" t="s">
        <v>614</v>
      </c>
      <c r="H1410" s="12" t="s">
        <v>5887</v>
      </c>
      <c r="I1410" s="13">
        <v>1.7</v>
      </c>
      <c r="J1410" s="12" t="s">
        <v>5889</v>
      </c>
      <c r="K1410" s="46" t="s">
        <v>5888</v>
      </c>
      <c r="L1410" s="11" t="s">
        <v>36</v>
      </c>
      <c r="M1410" s="15" t="s">
        <v>3599</v>
      </c>
      <c r="N1410" s="17">
        <v>3300</v>
      </c>
      <c r="O1410" s="17"/>
      <c r="P1410" s="17"/>
      <c r="Q1410" s="48"/>
      <c r="R1410" s="11"/>
      <c r="S1410" s="48"/>
      <c r="T1410" s="85"/>
      <c r="U1410" s="92"/>
      <c r="V1410" s="32"/>
      <c r="W1410" s="25"/>
      <c r="X1410" s="11"/>
      <c r="Y1410" s="50"/>
      <c r="Z1410" s="50"/>
      <c r="AA1410" s="50"/>
      <c r="AB1410" s="50"/>
      <c r="AC1410" s="50"/>
      <c r="AD1410" s="50"/>
      <c r="AE1410" s="50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65" t="s">
        <v>5804</v>
      </c>
      <c r="AP1410" s="69"/>
      <c r="AQ1410" s="62"/>
      <c r="AR1410" s="81"/>
    </row>
    <row r="1411" spans="1:44" customFormat="1">
      <c r="A1411" s="39">
        <v>44955</v>
      </c>
      <c r="B1411" s="11" t="s">
        <v>49</v>
      </c>
      <c r="C1411" s="16" t="s">
        <v>5890</v>
      </c>
      <c r="D1411" s="16" t="s">
        <v>5891</v>
      </c>
      <c r="E1411" s="39">
        <v>28597</v>
      </c>
      <c r="F1411" s="39"/>
      <c r="G1411" s="11" t="s">
        <v>5892</v>
      </c>
      <c r="H1411" s="12" t="s">
        <v>5893</v>
      </c>
      <c r="I1411" s="13" t="s">
        <v>5894</v>
      </c>
      <c r="J1411" s="12" t="s">
        <v>5895</v>
      </c>
      <c r="K1411" s="12"/>
      <c r="L1411" s="11" t="s">
        <v>36</v>
      </c>
      <c r="M1411" s="15" t="s">
        <v>3599</v>
      </c>
      <c r="N1411" s="17">
        <v>16500</v>
      </c>
      <c r="O1411" s="17"/>
      <c r="P1411" s="17"/>
      <c r="Q1411" s="48"/>
      <c r="R1411" s="11"/>
      <c r="S1411" s="48"/>
      <c r="T1411" s="85"/>
      <c r="U1411" s="85"/>
      <c r="V1411" s="32" t="s">
        <v>5896</v>
      </c>
      <c r="W1411" s="25" t="s">
        <v>48</v>
      </c>
      <c r="X1411" s="11"/>
      <c r="Y1411" s="50" t="s">
        <v>12</v>
      </c>
      <c r="Z1411" s="50"/>
      <c r="AA1411" s="50"/>
      <c r="AB1411" s="50"/>
      <c r="AC1411" s="50"/>
      <c r="AD1411" s="50"/>
      <c r="AE1411" s="50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65"/>
      <c r="AP1411" s="69"/>
      <c r="AQ1411" s="62"/>
      <c r="AR1411" s="62"/>
    </row>
    <row r="1412" spans="1:44" customFormat="1">
      <c r="A1412" s="39">
        <v>44955</v>
      </c>
      <c r="B1412" s="11" t="s">
        <v>49</v>
      </c>
      <c r="C1412" s="16" t="s">
        <v>5897</v>
      </c>
      <c r="D1412" s="16" t="s">
        <v>5898</v>
      </c>
      <c r="E1412" s="39">
        <v>27043</v>
      </c>
      <c r="F1412" s="39"/>
      <c r="G1412" s="11" t="s">
        <v>5899</v>
      </c>
      <c r="H1412" s="12" t="s">
        <v>5900</v>
      </c>
      <c r="I1412" s="13" t="s">
        <v>5901</v>
      </c>
      <c r="J1412" s="12" t="s">
        <v>5902</v>
      </c>
      <c r="K1412" s="12"/>
      <c r="L1412" s="11" t="s">
        <v>36</v>
      </c>
      <c r="M1412" s="15" t="s">
        <v>3599</v>
      </c>
      <c r="N1412" s="17">
        <v>22000</v>
      </c>
      <c r="O1412" s="17"/>
      <c r="P1412" s="17"/>
      <c r="Q1412" s="48"/>
      <c r="R1412" s="11"/>
      <c r="S1412" s="48"/>
      <c r="T1412" s="85" t="s">
        <v>8073</v>
      </c>
      <c r="U1412" s="85"/>
      <c r="V1412" s="32"/>
      <c r="W1412" s="25" t="s">
        <v>48</v>
      </c>
      <c r="X1412" s="11"/>
      <c r="Y1412" s="50" t="s">
        <v>12</v>
      </c>
      <c r="Z1412" s="50"/>
      <c r="AA1412" s="50"/>
      <c r="AB1412" s="50"/>
      <c r="AC1412" s="50"/>
      <c r="AD1412" s="50"/>
      <c r="AE1412" s="50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65"/>
      <c r="AP1412" s="69"/>
      <c r="AQ1412" s="62"/>
      <c r="AR1412" s="62"/>
    </row>
    <row r="1413" spans="1:44" customFormat="1">
      <c r="A1413" s="39">
        <v>44956</v>
      </c>
      <c r="B1413" s="11"/>
      <c r="C1413" s="16" t="s">
        <v>645</v>
      </c>
      <c r="D1413" s="16" t="s">
        <v>5904</v>
      </c>
      <c r="E1413" s="38">
        <v>26002</v>
      </c>
      <c r="F1413" s="38"/>
      <c r="G1413" s="10" t="s">
        <v>646</v>
      </c>
      <c r="H1413" s="12" t="s">
        <v>5652</v>
      </c>
      <c r="I1413" s="13" t="s">
        <v>5653</v>
      </c>
      <c r="J1413" s="15" t="s">
        <v>648</v>
      </c>
      <c r="K1413" s="12"/>
      <c r="L1413" s="11" t="s">
        <v>33</v>
      </c>
      <c r="M1413" s="15"/>
      <c r="N1413" s="17">
        <v>0</v>
      </c>
      <c r="O1413" s="17"/>
      <c r="P1413" s="17"/>
      <c r="Q1413" s="48"/>
      <c r="R1413" s="11"/>
      <c r="S1413" s="48"/>
      <c r="T1413" s="85"/>
      <c r="U1413" s="85"/>
      <c r="V1413" s="32" t="s">
        <v>5903</v>
      </c>
      <c r="W1413" s="25" t="s">
        <v>8</v>
      </c>
      <c r="X1413" s="11"/>
      <c r="Y1413" s="50" t="s">
        <v>13</v>
      </c>
      <c r="Z1413" s="50"/>
      <c r="AA1413" s="50"/>
      <c r="AB1413" s="50"/>
      <c r="AC1413" s="50"/>
      <c r="AD1413" s="50"/>
      <c r="AE1413" s="50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65"/>
      <c r="AP1413" s="69"/>
      <c r="AQ1413" s="62"/>
      <c r="AR1413" s="62"/>
    </row>
    <row r="1414" spans="1:44" customFormat="1">
      <c r="A1414" s="39">
        <v>44961</v>
      </c>
      <c r="B1414" s="11" t="s">
        <v>49</v>
      </c>
      <c r="C1414" s="16" t="s">
        <v>5881</v>
      </c>
      <c r="D1414" s="16" t="s">
        <v>5882</v>
      </c>
      <c r="E1414" s="39">
        <v>29064</v>
      </c>
      <c r="F1414" s="39"/>
      <c r="G1414" s="11" t="s">
        <v>4894</v>
      </c>
      <c r="H1414" s="12" t="s">
        <v>5883</v>
      </c>
      <c r="I1414" s="13">
        <v>21.5</v>
      </c>
      <c r="J1414" s="12" t="s">
        <v>5884</v>
      </c>
      <c r="K1414" s="12"/>
      <c r="L1414" s="11" t="s">
        <v>33</v>
      </c>
      <c r="M1414" s="15" t="s">
        <v>3599</v>
      </c>
      <c r="N1414" s="17">
        <v>16500</v>
      </c>
      <c r="O1414" s="17"/>
      <c r="P1414" s="17"/>
      <c r="Q1414" s="48"/>
      <c r="R1414" s="11"/>
      <c r="S1414" s="48"/>
      <c r="T1414" s="85" t="s">
        <v>8073</v>
      </c>
      <c r="U1414" s="85"/>
      <c r="V1414" s="32"/>
      <c r="W1414" s="25" t="s">
        <v>48</v>
      </c>
      <c r="X1414" s="11"/>
      <c r="Y1414" s="50" t="s">
        <v>13</v>
      </c>
      <c r="Z1414" s="50"/>
      <c r="AA1414" s="50"/>
      <c r="AB1414" s="50"/>
      <c r="AC1414" s="50"/>
      <c r="AD1414" s="50"/>
      <c r="AE1414" s="50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65"/>
      <c r="AP1414" s="69"/>
      <c r="AQ1414" s="62"/>
      <c r="AR1414" s="62"/>
    </row>
    <row r="1415" spans="1:44" customFormat="1">
      <c r="A1415" s="39">
        <v>44961</v>
      </c>
      <c r="B1415" s="11" t="s">
        <v>22</v>
      </c>
      <c r="C1415" s="16" t="s">
        <v>5905</v>
      </c>
      <c r="D1415" s="16" t="s">
        <v>5906</v>
      </c>
      <c r="E1415" s="39">
        <v>34049</v>
      </c>
      <c r="F1415" s="39"/>
      <c r="G1415" s="11" t="s">
        <v>358</v>
      </c>
      <c r="H1415" s="12" t="s">
        <v>5907</v>
      </c>
      <c r="I1415" s="13" t="s">
        <v>5908</v>
      </c>
      <c r="J1415" s="12" t="s">
        <v>5910</v>
      </c>
      <c r="K1415" s="46" t="s">
        <v>5909</v>
      </c>
      <c r="L1415" s="11" t="s">
        <v>36</v>
      </c>
      <c r="M1415" s="15" t="s">
        <v>3584</v>
      </c>
      <c r="N1415" s="17">
        <v>3300</v>
      </c>
      <c r="O1415" s="17"/>
      <c r="P1415" s="17"/>
      <c r="Q1415" s="48"/>
      <c r="R1415" s="11"/>
      <c r="S1415" s="48"/>
      <c r="T1415" s="85"/>
      <c r="U1415" s="92"/>
      <c r="V1415" s="32"/>
      <c r="W1415" s="25"/>
      <c r="X1415" s="11"/>
      <c r="Y1415" s="50"/>
      <c r="Z1415" s="50"/>
      <c r="AA1415" s="50"/>
      <c r="AB1415" s="50"/>
      <c r="AC1415" s="50"/>
      <c r="AD1415" s="50"/>
      <c r="AE1415" s="50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65" t="s">
        <v>5804</v>
      </c>
      <c r="AP1415" s="69"/>
      <c r="AQ1415" s="62"/>
      <c r="AR1415" s="81"/>
    </row>
    <row r="1416" spans="1:44" customFormat="1">
      <c r="A1416" s="39">
        <v>44962</v>
      </c>
      <c r="B1416" s="11" t="s">
        <v>49</v>
      </c>
      <c r="C1416" s="16" t="s">
        <v>5911</v>
      </c>
      <c r="D1416" s="16" t="s">
        <v>5912</v>
      </c>
      <c r="E1416" s="39">
        <v>19844</v>
      </c>
      <c r="F1416" s="39"/>
      <c r="G1416" s="11" t="s">
        <v>5913</v>
      </c>
      <c r="H1416" s="12" t="s">
        <v>5914</v>
      </c>
      <c r="I1416" s="13">
        <v>8.9</v>
      </c>
      <c r="J1416" s="12" t="s">
        <v>5916</v>
      </c>
      <c r="K1416" s="46" t="s">
        <v>5915</v>
      </c>
      <c r="L1416" s="11" t="s">
        <v>37</v>
      </c>
      <c r="M1416" s="15" t="s">
        <v>3584</v>
      </c>
      <c r="N1416" s="17">
        <v>16500</v>
      </c>
      <c r="O1416" s="17"/>
      <c r="P1416" s="17"/>
      <c r="Q1416" s="48"/>
      <c r="R1416" s="11"/>
      <c r="S1416" s="48"/>
      <c r="T1416" s="85" t="s">
        <v>8073</v>
      </c>
      <c r="U1416" s="85"/>
      <c r="V1416" s="32"/>
      <c r="W1416" s="25" t="s">
        <v>8</v>
      </c>
      <c r="X1416" s="11"/>
      <c r="Y1416" s="50" t="s">
        <v>13</v>
      </c>
      <c r="Z1416" s="50"/>
      <c r="AA1416" s="50"/>
      <c r="AB1416" s="50"/>
      <c r="AC1416" s="50"/>
      <c r="AD1416" s="50"/>
      <c r="AE1416" s="50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65"/>
      <c r="AP1416" s="69"/>
      <c r="AQ1416" s="62"/>
      <c r="AR1416" s="62"/>
    </row>
    <row r="1417" spans="1:44" customFormat="1">
      <c r="A1417" s="39">
        <v>44965</v>
      </c>
      <c r="B1417" s="11" t="s">
        <v>22</v>
      </c>
      <c r="C1417" s="16" t="s">
        <v>5917</v>
      </c>
      <c r="D1417" s="16" t="s">
        <v>5918</v>
      </c>
      <c r="E1417" s="39">
        <v>36756</v>
      </c>
      <c r="F1417" s="39"/>
      <c r="G1417" s="11" t="s">
        <v>3291</v>
      </c>
      <c r="H1417" s="12" t="s">
        <v>5919</v>
      </c>
      <c r="I1417" s="13">
        <v>2.9</v>
      </c>
      <c r="J1417" s="12" t="s">
        <v>5920</v>
      </c>
      <c r="K1417" s="12"/>
      <c r="L1417" s="11" t="s">
        <v>39</v>
      </c>
      <c r="M1417" s="15" t="s">
        <v>3599</v>
      </c>
      <c r="N1417" s="17">
        <v>3300</v>
      </c>
      <c r="O1417" s="17"/>
      <c r="P1417" s="17"/>
      <c r="Q1417" s="48"/>
      <c r="R1417" s="11"/>
      <c r="S1417" s="48"/>
      <c r="T1417" s="85"/>
      <c r="U1417" s="92"/>
      <c r="V1417" s="32"/>
      <c r="W1417" s="25"/>
      <c r="X1417" s="11"/>
      <c r="Y1417" s="50"/>
      <c r="Z1417" s="50"/>
      <c r="AA1417" s="50"/>
      <c r="AB1417" s="50"/>
      <c r="AC1417" s="50"/>
      <c r="AD1417" s="50"/>
      <c r="AE1417" s="50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65"/>
      <c r="AP1417" s="69"/>
      <c r="AQ1417" s="62"/>
      <c r="AR1417" s="81"/>
    </row>
    <row r="1418" spans="1:44" customFormat="1">
      <c r="A1418" s="39">
        <v>44967</v>
      </c>
      <c r="B1418" s="11" t="s">
        <v>49</v>
      </c>
      <c r="C1418" s="16" t="s">
        <v>5921</v>
      </c>
      <c r="D1418" s="16" t="s">
        <v>5922</v>
      </c>
      <c r="E1418" s="39">
        <v>23599</v>
      </c>
      <c r="F1418" s="39"/>
      <c r="G1418" s="11" t="s">
        <v>5923</v>
      </c>
      <c r="H1418" s="12" t="s">
        <v>5924</v>
      </c>
      <c r="I1418" s="13" t="s">
        <v>1690</v>
      </c>
      <c r="J1418" s="12" t="s">
        <v>5926</v>
      </c>
      <c r="K1418" s="46" t="s">
        <v>5925</v>
      </c>
      <c r="L1418" s="11" t="s">
        <v>36</v>
      </c>
      <c r="M1418" s="15" t="s">
        <v>3584</v>
      </c>
      <c r="N1418" s="17">
        <v>16500</v>
      </c>
      <c r="O1418" s="17"/>
      <c r="P1418" s="17"/>
      <c r="Q1418" s="48"/>
      <c r="R1418" s="11"/>
      <c r="S1418" s="48"/>
      <c r="T1418" s="85" t="s">
        <v>8073</v>
      </c>
      <c r="U1418" s="85"/>
      <c r="V1418" s="32" t="s">
        <v>5954</v>
      </c>
      <c r="W1418" s="25" t="s">
        <v>48</v>
      </c>
      <c r="X1418" s="11"/>
      <c r="Y1418" s="50" t="s">
        <v>13</v>
      </c>
      <c r="Z1418" s="50"/>
      <c r="AA1418" s="50"/>
      <c r="AB1418" s="50"/>
      <c r="AC1418" s="50"/>
      <c r="AD1418" s="50"/>
      <c r="AE1418" s="50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65"/>
      <c r="AP1418" s="69"/>
      <c r="AQ1418" s="62"/>
      <c r="AR1418" s="62"/>
    </row>
    <row r="1419" spans="1:44" customFormat="1">
      <c r="A1419" s="39">
        <v>44967</v>
      </c>
      <c r="B1419" s="11" t="s">
        <v>49</v>
      </c>
      <c r="C1419" s="16" t="s">
        <v>5927</v>
      </c>
      <c r="D1419" s="16" t="s">
        <v>5928</v>
      </c>
      <c r="E1419" s="39">
        <v>22509</v>
      </c>
      <c r="F1419" s="39"/>
      <c r="G1419" s="11" t="s">
        <v>5605</v>
      </c>
      <c r="H1419" s="12" t="s">
        <v>5929</v>
      </c>
      <c r="I1419" s="13" t="s">
        <v>5609</v>
      </c>
      <c r="J1419" s="12" t="s">
        <v>5930</v>
      </c>
      <c r="K1419" s="12"/>
      <c r="L1419" s="11" t="s">
        <v>34</v>
      </c>
      <c r="M1419" s="15" t="s">
        <v>3599</v>
      </c>
      <c r="N1419" s="17">
        <v>8250</v>
      </c>
      <c r="O1419" s="17"/>
      <c r="P1419" s="17"/>
      <c r="Q1419" s="48"/>
      <c r="R1419" s="11"/>
      <c r="S1419" s="48"/>
      <c r="T1419" s="85" t="s">
        <v>8073</v>
      </c>
      <c r="U1419" s="85"/>
      <c r="V1419" s="32" t="s">
        <v>5931</v>
      </c>
      <c r="W1419" s="25" t="s">
        <v>10</v>
      </c>
      <c r="X1419" s="11"/>
      <c r="Y1419" s="50" t="s">
        <v>12</v>
      </c>
      <c r="Z1419" s="50"/>
      <c r="AA1419" s="50"/>
      <c r="AB1419" s="50"/>
      <c r="AC1419" s="50"/>
      <c r="AD1419" s="50"/>
      <c r="AE1419" s="50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65"/>
      <c r="AP1419" s="69"/>
      <c r="AQ1419" s="62"/>
      <c r="AR1419" s="62"/>
    </row>
    <row r="1420" spans="1:44" customFormat="1">
      <c r="A1420" s="39">
        <v>44969</v>
      </c>
      <c r="B1420" s="11" t="s">
        <v>22</v>
      </c>
      <c r="C1420" s="16" t="s">
        <v>5932</v>
      </c>
      <c r="D1420" s="16" t="s">
        <v>5933</v>
      </c>
      <c r="E1420" s="39">
        <v>31346</v>
      </c>
      <c r="F1420" s="39"/>
      <c r="G1420" s="11" t="s">
        <v>2237</v>
      </c>
      <c r="H1420" s="12" t="s">
        <v>5934</v>
      </c>
      <c r="I1420" s="13" t="s">
        <v>5935</v>
      </c>
      <c r="J1420" s="12" t="s">
        <v>5937</v>
      </c>
      <c r="K1420" s="46" t="s">
        <v>5936</v>
      </c>
      <c r="L1420" s="11" t="s">
        <v>36</v>
      </c>
      <c r="M1420" s="15" t="s">
        <v>3584</v>
      </c>
      <c r="N1420" s="17">
        <v>3300</v>
      </c>
      <c r="O1420" s="17"/>
      <c r="P1420" s="17"/>
      <c r="Q1420" s="48"/>
      <c r="R1420" s="11"/>
      <c r="S1420" s="48"/>
      <c r="T1420" s="85" t="s">
        <v>8079</v>
      </c>
      <c r="U1420" s="92">
        <v>44976</v>
      </c>
      <c r="V1420" s="32"/>
      <c r="W1420" s="25"/>
      <c r="X1420" s="11"/>
      <c r="Y1420" s="50" t="s">
        <v>15</v>
      </c>
      <c r="Z1420" s="50"/>
      <c r="AA1420" s="50"/>
      <c r="AB1420" s="50"/>
      <c r="AC1420" s="50"/>
      <c r="AD1420" s="50"/>
      <c r="AE1420" s="50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65" t="s">
        <v>5804</v>
      </c>
      <c r="AP1420" s="69"/>
      <c r="AQ1420" s="62" t="s">
        <v>8079</v>
      </c>
      <c r="AR1420" s="81">
        <v>44976</v>
      </c>
    </row>
    <row r="1421" spans="1:44" customFormat="1">
      <c r="A1421" s="39">
        <v>44969</v>
      </c>
      <c r="B1421" s="11" t="s">
        <v>49</v>
      </c>
      <c r="C1421" s="16" t="s">
        <v>5938</v>
      </c>
      <c r="D1421" s="16" t="s">
        <v>5939</v>
      </c>
      <c r="E1421" s="39">
        <v>31309</v>
      </c>
      <c r="F1421" s="39"/>
      <c r="G1421" s="11" t="s">
        <v>5940</v>
      </c>
      <c r="H1421" s="12" t="s">
        <v>5941</v>
      </c>
      <c r="I1421" s="13">
        <v>61.7</v>
      </c>
      <c r="J1421" s="12" t="s">
        <v>5943</v>
      </c>
      <c r="K1421" s="46" t="s">
        <v>5942</v>
      </c>
      <c r="L1421" s="11" t="s">
        <v>36</v>
      </c>
      <c r="M1421" s="15" t="s">
        <v>3584</v>
      </c>
      <c r="N1421" s="17">
        <v>16500</v>
      </c>
      <c r="O1421" s="17"/>
      <c r="P1421" s="17"/>
      <c r="Q1421" s="48"/>
      <c r="R1421" s="11"/>
      <c r="S1421" s="48"/>
      <c r="T1421" s="85"/>
      <c r="U1421" s="85"/>
      <c r="V1421" s="32"/>
      <c r="W1421" s="25" t="s">
        <v>48</v>
      </c>
      <c r="X1421" s="11"/>
      <c r="Y1421" s="50" t="s">
        <v>13</v>
      </c>
      <c r="Z1421" s="50"/>
      <c r="AA1421" s="50"/>
      <c r="AB1421" s="50"/>
      <c r="AC1421" s="50"/>
      <c r="AD1421" s="50"/>
      <c r="AE1421" s="50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65"/>
      <c r="AP1421" s="69"/>
      <c r="AQ1421" s="62"/>
      <c r="AR1421" s="62"/>
    </row>
    <row r="1422" spans="1:44" customFormat="1">
      <c r="A1422" s="39">
        <v>44972</v>
      </c>
      <c r="B1422" s="11" t="s">
        <v>22</v>
      </c>
      <c r="C1422" s="16" t="s">
        <v>5944</v>
      </c>
      <c r="D1422" s="16" t="s">
        <v>5945</v>
      </c>
      <c r="E1422" s="39">
        <v>26636</v>
      </c>
      <c r="F1422" s="39"/>
      <c r="G1422" s="11" t="s">
        <v>3447</v>
      </c>
      <c r="H1422" s="12" t="s">
        <v>5946</v>
      </c>
      <c r="I1422" s="13">
        <v>5.7</v>
      </c>
      <c r="J1422" s="12" t="s">
        <v>5948</v>
      </c>
      <c r="K1422" s="46" t="s">
        <v>5947</v>
      </c>
      <c r="L1422" s="11" t="s">
        <v>36</v>
      </c>
      <c r="M1422" s="15" t="s">
        <v>3584</v>
      </c>
      <c r="N1422" s="17">
        <v>3300</v>
      </c>
      <c r="O1422" s="17"/>
      <c r="P1422" s="17"/>
      <c r="Q1422" s="48"/>
      <c r="R1422" s="11"/>
      <c r="S1422" s="48"/>
      <c r="T1422" s="85" t="s">
        <v>8079</v>
      </c>
      <c r="U1422" s="92">
        <v>44977</v>
      </c>
      <c r="V1422" s="32"/>
      <c r="W1422" s="25"/>
      <c r="X1422" s="11"/>
      <c r="Y1422" s="50"/>
      <c r="Z1422" s="50"/>
      <c r="AA1422" s="50"/>
      <c r="AB1422" s="50"/>
      <c r="AC1422" s="50"/>
      <c r="AD1422" s="50"/>
      <c r="AE1422" s="50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65" t="s">
        <v>5822</v>
      </c>
      <c r="AP1422" s="69"/>
      <c r="AQ1422" s="62" t="s">
        <v>8079</v>
      </c>
      <c r="AR1422" s="81">
        <v>44977</v>
      </c>
    </row>
    <row r="1423" spans="1:44" customFormat="1">
      <c r="A1423" s="39">
        <v>44974</v>
      </c>
      <c r="B1423" s="11" t="s">
        <v>22</v>
      </c>
      <c r="C1423" s="16" t="s">
        <v>5949</v>
      </c>
      <c r="D1423" s="16" t="s">
        <v>5950</v>
      </c>
      <c r="E1423" s="39">
        <v>26870</v>
      </c>
      <c r="F1423" s="39"/>
      <c r="G1423" s="11" t="s">
        <v>3030</v>
      </c>
      <c r="H1423" s="12" t="s">
        <v>5951</v>
      </c>
      <c r="I1423" s="13" t="s">
        <v>2064</v>
      </c>
      <c r="J1423" s="12" t="s">
        <v>5952</v>
      </c>
      <c r="K1423" s="12"/>
      <c r="L1423" s="11" t="s">
        <v>36</v>
      </c>
      <c r="M1423" s="15"/>
      <c r="N1423" s="17">
        <v>3300</v>
      </c>
      <c r="O1423" s="17"/>
      <c r="P1423" s="17"/>
      <c r="Q1423" s="48"/>
      <c r="R1423" s="11"/>
      <c r="S1423" s="48"/>
      <c r="T1423" s="85"/>
      <c r="U1423" s="92"/>
      <c r="V1423" s="32" t="s">
        <v>5953</v>
      </c>
      <c r="W1423" s="25"/>
      <c r="X1423" s="11"/>
      <c r="Y1423" s="50"/>
      <c r="Z1423" s="50"/>
      <c r="AA1423" s="50"/>
      <c r="AB1423" s="50"/>
      <c r="AC1423" s="50"/>
      <c r="AD1423" s="50"/>
      <c r="AE1423" s="50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65" t="s">
        <v>5822</v>
      </c>
      <c r="AP1423" s="69"/>
      <c r="AQ1423" s="62"/>
      <c r="AR1423" s="81"/>
    </row>
    <row r="1424" spans="1:44" customFormat="1">
      <c r="A1424" s="39">
        <v>44974</v>
      </c>
      <c r="B1424" s="11" t="s">
        <v>2170</v>
      </c>
      <c r="C1424" s="16" t="s">
        <v>4020</v>
      </c>
      <c r="D1424" s="16" t="s">
        <v>5959</v>
      </c>
      <c r="E1424" s="39">
        <v>22530</v>
      </c>
      <c r="F1424" s="39"/>
      <c r="G1424" s="11" t="s">
        <v>5955</v>
      </c>
      <c r="H1424" s="12" t="s">
        <v>4022</v>
      </c>
      <c r="I1424" s="13" t="s">
        <v>5956</v>
      </c>
      <c r="J1424" s="12" t="s">
        <v>5957</v>
      </c>
      <c r="K1424" s="46" t="s">
        <v>4025</v>
      </c>
      <c r="L1424" s="11" t="s">
        <v>33</v>
      </c>
      <c r="M1424" s="15" t="s">
        <v>3584</v>
      </c>
      <c r="N1424" s="17">
        <v>8250</v>
      </c>
      <c r="O1424" s="17"/>
      <c r="P1424" s="17"/>
      <c r="Q1424" s="48"/>
      <c r="R1424" s="11"/>
      <c r="S1424" s="48"/>
      <c r="T1424" s="85"/>
      <c r="U1424" s="85"/>
      <c r="V1424" s="32" t="s">
        <v>5958</v>
      </c>
      <c r="W1424" s="25"/>
      <c r="X1424" s="11"/>
      <c r="Y1424" s="50"/>
      <c r="Z1424" s="50"/>
      <c r="AA1424" s="50"/>
      <c r="AB1424" s="50"/>
      <c r="AC1424" s="50"/>
      <c r="AD1424" s="50"/>
      <c r="AE1424" s="50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65"/>
      <c r="AP1424" s="69"/>
      <c r="AQ1424" s="62"/>
      <c r="AR1424" s="62"/>
    </row>
    <row r="1425" spans="1:44" customFormat="1">
      <c r="A1425" s="39">
        <v>44976</v>
      </c>
      <c r="B1425" s="11" t="s">
        <v>22</v>
      </c>
      <c r="C1425" s="16" t="s">
        <v>5960</v>
      </c>
      <c r="D1425" s="16" t="s">
        <v>5961</v>
      </c>
      <c r="E1425" s="39">
        <v>21372</v>
      </c>
      <c r="F1425" s="39"/>
      <c r="G1425" s="11" t="s">
        <v>2237</v>
      </c>
      <c r="H1425" s="12" t="s">
        <v>5962</v>
      </c>
      <c r="I1425" s="13" t="s">
        <v>5963</v>
      </c>
      <c r="J1425" s="12" t="s">
        <v>5965</v>
      </c>
      <c r="K1425" s="46" t="s">
        <v>5964</v>
      </c>
      <c r="L1425" s="11" t="s">
        <v>34</v>
      </c>
      <c r="M1425" s="15" t="s">
        <v>3584</v>
      </c>
      <c r="N1425" s="17">
        <v>3300</v>
      </c>
      <c r="O1425" s="17"/>
      <c r="P1425" s="17"/>
      <c r="Q1425" s="48"/>
      <c r="R1425" s="11"/>
      <c r="S1425" s="48"/>
      <c r="T1425" s="85" t="s">
        <v>8079</v>
      </c>
      <c r="U1425" s="92">
        <v>44998</v>
      </c>
      <c r="V1425" s="32"/>
      <c r="W1425" s="25"/>
      <c r="X1425" s="11"/>
      <c r="Y1425" s="50"/>
      <c r="Z1425" s="50"/>
      <c r="AA1425" s="50"/>
      <c r="AB1425" s="50"/>
      <c r="AC1425" s="50"/>
      <c r="AD1425" s="50"/>
      <c r="AE1425" s="50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65" t="s">
        <v>5822</v>
      </c>
      <c r="AP1425" s="69"/>
      <c r="AQ1425" s="62" t="s">
        <v>8079</v>
      </c>
      <c r="AR1425" s="81">
        <v>44998</v>
      </c>
    </row>
    <row r="1426" spans="1:44" customFormat="1">
      <c r="A1426" s="39">
        <v>44977</v>
      </c>
      <c r="B1426" s="11" t="s">
        <v>49</v>
      </c>
      <c r="C1426" s="16" t="s">
        <v>5978</v>
      </c>
      <c r="D1426" s="16" t="s">
        <v>5979</v>
      </c>
      <c r="E1426" s="39">
        <v>29845</v>
      </c>
      <c r="F1426" s="39"/>
      <c r="G1426" s="11" t="s">
        <v>5980</v>
      </c>
      <c r="H1426" s="12" t="s">
        <v>5981</v>
      </c>
      <c r="I1426" s="13" t="s">
        <v>2077</v>
      </c>
      <c r="J1426" s="12" t="s">
        <v>5983</v>
      </c>
      <c r="K1426" s="46" t="s">
        <v>5982</v>
      </c>
      <c r="L1426" s="11" t="s">
        <v>36</v>
      </c>
      <c r="M1426" s="15" t="s">
        <v>3584</v>
      </c>
      <c r="N1426" s="17">
        <v>16500</v>
      </c>
      <c r="O1426" s="17"/>
      <c r="P1426" s="17"/>
      <c r="Q1426" s="48"/>
      <c r="R1426" s="11"/>
      <c r="S1426" s="48"/>
      <c r="T1426" s="85"/>
      <c r="U1426" s="85"/>
      <c r="V1426" s="32"/>
      <c r="W1426" s="25" t="s">
        <v>48</v>
      </c>
      <c r="X1426" s="11"/>
      <c r="Y1426" s="50" t="s">
        <v>13</v>
      </c>
      <c r="Z1426" s="50"/>
      <c r="AA1426" s="50"/>
      <c r="AB1426" s="50"/>
      <c r="AC1426" s="50"/>
      <c r="AD1426" s="50"/>
      <c r="AE1426" s="50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65" t="s">
        <v>5822</v>
      </c>
      <c r="AP1426" s="69"/>
      <c r="AQ1426" s="62" t="s">
        <v>8079</v>
      </c>
      <c r="AR1426" s="81">
        <v>44986</v>
      </c>
    </row>
    <row r="1427" spans="1:44" customFormat="1">
      <c r="A1427" s="39">
        <v>44977</v>
      </c>
      <c r="B1427" s="11" t="s">
        <v>22</v>
      </c>
      <c r="C1427" s="16" t="s">
        <v>5966</v>
      </c>
      <c r="D1427" s="16" t="s">
        <v>5967</v>
      </c>
      <c r="E1427" s="39">
        <v>24555</v>
      </c>
      <c r="F1427" s="39"/>
      <c r="G1427" s="11" t="s">
        <v>5970</v>
      </c>
      <c r="H1427" s="12" t="s">
        <v>5971</v>
      </c>
      <c r="I1427" s="13" t="s">
        <v>3099</v>
      </c>
      <c r="J1427" s="12" t="s">
        <v>5975</v>
      </c>
      <c r="K1427" s="46" t="s">
        <v>5974</v>
      </c>
      <c r="L1427" s="11" t="s">
        <v>33</v>
      </c>
      <c r="M1427" s="15" t="s">
        <v>3584</v>
      </c>
      <c r="N1427" s="17">
        <v>3300</v>
      </c>
      <c r="O1427" s="17"/>
      <c r="P1427" s="17"/>
      <c r="Q1427" s="48"/>
      <c r="R1427" s="11"/>
      <c r="S1427" s="48"/>
      <c r="T1427" s="85" t="s">
        <v>8079</v>
      </c>
      <c r="U1427" s="92">
        <v>44986</v>
      </c>
      <c r="V1427" s="32"/>
      <c r="W1427" s="25"/>
      <c r="X1427" s="11"/>
      <c r="Y1427" s="50"/>
      <c r="Z1427" s="50"/>
      <c r="AA1427" s="50"/>
      <c r="AB1427" s="50"/>
      <c r="AC1427" s="50"/>
      <c r="AD1427" s="50"/>
      <c r="AE1427" s="50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65" t="s">
        <v>5822</v>
      </c>
      <c r="AP1427" s="69"/>
      <c r="AQ1427" s="62" t="s">
        <v>8079</v>
      </c>
      <c r="AR1427" s="81">
        <v>44986</v>
      </c>
    </row>
    <row r="1428" spans="1:44" customFormat="1">
      <c r="A1428" s="39">
        <v>44977</v>
      </c>
      <c r="B1428" s="11" t="s">
        <v>22</v>
      </c>
      <c r="C1428" s="16" t="s">
        <v>5968</v>
      </c>
      <c r="D1428" s="16" t="s">
        <v>5969</v>
      </c>
      <c r="E1428" s="39">
        <v>18745</v>
      </c>
      <c r="F1428" s="39"/>
      <c r="G1428" s="11" t="s">
        <v>3915</v>
      </c>
      <c r="H1428" s="12" t="s">
        <v>5972</v>
      </c>
      <c r="I1428" s="13" t="s">
        <v>5973</v>
      </c>
      <c r="J1428" s="12" t="s">
        <v>5977</v>
      </c>
      <c r="K1428" s="46" t="s">
        <v>5976</v>
      </c>
      <c r="L1428" s="11" t="s">
        <v>33</v>
      </c>
      <c r="M1428" s="15" t="s">
        <v>3584</v>
      </c>
      <c r="N1428" s="17">
        <v>3300</v>
      </c>
      <c r="O1428" s="17"/>
      <c r="P1428" s="17"/>
      <c r="Q1428" s="48"/>
      <c r="R1428" s="11"/>
      <c r="S1428" s="48"/>
      <c r="T1428" s="85" t="s">
        <v>8079</v>
      </c>
      <c r="U1428" s="92">
        <v>44986</v>
      </c>
      <c r="V1428" s="32"/>
      <c r="W1428" s="25"/>
      <c r="X1428" s="11"/>
      <c r="Y1428" s="50"/>
      <c r="Z1428" s="50"/>
      <c r="AA1428" s="50"/>
      <c r="AB1428" s="50"/>
      <c r="AC1428" s="50"/>
      <c r="AD1428" s="50"/>
      <c r="AE1428" s="50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65"/>
      <c r="AP1428" s="69"/>
      <c r="AQ1428" s="62"/>
      <c r="AR1428" s="62"/>
    </row>
    <row r="1429" spans="1:44" customFormat="1">
      <c r="A1429" s="39">
        <v>44979</v>
      </c>
      <c r="B1429" s="11" t="s">
        <v>22</v>
      </c>
      <c r="C1429" s="16" t="s">
        <v>5984</v>
      </c>
      <c r="D1429" s="16" t="s">
        <v>5985</v>
      </c>
      <c r="E1429" s="39">
        <v>26848</v>
      </c>
      <c r="F1429" s="39"/>
      <c r="G1429" s="11" t="s">
        <v>5986</v>
      </c>
      <c r="H1429" s="12" t="s">
        <v>5987</v>
      </c>
      <c r="I1429" s="13">
        <v>9</v>
      </c>
      <c r="J1429" s="12" t="s">
        <v>5988</v>
      </c>
      <c r="K1429" s="12"/>
      <c r="L1429" s="11" t="s">
        <v>34</v>
      </c>
      <c r="M1429" s="15" t="s">
        <v>3629</v>
      </c>
      <c r="N1429" s="17">
        <v>3300</v>
      </c>
      <c r="O1429" s="17"/>
      <c r="P1429" s="17"/>
      <c r="Q1429" s="48"/>
      <c r="R1429" s="11"/>
      <c r="S1429" s="48"/>
      <c r="T1429" s="85" t="s">
        <v>8079</v>
      </c>
      <c r="U1429" s="92">
        <v>44986</v>
      </c>
      <c r="V1429" s="32"/>
      <c r="W1429" s="25"/>
      <c r="X1429" s="11"/>
      <c r="Y1429" s="50"/>
      <c r="Z1429" s="50"/>
      <c r="AA1429" s="50"/>
      <c r="AB1429" s="50"/>
      <c r="AC1429" s="50"/>
      <c r="AD1429" s="50"/>
      <c r="AE1429" s="50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65" t="s">
        <v>5822</v>
      </c>
      <c r="AP1429" s="69"/>
      <c r="AQ1429" s="62" t="s">
        <v>8079</v>
      </c>
      <c r="AR1429" s="81">
        <v>44986</v>
      </c>
    </row>
    <row r="1430" spans="1:44" customFormat="1">
      <c r="A1430" s="39">
        <v>44982</v>
      </c>
      <c r="B1430" s="11" t="s">
        <v>22</v>
      </c>
      <c r="C1430" s="16" t="s">
        <v>5999</v>
      </c>
      <c r="D1430" s="16" t="s">
        <v>6000</v>
      </c>
      <c r="E1430" s="39">
        <v>30776</v>
      </c>
      <c r="F1430" s="39"/>
      <c r="G1430" s="11" t="s">
        <v>3010</v>
      </c>
      <c r="H1430" s="12" t="s">
        <v>6001</v>
      </c>
      <c r="I1430" s="13" t="s">
        <v>2128</v>
      </c>
      <c r="J1430" s="12" t="s">
        <v>6003</v>
      </c>
      <c r="K1430" s="46" t="s">
        <v>6002</v>
      </c>
      <c r="L1430" s="11" t="s">
        <v>34</v>
      </c>
      <c r="M1430" s="15" t="s">
        <v>3584</v>
      </c>
      <c r="N1430" s="17">
        <v>3300</v>
      </c>
      <c r="O1430" s="17"/>
      <c r="P1430" s="17"/>
      <c r="Q1430" s="48"/>
      <c r="R1430" s="11"/>
      <c r="S1430" s="48"/>
      <c r="T1430" s="85" t="s">
        <v>8079</v>
      </c>
      <c r="U1430" s="92">
        <v>44991</v>
      </c>
      <c r="V1430" s="32"/>
      <c r="W1430" s="25" t="s">
        <v>48</v>
      </c>
      <c r="X1430" s="11"/>
      <c r="Y1430" s="50" t="s">
        <v>18</v>
      </c>
      <c r="Z1430" s="50"/>
      <c r="AA1430" s="50"/>
      <c r="AB1430" s="50"/>
      <c r="AC1430" s="50"/>
      <c r="AD1430" s="50"/>
      <c r="AE1430" s="50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65"/>
      <c r="AP1430" s="69"/>
      <c r="AQ1430" s="62"/>
      <c r="AR1430" s="62"/>
    </row>
    <row r="1431" spans="1:44" customFormat="1">
      <c r="A1431" s="39">
        <v>44982</v>
      </c>
      <c r="B1431" s="11" t="s">
        <v>49</v>
      </c>
      <c r="C1431" s="16" t="s">
        <v>5989</v>
      </c>
      <c r="D1431" s="16" t="s">
        <v>5990</v>
      </c>
      <c r="E1431" s="39">
        <v>33213</v>
      </c>
      <c r="F1431" s="39"/>
      <c r="G1431" s="11" t="s">
        <v>3019</v>
      </c>
      <c r="H1431" s="12" t="s">
        <v>6034</v>
      </c>
      <c r="I1431" s="13">
        <v>18.7</v>
      </c>
      <c r="J1431" s="12" t="s">
        <v>5992</v>
      </c>
      <c r="K1431" s="46" t="s">
        <v>5991</v>
      </c>
      <c r="L1431" s="11" t="s">
        <v>36</v>
      </c>
      <c r="M1431" s="15" t="s">
        <v>3584</v>
      </c>
      <c r="N1431" s="17">
        <v>16500</v>
      </c>
      <c r="O1431" s="17"/>
      <c r="P1431" s="17"/>
      <c r="Q1431" s="48"/>
      <c r="R1431" s="11"/>
      <c r="S1431" s="48"/>
      <c r="T1431" s="85" t="s">
        <v>8073</v>
      </c>
      <c r="U1431" s="85"/>
      <c r="V1431" s="32"/>
      <c r="W1431" s="25" t="s">
        <v>48</v>
      </c>
      <c r="X1431" s="11"/>
      <c r="Y1431" s="50" t="s">
        <v>13</v>
      </c>
      <c r="Z1431" s="50"/>
      <c r="AA1431" s="50"/>
      <c r="AB1431" s="50"/>
      <c r="AC1431" s="50"/>
      <c r="AD1431" s="50"/>
      <c r="AE1431" s="50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65" t="s">
        <v>5822</v>
      </c>
      <c r="AP1431" s="69"/>
      <c r="AQ1431" s="62" t="s">
        <v>8079</v>
      </c>
      <c r="AR1431" s="81">
        <v>44991</v>
      </c>
    </row>
    <row r="1432" spans="1:44" customFormat="1">
      <c r="A1432" s="39">
        <v>44982</v>
      </c>
      <c r="B1432" s="11" t="s">
        <v>22</v>
      </c>
      <c r="C1432" s="16" t="s">
        <v>6004</v>
      </c>
      <c r="D1432" s="16" t="s">
        <v>6005</v>
      </c>
      <c r="E1432" s="39">
        <v>28574</v>
      </c>
      <c r="F1432" s="39"/>
      <c r="G1432" s="11" t="s">
        <v>396</v>
      </c>
      <c r="H1432" s="12" t="s">
        <v>6008</v>
      </c>
      <c r="I1432" s="13" t="s">
        <v>2527</v>
      </c>
      <c r="J1432" s="12" t="s">
        <v>6010</v>
      </c>
      <c r="K1432" s="46"/>
      <c r="L1432" s="11" t="s">
        <v>37</v>
      </c>
      <c r="M1432" s="15" t="s">
        <v>3629</v>
      </c>
      <c r="N1432" s="17">
        <v>3300</v>
      </c>
      <c r="O1432" s="17"/>
      <c r="P1432" s="17"/>
      <c r="Q1432" s="48"/>
      <c r="R1432" s="11"/>
      <c r="S1432" s="48"/>
      <c r="T1432" s="85"/>
      <c r="U1432" s="92"/>
      <c r="V1432" s="32"/>
      <c r="W1432" s="25"/>
      <c r="X1432" s="11"/>
      <c r="Y1432" s="50" t="s">
        <v>18</v>
      </c>
      <c r="Z1432" s="50"/>
      <c r="AA1432" s="50"/>
      <c r="AB1432" s="50"/>
      <c r="AC1432" s="50"/>
      <c r="AD1432" s="50"/>
      <c r="AE1432" s="50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65" t="s">
        <v>5822</v>
      </c>
      <c r="AP1432" s="69"/>
      <c r="AQ1432" s="62"/>
      <c r="AR1432" s="81"/>
    </row>
    <row r="1433" spans="1:44" customFormat="1">
      <c r="A1433" s="39">
        <v>44982</v>
      </c>
      <c r="B1433" s="11" t="s">
        <v>22</v>
      </c>
      <c r="C1433" s="16" t="s">
        <v>6006</v>
      </c>
      <c r="D1433" s="16" t="s">
        <v>6007</v>
      </c>
      <c r="E1433" s="39">
        <v>25592</v>
      </c>
      <c r="F1433" s="39"/>
      <c r="G1433" s="11" t="s">
        <v>396</v>
      </c>
      <c r="H1433" s="12" t="s">
        <v>6008</v>
      </c>
      <c r="I1433" s="13" t="s">
        <v>2527</v>
      </c>
      <c r="J1433" s="12" t="s">
        <v>6011</v>
      </c>
      <c r="K1433" s="46" t="s">
        <v>6009</v>
      </c>
      <c r="L1433" s="11" t="s">
        <v>33</v>
      </c>
      <c r="M1433" s="15" t="s">
        <v>3584</v>
      </c>
      <c r="N1433" s="17">
        <v>3300</v>
      </c>
      <c r="O1433" s="17"/>
      <c r="P1433" s="17"/>
      <c r="Q1433" s="48"/>
      <c r="R1433" s="11"/>
      <c r="S1433" s="48"/>
      <c r="T1433" s="85"/>
      <c r="U1433" s="92"/>
      <c r="V1433" s="32"/>
      <c r="W1433" s="25" t="s">
        <v>48</v>
      </c>
      <c r="X1433" s="11"/>
      <c r="Y1433" s="50" t="s">
        <v>18</v>
      </c>
      <c r="Z1433" s="50"/>
      <c r="AA1433" s="50"/>
      <c r="AB1433" s="50"/>
      <c r="AC1433" s="50"/>
      <c r="AD1433" s="50"/>
      <c r="AE1433" s="50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65" t="s">
        <v>5822</v>
      </c>
      <c r="AP1433" s="69"/>
      <c r="AQ1433" s="62"/>
      <c r="AR1433" s="81"/>
    </row>
    <row r="1434" spans="1:44" customFormat="1">
      <c r="A1434" s="39">
        <v>44983</v>
      </c>
      <c r="B1434" s="11" t="s">
        <v>22</v>
      </c>
      <c r="C1434" s="16" t="s">
        <v>5995</v>
      </c>
      <c r="D1434" s="16" t="s">
        <v>5996</v>
      </c>
      <c r="E1434" s="39">
        <v>30618</v>
      </c>
      <c r="F1434" s="39"/>
      <c r="G1434" s="11" t="s">
        <v>901</v>
      </c>
      <c r="H1434" s="12" t="s">
        <v>5997</v>
      </c>
      <c r="I1434" s="13" t="s">
        <v>1671</v>
      </c>
      <c r="J1434" s="12" t="s">
        <v>5998</v>
      </c>
      <c r="K1434" s="12"/>
      <c r="L1434" s="11" t="s">
        <v>39</v>
      </c>
      <c r="M1434" s="15" t="s">
        <v>3629</v>
      </c>
      <c r="N1434" s="17">
        <v>3300</v>
      </c>
      <c r="O1434" s="17"/>
      <c r="P1434" s="17"/>
      <c r="Q1434" s="48"/>
      <c r="R1434" s="11"/>
      <c r="S1434" s="48"/>
      <c r="T1434" s="85" t="s">
        <v>8079</v>
      </c>
      <c r="U1434" s="92">
        <v>44986</v>
      </c>
      <c r="V1434" s="32"/>
      <c r="W1434" s="25" t="s">
        <v>48</v>
      </c>
      <c r="X1434" s="11"/>
      <c r="Y1434" s="50" t="s">
        <v>11</v>
      </c>
      <c r="Z1434" s="50"/>
      <c r="AA1434" s="50"/>
      <c r="AB1434" s="50"/>
      <c r="AC1434" s="50"/>
      <c r="AD1434" s="50"/>
      <c r="AE1434" s="50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65"/>
      <c r="AP1434" s="69"/>
      <c r="AQ1434" s="62"/>
      <c r="AR1434" s="62"/>
    </row>
    <row r="1435" spans="1:44" customFormat="1">
      <c r="A1435" s="39">
        <v>44983</v>
      </c>
      <c r="B1435" s="11" t="s">
        <v>2171</v>
      </c>
      <c r="C1435" s="16" t="s">
        <v>4971</v>
      </c>
      <c r="D1435" s="16" t="s">
        <v>6012</v>
      </c>
      <c r="E1435" s="39">
        <v>23353</v>
      </c>
      <c r="F1435" s="39"/>
      <c r="G1435" s="11" t="s">
        <v>44</v>
      </c>
      <c r="H1435" s="12" t="s">
        <v>6013</v>
      </c>
      <c r="I1435" s="13" t="s">
        <v>2805</v>
      </c>
      <c r="J1435" s="15" t="s">
        <v>4976</v>
      </c>
      <c r="K1435" s="31" t="s">
        <v>4974</v>
      </c>
      <c r="L1435" s="11"/>
      <c r="M1435" s="15"/>
      <c r="N1435" s="17">
        <v>3300</v>
      </c>
      <c r="O1435" s="17"/>
      <c r="P1435" s="17"/>
      <c r="Q1435" s="48"/>
      <c r="R1435" s="11"/>
      <c r="S1435" s="48"/>
      <c r="T1435" s="85"/>
      <c r="U1435" s="85"/>
      <c r="V1435" s="32"/>
      <c r="W1435" s="25"/>
      <c r="X1435" s="11"/>
      <c r="Y1435" s="50"/>
      <c r="Z1435" s="50"/>
      <c r="AA1435" s="50"/>
      <c r="AB1435" s="50"/>
      <c r="AC1435" s="50"/>
      <c r="AD1435" s="50"/>
      <c r="AE1435" s="50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65"/>
      <c r="AP1435" s="69"/>
      <c r="AQ1435" s="62"/>
      <c r="AR1435" s="34"/>
    </row>
    <row r="1436" spans="1:44" customFormat="1">
      <c r="A1436" s="39">
        <v>44983</v>
      </c>
      <c r="B1436" s="11"/>
      <c r="C1436" s="16" t="s">
        <v>5604</v>
      </c>
      <c r="D1436" s="16" t="s">
        <v>5993</v>
      </c>
      <c r="E1436" s="38">
        <v>37480</v>
      </c>
      <c r="F1436" s="38"/>
      <c r="G1436" s="10" t="s">
        <v>5623</v>
      </c>
      <c r="H1436" s="12" t="s">
        <v>5606</v>
      </c>
      <c r="I1436" s="13" t="s">
        <v>5624</v>
      </c>
      <c r="J1436" s="15" t="s">
        <v>5622</v>
      </c>
      <c r="K1436" s="14" t="s">
        <v>5607</v>
      </c>
      <c r="L1436" s="11" t="s">
        <v>38</v>
      </c>
      <c r="M1436" s="15" t="s">
        <v>3599</v>
      </c>
      <c r="N1436" s="17">
        <v>0</v>
      </c>
      <c r="O1436" s="17"/>
      <c r="P1436" s="17"/>
      <c r="Q1436" s="48"/>
      <c r="R1436" s="11"/>
      <c r="S1436" s="48"/>
      <c r="T1436" s="85"/>
      <c r="U1436" s="88"/>
      <c r="V1436" s="32" t="s">
        <v>5994</v>
      </c>
      <c r="W1436" s="25" t="s">
        <v>3847</v>
      </c>
      <c r="X1436" s="11"/>
      <c r="Y1436" s="50" t="s">
        <v>12</v>
      </c>
      <c r="Z1436" s="50"/>
      <c r="AA1436" s="50"/>
      <c r="AB1436" s="50"/>
      <c r="AC1436" s="50"/>
      <c r="AD1436" s="50"/>
      <c r="AE1436" s="50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65"/>
      <c r="AP1436" s="69"/>
      <c r="AQ1436" s="62" t="s">
        <v>8079</v>
      </c>
      <c r="AR1436" s="81">
        <v>44986</v>
      </c>
    </row>
    <row r="1437" spans="1:44" customFormat="1">
      <c r="A1437" s="39">
        <v>44986</v>
      </c>
      <c r="B1437" s="11" t="s">
        <v>49</v>
      </c>
      <c r="C1437" s="16" t="s">
        <v>4985</v>
      </c>
      <c r="D1437" s="16" t="s">
        <v>6020</v>
      </c>
      <c r="E1437" s="38">
        <v>22914</v>
      </c>
      <c r="F1437" s="38"/>
      <c r="G1437" s="10" t="s">
        <v>4986</v>
      </c>
      <c r="H1437" s="12" t="s">
        <v>4987</v>
      </c>
      <c r="I1437" s="13" t="s">
        <v>2836</v>
      </c>
      <c r="J1437" s="15" t="s">
        <v>4988</v>
      </c>
      <c r="K1437" s="12"/>
      <c r="L1437" s="11" t="s">
        <v>36</v>
      </c>
      <c r="M1437" s="15" t="s">
        <v>3599</v>
      </c>
      <c r="N1437" s="17">
        <v>22000</v>
      </c>
      <c r="O1437" s="17"/>
      <c r="P1437" s="17"/>
      <c r="Q1437" s="48"/>
      <c r="R1437" s="11"/>
      <c r="S1437" s="48"/>
      <c r="T1437" s="85" t="s">
        <v>8073</v>
      </c>
      <c r="U1437" s="88"/>
      <c r="V1437" s="32" t="s">
        <v>6021</v>
      </c>
      <c r="W1437" s="25" t="s">
        <v>8</v>
      </c>
      <c r="X1437" s="11"/>
      <c r="Y1437" s="50" t="s">
        <v>13</v>
      </c>
      <c r="Z1437" s="50"/>
      <c r="AA1437" s="50"/>
      <c r="AB1437" s="50"/>
      <c r="AC1437" s="50"/>
      <c r="AD1437" s="50"/>
      <c r="AE1437" s="50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65" t="s">
        <v>5822</v>
      </c>
      <c r="AP1437" s="69"/>
      <c r="AQ1437" s="62"/>
      <c r="AR1437" s="62"/>
    </row>
    <row r="1438" spans="1:44" customFormat="1">
      <c r="A1438" s="39">
        <v>44986</v>
      </c>
      <c r="B1438" s="11" t="s">
        <v>22</v>
      </c>
      <c r="C1438" s="16" t="s">
        <v>6014</v>
      </c>
      <c r="D1438" s="16" t="s">
        <v>6015</v>
      </c>
      <c r="E1438" s="39">
        <v>32460</v>
      </c>
      <c r="F1438" s="39"/>
      <c r="G1438" s="11" t="s">
        <v>6016</v>
      </c>
      <c r="H1438" s="12" t="s">
        <v>6017</v>
      </c>
      <c r="I1438" s="13" t="s">
        <v>6071</v>
      </c>
      <c r="J1438" s="12" t="s">
        <v>6019</v>
      </c>
      <c r="K1438" s="46" t="s">
        <v>6018</v>
      </c>
      <c r="L1438" s="11" t="s">
        <v>33</v>
      </c>
      <c r="M1438" s="15" t="s">
        <v>3584</v>
      </c>
      <c r="N1438" s="17">
        <v>3300</v>
      </c>
      <c r="O1438" s="17"/>
      <c r="P1438" s="17"/>
      <c r="Q1438" s="48"/>
      <c r="R1438" s="11"/>
      <c r="S1438" s="48"/>
      <c r="T1438" s="85"/>
      <c r="U1438" s="85"/>
      <c r="V1438" s="32"/>
      <c r="W1438" s="25" t="s">
        <v>8</v>
      </c>
      <c r="X1438" s="11"/>
      <c r="Y1438" s="50"/>
      <c r="Z1438" s="50"/>
      <c r="AA1438" s="50"/>
      <c r="AB1438" s="50"/>
      <c r="AC1438" s="50"/>
      <c r="AD1438" s="50"/>
      <c r="AE1438" s="50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65"/>
      <c r="AP1438" s="69"/>
      <c r="AQ1438" s="62"/>
      <c r="AR1438" s="34"/>
    </row>
    <row r="1439" spans="1:44" customFormat="1">
      <c r="A1439" s="39">
        <v>44987</v>
      </c>
      <c r="B1439" s="11" t="s">
        <v>49</v>
      </c>
      <c r="C1439" s="16" t="s">
        <v>6022</v>
      </c>
      <c r="D1439" s="16" t="s">
        <v>6023</v>
      </c>
      <c r="E1439" s="39">
        <v>35442</v>
      </c>
      <c r="F1439" s="39"/>
      <c r="G1439" s="11" t="s">
        <v>6024</v>
      </c>
      <c r="H1439" s="12" t="s">
        <v>6025</v>
      </c>
      <c r="I1439" s="13">
        <v>151</v>
      </c>
      <c r="J1439" s="12" t="s">
        <v>6027</v>
      </c>
      <c r="K1439" s="46" t="s">
        <v>6026</v>
      </c>
      <c r="L1439" s="11" t="s">
        <v>34</v>
      </c>
      <c r="M1439" s="15" t="s">
        <v>3599</v>
      </c>
      <c r="N1439" s="17">
        <v>16500</v>
      </c>
      <c r="O1439" s="17"/>
      <c r="P1439" s="17"/>
      <c r="Q1439" s="48"/>
      <c r="R1439" s="11"/>
      <c r="S1439" s="48"/>
      <c r="T1439" s="85" t="s">
        <v>8073</v>
      </c>
      <c r="U1439" s="85"/>
      <c r="V1439" s="32" t="s">
        <v>6035</v>
      </c>
      <c r="W1439" s="25" t="s">
        <v>6028</v>
      </c>
      <c r="X1439" s="11"/>
      <c r="Y1439" s="50" t="s">
        <v>12</v>
      </c>
      <c r="Z1439" s="50"/>
      <c r="AA1439" s="50"/>
      <c r="AB1439" s="50"/>
      <c r="AC1439" s="50"/>
      <c r="AD1439" s="50"/>
      <c r="AE1439" s="50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65"/>
      <c r="AP1439" s="69"/>
      <c r="AQ1439" s="62"/>
      <c r="AR1439" s="62"/>
    </row>
    <row r="1440" spans="1:44" customFormat="1">
      <c r="A1440" s="39">
        <v>44987</v>
      </c>
      <c r="B1440" s="11" t="s">
        <v>49</v>
      </c>
      <c r="C1440" s="16" t="s">
        <v>6029</v>
      </c>
      <c r="D1440" s="16" t="s">
        <v>6030</v>
      </c>
      <c r="E1440" s="39">
        <v>29312</v>
      </c>
      <c r="F1440" s="39"/>
      <c r="G1440" s="11" t="s">
        <v>6031</v>
      </c>
      <c r="H1440" s="12" t="s">
        <v>6032</v>
      </c>
      <c r="I1440" s="13">
        <v>169</v>
      </c>
      <c r="J1440" s="12" t="s">
        <v>6033</v>
      </c>
      <c r="K1440" s="12"/>
      <c r="L1440" s="11" t="s">
        <v>36</v>
      </c>
      <c r="M1440" s="15" t="s">
        <v>3629</v>
      </c>
      <c r="N1440" s="17">
        <v>16500</v>
      </c>
      <c r="O1440" s="17"/>
      <c r="P1440" s="17"/>
      <c r="Q1440" s="48"/>
      <c r="R1440" s="11"/>
      <c r="S1440" s="48"/>
      <c r="T1440" s="85" t="s">
        <v>8073</v>
      </c>
      <c r="U1440" s="85"/>
      <c r="V1440" s="32"/>
      <c r="W1440" s="25" t="s">
        <v>8</v>
      </c>
      <c r="X1440" s="11"/>
      <c r="Y1440" s="50" t="s">
        <v>12</v>
      </c>
      <c r="Z1440" s="50"/>
      <c r="AA1440" s="50"/>
      <c r="AB1440" s="50"/>
      <c r="AC1440" s="50"/>
      <c r="AD1440" s="50"/>
      <c r="AE1440" s="50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65"/>
      <c r="AP1440" s="69"/>
      <c r="AQ1440" s="62"/>
      <c r="AR1440" s="62"/>
    </row>
    <row r="1441" spans="1:44" customFormat="1">
      <c r="A1441" s="39">
        <v>44995</v>
      </c>
      <c r="B1441" s="11" t="s">
        <v>2171</v>
      </c>
      <c r="C1441" s="16" t="s">
        <v>6037</v>
      </c>
      <c r="D1441" s="16" t="s">
        <v>6038</v>
      </c>
      <c r="E1441" s="39">
        <v>36788</v>
      </c>
      <c r="F1441" s="39"/>
      <c r="G1441" s="10" t="s">
        <v>44</v>
      </c>
      <c r="H1441" s="12" t="s">
        <v>4973</v>
      </c>
      <c r="I1441" s="13" t="s">
        <v>2175</v>
      </c>
      <c r="J1441" s="12" t="s">
        <v>6039</v>
      </c>
      <c r="K1441" s="12"/>
      <c r="L1441" s="11" t="s">
        <v>38</v>
      </c>
      <c r="M1441" s="15" t="s">
        <v>3584</v>
      </c>
      <c r="N1441" s="17">
        <v>33000</v>
      </c>
      <c r="O1441" s="17"/>
      <c r="P1441" s="17"/>
      <c r="Q1441" s="48"/>
      <c r="R1441" s="48"/>
      <c r="S1441" s="48"/>
      <c r="T1441" s="85"/>
      <c r="U1441" s="85"/>
      <c r="V1441" s="99" t="s">
        <v>6040</v>
      </c>
      <c r="W1441" s="25" t="s">
        <v>8</v>
      </c>
      <c r="X1441" s="11"/>
      <c r="Y1441" s="50" t="s">
        <v>18</v>
      </c>
      <c r="Z1441" s="50"/>
      <c r="AA1441" s="50"/>
      <c r="AB1441" s="50"/>
      <c r="AC1441" s="50"/>
      <c r="AD1441" s="50"/>
      <c r="AE1441" s="50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65"/>
      <c r="AP1441" s="76"/>
      <c r="AQ1441" s="62"/>
      <c r="AR1441" s="62"/>
    </row>
    <row r="1442" spans="1:44" customFormat="1">
      <c r="A1442" s="39">
        <v>44996</v>
      </c>
      <c r="B1442" s="11" t="s">
        <v>22</v>
      </c>
      <c r="C1442" s="16" t="s">
        <v>6053</v>
      </c>
      <c r="D1442" s="16" t="s">
        <v>6054</v>
      </c>
      <c r="E1442" s="39">
        <v>28988</v>
      </c>
      <c r="F1442" s="39"/>
      <c r="G1442" s="11" t="s">
        <v>3014</v>
      </c>
      <c r="H1442" s="12" t="s">
        <v>6055</v>
      </c>
      <c r="I1442" s="13" t="s">
        <v>1697</v>
      </c>
      <c r="J1442" s="12" t="s">
        <v>6057</v>
      </c>
      <c r="K1442" s="46" t="s">
        <v>6056</v>
      </c>
      <c r="L1442" s="11" t="s">
        <v>36</v>
      </c>
      <c r="M1442" s="15" t="s">
        <v>3584</v>
      </c>
      <c r="N1442" s="17">
        <v>3300</v>
      </c>
      <c r="O1442" s="17"/>
      <c r="P1442" s="17"/>
      <c r="Q1442" s="48"/>
      <c r="R1442" s="11"/>
      <c r="S1442" s="48"/>
      <c r="T1442" s="85" t="s">
        <v>8079</v>
      </c>
      <c r="U1442" s="92">
        <v>45024</v>
      </c>
      <c r="V1442" s="32"/>
      <c r="W1442" s="25"/>
      <c r="X1442" s="11"/>
      <c r="Y1442" s="50" t="s">
        <v>15</v>
      </c>
      <c r="Z1442" s="50"/>
      <c r="AA1442" s="50"/>
      <c r="AB1442" s="50"/>
      <c r="AC1442" s="50"/>
      <c r="AD1442" s="50"/>
      <c r="AE1442" s="50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65"/>
      <c r="AP1442" s="69"/>
      <c r="AQ1442" s="62"/>
      <c r="AR1442" s="62"/>
    </row>
    <row r="1443" spans="1:44" customFormat="1">
      <c r="A1443" s="39">
        <v>44996</v>
      </c>
      <c r="B1443" s="11" t="s">
        <v>49</v>
      </c>
      <c r="C1443" s="16" t="s">
        <v>6041</v>
      </c>
      <c r="D1443" s="16" t="s">
        <v>6042</v>
      </c>
      <c r="E1443" s="39">
        <v>30029</v>
      </c>
      <c r="F1443" s="39"/>
      <c r="G1443" s="11" t="s">
        <v>6048</v>
      </c>
      <c r="H1443" s="12" t="s">
        <v>6043</v>
      </c>
      <c r="I1443" s="13" t="s">
        <v>3700</v>
      </c>
      <c r="J1443" s="12" t="s">
        <v>6044</v>
      </c>
      <c r="K1443" s="12"/>
      <c r="L1443" s="11" t="s">
        <v>33</v>
      </c>
      <c r="M1443" s="15" t="s">
        <v>3599</v>
      </c>
      <c r="N1443" s="17">
        <v>16500</v>
      </c>
      <c r="O1443" s="17"/>
      <c r="P1443" s="17"/>
      <c r="Q1443" s="48"/>
      <c r="R1443" s="11"/>
      <c r="S1443" s="48"/>
      <c r="T1443" s="85"/>
      <c r="U1443" s="85"/>
      <c r="V1443" s="32"/>
      <c r="W1443" s="25" t="s">
        <v>48</v>
      </c>
      <c r="X1443" s="11"/>
      <c r="Y1443" s="50" t="s">
        <v>11</v>
      </c>
      <c r="Z1443" s="50"/>
      <c r="AA1443" s="50"/>
      <c r="AB1443" s="50"/>
      <c r="AC1443" s="50"/>
      <c r="AD1443" s="50"/>
      <c r="AE1443" s="50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65"/>
      <c r="AP1443" s="69"/>
      <c r="AQ1443" s="62"/>
      <c r="AR1443" s="62"/>
    </row>
    <row r="1444" spans="1:44" customFormat="1">
      <c r="A1444" s="39">
        <v>44996</v>
      </c>
      <c r="B1444" s="11" t="s">
        <v>49</v>
      </c>
      <c r="C1444" s="16" t="s">
        <v>6045</v>
      </c>
      <c r="D1444" s="16" t="s">
        <v>6046</v>
      </c>
      <c r="E1444" s="39">
        <v>29832</v>
      </c>
      <c r="F1444" s="39"/>
      <c r="G1444" s="11" t="s">
        <v>6047</v>
      </c>
      <c r="H1444" s="12" t="s">
        <v>6049</v>
      </c>
      <c r="I1444" s="13" t="s">
        <v>6050</v>
      </c>
      <c r="J1444" s="12" t="s">
        <v>6052</v>
      </c>
      <c r="K1444" s="46" t="s">
        <v>6051</v>
      </c>
      <c r="L1444" s="11" t="s">
        <v>36</v>
      </c>
      <c r="M1444" s="15" t="s">
        <v>3584</v>
      </c>
      <c r="N1444" s="17">
        <v>16500</v>
      </c>
      <c r="O1444" s="17"/>
      <c r="P1444" s="17"/>
      <c r="Q1444" s="48"/>
      <c r="R1444" s="11"/>
      <c r="S1444" s="48"/>
      <c r="T1444" s="85"/>
      <c r="U1444" s="85"/>
      <c r="V1444" s="32"/>
      <c r="W1444" s="25" t="s">
        <v>48</v>
      </c>
      <c r="X1444" s="11"/>
      <c r="Y1444" s="50" t="s">
        <v>15</v>
      </c>
      <c r="Z1444" s="50"/>
      <c r="AA1444" s="50"/>
      <c r="AB1444" s="50"/>
      <c r="AC1444" s="50"/>
      <c r="AD1444" s="50"/>
      <c r="AE1444" s="50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65" t="s">
        <v>5822</v>
      </c>
      <c r="AP1444" s="69"/>
      <c r="AQ1444" s="62" t="s">
        <v>8079</v>
      </c>
      <c r="AR1444" s="81">
        <v>45024</v>
      </c>
    </row>
    <row r="1445" spans="1:44" customFormat="1">
      <c r="A1445" s="39">
        <v>44997</v>
      </c>
      <c r="B1445" s="11" t="s">
        <v>49</v>
      </c>
      <c r="C1445" s="16" t="s">
        <v>6058</v>
      </c>
      <c r="D1445" s="16" t="s">
        <v>6059</v>
      </c>
      <c r="E1445" s="39">
        <v>33124</v>
      </c>
      <c r="F1445" s="39"/>
      <c r="G1445" s="11" t="s">
        <v>6060</v>
      </c>
      <c r="H1445" s="12" t="s">
        <v>6061</v>
      </c>
      <c r="I1445" s="13" t="s">
        <v>6068</v>
      </c>
      <c r="J1445" s="12" t="s">
        <v>6062</v>
      </c>
      <c r="K1445" s="12"/>
      <c r="L1445" s="11" t="s">
        <v>36</v>
      </c>
      <c r="M1445" s="15" t="s">
        <v>3599</v>
      </c>
      <c r="N1445" s="17">
        <v>16500</v>
      </c>
      <c r="O1445" s="17"/>
      <c r="P1445" s="17"/>
      <c r="Q1445" s="48"/>
      <c r="R1445" s="11"/>
      <c r="S1445" s="48"/>
      <c r="T1445" s="85"/>
      <c r="U1445" s="85"/>
      <c r="V1445" s="32"/>
      <c r="W1445" s="25" t="s">
        <v>48</v>
      </c>
      <c r="X1445" s="11"/>
      <c r="Y1445" s="50" t="s">
        <v>13</v>
      </c>
      <c r="Z1445" s="50"/>
      <c r="AA1445" s="50"/>
      <c r="AB1445" s="50"/>
      <c r="AC1445" s="50"/>
      <c r="AD1445" s="50"/>
      <c r="AE1445" s="50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65"/>
      <c r="AP1445" s="69"/>
      <c r="AQ1445" s="62"/>
      <c r="AR1445" s="62"/>
    </row>
    <row r="1446" spans="1:44" customFormat="1">
      <c r="A1446" s="39">
        <v>44997</v>
      </c>
      <c r="B1446" s="11" t="s">
        <v>49</v>
      </c>
      <c r="C1446" s="16" t="s">
        <v>6064</v>
      </c>
      <c r="D1446" s="16" t="s">
        <v>6063</v>
      </c>
      <c r="E1446" s="39">
        <v>34276</v>
      </c>
      <c r="F1446" s="39"/>
      <c r="G1446" s="11" t="s">
        <v>5311</v>
      </c>
      <c r="H1446" s="12" t="s">
        <v>6070</v>
      </c>
      <c r="I1446" s="13" t="s">
        <v>6069</v>
      </c>
      <c r="J1446" s="12" t="s">
        <v>6066</v>
      </c>
      <c r="K1446" s="46" t="s">
        <v>6065</v>
      </c>
      <c r="L1446" s="11"/>
      <c r="M1446" s="15" t="s">
        <v>3584</v>
      </c>
      <c r="N1446" s="17">
        <v>11000</v>
      </c>
      <c r="O1446" s="17"/>
      <c r="P1446" s="17"/>
      <c r="Q1446" s="48"/>
      <c r="R1446" s="11"/>
      <c r="S1446" s="48"/>
      <c r="T1446" s="85" t="s">
        <v>8073</v>
      </c>
      <c r="U1446" s="85"/>
      <c r="V1446" s="32" t="s">
        <v>6067</v>
      </c>
      <c r="W1446" s="25" t="s">
        <v>48</v>
      </c>
      <c r="X1446" s="11"/>
      <c r="Y1446" s="50" t="s">
        <v>13</v>
      </c>
      <c r="Z1446" s="50"/>
      <c r="AA1446" s="50"/>
      <c r="AB1446" s="50"/>
      <c r="AC1446" s="50"/>
      <c r="AD1446" s="50"/>
      <c r="AE1446" s="50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65"/>
      <c r="AP1446" s="69"/>
      <c r="AQ1446" s="62"/>
      <c r="AR1446" s="62"/>
    </row>
    <row r="1447" spans="1:44" customFormat="1">
      <c r="A1447" s="39">
        <v>45000</v>
      </c>
      <c r="B1447" s="11" t="s">
        <v>49</v>
      </c>
      <c r="C1447" s="16" t="s">
        <v>4882</v>
      </c>
      <c r="D1447" s="16" t="s">
        <v>6078</v>
      </c>
      <c r="E1447" s="38">
        <v>34427</v>
      </c>
      <c r="F1447" s="38"/>
      <c r="G1447" s="10" t="s">
        <v>4883</v>
      </c>
      <c r="H1447" s="12" t="s">
        <v>4884</v>
      </c>
      <c r="I1447" s="13">
        <v>41.7</v>
      </c>
      <c r="J1447" s="15" t="s">
        <v>4886</v>
      </c>
      <c r="K1447" s="14" t="s">
        <v>4885</v>
      </c>
      <c r="L1447" s="11" t="s">
        <v>34</v>
      </c>
      <c r="M1447" s="15" t="s">
        <v>3584</v>
      </c>
      <c r="N1447" s="17">
        <v>16500</v>
      </c>
      <c r="O1447" s="17"/>
      <c r="P1447" s="17"/>
      <c r="Q1447" s="48"/>
      <c r="R1447" s="11"/>
      <c r="S1447" s="48"/>
      <c r="T1447" s="85" t="s">
        <v>8073</v>
      </c>
      <c r="U1447" s="85"/>
      <c r="V1447" s="32"/>
      <c r="W1447" s="25" t="s">
        <v>3847</v>
      </c>
      <c r="X1447" s="11"/>
      <c r="Y1447" s="50" t="s">
        <v>13</v>
      </c>
      <c r="Z1447" s="50"/>
      <c r="AA1447" s="50"/>
      <c r="AB1447" s="50"/>
      <c r="AC1447" s="50"/>
      <c r="AD1447" s="50"/>
      <c r="AE1447" s="50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65"/>
      <c r="AP1447" s="69"/>
      <c r="AQ1447" s="62" t="s">
        <v>8079</v>
      </c>
      <c r="AR1447" s="81">
        <v>45003</v>
      </c>
    </row>
    <row r="1448" spans="1:44" customFormat="1">
      <c r="A1448" s="39">
        <v>45000</v>
      </c>
      <c r="B1448" s="11" t="s">
        <v>22</v>
      </c>
      <c r="C1448" s="16" t="s">
        <v>6072</v>
      </c>
      <c r="D1448" s="16" t="s">
        <v>6073</v>
      </c>
      <c r="E1448" s="39">
        <v>23758</v>
      </c>
      <c r="F1448" s="39"/>
      <c r="G1448" s="11" t="s">
        <v>6074</v>
      </c>
      <c r="H1448" s="12" t="s">
        <v>6075</v>
      </c>
      <c r="I1448" s="13" t="s">
        <v>1819</v>
      </c>
      <c r="J1448" s="12" t="s">
        <v>6077</v>
      </c>
      <c r="K1448" s="46" t="s">
        <v>6076</v>
      </c>
      <c r="L1448" s="11" t="s">
        <v>33</v>
      </c>
      <c r="M1448" s="15" t="s">
        <v>3599</v>
      </c>
      <c r="N1448" s="17">
        <v>3300</v>
      </c>
      <c r="O1448" s="17"/>
      <c r="P1448" s="17"/>
      <c r="Q1448" s="48"/>
      <c r="R1448" s="11"/>
      <c r="S1448" s="48"/>
      <c r="T1448" s="85" t="s">
        <v>8079</v>
      </c>
      <c r="U1448" s="92">
        <v>45003</v>
      </c>
      <c r="V1448" s="32"/>
      <c r="W1448" s="25"/>
      <c r="X1448" s="11"/>
      <c r="Y1448" s="50"/>
      <c r="Z1448" s="50"/>
      <c r="AA1448" s="50"/>
      <c r="AB1448" s="50"/>
      <c r="AC1448" s="50"/>
      <c r="AD1448" s="50"/>
      <c r="AE1448" s="50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65" t="s">
        <v>5804</v>
      </c>
      <c r="AP1448" s="69"/>
      <c r="AQ1448" s="62"/>
      <c r="AR1448" s="62"/>
    </row>
    <row r="1449" spans="1:44" customFormat="1">
      <c r="A1449" s="39">
        <v>45002</v>
      </c>
      <c r="B1449" s="11" t="s">
        <v>49</v>
      </c>
      <c r="C1449" s="16" t="s">
        <v>6079</v>
      </c>
      <c r="D1449" s="16" t="s">
        <v>6080</v>
      </c>
      <c r="E1449" s="39">
        <v>22720</v>
      </c>
      <c r="F1449" s="39"/>
      <c r="G1449" s="11" t="s">
        <v>6081</v>
      </c>
      <c r="H1449" s="12" t="s">
        <v>6082</v>
      </c>
      <c r="I1449" s="13">
        <v>60.4</v>
      </c>
      <c r="J1449" s="12" t="s">
        <v>6084</v>
      </c>
      <c r="K1449" s="46" t="s">
        <v>6083</v>
      </c>
      <c r="L1449" s="11" t="s">
        <v>33</v>
      </c>
      <c r="M1449" s="15" t="s">
        <v>3584</v>
      </c>
      <c r="N1449" s="17">
        <v>11000</v>
      </c>
      <c r="O1449" s="17"/>
      <c r="P1449" s="17"/>
      <c r="Q1449" s="48"/>
      <c r="R1449" s="11"/>
      <c r="S1449" s="48"/>
      <c r="T1449" s="85" t="s">
        <v>8073</v>
      </c>
      <c r="U1449" s="85"/>
      <c r="V1449" s="32" t="s">
        <v>6085</v>
      </c>
      <c r="W1449" s="25" t="s">
        <v>8</v>
      </c>
      <c r="X1449" s="11"/>
      <c r="Y1449" s="50" t="s">
        <v>12</v>
      </c>
      <c r="Z1449" s="50"/>
      <c r="AA1449" s="50"/>
      <c r="AB1449" s="50"/>
      <c r="AC1449" s="50"/>
      <c r="AD1449" s="50"/>
      <c r="AE1449" s="50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65"/>
      <c r="AP1449" s="69"/>
      <c r="AQ1449" s="62"/>
      <c r="AR1449" s="62"/>
    </row>
    <row r="1450" spans="1:44" customFormat="1">
      <c r="A1450" s="39">
        <v>45003</v>
      </c>
      <c r="B1450" s="11" t="s">
        <v>49</v>
      </c>
      <c r="C1450" s="16" t="s">
        <v>6086</v>
      </c>
      <c r="D1450" s="16" t="s">
        <v>6087</v>
      </c>
      <c r="E1450" s="39">
        <v>22812</v>
      </c>
      <c r="F1450" s="39"/>
      <c r="G1450" s="11" t="s">
        <v>5094</v>
      </c>
      <c r="H1450" s="12" t="s">
        <v>6088</v>
      </c>
      <c r="I1450" s="13" t="s">
        <v>3342</v>
      </c>
      <c r="J1450" s="12" t="s">
        <v>6089</v>
      </c>
      <c r="K1450" s="46" t="s">
        <v>6090</v>
      </c>
      <c r="L1450" s="11" t="s">
        <v>33</v>
      </c>
      <c r="M1450" s="15" t="s">
        <v>3584</v>
      </c>
      <c r="N1450" s="17">
        <v>16500</v>
      </c>
      <c r="O1450" s="17"/>
      <c r="P1450" s="17"/>
      <c r="Q1450" s="48"/>
      <c r="R1450" s="11"/>
      <c r="S1450" s="48"/>
      <c r="T1450" s="85" t="s">
        <v>8073</v>
      </c>
      <c r="U1450" s="85"/>
      <c r="V1450" s="32"/>
      <c r="W1450" s="25" t="s">
        <v>8</v>
      </c>
      <c r="X1450" s="11"/>
      <c r="Y1450" s="50" t="s">
        <v>14</v>
      </c>
      <c r="Z1450" s="50"/>
      <c r="AA1450" s="50"/>
      <c r="AB1450" s="50"/>
      <c r="AC1450" s="50"/>
      <c r="AD1450" s="50"/>
      <c r="AE1450" s="50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65"/>
      <c r="AP1450" s="69"/>
      <c r="AQ1450" s="62"/>
      <c r="AR1450" s="62"/>
    </row>
    <row r="1451" spans="1:44" customFormat="1">
      <c r="A1451" s="39">
        <v>45003</v>
      </c>
      <c r="B1451" s="11" t="s">
        <v>49</v>
      </c>
      <c r="C1451" s="16" t="s">
        <v>6091</v>
      </c>
      <c r="D1451" s="16" t="s">
        <v>6092</v>
      </c>
      <c r="E1451" s="39">
        <v>22310</v>
      </c>
      <c r="F1451" s="39"/>
      <c r="G1451" s="11" t="s">
        <v>6095</v>
      </c>
      <c r="H1451" s="12" t="s">
        <v>6096</v>
      </c>
      <c r="I1451" s="13" t="s">
        <v>2069</v>
      </c>
      <c r="J1451" s="12" t="s">
        <v>6100</v>
      </c>
      <c r="K1451" s="12"/>
      <c r="L1451" s="11" t="s">
        <v>33</v>
      </c>
      <c r="M1451" s="15" t="s">
        <v>3599</v>
      </c>
      <c r="N1451" s="17">
        <v>16500</v>
      </c>
      <c r="O1451" s="17"/>
      <c r="P1451" s="17"/>
      <c r="Q1451" s="48"/>
      <c r="R1451" s="11"/>
      <c r="S1451" s="48"/>
      <c r="T1451" s="85" t="s">
        <v>8073</v>
      </c>
      <c r="U1451" s="85"/>
      <c r="V1451" s="32"/>
      <c r="W1451" s="25" t="s">
        <v>48</v>
      </c>
      <c r="X1451" s="11"/>
      <c r="Y1451" s="50" t="s">
        <v>12</v>
      </c>
      <c r="Z1451" s="50"/>
      <c r="AA1451" s="50"/>
      <c r="AB1451" s="50"/>
      <c r="AC1451" s="50"/>
      <c r="AD1451" s="50"/>
      <c r="AE1451" s="50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65"/>
      <c r="AP1451" s="69"/>
      <c r="AQ1451" s="62"/>
      <c r="AR1451" s="62"/>
    </row>
    <row r="1452" spans="1:44" customFormat="1">
      <c r="A1452" s="39">
        <v>45003</v>
      </c>
      <c r="B1452" s="11" t="s">
        <v>49</v>
      </c>
      <c r="C1452" s="16" t="s">
        <v>6093</v>
      </c>
      <c r="D1452" s="16" t="s">
        <v>6094</v>
      </c>
      <c r="E1452" s="39">
        <v>22291</v>
      </c>
      <c r="F1452" s="39"/>
      <c r="G1452" s="11" t="s">
        <v>6097</v>
      </c>
      <c r="H1452" s="12" t="s">
        <v>6098</v>
      </c>
      <c r="I1452" s="13" t="s">
        <v>6099</v>
      </c>
      <c r="J1452" s="12" t="s">
        <v>6101</v>
      </c>
      <c r="K1452" s="12"/>
      <c r="L1452" s="11" t="s">
        <v>33</v>
      </c>
      <c r="M1452" s="15" t="s">
        <v>3629</v>
      </c>
      <c r="N1452" s="17">
        <v>11000</v>
      </c>
      <c r="O1452" s="17"/>
      <c r="P1452" s="17"/>
      <c r="Q1452" s="48"/>
      <c r="R1452" s="48"/>
      <c r="S1452" s="48"/>
      <c r="T1452" s="85" t="s">
        <v>8073</v>
      </c>
      <c r="U1452" s="85"/>
      <c r="V1452" s="99" t="s">
        <v>6102</v>
      </c>
      <c r="W1452" s="25" t="s">
        <v>8</v>
      </c>
      <c r="X1452" s="11"/>
      <c r="Y1452" s="50" t="s">
        <v>13</v>
      </c>
      <c r="Z1452" s="50"/>
      <c r="AA1452" s="50"/>
      <c r="AB1452" s="50"/>
      <c r="AC1452" s="50"/>
      <c r="AD1452" s="50"/>
      <c r="AE1452" s="50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65"/>
      <c r="AP1452" s="76"/>
      <c r="AQ1452" s="62"/>
      <c r="AR1452" s="62"/>
    </row>
    <row r="1453" spans="1:44" customFormat="1">
      <c r="A1453" s="39">
        <v>45005</v>
      </c>
      <c r="B1453" s="11" t="s">
        <v>22</v>
      </c>
      <c r="C1453" s="16" t="s">
        <v>6103</v>
      </c>
      <c r="D1453" s="16" t="s">
        <v>6104</v>
      </c>
      <c r="E1453" s="39">
        <v>26638</v>
      </c>
      <c r="F1453" s="39"/>
      <c r="G1453" s="11" t="s">
        <v>1166</v>
      </c>
      <c r="H1453" s="12" t="s">
        <v>6105</v>
      </c>
      <c r="I1453" s="13" t="s">
        <v>3463</v>
      </c>
      <c r="J1453" s="12" t="s">
        <v>6107</v>
      </c>
      <c r="K1453" s="46" t="s">
        <v>6106</v>
      </c>
      <c r="L1453" s="11" t="s">
        <v>33</v>
      </c>
      <c r="M1453" s="15" t="s">
        <v>3584</v>
      </c>
      <c r="N1453" s="17">
        <v>3300</v>
      </c>
      <c r="O1453" s="17"/>
      <c r="P1453" s="17"/>
      <c r="Q1453" s="48"/>
      <c r="R1453" s="11"/>
      <c r="S1453" s="48"/>
      <c r="T1453" s="85"/>
      <c r="U1453" s="92"/>
      <c r="V1453" s="32"/>
      <c r="W1453" s="25"/>
      <c r="X1453" s="11"/>
      <c r="Y1453" s="50"/>
      <c r="Z1453" s="50"/>
      <c r="AA1453" s="50"/>
      <c r="AB1453" s="50"/>
      <c r="AC1453" s="50"/>
      <c r="AD1453" s="50"/>
      <c r="AE1453" s="50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65" t="s">
        <v>5804</v>
      </c>
      <c r="AP1453" s="69"/>
      <c r="AQ1453" s="62"/>
      <c r="AR1453" s="81"/>
    </row>
    <row r="1454" spans="1:44" customFormat="1">
      <c r="A1454" s="39">
        <v>45006</v>
      </c>
      <c r="B1454" s="11" t="s">
        <v>22</v>
      </c>
      <c r="C1454" s="16" t="s">
        <v>6108</v>
      </c>
      <c r="D1454" s="16" t="s">
        <v>6109</v>
      </c>
      <c r="E1454" s="39">
        <v>41129</v>
      </c>
      <c r="F1454" s="39"/>
      <c r="G1454" s="11" t="s">
        <v>3447</v>
      </c>
      <c r="H1454" s="12" t="s">
        <v>6110</v>
      </c>
      <c r="I1454" s="13">
        <v>5.7</v>
      </c>
      <c r="J1454" s="12" t="s">
        <v>6111</v>
      </c>
      <c r="K1454" s="12"/>
      <c r="L1454" s="11" t="s">
        <v>38</v>
      </c>
      <c r="M1454" s="15" t="s">
        <v>3584</v>
      </c>
      <c r="N1454" s="17">
        <v>3300</v>
      </c>
      <c r="O1454" s="17"/>
      <c r="P1454" s="17"/>
      <c r="Q1454" s="48"/>
      <c r="R1454" s="11"/>
      <c r="S1454" s="48"/>
      <c r="T1454" s="85"/>
      <c r="U1454" s="92"/>
      <c r="V1454" s="32" t="s">
        <v>6112</v>
      </c>
      <c r="W1454" s="25" t="s">
        <v>8</v>
      </c>
      <c r="X1454" s="11"/>
      <c r="Y1454" s="50"/>
      <c r="Z1454" s="50"/>
      <c r="AA1454" s="50"/>
      <c r="AB1454" s="50"/>
      <c r="AC1454" s="50"/>
      <c r="AD1454" s="50"/>
      <c r="AE1454" s="50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65" t="s">
        <v>5804</v>
      </c>
      <c r="AP1454" s="69"/>
      <c r="AQ1454" s="62"/>
      <c r="AR1454" s="81"/>
    </row>
    <row r="1455" spans="1:44" customFormat="1">
      <c r="A1455" s="39">
        <v>45007</v>
      </c>
      <c r="B1455" s="11" t="s">
        <v>22</v>
      </c>
      <c r="C1455" s="16" t="s">
        <v>6113</v>
      </c>
      <c r="D1455" s="16" t="s">
        <v>6114</v>
      </c>
      <c r="E1455" s="39">
        <v>25887</v>
      </c>
      <c r="F1455" s="39"/>
      <c r="G1455" s="11" t="s">
        <v>6115</v>
      </c>
      <c r="H1455" s="12" t="s">
        <v>6116</v>
      </c>
      <c r="I1455" s="13" t="s">
        <v>1639</v>
      </c>
      <c r="J1455" s="12" t="s">
        <v>6117</v>
      </c>
      <c r="K1455" s="12"/>
      <c r="L1455" s="11" t="s">
        <v>34</v>
      </c>
      <c r="M1455" s="15"/>
      <c r="N1455" s="17">
        <v>3300</v>
      </c>
      <c r="O1455" s="17"/>
      <c r="P1455" s="17"/>
      <c r="Q1455" s="48"/>
      <c r="R1455" s="11"/>
      <c r="S1455" s="48"/>
      <c r="T1455" s="85" t="s">
        <v>8079</v>
      </c>
      <c r="U1455" s="92">
        <v>45047</v>
      </c>
      <c r="V1455" s="32" t="s">
        <v>6118</v>
      </c>
      <c r="W1455" s="25"/>
      <c r="X1455" s="11"/>
      <c r="Y1455" s="50"/>
      <c r="Z1455" s="50"/>
      <c r="AA1455" s="50"/>
      <c r="AB1455" s="50"/>
      <c r="AC1455" s="50"/>
      <c r="AD1455" s="50"/>
      <c r="AE1455" s="50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65" t="s">
        <v>5804</v>
      </c>
      <c r="AP1455" s="69"/>
      <c r="AQ1455" s="62" t="s">
        <v>8079</v>
      </c>
      <c r="AR1455" s="81">
        <v>45047</v>
      </c>
    </row>
    <row r="1456" spans="1:44" customFormat="1">
      <c r="A1456" s="39">
        <v>45010</v>
      </c>
      <c r="B1456" s="11" t="s">
        <v>22</v>
      </c>
      <c r="C1456" s="16" t="s">
        <v>6123</v>
      </c>
      <c r="D1456" s="16" t="s">
        <v>6124</v>
      </c>
      <c r="E1456" s="39">
        <v>29264</v>
      </c>
      <c r="F1456" s="39"/>
      <c r="G1456" s="11" t="s">
        <v>339</v>
      </c>
      <c r="H1456" s="12" t="s">
        <v>6125</v>
      </c>
      <c r="I1456" s="13">
        <v>5.3</v>
      </c>
      <c r="J1456" s="12" t="s">
        <v>6126</v>
      </c>
      <c r="K1456" s="12"/>
      <c r="L1456" s="11" t="s">
        <v>36</v>
      </c>
      <c r="M1456" s="15"/>
      <c r="N1456" s="17">
        <v>3300</v>
      </c>
      <c r="O1456" s="17"/>
      <c r="P1456" s="17"/>
      <c r="Q1456" s="48"/>
      <c r="R1456" s="11"/>
      <c r="S1456" s="48"/>
      <c r="T1456" s="85"/>
      <c r="U1456" s="92"/>
      <c r="V1456" s="32" t="s">
        <v>6127</v>
      </c>
      <c r="W1456" s="25"/>
      <c r="X1456" s="11"/>
      <c r="Y1456" s="50"/>
      <c r="Z1456" s="50"/>
      <c r="AA1456" s="50"/>
      <c r="AB1456" s="50"/>
      <c r="AC1456" s="50"/>
      <c r="AD1456" s="50"/>
      <c r="AE1456" s="50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65" t="s">
        <v>5804</v>
      </c>
      <c r="AP1456" s="76"/>
      <c r="AQ1456" s="62" t="s">
        <v>8079</v>
      </c>
      <c r="AR1456" s="81">
        <v>45017</v>
      </c>
    </row>
    <row r="1457" spans="1:44" customFormat="1">
      <c r="A1457" s="39">
        <v>45010</v>
      </c>
      <c r="B1457" s="11" t="s">
        <v>22</v>
      </c>
      <c r="C1457" s="16" t="s">
        <v>6119</v>
      </c>
      <c r="D1457" s="16" t="s">
        <v>6120</v>
      </c>
      <c r="E1457" s="39">
        <v>24598</v>
      </c>
      <c r="F1457" s="39"/>
      <c r="G1457" s="11" t="s">
        <v>2740</v>
      </c>
      <c r="H1457" s="12" t="s">
        <v>6121</v>
      </c>
      <c r="I1457" s="13" t="s">
        <v>1819</v>
      </c>
      <c r="J1457" s="12" t="s">
        <v>6077</v>
      </c>
      <c r="K1457" s="12"/>
      <c r="L1457" s="11"/>
      <c r="M1457" s="15"/>
      <c r="N1457" s="17">
        <v>3300</v>
      </c>
      <c r="O1457" s="17"/>
      <c r="P1457" s="17"/>
      <c r="Q1457" s="48"/>
      <c r="R1457" s="48"/>
      <c r="S1457" s="48"/>
      <c r="T1457" s="85" t="s">
        <v>8079</v>
      </c>
      <c r="U1457" s="92">
        <v>45017</v>
      </c>
      <c r="V1457" s="99" t="s">
        <v>6122</v>
      </c>
      <c r="W1457" s="25"/>
      <c r="X1457" s="11"/>
      <c r="Y1457" s="50"/>
      <c r="Z1457" s="50"/>
      <c r="AA1457" s="50"/>
      <c r="AB1457" s="50"/>
      <c r="AC1457" s="50"/>
      <c r="AD1457" s="50"/>
      <c r="AE1457" s="50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65" t="s">
        <v>5822</v>
      </c>
      <c r="AP1457" s="69"/>
      <c r="AQ1457" s="62"/>
      <c r="AR1457" s="81"/>
    </row>
    <row r="1458" spans="1:44" customFormat="1">
      <c r="A1458" s="39">
        <v>45015</v>
      </c>
      <c r="B1458" s="11" t="s">
        <v>22</v>
      </c>
      <c r="C1458" s="16" t="s">
        <v>6128</v>
      </c>
      <c r="D1458" s="16" t="s">
        <v>6129</v>
      </c>
      <c r="E1458" s="39">
        <v>20228</v>
      </c>
      <c r="F1458" s="39"/>
      <c r="G1458" s="11" t="s">
        <v>6131</v>
      </c>
      <c r="H1458" s="12" t="s">
        <v>6132</v>
      </c>
      <c r="I1458" s="13">
        <v>30.3</v>
      </c>
      <c r="J1458" s="12" t="s">
        <v>6130</v>
      </c>
      <c r="K1458" s="12"/>
      <c r="L1458" s="11" t="s">
        <v>39</v>
      </c>
      <c r="M1458" s="15"/>
      <c r="N1458" s="17">
        <v>3300</v>
      </c>
      <c r="O1458" s="17"/>
      <c r="P1458" s="17"/>
      <c r="Q1458" s="48"/>
      <c r="R1458" s="11"/>
      <c r="S1458" s="48"/>
      <c r="T1458" s="85"/>
      <c r="U1458" s="92"/>
      <c r="V1458" s="32" t="s">
        <v>6133</v>
      </c>
      <c r="W1458" s="25" t="s">
        <v>8</v>
      </c>
      <c r="X1458" s="11"/>
      <c r="Y1458" s="50"/>
      <c r="Z1458" s="50"/>
      <c r="AA1458" s="50"/>
      <c r="AB1458" s="50"/>
      <c r="AC1458" s="50"/>
      <c r="AD1458" s="50"/>
      <c r="AE1458" s="50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65" t="s">
        <v>5822</v>
      </c>
      <c r="AP1458" s="69"/>
      <c r="AQ1458" s="62"/>
      <c r="AR1458" s="81"/>
    </row>
    <row r="1459" spans="1:44" customFormat="1">
      <c r="A1459" s="39">
        <v>45016</v>
      </c>
      <c r="B1459" s="11" t="s">
        <v>22</v>
      </c>
      <c r="C1459" s="16" t="s">
        <v>6134</v>
      </c>
      <c r="D1459" s="16" t="s">
        <v>6135</v>
      </c>
      <c r="E1459" s="39">
        <v>24488</v>
      </c>
      <c r="F1459" s="39"/>
      <c r="G1459" s="11" t="s">
        <v>4477</v>
      </c>
      <c r="H1459" s="12" t="s">
        <v>6136</v>
      </c>
      <c r="I1459" s="13">
        <v>6.3</v>
      </c>
      <c r="J1459" s="12" t="s">
        <v>6137</v>
      </c>
      <c r="K1459" s="12"/>
      <c r="L1459" s="11" t="s">
        <v>36</v>
      </c>
      <c r="M1459" s="15" t="s">
        <v>3599</v>
      </c>
      <c r="N1459" s="17">
        <v>3300</v>
      </c>
      <c r="O1459" s="17"/>
      <c r="P1459" s="17"/>
      <c r="Q1459" s="48"/>
      <c r="R1459" s="11"/>
      <c r="S1459" s="48"/>
      <c r="T1459" s="85"/>
      <c r="U1459" s="92"/>
      <c r="V1459" s="32"/>
      <c r="W1459" s="25"/>
      <c r="X1459" s="11"/>
      <c r="Y1459" s="50"/>
      <c r="Z1459" s="50"/>
      <c r="AA1459" s="50"/>
      <c r="AB1459" s="50"/>
      <c r="AC1459" s="50"/>
      <c r="AD1459" s="50"/>
      <c r="AE1459" s="50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65" t="s">
        <v>5822</v>
      </c>
      <c r="AP1459" s="69"/>
      <c r="AQ1459" s="62"/>
      <c r="AR1459" s="81"/>
    </row>
    <row r="1460" spans="1:44" customFormat="1">
      <c r="A1460" s="39">
        <v>45016</v>
      </c>
      <c r="B1460" s="11" t="s">
        <v>49</v>
      </c>
      <c r="C1460" s="16" t="s">
        <v>6138</v>
      </c>
      <c r="D1460" s="16" t="s">
        <v>6139</v>
      </c>
      <c r="E1460" s="39">
        <v>18902</v>
      </c>
      <c r="F1460" s="39"/>
      <c r="G1460" s="11" t="s">
        <v>2079</v>
      </c>
      <c r="H1460" s="12" t="s">
        <v>6140</v>
      </c>
      <c r="I1460" s="13">
        <v>9.6</v>
      </c>
      <c r="J1460" s="12" t="s">
        <v>6141</v>
      </c>
      <c r="K1460" s="12"/>
      <c r="L1460" s="11" t="s">
        <v>39</v>
      </c>
      <c r="M1460" s="15" t="s">
        <v>3599</v>
      </c>
      <c r="N1460" s="17">
        <v>11000</v>
      </c>
      <c r="O1460" s="17"/>
      <c r="P1460" s="17"/>
      <c r="Q1460" s="48"/>
      <c r="R1460" s="11"/>
      <c r="S1460" s="48"/>
      <c r="T1460" s="85" t="s">
        <v>8073</v>
      </c>
      <c r="U1460" s="85"/>
      <c r="V1460" s="32" t="s">
        <v>6142</v>
      </c>
      <c r="W1460" s="25" t="s">
        <v>8</v>
      </c>
      <c r="X1460" s="11"/>
      <c r="Y1460" s="50" t="s">
        <v>13</v>
      </c>
      <c r="Z1460" s="50"/>
      <c r="AA1460" s="50"/>
      <c r="AB1460" s="50"/>
      <c r="AC1460" s="50"/>
      <c r="AD1460" s="50"/>
      <c r="AE1460" s="50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65"/>
      <c r="AP1460" s="69"/>
      <c r="AQ1460" s="62"/>
      <c r="AR1460" s="62"/>
    </row>
    <row r="1461" spans="1:44" customFormat="1">
      <c r="A1461" s="39">
        <v>45017</v>
      </c>
      <c r="B1461" s="11" t="s">
        <v>2170</v>
      </c>
      <c r="C1461" s="16" t="s">
        <v>2300</v>
      </c>
      <c r="D1461" s="16" t="s">
        <v>6143</v>
      </c>
      <c r="E1461" s="42"/>
      <c r="F1461" s="42"/>
      <c r="G1461" s="11" t="s">
        <v>1763</v>
      </c>
      <c r="H1461" s="12" t="s">
        <v>6144</v>
      </c>
      <c r="I1461" s="13">
        <v>1.5</v>
      </c>
      <c r="J1461" s="12" t="s">
        <v>2302</v>
      </c>
      <c r="K1461" s="46" t="s">
        <v>6145</v>
      </c>
      <c r="L1461" s="11"/>
      <c r="M1461" s="15"/>
      <c r="N1461" s="17">
        <v>8250</v>
      </c>
      <c r="O1461" s="17"/>
      <c r="P1461" s="17"/>
      <c r="Q1461" s="48"/>
      <c r="R1461" s="11"/>
      <c r="S1461" s="48"/>
      <c r="T1461" s="85"/>
      <c r="U1461" s="85"/>
      <c r="V1461" s="32" t="s">
        <v>6146</v>
      </c>
      <c r="W1461" s="25"/>
      <c r="X1461" s="11"/>
      <c r="Y1461" s="50"/>
      <c r="Z1461" s="50"/>
      <c r="AA1461" s="50"/>
      <c r="AB1461" s="50"/>
      <c r="AC1461" s="50"/>
      <c r="AD1461" s="50"/>
      <c r="AE1461" s="50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65"/>
      <c r="AP1461" s="69"/>
      <c r="AQ1461" s="62"/>
      <c r="AR1461" s="62"/>
    </row>
    <row r="1462" spans="1:44" customFormat="1">
      <c r="A1462" s="39">
        <v>45017</v>
      </c>
      <c r="B1462" s="11" t="s">
        <v>24</v>
      </c>
      <c r="C1462" s="16" t="s">
        <v>6148</v>
      </c>
      <c r="D1462" s="16" t="s">
        <v>6147</v>
      </c>
      <c r="E1462" s="39">
        <v>32327</v>
      </c>
      <c r="F1462" s="39"/>
      <c r="G1462" s="11" t="s">
        <v>6149</v>
      </c>
      <c r="H1462" s="12" t="s">
        <v>6150</v>
      </c>
      <c r="I1462" s="13" t="s">
        <v>6151</v>
      </c>
      <c r="J1462" s="12" t="s">
        <v>6152</v>
      </c>
      <c r="K1462" s="12"/>
      <c r="L1462" s="11" t="s">
        <v>36</v>
      </c>
      <c r="M1462" s="15" t="s">
        <v>3599</v>
      </c>
      <c r="N1462" s="17">
        <v>8800</v>
      </c>
      <c r="O1462" s="17"/>
      <c r="P1462" s="17"/>
      <c r="Q1462" s="48"/>
      <c r="R1462" s="11"/>
      <c r="S1462" s="48"/>
      <c r="T1462" s="85"/>
      <c r="U1462" s="85"/>
      <c r="V1462" s="32"/>
      <c r="W1462" s="25" t="s">
        <v>48</v>
      </c>
      <c r="X1462" s="11"/>
      <c r="Y1462" s="50" t="s">
        <v>13</v>
      </c>
      <c r="Z1462" s="50"/>
      <c r="AA1462" s="50"/>
      <c r="AB1462" s="50"/>
      <c r="AC1462" s="50"/>
      <c r="AD1462" s="50"/>
      <c r="AE1462" s="50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65"/>
      <c r="AP1462" s="69"/>
      <c r="AQ1462" s="62"/>
      <c r="AR1462" s="62"/>
    </row>
    <row r="1463" spans="1:44" customFormat="1">
      <c r="A1463" s="39">
        <v>45021</v>
      </c>
      <c r="B1463" s="11" t="s">
        <v>49</v>
      </c>
      <c r="C1463" s="16" t="s">
        <v>5495</v>
      </c>
      <c r="D1463" s="16" t="s">
        <v>6153</v>
      </c>
      <c r="E1463" s="39">
        <v>28989</v>
      </c>
      <c r="F1463" s="39"/>
      <c r="G1463" s="11" t="s">
        <v>515</v>
      </c>
      <c r="H1463" s="12" t="s">
        <v>6154</v>
      </c>
      <c r="I1463" s="13">
        <v>10</v>
      </c>
      <c r="J1463" s="12" t="s">
        <v>5497</v>
      </c>
      <c r="K1463" s="12"/>
      <c r="L1463" s="11" t="s">
        <v>33</v>
      </c>
      <c r="M1463" s="15" t="s">
        <v>3599</v>
      </c>
      <c r="N1463" s="17">
        <v>16500</v>
      </c>
      <c r="O1463" s="17"/>
      <c r="P1463" s="17"/>
      <c r="Q1463" s="48"/>
      <c r="R1463" s="11"/>
      <c r="S1463" s="48"/>
      <c r="T1463" s="85" t="s">
        <v>8073</v>
      </c>
      <c r="U1463" s="85"/>
      <c r="V1463" s="32"/>
      <c r="W1463" s="25" t="s">
        <v>3847</v>
      </c>
      <c r="X1463" s="11"/>
      <c r="Y1463" s="50" t="s">
        <v>20</v>
      </c>
      <c r="Z1463" s="50"/>
      <c r="AA1463" s="50"/>
      <c r="AB1463" s="50"/>
      <c r="AC1463" s="50"/>
      <c r="AD1463" s="50"/>
      <c r="AE1463" s="50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65"/>
      <c r="AP1463" s="69"/>
      <c r="AQ1463" s="62"/>
      <c r="AR1463" s="62"/>
    </row>
    <row r="1464" spans="1:44" customFormat="1">
      <c r="A1464" s="39">
        <v>45022</v>
      </c>
      <c r="B1464" s="11" t="s">
        <v>22</v>
      </c>
      <c r="C1464" s="16" t="s">
        <v>6155</v>
      </c>
      <c r="D1464" s="16" t="s">
        <v>6156</v>
      </c>
      <c r="E1464" s="39">
        <v>26926</v>
      </c>
      <c r="F1464" s="39"/>
      <c r="G1464" s="11" t="s">
        <v>148</v>
      </c>
      <c r="H1464" s="12" t="s">
        <v>6157</v>
      </c>
      <c r="I1464" s="13" t="s">
        <v>1675</v>
      </c>
      <c r="J1464" s="12" t="s">
        <v>6158</v>
      </c>
      <c r="K1464" s="12"/>
      <c r="L1464" s="11" t="s">
        <v>34</v>
      </c>
      <c r="M1464" s="15" t="s">
        <v>3599</v>
      </c>
      <c r="N1464" s="17">
        <v>3300</v>
      </c>
      <c r="O1464" s="17"/>
      <c r="P1464" s="17"/>
      <c r="Q1464" s="48"/>
      <c r="R1464" s="11"/>
      <c r="S1464" s="48"/>
      <c r="T1464" s="85"/>
      <c r="U1464" s="92"/>
      <c r="V1464" s="32"/>
      <c r="W1464" s="25"/>
      <c r="X1464" s="11"/>
      <c r="Y1464" s="50"/>
      <c r="Z1464" s="50"/>
      <c r="AA1464" s="50"/>
      <c r="AB1464" s="50"/>
      <c r="AC1464" s="50"/>
      <c r="AD1464" s="50"/>
      <c r="AE1464" s="50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65" t="s">
        <v>6159</v>
      </c>
      <c r="AP1464" s="69"/>
      <c r="AQ1464" s="62"/>
      <c r="AR1464" s="81"/>
    </row>
    <row r="1465" spans="1:44" customFormat="1">
      <c r="A1465" s="39">
        <v>45023</v>
      </c>
      <c r="B1465" s="11" t="s">
        <v>49</v>
      </c>
      <c r="C1465" s="16" t="s">
        <v>6160</v>
      </c>
      <c r="D1465" s="16" t="s">
        <v>6161</v>
      </c>
      <c r="E1465" s="39">
        <v>21256</v>
      </c>
      <c r="F1465" s="39"/>
      <c r="G1465" s="11" t="s">
        <v>6162</v>
      </c>
      <c r="H1465" s="12" t="s">
        <v>6163</v>
      </c>
      <c r="I1465" s="13" t="s">
        <v>6165</v>
      </c>
      <c r="J1465" s="12" t="s">
        <v>6164</v>
      </c>
      <c r="K1465" s="12"/>
      <c r="L1465" s="11" t="s">
        <v>39</v>
      </c>
      <c r="M1465" s="15" t="s">
        <v>3599</v>
      </c>
      <c r="N1465" s="17">
        <v>16500</v>
      </c>
      <c r="O1465" s="17"/>
      <c r="P1465" s="17"/>
      <c r="Q1465" s="48"/>
      <c r="R1465" s="11"/>
      <c r="S1465" s="48"/>
      <c r="T1465" s="85" t="s">
        <v>8073</v>
      </c>
      <c r="U1465" s="85"/>
      <c r="V1465" s="32"/>
      <c r="W1465" s="25" t="s">
        <v>48</v>
      </c>
      <c r="X1465" s="11"/>
      <c r="Y1465" s="51" t="s">
        <v>13</v>
      </c>
      <c r="Z1465" s="51"/>
      <c r="AA1465" s="51"/>
      <c r="AB1465" s="51"/>
      <c r="AC1465" s="51"/>
      <c r="AD1465" s="51"/>
      <c r="AE1465" s="51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65"/>
      <c r="AP1465" s="69"/>
      <c r="AQ1465" s="62"/>
      <c r="AR1465" s="62"/>
    </row>
    <row r="1466" spans="1:44" customFormat="1">
      <c r="A1466" s="39">
        <v>45023</v>
      </c>
      <c r="B1466" s="11" t="s">
        <v>49</v>
      </c>
      <c r="C1466" s="16" t="s">
        <v>1869</v>
      </c>
      <c r="D1466" s="16" t="s">
        <v>6168</v>
      </c>
      <c r="E1466" s="39">
        <v>25505</v>
      </c>
      <c r="F1466" s="39"/>
      <c r="G1466" s="11" t="s">
        <v>1870</v>
      </c>
      <c r="H1466" s="12" t="s">
        <v>1871</v>
      </c>
      <c r="I1466" s="13" t="s">
        <v>6166</v>
      </c>
      <c r="J1466" s="12" t="s">
        <v>1878</v>
      </c>
      <c r="K1466" s="12"/>
      <c r="L1466" s="11" t="s">
        <v>33</v>
      </c>
      <c r="M1466" s="12"/>
      <c r="N1466" s="17">
        <v>16500</v>
      </c>
      <c r="O1466" s="17"/>
      <c r="P1466" s="17"/>
      <c r="Q1466" s="48"/>
      <c r="R1466" s="11"/>
      <c r="S1466" s="48"/>
      <c r="T1466" s="85" t="s">
        <v>8073</v>
      </c>
      <c r="U1466" s="85"/>
      <c r="V1466" s="32" t="s">
        <v>6167</v>
      </c>
      <c r="W1466" s="25" t="s">
        <v>8</v>
      </c>
      <c r="X1466" s="11"/>
      <c r="Y1466" s="51" t="s">
        <v>13</v>
      </c>
      <c r="Z1466" s="51"/>
      <c r="AA1466" s="51"/>
      <c r="AB1466" s="51"/>
      <c r="AC1466" s="51"/>
      <c r="AD1466" s="51"/>
      <c r="AE1466" s="51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5"/>
      <c r="AP1466" s="69"/>
      <c r="AQ1466" s="62"/>
      <c r="AR1466" s="62"/>
    </row>
    <row r="1467" spans="1:44" customFormat="1">
      <c r="A1467" s="39">
        <v>45024</v>
      </c>
      <c r="B1467" s="11" t="s">
        <v>49</v>
      </c>
      <c r="C1467" s="16" t="s">
        <v>6169</v>
      </c>
      <c r="D1467" s="16" t="s">
        <v>6170</v>
      </c>
      <c r="E1467" s="42"/>
      <c r="F1467" s="42"/>
      <c r="G1467" s="11" t="s">
        <v>6171</v>
      </c>
      <c r="H1467" s="12" t="s">
        <v>6172</v>
      </c>
      <c r="I1467" s="13">
        <v>83.5</v>
      </c>
      <c r="J1467" s="12" t="s">
        <v>6173</v>
      </c>
      <c r="K1467" s="12"/>
      <c r="L1467" s="11"/>
      <c r="M1467" s="12" t="s">
        <v>3577</v>
      </c>
      <c r="N1467" s="17">
        <v>11000</v>
      </c>
      <c r="O1467" s="17"/>
      <c r="P1467" s="17"/>
      <c r="Q1467" s="48"/>
      <c r="R1467" s="11"/>
      <c r="S1467" s="48"/>
      <c r="T1467" s="85" t="s">
        <v>8073</v>
      </c>
      <c r="U1467" s="85"/>
      <c r="V1467" s="32" t="s">
        <v>6174</v>
      </c>
      <c r="W1467" s="25"/>
      <c r="X1467" s="11"/>
      <c r="Y1467" s="51"/>
      <c r="Z1467" s="51"/>
      <c r="AA1467" s="51"/>
      <c r="AB1467" s="51"/>
      <c r="AC1467" s="51"/>
      <c r="AD1467" s="51"/>
      <c r="AE1467" s="51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5"/>
      <c r="AP1467" s="69"/>
      <c r="AQ1467" s="62"/>
      <c r="AR1467" s="62"/>
    </row>
    <row r="1468" spans="1:44" customFormat="1">
      <c r="A1468" s="39">
        <v>45024</v>
      </c>
      <c r="B1468" s="11" t="s">
        <v>22</v>
      </c>
      <c r="C1468" s="16" t="s">
        <v>6175</v>
      </c>
      <c r="D1468" s="16" t="s">
        <v>6176</v>
      </c>
      <c r="E1468" s="39">
        <v>34236</v>
      </c>
      <c r="F1468" s="39"/>
      <c r="G1468" s="11" t="s">
        <v>6177</v>
      </c>
      <c r="H1468" s="12" t="s">
        <v>6178</v>
      </c>
      <c r="I1468" s="13">
        <v>10.5</v>
      </c>
      <c r="J1468" s="12" t="s">
        <v>6180</v>
      </c>
      <c r="K1468" s="46" t="s">
        <v>6179</v>
      </c>
      <c r="L1468" s="11" t="s">
        <v>38</v>
      </c>
      <c r="M1468" s="12" t="s">
        <v>26</v>
      </c>
      <c r="N1468" s="17">
        <v>3300</v>
      </c>
      <c r="O1468" s="17"/>
      <c r="P1468" s="17"/>
      <c r="Q1468" s="48"/>
      <c r="R1468" s="11"/>
      <c r="S1468" s="48"/>
      <c r="T1468" s="85" t="s">
        <v>8079</v>
      </c>
      <c r="U1468" s="92">
        <v>45024</v>
      </c>
      <c r="V1468" s="32" t="s">
        <v>6133</v>
      </c>
      <c r="W1468" s="25"/>
      <c r="X1468" s="11"/>
      <c r="Y1468" s="51"/>
      <c r="Z1468" s="51"/>
      <c r="AA1468" s="51"/>
      <c r="AB1468" s="51"/>
      <c r="AC1468" s="51"/>
      <c r="AD1468" s="51"/>
      <c r="AE1468" s="51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5" t="s">
        <v>5822</v>
      </c>
      <c r="AP1468" s="69"/>
      <c r="AQ1468" s="62" t="s">
        <v>8079</v>
      </c>
      <c r="AR1468" s="81">
        <v>45024</v>
      </c>
    </row>
    <row r="1469" spans="1:44" customFormat="1">
      <c r="A1469" s="39">
        <v>45024</v>
      </c>
      <c r="B1469" s="11" t="s">
        <v>22</v>
      </c>
      <c r="C1469" s="16" t="s">
        <v>6181</v>
      </c>
      <c r="D1469" s="16" t="s">
        <v>6182</v>
      </c>
      <c r="E1469" s="39">
        <v>34260</v>
      </c>
      <c r="F1469" s="39"/>
      <c r="G1469" s="11" t="s">
        <v>621</v>
      </c>
      <c r="H1469" s="12" t="s">
        <v>5563</v>
      </c>
      <c r="I1469" s="13">
        <v>1</v>
      </c>
      <c r="J1469" s="12" t="s">
        <v>6184</v>
      </c>
      <c r="K1469" s="46" t="s">
        <v>6183</v>
      </c>
      <c r="L1469" s="11" t="s">
        <v>36</v>
      </c>
      <c r="M1469" s="12" t="s">
        <v>26</v>
      </c>
      <c r="N1469" s="17">
        <v>3300</v>
      </c>
      <c r="O1469" s="17"/>
      <c r="P1469" s="17"/>
      <c r="Q1469" s="48"/>
      <c r="R1469" s="11"/>
      <c r="S1469" s="48"/>
      <c r="T1469" s="85" t="s">
        <v>8079</v>
      </c>
      <c r="U1469" s="92">
        <v>45024</v>
      </c>
      <c r="V1469" s="32" t="s">
        <v>6133</v>
      </c>
      <c r="W1469" s="25"/>
      <c r="X1469" s="11"/>
      <c r="Y1469" s="51"/>
      <c r="Z1469" s="51"/>
      <c r="AA1469" s="51"/>
      <c r="AB1469" s="51"/>
      <c r="AC1469" s="51"/>
      <c r="AD1469" s="51"/>
      <c r="AE1469" s="51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5" t="s">
        <v>5822</v>
      </c>
      <c r="AP1469" s="69"/>
      <c r="AQ1469" s="62" t="s">
        <v>8079</v>
      </c>
      <c r="AR1469" s="81">
        <v>45024</v>
      </c>
    </row>
    <row r="1470" spans="1:44" customFormat="1">
      <c r="A1470" s="39">
        <v>45025</v>
      </c>
      <c r="B1470" s="11" t="s">
        <v>22</v>
      </c>
      <c r="C1470" s="16" t="s">
        <v>6185</v>
      </c>
      <c r="D1470" s="16" t="s">
        <v>6186</v>
      </c>
      <c r="E1470" s="39">
        <v>20575</v>
      </c>
      <c r="F1470" s="39"/>
      <c r="G1470" s="11" t="s">
        <v>2794</v>
      </c>
      <c r="H1470" s="12" t="s">
        <v>6187</v>
      </c>
      <c r="I1470" s="13" t="s">
        <v>6190</v>
      </c>
      <c r="J1470" s="12" t="s">
        <v>6189</v>
      </c>
      <c r="K1470" s="46" t="s">
        <v>6188</v>
      </c>
      <c r="L1470" s="11" t="s">
        <v>39</v>
      </c>
      <c r="M1470" s="15" t="s">
        <v>3584</v>
      </c>
      <c r="N1470" s="17">
        <v>3300</v>
      </c>
      <c r="O1470" s="17"/>
      <c r="P1470" s="17"/>
      <c r="Q1470" s="48"/>
      <c r="R1470" s="11"/>
      <c r="S1470" s="48"/>
      <c r="T1470" s="85" t="s">
        <v>8079</v>
      </c>
      <c r="U1470" s="92">
        <v>45035</v>
      </c>
      <c r="V1470" s="32"/>
      <c r="W1470" s="25" t="s">
        <v>48</v>
      </c>
      <c r="X1470" s="11"/>
      <c r="Y1470" s="50" t="s">
        <v>11</v>
      </c>
      <c r="Z1470" s="50"/>
      <c r="AA1470" s="50"/>
      <c r="AB1470" s="50"/>
      <c r="AC1470" s="50"/>
      <c r="AD1470" s="50"/>
      <c r="AE1470" s="50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65"/>
      <c r="AP1470" s="69"/>
      <c r="AQ1470" s="62"/>
      <c r="AR1470" s="62"/>
    </row>
    <row r="1471" spans="1:44" customFormat="1">
      <c r="A1471" s="39">
        <v>45025</v>
      </c>
      <c r="B1471" s="11" t="s">
        <v>49</v>
      </c>
      <c r="C1471" s="16" t="s">
        <v>4882</v>
      </c>
      <c r="D1471" s="16" t="s">
        <v>6078</v>
      </c>
      <c r="E1471" s="38">
        <v>34427</v>
      </c>
      <c r="F1471" s="38"/>
      <c r="G1471" s="10" t="s">
        <v>4883</v>
      </c>
      <c r="H1471" s="12" t="s">
        <v>4884</v>
      </c>
      <c r="I1471" s="13">
        <v>41.7</v>
      </c>
      <c r="J1471" s="15" t="s">
        <v>4886</v>
      </c>
      <c r="K1471" s="14" t="s">
        <v>4885</v>
      </c>
      <c r="L1471" s="11" t="s">
        <v>34</v>
      </c>
      <c r="M1471" s="15" t="s">
        <v>3584</v>
      </c>
      <c r="N1471" s="17">
        <v>16500</v>
      </c>
      <c r="O1471" s="17"/>
      <c r="P1471" s="17"/>
      <c r="Q1471" s="48"/>
      <c r="R1471" s="11"/>
      <c r="S1471" s="48"/>
      <c r="T1471" s="85" t="s">
        <v>8073</v>
      </c>
      <c r="U1471" s="85"/>
      <c r="V1471" s="32" t="s">
        <v>2389</v>
      </c>
      <c r="W1471" s="25" t="s">
        <v>3847</v>
      </c>
      <c r="X1471" s="11"/>
      <c r="Y1471" s="50" t="s">
        <v>13</v>
      </c>
      <c r="Z1471" s="50"/>
      <c r="AA1471" s="50"/>
      <c r="AB1471" s="50"/>
      <c r="AC1471" s="50"/>
      <c r="AD1471" s="50"/>
      <c r="AE1471" s="50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65" t="s">
        <v>5822</v>
      </c>
      <c r="AP1471" s="69"/>
      <c r="AQ1471" s="62" t="s">
        <v>8079</v>
      </c>
      <c r="AR1471" s="81">
        <v>45035</v>
      </c>
    </row>
    <row r="1472" spans="1:44" customFormat="1">
      <c r="A1472" s="39">
        <v>45025</v>
      </c>
      <c r="B1472" s="11" t="s">
        <v>24</v>
      </c>
      <c r="C1472" s="16" t="s">
        <v>6191</v>
      </c>
      <c r="D1472" s="16" t="s">
        <v>6192</v>
      </c>
      <c r="E1472" s="39">
        <v>24847</v>
      </c>
      <c r="F1472" s="39"/>
      <c r="G1472" s="11" t="s">
        <v>6197</v>
      </c>
      <c r="H1472" s="12" t="s">
        <v>6193</v>
      </c>
      <c r="I1472" s="13" t="s">
        <v>6194</v>
      </c>
      <c r="J1472" s="12" t="s">
        <v>6195</v>
      </c>
      <c r="K1472" s="12"/>
      <c r="L1472" s="11" t="s">
        <v>36</v>
      </c>
      <c r="M1472" s="15" t="s">
        <v>3599</v>
      </c>
      <c r="N1472" s="17">
        <v>8800</v>
      </c>
      <c r="O1472" s="17"/>
      <c r="P1472" s="17"/>
      <c r="Q1472" s="48"/>
      <c r="R1472" s="11"/>
      <c r="S1472" s="48"/>
      <c r="T1472" s="85"/>
      <c r="U1472" s="85"/>
      <c r="V1472" s="32" t="s">
        <v>6196</v>
      </c>
      <c r="W1472" s="25" t="s">
        <v>48</v>
      </c>
      <c r="X1472" s="11"/>
      <c r="Y1472" s="50" t="s">
        <v>12</v>
      </c>
      <c r="Z1472" s="50"/>
      <c r="AA1472" s="50"/>
      <c r="AB1472" s="50"/>
      <c r="AC1472" s="50"/>
      <c r="AD1472" s="50"/>
      <c r="AE1472" s="50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65"/>
      <c r="AP1472" s="69"/>
      <c r="AQ1472" s="62"/>
      <c r="AR1472" s="62"/>
    </row>
    <row r="1473" spans="1:44" customFormat="1">
      <c r="A1473" s="39">
        <v>45028</v>
      </c>
      <c r="B1473" s="11" t="s">
        <v>22</v>
      </c>
      <c r="C1473" s="16" t="s">
        <v>6198</v>
      </c>
      <c r="D1473" s="16" t="s">
        <v>6199</v>
      </c>
      <c r="E1473" s="39">
        <v>24294</v>
      </c>
      <c r="F1473" s="39"/>
      <c r="G1473" s="11" t="s">
        <v>6200</v>
      </c>
      <c r="H1473" s="12" t="s">
        <v>6201</v>
      </c>
      <c r="I1473" s="13">
        <v>46</v>
      </c>
      <c r="J1473" s="12" t="s">
        <v>6202</v>
      </c>
      <c r="K1473" s="12"/>
      <c r="L1473" s="11" t="s">
        <v>34</v>
      </c>
      <c r="M1473" s="12" t="s">
        <v>3577</v>
      </c>
      <c r="N1473" s="17">
        <v>3300</v>
      </c>
      <c r="O1473" s="17"/>
      <c r="P1473" s="17"/>
      <c r="Q1473" s="48"/>
      <c r="R1473" s="11"/>
      <c r="S1473" s="48"/>
      <c r="T1473" s="85"/>
      <c r="U1473" s="92"/>
      <c r="V1473" s="32"/>
      <c r="W1473" s="25"/>
      <c r="X1473" s="11"/>
      <c r="Y1473" s="51"/>
      <c r="Z1473" s="51"/>
      <c r="AA1473" s="51"/>
      <c r="AB1473" s="51"/>
      <c r="AC1473" s="51"/>
      <c r="AD1473" s="51"/>
      <c r="AE1473" s="51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5" t="s">
        <v>5822</v>
      </c>
      <c r="AP1473" s="69"/>
      <c r="AQ1473" s="62"/>
      <c r="AR1473" s="81"/>
    </row>
    <row r="1474" spans="1:44" customFormat="1">
      <c r="A1474" s="39">
        <v>45029</v>
      </c>
      <c r="B1474" s="11" t="s">
        <v>22</v>
      </c>
      <c r="C1474" s="16" t="s">
        <v>6203</v>
      </c>
      <c r="D1474" s="16" t="s">
        <v>6204</v>
      </c>
      <c r="E1474" s="39">
        <v>25036</v>
      </c>
      <c r="F1474" s="39"/>
      <c r="G1474" s="11" t="s">
        <v>6205</v>
      </c>
      <c r="H1474" s="12" t="s">
        <v>6206</v>
      </c>
      <c r="I1474" s="13">
        <v>7.1</v>
      </c>
      <c r="J1474" s="12" t="s">
        <v>6208</v>
      </c>
      <c r="K1474" s="46" t="s">
        <v>6207</v>
      </c>
      <c r="L1474" s="11" t="s">
        <v>34</v>
      </c>
      <c r="M1474" s="12" t="s">
        <v>26</v>
      </c>
      <c r="N1474" s="17">
        <v>3300</v>
      </c>
      <c r="O1474" s="17"/>
      <c r="P1474" s="17"/>
      <c r="Q1474" s="48"/>
      <c r="R1474" s="11"/>
      <c r="S1474" s="48"/>
      <c r="T1474" s="85" t="s">
        <v>8079</v>
      </c>
      <c r="U1474" s="92">
        <v>45029</v>
      </c>
      <c r="V1474" s="32" t="s">
        <v>6209</v>
      </c>
      <c r="W1474" s="25"/>
      <c r="X1474" s="11"/>
      <c r="Y1474" s="51"/>
      <c r="Z1474" s="51"/>
      <c r="AA1474" s="51"/>
      <c r="AB1474" s="51"/>
      <c r="AC1474" s="51"/>
      <c r="AD1474" s="51"/>
      <c r="AE1474" s="51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5" t="s">
        <v>5822</v>
      </c>
      <c r="AP1474" s="69"/>
      <c r="AQ1474" s="62" t="s">
        <v>8079</v>
      </c>
      <c r="AR1474" s="81">
        <v>45029</v>
      </c>
    </row>
    <row r="1475" spans="1:44" customFormat="1">
      <c r="A1475" s="39">
        <v>45031</v>
      </c>
      <c r="B1475" s="11" t="s">
        <v>22</v>
      </c>
      <c r="C1475" s="16" t="s">
        <v>6210</v>
      </c>
      <c r="D1475" s="16" t="s">
        <v>6211</v>
      </c>
      <c r="E1475" s="39">
        <v>30723</v>
      </c>
      <c r="F1475" s="39"/>
      <c r="G1475" s="11" t="s">
        <v>5807</v>
      </c>
      <c r="H1475" s="12" t="s">
        <v>6212</v>
      </c>
      <c r="I1475" s="13" t="s">
        <v>2990</v>
      </c>
      <c r="J1475" s="12" t="s">
        <v>6214</v>
      </c>
      <c r="K1475" s="46" t="s">
        <v>6213</v>
      </c>
      <c r="L1475" s="11" t="s">
        <v>35</v>
      </c>
      <c r="M1475" s="12" t="s">
        <v>26</v>
      </c>
      <c r="N1475" s="17">
        <v>3300</v>
      </c>
      <c r="O1475" s="17"/>
      <c r="P1475" s="17"/>
      <c r="Q1475" s="48"/>
      <c r="R1475" s="11"/>
      <c r="S1475" s="48"/>
      <c r="T1475" s="85" t="s">
        <v>8079</v>
      </c>
      <c r="U1475" s="92">
        <v>45032</v>
      </c>
      <c r="V1475" s="32"/>
      <c r="W1475" s="25"/>
      <c r="X1475" s="11"/>
      <c r="Y1475" s="51"/>
      <c r="Z1475" s="51"/>
      <c r="AA1475" s="51"/>
      <c r="AB1475" s="51"/>
      <c r="AC1475" s="51"/>
      <c r="AD1475" s="51"/>
      <c r="AE1475" s="51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5" t="s">
        <v>5822</v>
      </c>
      <c r="AP1475" s="69"/>
      <c r="AQ1475" s="62" t="s">
        <v>8079</v>
      </c>
      <c r="AR1475" s="81">
        <v>45032</v>
      </c>
    </row>
    <row r="1476" spans="1:44" customFormat="1">
      <c r="A1476" s="39">
        <v>45033</v>
      </c>
      <c r="B1476" s="11" t="s">
        <v>22</v>
      </c>
      <c r="C1476" s="16" t="s">
        <v>6215</v>
      </c>
      <c r="D1476" s="16" t="s">
        <v>6216</v>
      </c>
      <c r="E1476" s="39">
        <v>26252</v>
      </c>
      <c r="F1476" s="39"/>
      <c r="G1476" s="11" t="s">
        <v>1841</v>
      </c>
      <c r="H1476" s="12" t="s">
        <v>6217</v>
      </c>
      <c r="I1476" s="13" t="s">
        <v>1663</v>
      </c>
      <c r="J1476" s="12" t="s">
        <v>6218</v>
      </c>
      <c r="K1476" s="12"/>
      <c r="L1476" s="11" t="s">
        <v>34</v>
      </c>
      <c r="M1476" s="15" t="s">
        <v>3629</v>
      </c>
      <c r="N1476" s="17">
        <v>3300</v>
      </c>
      <c r="O1476" s="17"/>
      <c r="P1476" s="17"/>
      <c r="Q1476" s="48"/>
      <c r="R1476" s="11"/>
      <c r="S1476" s="48"/>
      <c r="T1476" s="85"/>
      <c r="U1476" s="92"/>
      <c r="V1476" s="32"/>
      <c r="W1476" s="25"/>
      <c r="X1476" s="11"/>
      <c r="Y1476" s="51"/>
      <c r="Z1476" s="51"/>
      <c r="AA1476" s="51"/>
      <c r="AB1476" s="51"/>
      <c r="AC1476" s="51"/>
      <c r="AD1476" s="51"/>
      <c r="AE1476" s="51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5" t="s">
        <v>5822</v>
      </c>
      <c r="AP1476" s="69"/>
      <c r="AQ1476" s="62"/>
      <c r="AR1476" s="81"/>
    </row>
    <row r="1477" spans="1:44" customFormat="1">
      <c r="A1477" s="39">
        <v>45035</v>
      </c>
      <c r="B1477" s="11" t="s">
        <v>22</v>
      </c>
      <c r="C1477" s="16" t="s">
        <v>6219</v>
      </c>
      <c r="D1477" s="16" t="s">
        <v>6220</v>
      </c>
      <c r="E1477" s="39">
        <v>28653</v>
      </c>
      <c r="F1477" s="39"/>
      <c r="G1477" s="11" t="s">
        <v>5814</v>
      </c>
      <c r="H1477" s="12" t="s">
        <v>6221</v>
      </c>
      <c r="I1477" s="13" t="s">
        <v>6222</v>
      </c>
      <c r="J1477" s="12" t="s">
        <v>6223</v>
      </c>
      <c r="K1477" s="12"/>
      <c r="L1477" s="11" t="s">
        <v>33</v>
      </c>
      <c r="M1477" s="12"/>
      <c r="N1477" s="17">
        <v>3300</v>
      </c>
      <c r="O1477" s="17"/>
      <c r="P1477" s="17"/>
      <c r="Q1477" s="48"/>
      <c r="R1477" s="11"/>
      <c r="S1477" s="48"/>
      <c r="T1477" s="85"/>
      <c r="U1477" s="92"/>
      <c r="V1477" s="32"/>
      <c r="W1477" s="25"/>
      <c r="X1477" s="11"/>
      <c r="Y1477" s="51"/>
      <c r="Z1477" s="51"/>
      <c r="AA1477" s="51"/>
      <c r="AB1477" s="51"/>
      <c r="AC1477" s="51"/>
      <c r="AD1477" s="51"/>
      <c r="AE1477" s="51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5" t="s">
        <v>5822</v>
      </c>
      <c r="AP1477" s="69"/>
      <c r="AQ1477" s="62"/>
      <c r="AR1477" s="81"/>
    </row>
    <row r="1478" spans="1:44" customFormat="1">
      <c r="A1478" s="39">
        <v>45035</v>
      </c>
      <c r="B1478" s="11" t="s">
        <v>22</v>
      </c>
      <c r="C1478" s="16" t="s">
        <v>6224</v>
      </c>
      <c r="D1478" s="16" t="s">
        <v>6225</v>
      </c>
      <c r="E1478" s="39">
        <v>36443</v>
      </c>
      <c r="F1478" s="39"/>
      <c r="G1478" s="11" t="s">
        <v>107</v>
      </c>
      <c r="H1478" s="12" t="s">
        <v>6226</v>
      </c>
      <c r="I1478" s="13" t="s">
        <v>1619</v>
      </c>
      <c r="J1478" s="12" t="s">
        <v>6228</v>
      </c>
      <c r="K1478" s="46" t="s">
        <v>6227</v>
      </c>
      <c r="L1478" s="11" t="s">
        <v>39</v>
      </c>
      <c r="M1478" s="12"/>
      <c r="N1478" s="17">
        <v>3300</v>
      </c>
      <c r="O1478" s="17"/>
      <c r="P1478" s="17"/>
      <c r="Q1478" s="48"/>
      <c r="R1478" s="11"/>
      <c r="S1478" s="48"/>
      <c r="T1478" s="85"/>
      <c r="U1478" s="92"/>
      <c r="V1478" s="32"/>
      <c r="W1478" s="25"/>
      <c r="X1478" s="11"/>
      <c r="Y1478" s="51"/>
      <c r="Z1478" s="51"/>
      <c r="AA1478" s="51"/>
      <c r="AB1478" s="51"/>
      <c r="AC1478" s="51"/>
      <c r="AD1478" s="51"/>
      <c r="AE1478" s="51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5" t="s">
        <v>6229</v>
      </c>
      <c r="AP1478" s="69"/>
      <c r="AQ1478" s="62"/>
      <c r="AR1478" s="81"/>
    </row>
    <row r="1479" spans="1:44" customFormat="1">
      <c r="A1479" s="39">
        <v>45037</v>
      </c>
      <c r="B1479" s="11" t="s">
        <v>22</v>
      </c>
      <c r="C1479" s="16" t="s">
        <v>6230</v>
      </c>
      <c r="D1479" s="16" t="s">
        <v>6231</v>
      </c>
      <c r="E1479" s="39">
        <v>23350</v>
      </c>
      <c r="F1479" s="39"/>
      <c r="G1479" s="11" t="s">
        <v>636</v>
      </c>
      <c r="H1479" s="12" t="s">
        <v>6232</v>
      </c>
      <c r="I1479" s="13" t="s">
        <v>2128</v>
      </c>
      <c r="J1479" s="12" t="s">
        <v>6233</v>
      </c>
      <c r="K1479" s="12"/>
      <c r="L1479" s="11" t="s">
        <v>34</v>
      </c>
      <c r="M1479" s="12"/>
      <c r="N1479" s="17">
        <v>3300</v>
      </c>
      <c r="O1479" s="17"/>
      <c r="P1479" s="17"/>
      <c r="Q1479" s="48"/>
      <c r="R1479" s="11"/>
      <c r="S1479" s="48"/>
      <c r="T1479" s="85" t="s">
        <v>8079</v>
      </c>
      <c r="U1479" s="92">
        <v>45037</v>
      </c>
      <c r="V1479" s="32"/>
      <c r="W1479" s="25"/>
      <c r="X1479" s="11"/>
      <c r="Y1479" s="51"/>
      <c r="Z1479" s="51"/>
      <c r="AA1479" s="51"/>
      <c r="AB1479" s="51"/>
      <c r="AC1479" s="51"/>
      <c r="AD1479" s="51"/>
      <c r="AE1479" s="51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5" t="s">
        <v>5822</v>
      </c>
      <c r="AP1479" s="69"/>
      <c r="AQ1479" s="62" t="s">
        <v>8079</v>
      </c>
      <c r="AR1479" s="81">
        <v>45037</v>
      </c>
    </row>
    <row r="1480" spans="1:44" customFormat="1">
      <c r="A1480" s="39">
        <v>45042</v>
      </c>
      <c r="B1480" s="11"/>
      <c r="C1480" s="16" t="s">
        <v>6261</v>
      </c>
      <c r="D1480" s="16"/>
      <c r="E1480" s="39"/>
      <c r="F1480" s="39"/>
      <c r="G1480" s="11"/>
      <c r="H1480" s="12"/>
      <c r="I1480" s="13"/>
      <c r="J1480" s="12" t="s">
        <v>6262</v>
      </c>
      <c r="K1480" s="12"/>
      <c r="L1480" s="11"/>
      <c r="M1480" s="12"/>
      <c r="N1480" s="17">
        <v>0</v>
      </c>
      <c r="O1480" s="17"/>
      <c r="P1480" s="17"/>
      <c r="Q1480" s="48"/>
      <c r="R1480" s="11"/>
      <c r="S1480" s="48"/>
      <c r="T1480" s="85"/>
      <c r="U1480" s="85"/>
      <c r="V1480" s="32" t="s">
        <v>6263</v>
      </c>
      <c r="W1480" s="25"/>
      <c r="X1480" s="11"/>
      <c r="Y1480" s="51"/>
      <c r="Z1480" s="51"/>
      <c r="AA1480" s="51"/>
      <c r="AB1480" s="51"/>
      <c r="AC1480" s="51"/>
      <c r="AD1480" s="51"/>
      <c r="AE1480" s="51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5"/>
      <c r="AP1480" s="69"/>
      <c r="AQ1480" s="62"/>
      <c r="AR1480" s="62"/>
    </row>
    <row r="1481" spans="1:44" customFormat="1">
      <c r="A1481" s="39">
        <v>45044</v>
      </c>
      <c r="B1481" s="11" t="s">
        <v>22</v>
      </c>
      <c r="C1481" s="16" t="s">
        <v>6234</v>
      </c>
      <c r="D1481" s="16" t="s">
        <v>6235</v>
      </c>
      <c r="E1481" s="39">
        <v>23287</v>
      </c>
      <c r="F1481" s="39"/>
      <c r="G1481" s="11" t="s">
        <v>4585</v>
      </c>
      <c r="H1481" s="12" t="s">
        <v>6236</v>
      </c>
      <c r="I1481" s="13" t="s">
        <v>1709</v>
      </c>
      <c r="J1481" s="12" t="s">
        <v>4587</v>
      </c>
      <c r="K1481" s="12"/>
      <c r="L1481" s="11" t="s">
        <v>37</v>
      </c>
      <c r="M1481" s="12"/>
      <c r="N1481" s="17">
        <v>3300</v>
      </c>
      <c r="O1481" s="17"/>
      <c r="P1481" s="17"/>
      <c r="Q1481" s="48"/>
      <c r="R1481" s="11"/>
      <c r="S1481" s="48"/>
      <c r="T1481" s="85"/>
      <c r="U1481" s="92"/>
      <c r="V1481" s="32"/>
      <c r="W1481" s="25"/>
      <c r="X1481" s="11"/>
      <c r="Y1481" s="51"/>
      <c r="Z1481" s="51"/>
      <c r="AA1481" s="51"/>
      <c r="AB1481" s="51"/>
      <c r="AC1481" s="51"/>
      <c r="AD1481" s="51"/>
      <c r="AE1481" s="51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5" t="s">
        <v>5804</v>
      </c>
      <c r="AP1481" s="69"/>
      <c r="AQ1481" s="62"/>
      <c r="AR1481" s="81"/>
    </row>
    <row r="1482" spans="1:44" customFormat="1">
      <c r="A1482" s="39">
        <v>45044</v>
      </c>
      <c r="B1482" s="11" t="s">
        <v>49</v>
      </c>
      <c r="C1482" s="16" t="s">
        <v>6237</v>
      </c>
      <c r="D1482" s="16" t="s">
        <v>6238</v>
      </c>
      <c r="E1482" s="39">
        <v>28582</v>
      </c>
      <c r="F1482" s="39"/>
      <c r="G1482" s="11" t="s">
        <v>6240</v>
      </c>
      <c r="H1482" s="12" t="s">
        <v>6239</v>
      </c>
      <c r="I1482" s="13" t="s">
        <v>6222</v>
      </c>
      <c r="J1482" s="12" t="s">
        <v>6241</v>
      </c>
      <c r="K1482" s="12"/>
      <c r="L1482" s="11" t="s">
        <v>34</v>
      </c>
      <c r="M1482" s="12"/>
      <c r="N1482" s="17">
        <v>16500</v>
      </c>
      <c r="O1482" s="17"/>
      <c r="P1482" s="17"/>
      <c r="Q1482" s="48"/>
      <c r="R1482" s="11"/>
      <c r="S1482" s="48"/>
      <c r="T1482" s="85" t="s">
        <v>8073</v>
      </c>
      <c r="U1482" s="85"/>
      <c r="V1482" s="32"/>
      <c r="W1482" s="25"/>
      <c r="X1482" s="11"/>
      <c r="Y1482" s="51"/>
      <c r="Z1482" s="51"/>
      <c r="AA1482" s="51"/>
      <c r="AB1482" s="51"/>
      <c r="AC1482" s="51"/>
      <c r="AD1482" s="51"/>
      <c r="AE1482" s="51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5"/>
      <c r="AP1482" s="69"/>
      <c r="AQ1482" s="62"/>
      <c r="AR1482" s="62"/>
    </row>
    <row r="1483" spans="1:44" customFormat="1">
      <c r="A1483" s="39">
        <v>45045</v>
      </c>
      <c r="B1483" s="11" t="s">
        <v>49</v>
      </c>
      <c r="C1483" s="16" t="s">
        <v>6242</v>
      </c>
      <c r="D1483" s="16" t="s">
        <v>6243</v>
      </c>
      <c r="E1483" s="39">
        <v>32553</v>
      </c>
      <c r="F1483" s="39"/>
      <c r="G1483" s="11" t="s">
        <v>396</v>
      </c>
      <c r="H1483" s="12" t="s">
        <v>6244</v>
      </c>
      <c r="I1483" s="13" t="s">
        <v>2124</v>
      </c>
      <c r="J1483" s="12" t="s">
        <v>6246</v>
      </c>
      <c r="K1483" s="46" t="s">
        <v>6245</v>
      </c>
      <c r="L1483" s="11" t="s">
        <v>36</v>
      </c>
      <c r="M1483" s="12" t="s">
        <v>26</v>
      </c>
      <c r="N1483" s="17">
        <v>16500</v>
      </c>
      <c r="O1483" s="17"/>
      <c r="P1483" s="17"/>
      <c r="Q1483" s="48"/>
      <c r="R1483" s="11"/>
      <c r="S1483" s="48"/>
      <c r="T1483" s="85"/>
      <c r="U1483" s="85"/>
      <c r="V1483" s="32"/>
      <c r="W1483" s="25" t="s">
        <v>48</v>
      </c>
      <c r="X1483" s="11"/>
      <c r="Y1483" s="50" t="s">
        <v>13</v>
      </c>
      <c r="Z1483" s="50"/>
      <c r="AA1483" s="50"/>
      <c r="AB1483" s="50"/>
      <c r="AC1483" s="50"/>
      <c r="AD1483" s="50"/>
      <c r="AE1483" s="50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5"/>
      <c r="AP1483" s="69"/>
      <c r="AQ1483" s="62"/>
      <c r="AR1483" s="62"/>
    </row>
    <row r="1484" spans="1:44" customFormat="1">
      <c r="A1484" s="39">
        <v>45045</v>
      </c>
      <c r="B1484" s="11"/>
      <c r="C1484" s="16" t="s">
        <v>6257</v>
      </c>
      <c r="D1484" s="16" t="s">
        <v>6258</v>
      </c>
      <c r="E1484" s="39">
        <v>21133</v>
      </c>
      <c r="F1484" s="39"/>
      <c r="G1484" s="11"/>
      <c r="H1484" s="12"/>
      <c r="I1484" s="13"/>
      <c r="J1484" s="12" t="s">
        <v>6259</v>
      </c>
      <c r="K1484" s="46"/>
      <c r="L1484" s="11"/>
      <c r="M1484" s="12"/>
      <c r="N1484" s="17">
        <v>0</v>
      </c>
      <c r="O1484" s="17"/>
      <c r="P1484" s="17"/>
      <c r="Q1484" s="48"/>
      <c r="R1484" s="11"/>
      <c r="S1484" s="48"/>
      <c r="T1484" s="85"/>
      <c r="U1484" s="85"/>
      <c r="V1484" s="32" t="s">
        <v>6260</v>
      </c>
      <c r="W1484" s="25"/>
      <c r="X1484" s="11"/>
      <c r="Y1484" s="50"/>
      <c r="Z1484" s="50"/>
      <c r="AA1484" s="50"/>
      <c r="AB1484" s="50"/>
      <c r="AC1484" s="50"/>
      <c r="AD1484" s="50"/>
      <c r="AE1484" s="50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5"/>
      <c r="AP1484" s="69"/>
      <c r="AQ1484" s="62"/>
      <c r="AR1484" s="62"/>
    </row>
    <row r="1485" spans="1:44" customFormat="1">
      <c r="A1485" s="39">
        <v>45046</v>
      </c>
      <c r="B1485" s="11" t="s">
        <v>49</v>
      </c>
      <c r="C1485" s="16" t="s">
        <v>124</v>
      </c>
      <c r="D1485" s="16"/>
      <c r="E1485" s="38">
        <v>16771</v>
      </c>
      <c r="F1485" s="38"/>
      <c r="G1485" s="10" t="s">
        <v>6253</v>
      </c>
      <c r="H1485" s="12" t="s">
        <v>126</v>
      </c>
      <c r="I1485" s="13" t="s">
        <v>6254</v>
      </c>
      <c r="J1485" s="15" t="s">
        <v>6255</v>
      </c>
      <c r="K1485" s="12"/>
      <c r="L1485" s="11"/>
      <c r="M1485" s="15"/>
      <c r="N1485" s="17">
        <v>0</v>
      </c>
      <c r="O1485" s="17"/>
      <c r="P1485" s="17"/>
      <c r="Q1485" s="48"/>
      <c r="R1485" s="11"/>
      <c r="S1485" s="48"/>
      <c r="T1485" s="85" t="s">
        <v>8073</v>
      </c>
      <c r="U1485" s="88"/>
      <c r="V1485" s="32" t="s">
        <v>6256</v>
      </c>
      <c r="W1485" s="25"/>
      <c r="X1485" s="11"/>
      <c r="Y1485" s="50"/>
      <c r="Z1485" s="50"/>
      <c r="AA1485" s="50"/>
      <c r="AB1485" s="50"/>
      <c r="AC1485" s="50"/>
      <c r="AD1485" s="50"/>
      <c r="AE1485" s="50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65" t="s">
        <v>5804</v>
      </c>
      <c r="AP1485" s="69"/>
      <c r="AQ1485" s="62" t="s">
        <v>8079</v>
      </c>
      <c r="AR1485" s="80">
        <v>45051</v>
      </c>
    </row>
    <row r="1486" spans="1:44" customFormat="1">
      <c r="A1486" s="39">
        <v>45046</v>
      </c>
      <c r="B1486" s="11" t="s">
        <v>22</v>
      </c>
      <c r="C1486" s="16" t="s">
        <v>6247</v>
      </c>
      <c r="D1486" s="16" t="s">
        <v>6248</v>
      </c>
      <c r="E1486" s="38">
        <v>27419</v>
      </c>
      <c r="F1486" s="38"/>
      <c r="G1486" s="10" t="s">
        <v>6249</v>
      </c>
      <c r="H1486" s="12" t="s">
        <v>6250</v>
      </c>
      <c r="I1486" s="13" t="s">
        <v>1803</v>
      </c>
      <c r="J1486" s="15" t="s">
        <v>6252</v>
      </c>
      <c r="K1486" s="46" t="s">
        <v>6251</v>
      </c>
      <c r="L1486" s="11" t="s">
        <v>34</v>
      </c>
      <c r="M1486" s="15" t="s">
        <v>3629</v>
      </c>
      <c r="N1486" s="17">
        <v>3300</v>
      </c>
      <c r="O1486" s="17"/>
      <c r="P1486" s="17"/>
      <c r="Q1486" s="48"/>
      <c r="R1486" s="11"/>
      <c r="S1486" s="48"/>
      <c r="T1486" s="85" t="s">
        <v>8079</v>
      </c>
      <c r="U1486" s="91">
        <v>45051</v>
      </c>
      <c r="V1486" s="32"/>
      <c r="W1486" s="25"/>
      <c r="X1486" s="11"/>
      <c r="Y1486" s="50"/>
      <c r="Z1486" s="50"/>
      <c r="AA1486" s="50"/>
      <c r="AB1486" s="50"/>
      <c r="AC1486" s="50"/>
      <c r="AD1486" s="50"/>
      <c r="AE1486" s="50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65"/>
      <c r="AP1486" s="69"/>
      <c r="AQ1486" s="62"/>
      <c r="AR1486" s="34"/>
    </row>
    <row r="1487" spans="1:44" customFormat="1">
      <c r="A1487" s="39">
        <v>45047</v>
      </c>
      <c r="B1487" s="11" t="s">
        <v>22</v>
      </c>
      <c r="C1487" s="16" t="s">
        <v>6269</v>
      </c>
      <c r="D1487" s="16" t="s">
        <v>6270</v>
      </c>
      <c r="E1487" s="38">
        <v>29283</v>
      </c>
      <c r="F1487" s="38"/>
      <c r="G1487" s="10" t="s">
        <v>6271</v>
      </c>
      <c r="H1487" s="22" t="s">
        <v>6272</v>
      </c>
      <c r="I1487" s="13">
        <v>12.3</v>
      </c>
      <c r="J1487" s="15" t="s">
        <v>6273</v>
      </c>
      <c r="K1487" s="12"/>
      <c r="L1487" s="11" t="s">
        <v>36</v>
      </c>
      <c r="M1487" s="15" t="s">
        <v>3629</v>
      </c>
      <c r="N1487" s="17">
        <v>3300</v>
      </c>
      <c r="O1487" s="17"/>
      <c r="P1487" s="17"/>
      <c r="Q1487" s="48"/>
      <c r="R1487" s="11"/>
      <c r="S1487" s="48"/>
      <c r="T1487" s="85"/>
      <c r="U1487" s="91"/>
      <c r="V1487" s="32"/>
      <c r="W1487" s="25" t="s">
        <v>8</v>
      </c>
      <c r="X1487" s="11"/>
      <c r="Y1487" s="50" t="s">
        <v>19</v>
      </c>
      <c r="Z1487" s="50"/>
      <c r="AA1487" s="50"/>
      <c r="AB1487" s="50"/>
      <c r="AC1487" s="50"/>
      <c r="AD1487" s="50"/>
      <c r="AE1487" s="50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65" t="s">
        <v>5804</v>
      </c>
      <c r="AP1487" s="69"/>
      <c r="AQ1487" s="62" t="s">
        <v>8079</v>
      </c>
      <c r="AR1487" s="80">
        <v>45047</v>
      </c>
    </row>
    <row r="1488" spans="1:44" customFormat="1">
      <c r="A1488" s="39">
        <v>45047</v>
      </c>
      <c r="B1488" s="11" t="s">
        <v>22</v>
      </c>
      <c r="C1488" s="16" t="s">
        <v>6274</v>
      </c>
      <c r="D1488" s="16" t="s">
        <v>6275</v>
      </c>
      <c r="E1488" s="38">
        <v>34085</v>
      </c>
      <c r="F1488" s="38"/>
      <c r="G1488" s="10" t="s">
        <v>4230</v>
      </c>
      <c r="H1488" s="22" t="s">
        <v>6276</v>
      </c>
      <c r="I1488" s="13">
        <v>4.7</v>
      </c>
      <c r="J1488" s="15" t="s">
        <v>6277</v>
      </c>
      <c r="K1488" s="12"/>
      <c r="L1488" s="11" t="s">
        <v>36</v>
      </c>
      <c r="M1488" s="15" t="s">
        <v>3629</v>
      </c>
      <c r="N1488" s="17">
        <v>3300</v>
      </c>
      <c r="O1488" s="17"/>
      <c r="P1488" s="17"/>
      <c r="Q1488" s="48"/>
      <c r="R1488" s="11"/>
      <c r="S1488" s="48"/>
      <c r="T1488" s="85"/>
      <c r="U1488" s="91"/>
      <c r="V1488" s="32"/>
      <c r="W1488" s="25" t="s">
        <v>8</v>
      </c>
      <c r="X1488" s="11"/>
      <c r="Y1488" s="50"/>
      <c r="Z1488" s="50"/>
      <c r="AA1488" s="50"/>
      <c r="AB1488" s="50"/>
      <c r="AC1488" s="50"/>
      <c r="AD1488" s="50"/>
      <c r="AE1488" s="50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65"/>
      <c r="AP1488" s="69"/>
      <c r="AQ1488" s="62"/>
      <c r="AR1488" s="80"/>
    </row>
    <row r="1489" spans="1:44" customFormat="1">
      <c r="A1489" s="39">
        <v>45047</v>
      </c>
      <c r="B1489" s="11" t="s">
        <v>22</v>
      </c>
      <c r="C1489" s="16" t="s">
        <v>6264</v>
      </c>
      <c r="D1489" s="16" t="s">
        <v>6265</v>
      </c>
      <c r="E1489" s="38">
        <v>28180</v>
      </c>
      <c r="F1489" s="38"/>
      <c r="G1489" s="10" t="s">
        <v>822</v>
      </c>
      <c r="H1489" s="12" t="s">
        <v>6266</v>
      </c>
      <c r="I1489" s="13" t="s">
        <v>1911</v>
      </c>
      <c r="J1489" s="15" t="s">
        <v>6268</v>
      </c>
      <c r="K1489" s="46" t="s">
        <v>6267</v>
      </c>
      <c r="L1489" s="11" t="s">
        <v>39</v>
      </c>
      <c r="M1489" s="15" t="s">
        <v>3629</v>
      </c>
      <c r="N1489" s="17">
        <v>3300</v>
      </c>
      <c r="O1489" s="17"/>
      <c r="P1489" s="17"/>
      <c r="Q1489" s="48"/>
      <c r="R1489" s="11"/>
      <c r="S1489" s="48"/>
      <c r="T1489" s="85" t="s">
        <v>8079</v>
      </c>
      <c r="U1489" s="91">
        <v>45047</v>
      </c>
      <c r="V1489" s="32"/>
      <c r="W1489" s="25"/>
      <c r="X1489" s="11"/>
      <c r="Y1489" s="50"/>
      <c r="Z1489" s="50"/>
      <c r="AA1489" s="50"/>
      <c r="AB1489" s="50"/>
      <c r="AC1489" s="50"/>
      <c r="AD1489" s="50"/>
      <c r="AE1489" s="50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65"/>
      <c r="AP1489" s="69"/>
      <c r="AQ1489" s="62"/>
      <c r="AR1489" s="80"/>
    </row>
    <row r="1490" spans="1:44" customFormat="1">
      <c r="A1490" s="39">
        <v>45049</v>
      </c>
      <c r="B1490" s="11" t="s">
        <v>22</v>
      </c>
      <c r="C1490" s="16" t="s">
        <v>6278</v>
      </c>
      <c r="D1490" s="16" t="s">
        <v>6279</v>
      </c>
      <c r="E1490" s="38">
        <v>30537</v>
      </c>
      <c r="F1490" s="38"/>
      <c r="G1490" s="10" t="s">
        <v>485</v>
      </c>
      <c r="H1490" s="22" t="s">
        <v>6280</v>
      </c>
      <c r="I1490" s="13">
        <v>2.6</v>
      </c>
      <c r="J1490" s="15" t="s">
        <v>6282</v>
      </c>
      <c r="K1490" s="46" t="s">
        <v>6281</v>
      </c>
      <c r="L1490" s="11" t="s">
        <v>36</v>
      </c>
      <c r="M1490" s="15" t="s">
        <v>3584</v>
      </c>
      <c r="N1490" s="17">
        <v>3300</v>
      </c>
      <c r="O1490" s="17"/>
      <c r="P1490" s="17"/>
      <c r="Q1490" s="48"/>
      <c r="R1490" s="11"/>
      <c r="S1490" s="48"/>
      <c r="T1490" s="85"/>
      <c r="U1490" s="91"/>
      <c r="V1490" s="32"/>
      <c r="W1490" s="25"/>
      <c r="X1490" s="11"/>
      <c r="Y1490" s="50"/>
      <c r="Z1490" s="50"/>
      <c r="AA1490" s="50"/>
      <c r="AB1490" s="50"/>
      <c r="AC1490" s="50"/>
      <c r="AD1490" s="50"/>
      <c r="AE1490" s="50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65" t="s">
        <v>5822</v>
      </c>
      <c r="AP1490" s="69"/>
      <c r="AQ1490" s="62"/>
      <c r="AR1490" s="80"/>
    </row>
    <row r="1491" spans="1:44" customFormat="1">
      <c r="A1491" s="39">
        <v>45049</v>
      </c>
      <c r="B1491" s="11" t="s">
        <v>22</v>
      </c>
      <c r="C1491" s="16" t="s">
        <v>5978</v>
      </c>
      <c r="D1491" s="16" t="s">
        <v>5979</v>
      </c>
      <c r="E1491" s="38">
        <v>29845</v>
      </c>
      <c r="F1491" s="38"/>
      <c r="G1491" s="10" t="s">
        <v>6283</v>
      </c>
      <c r="H1491" s="12" t="s">
        <v>5981</v>
      </c>
      <c r="I1491" s="13" t="s">
        <v>6284</v>
      </c>
      <c r="J1491" s="15" t="s">
        <v>6285</v>
      </c>
      <c r="K1491" s="46" t="s">
        <v>5982</v>
      </c>
      <c r="L1491" s="11" t="s">
        <v>36</v>
      </c>
      <c r="M1491" s="15" t="s">
        <v>3584</v>
      </c>
      <c r="N1491" s="17">
        <v>3300</v>
      </c>
      <c r="O1491" s="17"/>
      <c r="P1491" s="17"/>
      <c r="Q1491" s="48"/>
      <c r="R1491" s="11"/>
      <c r="S1491" s="48"/>
      <c r="T1491" s="85"/>
      <c r="U1491" s="91"/>
      <c r="V1491" s="32"/>
      <c r="W1491" s="25"/>
      <c r="X1491" s="11"/>
      <c r="Y1491" s="50"/>
      <c r="Z1491" s="50"/>
      <c r="AA1491" s="50"/>
      <c r="AB1491" s="50"/>
      <c r="AC1491" s="50"/>
      <c r="AD1491" s="50"/>
      <c r="AE1491" s="50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65" t="s">
        <v>5822</v>
      </c>
      <c r="AP1491" s="69"/>
      <c r="AQ1491" s="62"/>
      <c r="AR1491" s="80"/>
    </row>
    <row r="1492" spans="1:44" customFormat="1">
      <c r="A1492" s="39">
        <v>45050</v>
      </c>
      <c r="B1492" s="11" t="s">
        <v>24</v>
      </c>
      <c r="C1492" s="16" t="s">
        <v>6286</v>
      </c>
      <c r="D1492" s="16" t="s">
        <v>6287</v>
      </c>
      <c r="E1492" s="38">
        <v>33548</v>
      </c>
      <c r="F1492" s="38"/>
      <c r="G1492" s="10" t="s">
        <v>6288</v>
      </c>
      <c r="H1492" s="22" t="s">
        <v>6289</v>
      </c>
      <c r="I1492" s="13">
        <v>111</v>
      </c>
      <c r="J1492" s="15" t="s">
        <v>6291</v>
      </c>
      <c r="K1492" s="46" t="s">
        <v>6290</v>
      </c>
      <c r="L1492" s="11" t="s">
        <v>33</v>
      </c>
      <c r="M1492" s="15" t="s">
        <v>3584</v>
      </c>
      <c r="N1492" s="17">
        <v>8800</v>
      </c>
      <c r="O1492" s="17"/>
      <c r="P1492" s="17"/>
      <c r="Q1492" s="48"/>
      <c r="R1492" s="11"/>
      <c r="S1492" s="48"/>
      <c r="T1492" s="85"/>
      <c r="U1492" s="88"/>
      <c r="V1492" s="32"/>
      <c r="W1492" s="25" t="s">
        <v>3847</v>
      </c>
      <c r="X1492" s="11"/>
      <c r="Y1492" s="50" t="s">
        <v>13</v>
      </c>
      <c r="Z1492" s="50"/>
      <c r="AA1492" s="50"/>
      <c r="AB1492" s="50"/>
      <c r="AC1492" s="50"/>
      <c r="AD1492" s="50"/>
      <c r="AE1492" s="50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65"/>
      <c r="AP1492" s="69"/>
      <c r="AQ1492" s="62"/>
      <c r="AR1492" s="34"/>
    </row>
    <row r="1493" spans="1:44" customFormat="1">
      <c r="A1493" s="39">
        <v>45051</v>
      </c>
      <c r="B1493" s="11" t="s">
        <v>49</v>
      </c>
      <c r="C1493" s="16" t="s">
        <v>6292</v>
      </c>
      <c r="D1493" s="16" t="s">
        <v>6293</v>
      </c>
      <c r="E1493" s="38">
        <v>30197</v>
      </c>
      <c r="F1493" s="38"/>
      <c r="G1493" s="10" t="s">
        <v>6249</v>
      </c>
      <c r="H1493" s="22" t="s">
        <v>6294</v>
      </c>
      <c r="I1493" s="13">
        <v>6.1</v>
      </c>
      <c r="J1493" s="15" t="s">
        <v>6296</v>
      </c>
      <c r="K1493" s="46" t="s">
        <v>6295</v>
      </c>
      <c r="L1493" s="11" t="s">
        <v>36</v>
      </c>
      <c r="M1493" s="15" t="s">
        <v>3599</v>
      </c>
      <c r="N1493" s="17">
        <v>16500</v>
      </c>
      <c r="O1493" s="17"/>
      <c r="P1493" s="17"/>
      <c r="Q1493" s="48"/>
      <c r="R1493" s="11"/>
      <c r="S1493" s="48"/>
      <c r="T1493" s="85"/>
      <c r="U1493" s="88"/>
      <c r="V1493" s="32"/>
      <c r="W1493" s="25" t="s">
        <v>48</v>
      </c>
      <c r="X1493" s="11"/>
      <c r="Y1493" s="50" t="s">
        <v>12</v>
      </c>
      <c r="Z1493" s="50"/>
      <c r="AA1493" s="50"/>
      <c r="AB1493" s="50"/>
      <c r="AC1493" s="50"/>
      <c r="AD1493" s="50"/>
      <c r="AE1493" s="50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65"/>
      <c r="AP1493" s="69"/>
      <c r="AQ1493" s="62"/>
      <c r="AR1493" s="34"/>
    </row>
    <row r="1494" spans="1:44" customFormat="1">
      <c r="A1494" s="39">
        <v>45052</v>
      </c>
      <c r="B1494" s="11" t="s">
        <v>49</v>
      </c>
      <c r="C1494" s="16" t="s">
        <v>1078</v>
      </c>
      <c r="D1494" s="16" t="s">
        <v>6297</v>
      </c>
      <c r="E1494" s="38">
        <v>23727</v>
      </c>
      <c r="F1494" s="38"/>
      <c r="G1494" s="10" t="s">
        <v>6298</v>
      </c>
      <c r="H1494" s="12" t="s">
        <v>6299</v>
      </c>
      <c r="I1494" s="13" t="s">
        <v>6071</v>
      </c>
      <c r="J1494" s="15" t="s">
        <v>1080</v>
      </c>
      <c r="K1494" s="46" t="s">
        <v>1081</v>
      </c>
      <c r="L1494" s="11" t="s">
        <v>33</v>
      </c>
      <c r="M1494" s="15"/>
      <c r="N1494" s="17">
        <v>8250</v>
      </c>
      <c r="O1494" s="17"/>
      <c r="P1494" s="17"/>
      <c r="Q1494" s="48"/>
      <c r="R1494" s="11"/>
      <c r="S1494" s="48"/>
      <c r="T1494" s="85" t="s">
        <v>8073</v>
      </c>
      <c r="U1494" s="88"/>
      <c r="V1494" s="32" t="s">
        <v>6300</v>
      </c>
      <c r="W1494" s="25" t="s">
        <v>8</v>
      </c>
      <c r="X1494" s="11"/>
      <c r="Y1494" s="50"/>
      <c r="Z1494" s="50"/>
      <c r="AA1494" s="50"/>
      <c r="AB1494" s="50"/>
      <c r="AC1494" s="50"/>
      <c r="AD1494" s="50"/>
      <c r="AE1494" s="50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65"/>
      <c r="AP1494" s="69"/>
      <c r="AQ1494" s="62"/>
      <c r="AR1494" s="34"/>
    </row>
    <row r="1495" spans="1:44" customFormat="1">
      <c r="A1495" s="39">
        <v>45052</v>
      </c>
      <c r="B1495" s="11" t="s">
        <v>49</v>
      </c>
      <c r="C1495" s="16" t="s">
        <v>6301</v>
      </c>
      <c r="D1495" s="16" t="s">
        <v>6302</v>
      </c>
      <c r="E1495" s="38">
        <v>32741</v>
      </c>
      <c r="F1495" s="38"/>
      <c r="G1495" s="10" t="s">
        <v>6303</v>
      </c>
      <c r="H1495" s="22" t="s">
        <v>6304</v>
      </c>
      <c r="I1495" s="13">
        <v>6.3</v>
      </c>
      <c r="J1495" s="15" t="s">
        <v>6306</v>
      </c>
      <c r="K1495" s="46" t="s">
        <v>6305</v>
      </c>
      <c r="L1495" s="11" t="s">
        <v>36</v>
      </c>
      <c r="M1495" s="15" t="s">
        <v>3599</v>
      </c>
      <c r="N1495" s="17">
        <v>16500</v>
      </c>
      <c r="O1495" s="17"/>
      <c r="P1495" s="17"/>
      <c r="Q1495" s="48"/>
      <c r="R1495" s="11"/>
      <c r="S1495" s="48"/>
      <c r="T1495" s="85"/>
      <c r="U1495" s="88"/>
      <c r="V1495" s="32"/>
      <c r="W1495" s="25" t="s">
        <v>48</v>
      </c>
      <c r="X1495" s="11"/>
      <c r="Y1495" s="50" t="s">
        <v>13</v>
      </c>
      <c r="Z1495" s="50"/>
      <c r="AA1495" s="50"/>
      <c r="AB1495" s="50"/>
      <c r="AC1495" s="50"/>
      <c r="AD1495" s="50"/>
      <c r="AE1495" s="50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65"/>
      <c r="AP1495" s="69"/>
      <c r="AQ1495" s="62"/>
      <c r="AR1495" s="34"/>
    </row>
    <row r="1496" spans="1:44" customFormat="1">
      <c r="A1496" s="39">
        <v>45052</v>
      </c>
      <c r="B1496" s="11" t="s">
        <v>49</v>
      </c>
      <c r="C1496" s="16" t="s">
        <v>6307</v>
      </c>
      <c r="D1496" s="16" t="s">
        <v>6023</v>
      </c>
      <c r="E1496" s="38">
        <v>28137</v>
      </c>
      <c r="F1496" s="38"/>
      <c r="G1496" s="10" t="s">
        <v>6024</v>
      </c>
      <c r="H1496" s="22" t="s">
        <v>6025</v>
      </c>
      <c r="I1496" s="13">
        <v>144</v>
      </c>
      <c r="J1496" s="15" t="s">
        <v>6308</v>
      </c>
      <c r="K1496" s="46" t="s">
        <v>6026</v>
      </c>
      <c r="L1496" s="11" t="s">
        <v>34</v>
      </c>
      <c r="M1496" s="15" t="s">
        <v>3599</v>
      </c>
      <c r="N1496" s="17">
        <v>16500</v>
      </c>
      <c r="O1496" s="17"/>
      <c r="P1496" s="17"/>
      <c r="Q1496" s="48"/>
      <c r="R1496" s="11"/>
      <c r="S1496" s="48"/>
      <c r="T1496" s="85" t="s">
        <v>8073</v>
      </c>
      <c r="U1496" s="88"/>
      <c r="V1496" s="32"/>
      <c r="W1496" s="25" t="s">
        <v>6028</v>
      </c>
      <c r="X1496" s="11"/>
      <c r="Y1496" s="50" t="s">
        <v>12</v>
      </c>
      <c r="Z1496" s="50"/>
      <c r="AA1496" s="50"/>
      <c r="AB1496" s="50"/>
      <c r="AC1496" s="50"/>
      <c r="AD1496" s="50"/>
      <c r="AE1496" s="50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65"/>
      <c r="AP1496" s="69"/>
      <c r="AQ1496" s="62"/>
      <c r="AR1496" s="34"/>
    </row>
    <row r="1497" spans="1:44" customFormat="1">
      <c r="A1497" s="39">
        <v>45057</v>
      </c>
      <c r="B1497" s="11" t="s">
        <v>49</v>
      </c>
      <c r="C1497" s="16" t="s">
        <v>6315</v>
      </c>
      <c r="D1497" s="16" t="s">
        <v>6316</v>
      </c>
      <c r="E1497" s="38">
        <v>31213</v>
      </c>
      <c r="F1497" s="38"/>
      <c r="G1497" s="10" t="s">
        <v>6317</v>
      </c>
      <c r="H1497" s="12" t="s">
        <v>6318</v>
      </c>
      <c r="I1497" s="13" t="s">
        <v>1715</v>
      </c>
      <c r="J1497" s="15" t="s">
        <v>6319</v>
      </c>
      <c r="K1497" s="12"/>
      <c r="L1497" s="11" t="s">
        <v>34</v>
      </c>
      <c r="M1497" s="15" t="s">
        <v>3577</v>
      </c>
      <c r="N1497" s="17">
        <v>16500</v>
      </c>
      <c r="O1497" s="17"/>
      <c r="P1497" s="17"/>
      <c r="Q1497" s="48"/>
      <c r="R1497" s="11"/>
      <c r="S1497" s="48"/>
      <c r="T1497" s="85" t="s">
        <v>8073</v>
      </c>
      <c r="U1497" s="88"/>
      <c r="V1497" s="32"/>
      <c r="W1497" s="25"/>
      <c r="X1497" s="11"/>
      <c r="Y1497" s="50" t="s">
        <v>13</v>
      </c>
      <c r="Z1497" s="50"/>
      <c r="AA1497" s="50"/>
      <c r="AB1497" s="50"/>
      <c r="AC1497" s="50"/>
      <c r="AD1497" s="50"/>
      <c r="AE1497" s="50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65" t="s">
        <v>5822</v>
      </c>
      <c r="AP1497" s="69"/>
      <c r="AQ1497" s="62" t="s">
        <v>8079</v>
      </c>
      <c r="AR1497" s="80">
        <v>45057</v>
      </c>
    </row>
    <row r="1498" spans="1:44" customFormat="1">
      <c r="A1498" s="39">
        <v>45057</v>
      </c>
      <c r="B1498" s="11" t="s">
        <v>49</v>
      </c>
      <c r="C1498" s="16" t="s">
        <v>2941</v>
      </c>
      <c r="D1498" s="16" t="s">
        <v>6320</v>
      </c>
      <c r="E1498" s="38">
        <v>26501</v>
      </c>
      <c r="F1498" s="38"/>
      <c r="G1498" s="10" t="s">
        <v>2942</v>
      </c>
      <c r="H1498" s="12" t="s">
        <v>6321</v>
      </c>
      <c r="I1498" s="13" t="s">
        <v>2944</v>
      </c>
      <c r="J1498" s="15" t="s">
        <v>4748</v>
      </c>
      <c r="K1498" s="12"/>
      <c r="L1498" s="11" t="s">
        <v>33</v>
      </c>
      <c r="M1498" s="15"/>
      <c r="N1498" s="17">
        <v>16500</v>
      </c>
      <c r="O1498" s="17"/>
      <c r="P1498" s="17"/>
      <c r="Q1498" s="48"/>
      <c r="R1498" s="11"/>
      <c r="S1498" s="48"/>
      <c r="T1498" s="85" t="s">
        <v>8073</v>
      </c>
      <c r="U1498" s="88"/>
      <c r="V1498" s="32" t="s">
        <v>6322</v>
      </c>
      <c r="W1498" s="25" t="s">
        <v>8</v>
      </c>
      <c r="X1498" s="11"/>
      <c r="Y1498" s="50" t="s">
        <v>13</v>
      </c>
      <c r="Z1498" s="50"/>
      <c r="AA1498" s="50"/>
      <c r="AB1498" s="50"/>
      <c r="AC1498" s="50"/>
      <c r="AD1498" s="50"/>
      <c r="AE1498" s="50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65"/>
      <c r="AP1498" s="69"/>
      <c r="AQ1498" s="62" t="s">
        <v>8073</v>
      </c>
      <c r="AR1498" s="34"/>
    </row>
    <row r="1499" spans="1:44" customFormat="1">
      <c r="A1499" s="39">
        <v>45057</v>
      </c>
      <c r="B1499" s="11" t="s">
        <v>22</v>
      </c>
      <c r="C1499" s="16" t="s">
        <v>6310</v>
      </c>
      <c r="D1499" s="16" t="s">
        <v>6311</v>
      </c>
      <c r="E1499" s="38">
        <v>22379</v>
      </c>
      <c r="F1499" s="38"/>
      <c r="G1499" s="10" t="s">
        <v>6312</v>
      </c>
      <c r="H1499" s="12" t="s">
        <v>6313</v>
      </c>
      <c r="I1499" s="13" t="s">
        <v>1652</v>
      </c>
      <c r="J1499" s="15" t="s">
        <v>6314</v>
      </c>
      <c r="K1499" s="12"/>
      <c r="L1499" s="11" t="s">
        <v>33</v>
      </c>
      <c r="M1499" s="15" t="s">
        <v>3576</v>
      </c>
      <c r="N1499" s="17">
        <v>3300</v>
      </c>
      <c r="O1499" s="17"/>
      <c r="P1499" s="17"/>
      <c r="Q1499" s="48"/>
      <c r="R1499" s="11"/>
      <c r="S1499" s="48"/>
      <c r="T1499" s="85" t="s">
        <v>8079</v>
      </c>
      <c r="U1499" s="91">
        <v>45057</v>
      </c>
      <c r="V1499" s="32"/>
      <c r="W1499" s="25"/>
      <c r="X1499" s="11"/>
      <c r="Y1499" s="50"/>
      <c r="Z1499" s="50"/>
      <c r="AA1499" s="50"/>
      <c r="AB1499" s="50"/>
      <c r="AC1499" s="50"/>
      <c r="AD1499" s="50"/>
      <c r="AE1499" s="50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65"/>
      <c r="AP1499" s="69"/>
      <c r="AQ1499" s="62"/>
      <c r="AR1499" s="34"/>
    </row>
    <row r="1500" spans="1:44" customFormat="1">
      <c r="A1500" s="39">
        <v>45060</v>
      </c>
      <c r="B1500" s="11" t="s">
        <v>49</v>
      </c>
      <c r="C1500" s="16" t="s">
        <v>4761</v>
      </c>
      <c r="D1500" s="16"/>
      <c r="E1500" s="38"/>
      <c r="F1500" s="38"/>
      <c r="G1500" s="10"/>
      <c r="H1500" s="12"/>
      <c r="I1500" s="13"/>
      <c r="J1500" s="15"/>
      <c r="K1500" s="12"/>
      <c r="L1500" s="11"/>
      <c r="M1500" s="15"/>
      <c r="N1500" s="17">
        <v>0</v>
      </c>
      <c r="O1500" s="17"/>
      <c r="P1500" s="17"/>
      <c r="Q1500" s="48"/>
      <c r="R1500" s="11"/>
      <c r="S1500" s="48"/>
      <c r="T1500" s="85" t="s">
        <v>8073</v>
      </c>
      <c r="U1500" s="88"/>
      <c r="V1500" s="32" t="s">
        <v>6323</v>
      </c>
      <c r="W1500" s="25"/>
      <c r="X1500" s="11"/>
      <c r="Y1500" s="50"/>
      <c r="Z1500" s="50"/>
      <c r="AA1500" s="50"/>
      <c r="AB1500" s="50"/>
      <c r="AC1500" s="50"/>
      <c r="AD1500" s="50"/>
      <c r="AE1500" s="50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65"/>
      <c r="AP1500" s="69"/>
      <c r="AQ1500" s="62"/>
      <c r="AR1500" s="34"/>
    </row>
    <row r="1501" spans="1:44" customFormat="1">
      <c r="A1501" s="39">
        <v>45060</v>
      </c>
      <c r="B1501" s="11" t="s">
        <v>49</v>
      </c>
      <c r="C1501" s="16" t="s">
        <v>4781</v>
      </c>
      <c r="D1501" s="16"/>
      <c r="E1501" s="38"/>
      <c r="F1501" s="38"/>
      <c r="G1501" s="10"/>
      <c r="H1501" s="12"/>
      <c r="I1501" s="13"/>
      <c r="J1501" s="15"/>
      <c r="K1501" s="12"/>
      <c r="L1501" s="11"/>
      <c r="M1501" s="15"/>
      <c r="N1501" s="17">
        <v>0</v>
      </c>
      <c r="O1501" s="17"/>
      <c r="P1501" s="17"/>
      <c r="Q1501" s="48"/>
      <c r="R1501" s="11"/>
      <c r="S1501" s="48"/>
      <c r="T1501" s="85" t="s">
        <v>8073</v>
      </c>
      <c r="U1501" s="88"/>
      <c r="V1501" s="32" t="s">
        <v>6323</v>
      </c>
      <c r="W1501" s="25"/>
      <c r="X1501" s="11"/>
      <c r="Y1501" s="50"/>
      <c r="Z1501" s="50"/>
      <c r="AA1501" s="50"/>
      <c r="AB1501" s="50"/>
      <c r="AC1501" s="50"/>
      <c r="AD1501" s="50"/>
      <c r="AE1501" s="50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65"/>
      <c r="AP1501" s="69"/>
      <c r="AQ1501" s="62"/>
      <c r="AR1501" s="34"/>
    </row>
    <row r="1502" spans="1:44" customFormat="1">
      <c r="A1502" s="39">
        <v>45063</v>
      </c>
      <c r="B1502" s="11" t="s">
        <v>49</v>
      </c>
      <c r="C1502" s="16" t="s">
        <v>2987</v>
      </c>
      <c r="D1502" s="16" t="s">
        <v>6328</v>
      </c>
      <c r="E1502" s="38">
        <v>26438</v>
      </c>
      <c r="F1502" s="38"/>
      <c r="G1502" s="10" t="s">
        <v>426</v>
      </c>
      <c r="H1502" s="12" t="s">
        <v>2989</v>
      </c>
      <c r="I1502" s="13" t="s">
        <v>2990</v>
      </c>
      <c r="J1502" s="15" t="s">
        <v>2992</v>
      </c>
      <c r="K1502" s="46" t="s">
        <v>6326</v>
      </c>
      <c r="L1502" s="11" t="s">
        <v>33</v>
      </c>
      <c r="M1502" s="15" t="s">
        <v>3584</v>
      </c>
      <c r="N1502" s="17">
        <v>22000</v>
      </c>
      <c r="O1502" s="17"/>
      <c r="P1502" s="17"/>
      <c r="Q1502" s="48"/>
      <c r="R1502" s="11"/>
      <c r="S1502" s="48"/>
      <c r="T1502" s="85" t="s">
        <v>8073</v>
      </c>
      <c r="U1502" s="90">
        <v>44389</v>
      </c>
      <c r="V1502" s="32" t="s">
        <v>6327</v>
      </c>
      <c r="W1502" s="25" t="s">
        <v>10</v>
      </c>
      <c r="X1502" s="11"/>
      <c r="Y1502" s="50"/>
      <c r="Z1502" s="50"/>
      <c r="AA1502" s="50"/>
      <c r="AB1502" s="50"/>
      <c r="AC1502" s="50"/>
      <c r="AD1502" s="50"/>
      <c r="AE1502" s="50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65"/>
      <c r="AP1502" s="69"/>
      <c r="AQ1502" s="62"/>
      <c r="AR1502" s="79">
        <v>44389</v>
      </c>
    </row>
    <row r="1503" spans="1:44" customFormat="1">
      <c r="A1503" s="39">
        <v>45066</v>
      </c>
      <c r="B1503" s="11" t="s">
        <v>22</v>
      </c>
      <c r="C1503" s="16" t="s">
        <v>6329</v>
      </c>
      <c r="D1503" s="16" t="s">
        <v>6330</v>
      </c>
      <c r="E1503" s="38">
        <v>20127</v>
      </c>
      <c r="F1503" s="38"/>
      <c r="G1503" s="10" t="s">
        <v>3363</v>
      </c>
      <c r="H1503" s="12" t="s">
        <v>6331</v>
      </c>
      <c r="I1503" s="13" t="s">
        <v>1693</v>
      </c>
      <c r="J1503" s="15" t="s">
        <v>6333</v>
      </c>
      <c r="K1503" s="46" t="s">
        <v>6332</v>
      </c>
      <c r="L1503" s="11" t="s">
        <v>36</v>
      </c>
      <c r="M1503" s="15" t="s">
        <v>3584</v>
      </c>
      <c r="N1503" s="17">
        <v>3300</v>
      </c>
      <c r="O1503" s="17"/>
      <c r="P1503" s="17"/>
      <c r="Q1503" s="48"/>
      <c r="R1503" s="11"/>
      <c r="S1503" s="48"/>
      <c r="T1503" s="85" t="s">
        <v>8079</v>
      </c>
      <c r="U1503" s="91">
        <v>45078</v>
      </c>
      <c r="V1503" s="32" t="s">
        <v>81</v>
      </c>
      <c r="W1503" s="25" t="s">
        <v>48</v>
      </c>
      <c r="X1503" s="11"/>
      <c r="Y1503" s="50" t="s">
        <v>18</v>
      </c>
      <c r="Z1503" s="50"/>
      <c r="AA1503" s="50"/>
      <c r="AB1503" s="50"/>
      <c r="AC1503" s="50"/>
      <c r="AD1503" s="50"/>
      <c r="AE1503" s="50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65" t="s">
        <v>5804</v>
      </c>
      <c r="AP1503" s="69" t="s">
        <v>6334</v>
      </c>
      <c r="AQ1503" s="62" t="s">
        <v>8079</v>
      </c>
      <c r="AR1503" s="80">
        <v>45078</v>
      </c>
    </row>
    <row r="1504" spans="1:44" customFormat="1">
      <c r="A1504" s="39">
        <v>45066</v>
      </c>
      <c r="B1504" s="11" t="s">
        <v>49</v>
      </c>
      <c r="C1504" s="16" t="s">
        <v>6335</v>
      </c>
      <c r="D1504" s="16" t="s">
        <v>6336</v>
      </c>
      <c r="E1504" s="38">
        <v>26171</v>
      </c>
      <c r="F1504" s="38"/>
      <c r="G1504" s="10" t="s">
        <v>2411</v>
      </c>
      <c r="H1504" s="12" t="s">
        <v>6337</v>
      </c>
      <c r="I1504" s="13">
        <v>9.8000000000000007</v>
      </c>
      <c r="J1504" s="15" t="s">
        <v>6339</v>
      </c>
      <c r="K1504" s="46" t="s">
        <v>6338</v>
      </c>
      <c r="L1504" s="11" t="s">
        <v>34</v>
      </c>
      <c r="M1504" s="15" t="s">
        <v>3584</v>
      </c>
      <c r="N1504" s="17">
        <v>16500</v>
      </c>
      <c r="O1504" s="17"/>
      <c r="P1504" s="17"/>
      <c r="Q1504" s="48"/>
      <c r="R1504" s="11"/>
      <c r="S1504" s="48"/>
      <c r="T1504" s="85" t="s">
        <v>8073</v>
      </c>
      <c r="U1504" s="88"/>
      <c r="V1504" s="32"/>
      <c r="W1504" s="25" t="s">
        <v>8</v>
      </c>
      <c r="X1504" s="11"/>
      <c r="Y1504" s="50" t="s">
        <v>13</v>
      </c>
      <c r="Z1504" s="50"/>
      <c r="AA1504" s="50"/>
      <c r="AB1504" s="50"/>
      <c r="AC1504" s="50"/>
      <c r="AD1504" s="50"/>
      <c r="AE1504" s="50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65"/>
      <c r="AP1504" s="69"/>
      <c r="AQ1504" s="62"/>
      <c r="AR1504" s="34"/>
    </row>
    <row r="1505" spans="1:44" customFormat="1">
      <c r="A1505" s="39">
        <v>45066</v>
      </c>
      <c r="B1505" s="11" t="s">
        <v>49</v>
      </c>
      <c r="C1505" s="16" t="s">
        <v>5634</v>
      </c>
      <c r="D1505" s="16" t="s">
        <v>6324</v>
      </c>
      <c r="E1505" s="38">
        <v>22339</v>
      </c>
      <c r="F1505" s="38"/>
      <c r="G1505" s="10" t="s">
        <v>5635</v>
      </c>
      <c r="H1505" s="22" t="s">
        <v>6340</v>
      </c>
      <c r="I1505" s="13">
        <v>12.1</v>
      </c>
      <c r="J1505" s="15" t="s">
        <v>6325</v>
      </c>
      <c r="K1505" s="12"/>
      <c r="L1505" s="11" t="s">
        <v>39</v>
      </c>
      <c r="M1505" s="15" t="s">
        <v>3599</v>
      </c>
      <c r="N1505" s="17">
        <v>16500</v>
      </c>
      <c r="O1505" s="17"/>
      <c r="P1505" s="17"/>
      <c r="Q1505" s="48"/>
      <c r="R1505" s="11"/>
      <c r="S1505" s="48"/>
      <c r="T1505" s="85" t="s">
        <v>8073</v>
      </c>
      <c r="U1505" s="88"/>
      <c r="V1505" s="32"/>
      <c r="W1505" s="25" t="s">
        <v>8</v>
      </c>
      <c r="X1505" s="11"/>
      <c r="Y1505" s="50" t="s">
        <v>12</v>
      </c>
      <c r="Z1505" s="50"/>
      <c r="AA1505" s="50"/>
      <c r="AB1505" s="50"/>
      <c r="AC1505" s="50"/>
      <c r="AD1505" s="50"/>
      <c r="AE1505" s="50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65"/>
      <c r="AP1505" s="69"/>
      <c r="AQ1505" s="62"/>
      <c r="AR1505" s="34"/>
    </row>
    <row r="1506" spans="1:44" customFormat="1">
      <c r="A1506" s="39">
        <v>45066</v>
      </c>
      <c r="B1506" s="11" t="s">
        <v>22</v>
      </c>
      <c r="C1506" s="16" t="s">
        <v>6341</v>
      </c>
      <c r="D1506" s="16" t="s">
        <v>6342</v>
      </c>
      <c r="E1506" s="38">
        <v>17153</v>
      </c>
      <c r="F1506" s="38"/>
      <c r="G1506" s="10" t="s">
        <v>6343</v>
      </c>
      <c r="H1506" s="22" t="s">
        <v>6344</v>
      </c>
      <c r="I1506" s="13">
        <v>4.3</v>
      </c>
      <c r="J1506" s="15" t="s">
        <v>6345</v>
      </c>
      <c r="K1506" s="12"/>
      <c r="L1506" s="11" t="s">
        <v>33</v>
      </c>
      <c r="M1506" s="15" t="s">
        <v>3629</v>
      </c>
      <c r="N1506" s="17">
        <v>3300</v>
      </c>
      <c r="O1506" s="17"/>
      <c r="P1506" s="17"/>
      <c r="Q1506" s="48"/>
      <c r="R1506" s="11"/>
      <c r="S1506" s="48"/>
      <c r="T1506" s="85"/>
      <c r="U1506" s="91"/>
      <c r="V1506" s="32"/>
      <c r="W1506" s="25" t="s">
        <v>8</v>
      </c>
      <c r="X1506" s="11"/>
      <c r="Y1506" s="50"/>
      <c r="Z1506" s="50"/>
      <c r="AA1506" s="50"/>
      <c r="AB1506" s="50"/>
      <c r="AC1506" s="50"/>
      <c r="AD1506" s="50"/>
      <c r="AE1506" s="50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65" t="s">
        <v>5804</v>
      </c>
      <c r="AP1506" s="69"/>
      <c r="AQ1506" s="62"/>
      <c r="AR1506" s="80"/>
    </row>
    <row r="1507" spans="1:44" customFormat="1">
      <c r="A1507" s="39">
        <v>45066</v>
      </c>
      <c r="B1507" s="11" t="s">
        <v>22</v>
      </c>
      <c r="C1507" s="16" t="s">
        <v>6346</v>
      </c>
      <c r="D1507" s="16" t="s">
        <v>6347</v>
      </c>
      <c r="E1507" s="38">
        <v>30341</v>
      </c>
      <c r="F1507" s="38"/>
      <c r="G1507" s="10" t="s">
        <v>207</v>
      </c>
      <c r="H1507" s="22" t="s">
        <v>6348</v>
      </c>
      <c r="I1507" s="13">
        <v>1.2</v>
      </c>
      <c r="J1507" s="15" t="s">
        <v>6349</v>
      </c>
      <c r="K1507" s="12"/>
      <c r="L1507" s="11"/>
      <c r="M1507" s="15"/>
      <c r="N1507" s="17">
        <v>3300</v>
      </c>
      <c r="O1507" s="17"/>
      <c r="P1507" s="17"/>
      <c r="Q1507" s="48"/>
      <c r="R1507" s="11"/>
      <c r="S1507" s="48"/>
      <c r="T1507" s="85"/>
      <c r="U1507" s="91"/>
      <c r="V1507" s="32"/>
      <c r="W1507" s="25"/>
      <c r="X1507" s="11"/>
      <c r="Y1507" s="50"/>
      <c r="Z1507" s="50"/>
      <c r="AA1507" s="50"/>
      <c r="AB1507" s="50"/>
      <c r="AC1507" s="50"/>
      <c r="AD1507" s="50"/>
      <c r="AE1507" s="50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65"/>
      <c r="AP1507" s="69"/>
      <c r="AQ1507" s="62"/>
      <c r="AR1507" s="80"/>
    </row>
    <row r="1508" spans="1:44" customFormat="1">
      <c r="A1508" s="39">
        <v>45070</v>
      </c>
      <c r="B1508" s="11" t="s">
        <v>22</v>
      </c>
      <c r="C1508" s="16" t="s">
        <v>6350</v>
      </c>
      <c r="D1508" s="16" t="s">
        <v>6351</v>
      </c>
      <c r="E1508" s="38">
        <v>26490</v>
      </c>
      <c r="F1508" s="38"/>
      <c r="G1508" s="10" t="s">
        <v>328</v>
      </c>
      <c r="H1508" s="22" t="s">
        <v>6352</v>
      </c>
      <c r="I1508" s="13">
        <v>1.7</v>
      </c>
      <c r="J1508" s="15" t="s">
        <v>6354</v>
      </c>
      <c r="K1508" s="46" t="s">
        <v>6353</v>
      </c>
      <c r="L1508" s="11" t="s">
        <v>39</v>
      </c>
      <c r="M1508" s="15" t="s">
        <v>3584</v>
      </c>
      <c r="N1508" s="17">
        <v>3300</v>
      </c>
      <c r="O1508" s="17"/>
      <c r="P1508" s="17"/>
      <c r="Q1508" s="48"/>
      <c r="R1508" s="11"/>
      <c r="S1508" s="48"/>
      <c r="T1508" s="85"/>
      <c r="U1508" s="91"/>
      <c r="V1508" s="32"/>
      <c r="W1508" s="25"/>
      <c r="X1508" s="11"/>
      <c r="Y1508" s="50"/>
      <c r="Z1508" s="50"/>
      <c r="AA1508" s="50"/>
      <c r="AB1508" s="50"/>
      <c r="AC1508" s="50"/>
      <c r="AD1508" s="50"/>
      <c r="AE1508" s="50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65"/>
      <c r="AP1508" s="69"/>
      <c r="AQ1508" s="62"/>
      <c r="AR1508" s="80"/>
    </row>
    <row r="1509" spans="1:44" customFormat="1">
      <c r="A1509" s="39">
        <v>45071</v>
      </c>
      <c r="B1509" s="11" t="s">
        <v>22</v>
      </c>
      <c r="C1509" s="16" t="s">
        <v>6355</v>
      </c>
      <c r="D1509" s="16" t="s">
        <v>6356</v>
      </c>
      <c r="E1509" s="38">
        <v>26281</v>
      </c>
      <c r="F1509" s="38"/>
      <c r="G1509" s="10" t="s">
        <v>6357</v>
      </c>
      <c r="H1509" s="12" t="s">
        <v>6358</v>
      </c>
      <c r="I1509" s="13" t="s">
        <v>1658</v>
      </c>
      <c r="J1509" s="15" t="s">
        <v>6360</v>
      </c>
      <c r="K1509" s="46" t="s">
        <v>6359</v>
      </c>
      <c r="L1509" s="11" t="s">
        <v>36</v>
      </c>
      <c r="M1509" s="15" t="s">
        <v>3584</v>
      </c>
      <c r="N1509" s="17">
        <v>3300</v>
      </c>
      <c r="O1509" s="17"/>
      <c r="P1509" s="17"/>
      <c r="Q1509" s="48"/>
      <c r="R1509" s="11"/>
      <c r="S1509" s="48"/>
      <c r="T1509" s="85" t="s">
        <v>8079</v>
      </c>
      <c r="U1509" s="91">
        <v>45078</v>
      </c>
      <c r="V1509" s="32"/>
      <c r="W1509" s="25"/>
      <c r="X1509" s="11"/>
      <c r="Y1509" s="50"/>
      <c r="Z1509" s="50"/>
      <c r="AA1509" s="50"/>
      <c r="AB1509" s="50"/>
      <c r="AC1509" s="50"/>
      <c r="AD1509" s="50"/>
      <c r="AE1509" s="50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65" t="s">
        <v>5822</v>
      </c>
      <c r="AP1509" s="69" t="s">
        <v>6361</v>
      </c>
      <c r="AQ1509" s="62" t="s">
        <v>8079</v>
      </c>
      <c r="AR1509" s="80">
        <v>45078</v>
      </c>
    </row>
    <row r="1510" spans="1:44" customFormat="1">
      <c r="A1510" s="39">
        <v>45071</v>
      </c>
      <c r="B1510" s="11" t="s">
        <v>22</v>
      </c>
      <c r="C1510" s="16" t="s">
        <v>6362</v>
      </c>
      <c r="D1510" s="16" t="s">
        <v>6363</v>
      </c>
      <c r="E1510" s="38">
        <v>23911</v>
      </c>
      <c r="F1510" s="38"/>
      <c r="G1510" s="10" t="s">
        <v>6364</v>
      </c>
      <c r="H1510" s="22" t="s">
        <v>6365</v>
      </c>
      <c r="I1510" s="13">
        <v>32.5</v>
      </c>
      <c r="J1510" s="15" t="s">
        <v>6367</v>
      </c>
      <c r="K1510" s="46" t="s">
        <v>6366</v>
      </c>
      <c r="L1510" s="11" t="s">
        <v>39</v>
      </c>
      <c r="M1510" s="15" t="s">
        <v>3584</v>
      </c>
      <c r="N1510" s="17">
        <v>3300</v>
      </c>
      <c r="O1510" s="17"/>
      <c r="P1510" s="17"/>
      <c r="Q1510" s="48"/>
      <c r="R1510" s="11"/>
      <c r="S1510" s="48"/>
      <c r="T1510" s="85" t="s">
        <v>8079</v>
      </c>
      <c r="U1510" s="91">
        <v>45081</v>
      </c>
      <c r="V1510" s="32"/>
      <c r="W1510" s="25"/>
      <c r="X1510" s="11"/>
      <c r="Y1510" s="50"/>
      <c r="Z1510" s="50"/>
      <c r="AA1510" s="50"/>
      <c r="AB1510" s="50"/>
      <c r="AC1510" s="50"/>
      <c r="AD1510" s="50"/>
      <c r="AE1510" s="50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65" t="s">
        <v>5822</v>
      </c>
      <c r="AP1510" s="69" t="s">
        <v>6389</v>
      </c>
      <c r="AQ1510" s="62" t="s">
        <v>8079</v>
      </c>
      <c r="AR1510" s="80">
        <v>45081</v>
      </c>
    </row>
    <row r="1511" spans="1:44" customFormat="1">
      <c r="A1511" s="39">
        <v>45078</v>
      </c>
      <c r="B1511" s="11" t="s">
        <v>49</v>
      </c>
      <c r="C1511" s="16" t="s">
        <v>6368</v>
      </c>
      <c r="D1511" s="16" t="s">
        <v>6369</v>
      </c>
      <c r="E1511" s="38">
        <v>23943</v>
      </c>
      <c r="F1511" s="38"/>
      <c r="G1511" s="10" t="s">
        <v>6370</v>
      </c>
      <c r="H1511" s="22" t="s">
        <v>6371</v>
      </c>
      <c r="I1511" s="13">
        <v>357</v>
      </c>
      <c r="J1511" s="15" t="s">
        <v>6372</v>
      </c>
      <c r="K1511" s="12"/>
      <c r="L1511" s="11" t="s">
        <v>33</v>
      </c>
      <c r="M1511" s="15" t="s">
        <v>3599</v>
      </c>
      <c r="N1511" s="17">
        <v>16500</v>
      </c>
      <c r="O1511" s="17"/>
      <c r="P1511" s="17"/>
      <c r="Q1511" s="48"/>
      <c r="R1511" s="11"/>
      <c r="S1511" s="48"/>
      <c r="T1511" s="85" t="s">
        <v>8073</v>
      </c>
      <c r="U1511" s="88"/>
      <c r="V1511" s="32"/>
      <c r="W1511" s="25" t="s">
        <v>48</v>
      </c>
      <c r="X1511" s="11"/>
      <c r="Y1511" s="50" t="s">
        <v>13</v>
      </c>
      <c r="Z1511" s="50"/>
      <c r="AA1511" s="50"/>
      <c r="AB1511" s="50"/>
      <c r="AC1511" s="50"/>
      <c r="AD1511" s="50"/>
      <c r="AE1511" s="50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65"/>
      <c r="AP1511" s="69"/>
      <c r="AQ1511" s="62"/>
      <c r="AR1511" s="34"/>
    </row>
    <row r="1512" spans="1:44" customFormat="1">
      <c r="A1512" s="39">
        <v>45084</v>
      </c>
      <c r="B1512" s="11" t="s">
        <v>22</v>
      </c>
      <c r="C1512" s="16" t="s">
        <v>2684</v>
      </c>
      <c r="D1512" s="16" t="s">
        <v>6373</v>
      </c>
      <c r="E1512" s="38"/>
      <c r="F1512" s="38"/>
      <c r="G1512" s="10" t="s">
        <v>2013</v>
      </c>
      <c r="H1512" s="12" t="s">
        <v>6374</v>
      </c>
      <c r="I1512" s="13" t="s">
        <v>6375</v>
      </c>
      <c r="J1512" s="15" t="s">
        <v>2687</v>
      </c>
      <c r="K1512" s="46" t="s">
        <v>6376</v>
      </c>
      <c r="L1512" s="11"/>
      <c r="M1512" s="15"/>
      <c r="N1512" s="17">
        <v>3300</v>
      </c>
      <c r="O1512" s="17"/>
      <c r="P1512" s="17"/>
      <c r="Q1512" s="48"/>
      <c r="R1512" s="11"/>
      <c r="S1512" s="48"/>
      <c r="T1512" s="85"/>
      <c r="U1512" s="88" t="s">
        <v>6498</v>
      </c>
      <c r="V1512" s="32"/>
      <c r="W1512" s="25"/>
      <c r="X1512" s="11"/>
      <c r="Y1512" s="50"/>
      <c r="Z1512" s="50"/>
      <c r="AA1512" s="50"/>
      <c r="AB1512" s="50"/>
      <c r="AC1512" s="50"/>
      <c r="AD1512" s="50"/>
      <c r="AE1512" s="50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65"/>
      <c r="AP1512" s="69" t="s">
        <v>6377</v>
      </c>
      <c r="AQ1512" s="62"/>
      <c r="AR1512" s="34" t="s">
        <v>6498</v>
      </c>
    </row>
    <row r="1513" spans="1:44" customFormat="1">
      <c r="A1513" s="39">
        <v>45084</v>
      </c>
      <c r="B1513" s="11" t="s">
        <v>22</v>
      </c>
      <c r="C1513" s="16" t="s">
        <v>6378</v>
      </c>
      <c r="D1513" s="16" t="s">
        <v>6379</v>
      </c>
      <c r="E1513" s="38">
        <v>20242</v>
      </c>
      <c r="F1513" s="38"/>
      <c r="G1513" s="10" t="s">
        <v>3404</v>
      </c>
      <c r="H1513" s="12" t="s">
        <v>6380</v>
      </c>
      <c r="I1513" s="13" t="s">
        <v>5963</v>
      </c>
      <c r="J1513" s="15" t="s">
        <v>6381</v>
      </c>
      <c r="K1513" s="12"/>
      <c r="L1513" s="11" t="s">
        <v>33</v>
      </c>
      <c r="M1513" s="15"/>
      <c r="N1513" s="17">
        <v>3300</v>
      </c>
      <c r="O1513" s="17"/>
      <c r="P1513" s="17"/>
      <c r="Q1513" s="48"/>
      <c r="R1513" s="48"/>
      <c r="S1513" s="48"/>
      <c r="T1513" s="85" t="s">
        <v>8079</v>
      </c>
      <c r="U1513" s="91">
        <v>45091</v>
      </c>
      <c r="V1513" s="99" t="s">
        <v>6382</v>
      </c>
      <c r="W1513" s="25" t="s">
        <v>8</v>
      </c>
      <c r="X1513" s="11"/>
      <c r="Y1513" s="50"/>
      <c r="Z1513" s="50"/>
      <c r="AA1513" s="50"/>
      <c r="AB1513" s="50"/>
      <c r="AC1513" s="50"/>
      <c r="AD1513" s="50"/>
      <c r="AE1513" s="50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65" t="s">
        <v>5822</v>
      </c>
      <c r="AP1513" s="69" t="s">
        <v>6383</v>
      </c>
      <c r="AQ1513" s="62" t="s">
        <v>8079</v>
      </c>
      <c r="AR1513" s="80">
        <v>45091</v>
      </c>
    </row>
    <row r="1514" spans="1:44" customFormat="1">
      <c r="A1514" s="39">
        <v>45085</v>
      </c>
      <c r="B1514" s="11" t="s">
        <v>4266</v>
      </c>
      <c r="C1514" s="16" t="s">
        <v>6368</v>
      </c>
      <c r="D1514" s="16" t="s">
        <v>6369</v>
      </c>
      <c r="E1514" s="38">
        <v>23943</v>
      </c>
      <c r="F1514" s="38"/>
      <c r="G1514" s="10" t="s">
        <v>6370</v>
      </c>
      <c r="H1514" s="22" t="s">
        <v>6371</v>
      </c>
      <c r="I1514" s="13">
        <v>357</v>
      </c>
      <c r="J1514" s="15" t="s">
        <v>6372</v>
      </c>
      <c r="K1514" s="12"/>
      <c r="L1514" s="11" t="s">
        <v>33</v>
      </c>
      <c r="M1514" s="15" t="s">
        <v>3599</v>
      </c>
      <c r="N1514" s="17">
        <v>24200</v>
      </c>
      <c r="O1514" s="17"/>
      <c r="P1514" s="17"/>
      <c r="Q1514" s="48"/>
      <c r="R1514" s="11"/>
      <c r="S1514" s="48"/>
      <c r="T1514" s="85"/>
      <c r="U1514" s="88"/>
      <c r="V1514" s="32" t="s">
        <v>6384</v>
      </c>
      <c r="W1514" s="25" t="s">
        <v>48</v>
      </c>
      <c r="X1514" s="11"/>
      <c r="Y1514" s="50" t="s">
        <v>13</v>
      </c>
      <c r="Z1514" s="50"/>
      <c r="AA1514" s="50"/>
      <c r="AB1514" s="50"/>
      <c r="AC1514" s="50"/>
      <c r="AD1514" s="50"/>
      <c r="AE1514" s="50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65"/>
      <c r="AP1514" s="69"/>
      <c r="AQ1514" s="62"/>
      <c r="AR1514" s="34"/>
    </row>
    <row r="1515" spans="1:44" customFormat="1">
      <c r="A1515" s="39">
        <v>45086</v>
      </c>
      <c r="B1515" s="11" t="s">
        <v>22</v>
      </c>
      <c r="C1515" s="16" t="s">
        <v>6385</v>
      </c>
      <c r="D1515" s="16" t="s">
        <v>6386</v>
      </c>
      <c r="E1515" s="38">
        <v>21528</v>
      </c>
      <c r="F1515" s="38"/>
      <c r="G1515" s="10" t="s">
        <v>4841</v>
      </c>
      <c r="H1515" s="12" t="s">
        <v>6387</v>
      </c>
      <c r="I1515" s="13" t="s">
        <v>3463</v>
      </c>
      <c r="J1515" s="15" t="s">
        <v>6388</v>
      </c>
      <c r="K1515" s="12"/>
      <c r="L1515" s="11" t="s">
        <v>39</v>
      </c>
      <c r="M1515" s="15" t="s">
        <v>3599</v>
      </c>
      <c r="N1515" s="17">
        <v>3300</v>
      </c>
      <c r="O1515" s="17"/>
      <c r="P1515" s="17"/>
      <c r="Q1515" s="48"/>
      <c r="R1515" s="11"/>
      <c r="S1515" s="48"/>
      <c r="T1515" s="85" t="s">
        <v>8079</v>
      </c>
      <c r="U1515" s="91">
        <v>45086</v>
      </c>
      <c r="V1515" s="32"/>
      <c r="W1515" s="25"/>
      <c r="X1515" s="11"/>
      <c r="Y1515" s="50"/>
      <c r="Z1515" s="50"/>
      <c r="AA1515" s="50"/>
      <c r="AB1515" s="50"/>
      <c r="AC1515" s="50"/>
      <c r="AD1515" s="50"/>
      <c r="AE1515" s="50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65" t="s">
        <v>5822</v>
      </c>
      <c r="AP1515" s="69" t="s">
        <v>6390</v>
      </c>
      <c r="AQ1515" s="62" t="s">
        <v>8079</v>
      </c>
      <c r="AR1515" s="80">
        <v>45086</v>
      </c>
    </row>
    <row r="1516" spans="1:44" customFormat="1">
      <c r="A1516" s="39">
        <v>45087</v>
      </c>
      <c r="B1516" s="11" t="s">
        <v>49</v>
      </c>
      <c r="C1516" s="16" t="s">
        <v>6391</v>
      </c>
      <c r="D1516" s="16" t="s">
        <v>6392</v>
      </c>
      <c r="E1516" s="38">
        <v>25596</v>
      </c>
      <c r="F1516" s="38"/>
      <c r="G1516" s="10" t="s">
        <v>852</v>
      </c>
      <c r="H1516" s="22" t="s">
        <v>6393</v>
      </c>
      <c r="I1516" s="13">
        <v>21.5</v>
      </c>
      <c r="J1516" s="15" t="s">
        <v>6394</v>
      </c>
      <c r="K1516" s="12"/>
      <c r="L1516" s="11"/>
      <c r="M1516" s="15"/>
      <c r="N1516" s="17">
        <v>11000</v>
      </c>
      <c r="O1516" s="17"/>
      <c r="P1516" s="17"/>
      <c r="Q1516" s="48"/>
      <c r="R1516" s="11"/>
      <c r="S1516" s="48"/>
      <c r="T1516" s="85"/>
      <c r="U1516" s="88"/>
      <c r="V1516" s="32" t="s">
        <v>6395</v>
      </c>
      <c r="W1516" s="25" t="s">
        <v>8</v>
      </c>
      <c r="X1516" s="11"/>
      <c r="Y1516" s="50"/>
      <c r="Z1516" s="50"/>
      <c r="AA1516" s="50"/>
      <c r="AB1516" s="50"/>
      <c r="AC1516" s="50"/>
      <c r="AD1516" s="50"/>
      <c r="AE1516" s="50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65"/>
      <c r="AP1516" s="69"/>
      <c r="AQ1516" s="62"/>
      <c r="AR1516" s="34"/>
    </row>
    <row r="1517" spans="1:44" customFormat="1">
      <c r="A1517" s="39">
        <v>45087</v>
      </c>
      <c r="B1517" s="11" t="s">
        <v>49</v>
      </c>
      <c r="C1517" s="16" t="s">
        <v>6396</v>
      </c>
      <c r="D1517" s="16" t="s">
        <v>6397</v>
      </c>
      <c r="E1517" s="38">
        <v>25344</v>
      </c>
      <c r="F1517" s="38"/>
      <c r="G1517" s="10" t="s">
        <v>1944</v>
      </c>
      <c r="H1517" s="12" t="s">
        <v>6398</v>
      </c>
      <c r="I1517" s="13" t="s">
        <v>4413</v>
      </c>
      <c r="J1517" s="15" t="s">
        <v>6399</v>
      </c>
      <c r="K1517" s="12"/>
      <c r="L1517" s="11"/>
      <c r="M1517" s="15" t="s">
        <v>3599</v>
      </c>
      <c r="N1517" s="17">
        <v>11000</v>
      </c>
      <c r="O1517" s="17"/>
      <c r="P1517" s="17"/>
      <c r="Q1517" s="48"/>
      <c r="R1517" s="11"/>
      <c r="S1517" s="48"/>
      <c r="T1517" s="85"/>
      <c r="U1517" s="88"/>
      <c r="V1517" s="32"/>
      <c r="W1517" s="25" t="s">
        <v>8</v>
      </c>
      <c r="X1517" s="11"/>
      <c r="Y1517" s="50" t="s">
        <v>13</v>
      </c>
      <c r="Z1517" s="50"/>
      <c r="AA1517" s="50"/>
      <c r="AB1517" s="50"/>
      <c r="AC1517" s="50"/>
      <c r="AD1517" s="50"/>
      <c r="AE1517" s="50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65"/>
      <c r="AP1517" s="69"/>
      <c r="AQ1517" s="62"/>
      <c r="AR1517" s="34"/>
    </row>
    <row r="1518" spans="1:44" customFormat="1">
      <c r="A1518" s="39">
        <v>45095</v>
      </c>
      <c r="B1518" s="11" t="s">
        <v>2171</v>
      </c>
      <c r="C1518" s="16" t="s">
        <v>1587</v>
      </c>
      <c r="D1518" s="16" t="s">
        <v>6400</v>
      </c>
      <c r="E1518" s="38">
        <v>36547</v>
      </c>
      <c r="F1518" s="38"/>
      <c r="G1518" s="10" t="s">
        <v>5349</v>
      </c>
      <c r="H1518" s="12" t="s">
        <v>1588</v>
      </c>
      <c r="I1518" s="13">
        <v>3.3</v>
      </c>
      <c r="J1518" s="15" t="s">
        <v>5350</v>
      </c>
      <c r="K1518" s="12"/>
      <c r="L1518" s="11"/>
      <c r="M1518" s="15"/>
      <c r="N1518" s="17">
        <v>3300</v>
      </c>
      <c r="O1518" s="17"/>
      <c r="P1518" s="17"/>
      <c r="Q1518" s="48"/>
      <c r="R1518" s="11"/>
      <c r="S1518" s="48"/>
      <c r="T1518" s="85"/>
      <c r="U1518" s="88"/>
      <c r="V1518" s="32" t="s">
        <v>6401</v>
      </c>
      <c r="W1518" s="25"/>
      <c r="X1518" s="11"/>
      <c r="Y1518" s="50"/>
      <c r="Z1518" s="50"/>
      <c r="AA1518" s="50"/>
      <c r="AB1518" s="50"/>
      <c r="AC1518" s="50"/>
      <c r="AD1518" s="50"/>
      <c r="AE1518" s="50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65"/>
      <c r="AP1518" s="69"/>
      <c r="AQ1518" s="62"/>
      <c r="AR1518" s="34"/>
    </row>
    <row r="1519" spans="1:44" customFormat="1">
      <c r="A1519" s="39">
        <v>45095</v>
      </c>
      <c r="B1519" s="11" t="s">
        <v>22</v>
      </c>
      <c r="C1519" s="16" t="s">
        <v>6402</v>
      </c>
      <c r="D1519" s="16" t="s">
        <v>6403</v>
      </c>
      <c r="E1519" s="38">
        <v>26773</v>
      </c>
      <c r="F1519" s="38"/>
      <c r="G1519" s="10" t="s">
        <v>6404</v>
      </c>
      <c r="H1519" s="12" t="s">
        <v>6405</v>
      </c>
      <c r="I1519" s="13">
        <v>6.6</v>
      </c>
      <c r="J1519" s="15" t="s">
        <v>6407</v>
      </c>
      <c r="K1519" s="46" t="s">
        <v>6406</v>
      </c>
      <c r="L1519" s="11"/>
      <c r="M1519" s="15" t="s">
        <v>26</v>
      </c>
      <c r="N1519" s="17">
        <v>3300</v>
      </c>
      <c r="O1519" s="17"/>
      <c r="P1519" s="17"/>
      <c r="Q1519" s="48"/>
      <c r="R1519" s="11"/>
      <c r="S1519" s="48"/>
      <c r="T1519" s="85"/>
      <c r="U1519" s="88" t="s">
        <v>6497</v>
      </c>
      <c r="V1519" s="32"/>
      <c r="W1519" s="25"/>
      <c r="X1519" s="11"/>
      <c r="Y1519" s="50"/>
      <c r="Z1519" s="50"/>
      <c r="AA1519" s="50"/>
      <c r="AB1519" s="50"/>
      <c r="AC1519" s="50"/>
      <c r="AD1519" s="50"/>
      <c r="AE1519" s="50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65" t="s">
        <v>5822</v>
      </c>
      <c r="AP1519" s="69"/>
      <c r="AQ1519" s="62"/>
      <c r="AR1519" s="34" t="s">
        <v>6497</v>
      </c>
    </row>
    <row r="1520" spans="1:44" customFormat="1">
      <c r="A1520" s="39">
        <v>45095</v>
      </c>
      <c r="B1520" s="11" t="s">
        <v>2171</v>
      </c>
      <c r="C1520" s="16" t="s">
        <v>6408</v>
      </c>
      <c r="D1520" s="16" t="s">
        <v>6409</v>
      </c>
      <c r="E1520" s="38">
        <v>40965</v>
      </c>
      <c r="F1520" s="38"/>
      <c r="G1520" s="10" t="s">
        <v>4633</v>
      </c>
      <c r="H1520" s="12" t="s">
        <v>6410</v>
      </c>
      <c r="I1520" s="13" t="s">
        <v>6411</v>
      </c>
      <c r="J1520" s="15"/>
      <c r="K1520" s="12"/>
      <c r="L1520" s="11"/>
      <c r="M1520" s="15"/>
      <c r="N1520" s="17">
        <v>3300</v>
      </c>
      <c r="O1520" s="17"/>
      <c r="P1520" s="17"/>
      <c r="Q1520" s="48"/>
      <c r="R1520" s="11"/>
      <c r="S1520" s="48"/>
      <c r="T1520" s="85"/>
      <c r="U1520" s="88"/>
      <c r="V1520" s="32" t="s">
        <v>6412</v>
      </c>
      <c r="W1520" s="25"/>
      <c r="X1520" s="11"/>
      <c r="Y1520" s="50"/>
      <c r="Z1520" s="50"/>
      <c r="AA1520" s="50"/>
      <c r="AB1520" s="50"/>
      <c r="AC1520" s="50"/>
      <c r="AD1520" s="50"/>
      <c r="AE1520" s="50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65"/>
      <c r="AP1520" s="69"/>
      <c r="AQ1520" s="62"/>
      <c r="AR1520" s="34"/>
    </row>
    <row r="1521" spans="1:44" customFormat="1">
      <c r="A1521" s="39">
        <v>45098</v>
      </c>
      <c r="B1521" s="11" t="s">
        <v>22</v>
      </c>
      <c r="C1521" s="16" t="s">
        <v>6413</v>
      </c>
      <c r="D1521" s="16" t="s">
        <v>6414</v>
      </c>
      <c r="E1521" s="38">
        <v>25875</v>
      </c>
      <c r="F1521" s="38"/>
      <c r="G1521" s="10" t="s">
        <v>6415</v>
      </c>
      <c r="H1521" s="12" t="s">
        <v>6416</v>
      </c>
      <c r="I1521" s="13" t="s">
        <v>1690</v>
      </c>
      <c r="J1521" s="15" t="s">
        <v>6418</v>
      </c>
      <c r="K1521" s="46" t="s">
        <v>6417</v>
      </c>
      <c r="L1521" s="11" t="s">
        <v>39</v>
      </c>
      <c r="M1521" s="15" t="s">
        <v>3584</v>
      </c>
      <c r="N1521" s="17">
        <v>3300</v>
      </c>
      <c r="O1521" s="17"/>
      <c r="P1521" s="17"/>
      <c r="Q1521" s="48"/>
      <c r="R1521" s="11"/>
      <c r="S1521" s="48"/>
      <c r="T1521" s="85" t="s">
        <v>8079</v>
      </c>
      <c r="U1521" s="91">
        <v>45110</v>
      </c>
      <c r="V1521" s="32"/>
      <c r="W1521" s="25" t="s">
        <v>48</v>
      </c>
      <c r="X1521" s="11"/>
      <c r="Y1521" s="50"/>
      <c r="Z1521" s="50"/>
      <c r="AA1521" s="50"/>
      <c r="AB1521" s="50"/>
      <c r="AC1521" s="50"/>
      <c r="AD1521" s="50"/>
      <c r="AE1521" s="50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65" t="s">
        <v>5822</v>
      </c>
      <c r="AP1521" s="69" t="s">
        <v>6419</v>
      </c>
      <c r="AQ1521" s="62" t="s">
        <v>8079</v>
      </c>
      <c r="AR1521" s="80">
        <v>45110</v>
      </c>
    </row>
    <row r="1522" spans="1:44" customFormat="1">
      <c r="A1522" s="39">
        <v>45100</v>
      </c>
      <c r="B1522" s="11" t="s">
        <v>49</v>
      </c>
      <c r="C1522" s="16" t="s">
        <v>5618</v>
      </c>
      <c r="D1522" s="16" t="s">
        <v>6422</v>
      </c>
      <c r="E1522" s="38">
        <v>34421</v>
      </c>
      <c r="F1522" s="38"/>
      <c r="G1522" s="10" t="s">
        <v>6420</v>
      </c>
      <c r="H1522" s="12" t="s">
        <v>5621</v>
      </c>
      <c r="I1522" s="13">
        <v>31.8</v>
      </c>
      <c r="J1522" s="15" t="s">
        <v>6421</v>
      </c>
      <c r="K1522" s="46" t="s">
        <v>6423</v>
      </c>
      <c r="L1522" s="11" t="s">
        <v>33</v>
      </c>
      <c r="M1522" s="15"/>
      <c r="N1522" s="17">
        <v>11000</v>
      </c>
      <c r="O1522" s="17"/>
      <c r="P1522" s="17"/>
      <c r="Q1522" s="48"/>
      <c r="R1522" s="11"/>
      <c r="S1522" s="48"/>
      <c r="T1522" s="85" t="s">
        <v>8073</v>
      </c>
      <c r="U1522" s="88"/>
      <c r="V1522" s="32" t="s">
        <v>1281</v>
      </c>
      <c r="W1522" s="25"/>
      <c r="X1522" s="11"/>
      <c r="Y1522" s="50"/>
      <c r="Z1522" s="50"/>
      <c r="AA1522" s="50"/>
      <c r="AB1522" s="50"/>
      <c r="AC1522" s="50"/>
      <c r="AD1522" s="50"/>
      <c r="AE1522" s="50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65"/>
      <c r="AP1522" s="69"/>
      <c r="AQ1522" s="62"/>
      <c r="AR1522" s="34"/>
    </row>
    <row r="1523" spans="1:44" customFormat="1">
      <c r="A1523" s="39">
        <v>45103</v>
      </c>
      <c r="B1523" s="11"/>
      <c r="C1523" s="16" t="s">
        <v>6424</v>
      </c>
      <c r="D1523" s="16"/>
      <c r="E1523" s="38"/>
      <c r="F1523" s="38"/>
      <c r="G1523" s="10" t="s">
        <v>774</v>
      </c>
      <c r="H1523" s="12" t="s">
        <v>775</v>
      </c>
      <c r="I1523" s="13">
        <v>66.8</v>
      </c>
      <c r="J1523" s="15"/>
      <c r="K1523" s="14"/>
      <c r="L1523" s="11"/>
      <c r="M1523" s="15"/>
      <c r="N1523" s="17">
        <v>0</v>
      </c>
      <c r="O1523" s="17"/>
      <c r="P1523" s="17"/>
      <c r="Q1523" s="48"/>
      <c r="R1523" s="11"/>
      <c r="S1523" s="48"/>
      <c r="T1523" s="85"/>
      <c r="U1523" s="88"/>
      <c r="V1523" s="32"/>
      <c r="W1523" s="25"/>
      <c r="X1523" s="11"/>
      <c r="Y1523" s="50"/>
      <c r="Z1523" s="50"/>
      <c r="AA1523" s="50"/>
      <c r="AB1523" s="50"/>
      <c r="AC1523" s="50"/>
      <c r="AD1523" s="50"/>
      <c r="AE1523" s="50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65"/>
      <c r="AP1523" s="69"/>
      <c r="AQ1523" s="62"/>
      <c r="AR1523" s="34"/>
    </row>
    <row r="1524" spans="1:44" customFormat="1">
      <c r="A1524" s="39">
        <v>45103</v>
      </c>
      <c r="B1524" s="11" t="s">
        <v>49</v>
      </c>
      <c r="C1524" s="16" t="s">
        <v>6425</v>
      </c>
      <c r="D1524" s="16"/>
      <c r="E1524" s="38">
        <v>25006</v>
      </c>
      <c r="F1524" s="38"/>
      <c r="G1524" s="10" t="s">
        <v>6429</v>
      </c>
      <c r="H1524" s="12" t="s">
        <v>6430</v>
      </c>
      <c r="I1524" s="13">
        <v>107</v>
      </c>
      <c r="J1524" s="15" t="s">
        <v>6432</v>
      </c>
      <c r="K1524" s="12"/>
      <c r="L1524" s="11" t="s">
        <v>33</v>
      </c>
      <c r="M1524" s="15"/>
      <c r="N1524" s="17">
        <v>8250</v>
      </c>
      <c r="O1524" s="17"/>
      <c r="P1524" s="17"/>
      <c r="Q1524" s="48"/>
      <c r="R1524" s="11"/>
      <c r="S1524" s="48"/>
      <c r="T1524" s="85" t="s">
        <v>8073</v>
      </c>
      <c r="U1524" s="88"/>
      <c r="V1524" s="32" t="s">
        <v>6434</v>
      </c>
      <c r="W1524" s="25" t="s">
        <v>8</v>
      </c>
      <c r="X1524" s="11"/>
      <c r="Y1524" s="50"/>
      <c r="Z1524" s="50"/>
      <c r="AA1524" s="50"/>
      <c r="AB1524" s="50"/>
      <c r="AC1524" s="50"/>
      <c r="AD1524" s="50"/>
      <c r="AE1524" s="50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65"/>
      <c r="AP1524" s="69"/>
      <c r="AQ1524" s="62"/>
      <c r="AR1524" s="34"/>
    </row>
    <row r="1525" spans="1:44" customFormat="1">
      <c r="A1525" s="39">
        <v>45103</v>
      </c>
      <c r="B1525" s="11" t="s">
        <v>49</v>
      </c>
      <c r="C1525" s="16" t="s">
        <v>6426</v>
      </c>
      <c r="D1525" s="16" t="s">
        <v>6427</v>
      </c>
      <c r="E1525" s="38">
        <v>24864</v>
      </c>
      <c r="F1525" s="38"/>
      <c r="G1525" s="10" t="s">
        <v>6428</v>
      </c>
      <c r="H1525" s="12" t="s">
        <v>6431</v>
      </c>
      <c r="I1525" s="13">
        <v>111</v>
      </c>
      <c r="J1525" s="15" t="s">
        <v>6433</v>
      </c>
      <c r="K1525" s="12"/>
      <c r="L1525" s="11" t="s">
        <v>33</v>
      </c>
      <c r="M1525" s="15" t="s">
        <v>3599</v>
      </c>
      <c r="N1525" s="17">
        <v>8250</v>
      </c>
      <c r="O1525" s="17"/>
      <c r="P1525" s="17"/>
      <c r="Q1525" s="48"/>
      <c r="R1525" s="11"/>
      <c r="S1525" s="48"/>
      <c r="T1525" s="85"/>
      <c r="U1525" s="88"/>
      <c r="V1525" s="32" t="s">
        <v>6434</v>
      </c>
      <c r="W1525" s="25" t="s">
        <v>8</v>
      </c>
      <c r="X1525" s="11"/>
      <c r="Y1525" s="50"/>
      <c r="Z1525" s="50"/>
      <c r="AA1525" s="50"/>
      <c r="AB1525" s="50"/>
      <c r="AC1525" s="50"/>
      <c r="AD1525" s="50"/>
      <c r="AE1525" s="50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65"/>
      <c r="AP1525" s="69"/>
      <c r="AQ1525" s="62"/>
      <c r="AR1525" s="34"/>
    </row>
    <row r="1526" spans="1:44" customFormat="1">
      <c r="A1526" s="39">
        <v>45103</v>
      </c>
      <c r="B1526" s="11" t="s">
        <v>49</v>
      </c>
      <c r="C1526" s="16" t="s">
        <v>6435</v>
      </c>
      <c r="D1526" s="16" t="s">
        <v>5774</v>
      </c>
      <c r="E1526" s="38">
        <v>30723</v>
      </c>
      <c r="F1526" s="38"/>
      <c r="G1526" s="10" t="s">
        <v>769</v>
      </c>
      <c r="H1526" s="22" t="s">
        <v>6436</v>
      </c>
      <c r="I1526" s="13">
        <v>13.4</v>
      </c>
      <c r="J1526" s="15" t="s">
        <v>5777</v>
      </c>
      <c r="K1526" s="12"/>
      <c r="L1526" s="11" t="s">
        <v>36</v>
      </c>
      <c r="M1526" s="15" t="s">
        <v>3584</v>
      </c>
      <c r="N1526" s="17">
        <v>16500</v>
      </c>
      <c r="O1526" s="17"/>
      <c r="P1526" s="17"/>
      <c r="Q1526" s="48"/>
      <c r="R1526" s="11"/>
      <c r="S1526" s="48"/>
      <c r="T1526" s="85" t="s">
        <v>8073</v>
      </c>
      <c r="U1526" s="88"/>
      <c r="V1526" s="32"/>
      <c r="W1526" s="25" t="s">
        <v>3847</v>
      </c>
      <c r="X1526" s="11"/>
      <c r="Y1526" s="50" t="s">
        <v>13</v>
      </c>
      <c r="Z1526" s="50"/>
      <c r="AA1526" s="50"/>
      <c r="AB1526" s="50"/>
      <c r="AC1526" s="50"/>
      <c r="AD1526" s="50"/>
      <c r="AE1526" s="50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65"/>
      <c r="AP1526" s="69"/>
      <c r="AQ1526" s="62"/>
      <c r="AR1526" s="34"/>
    </row>
    <row r="1527" spans="1:44" customFormat="1">
      <c r="A1527" s="39">
        <v>45106</v>
      </c>
      <c r="B1527" s="11" t="s">
        <v>49</v>
      </c>
      <c r="C1527" s="16" t="s">
        <v>1523</v>
      </c>
      <c r="D1527" s="16" t="s">
        <v>6437</v>
      </c>
      <c r="E1527" s="38">
        <v>35198</v>
      </c>
      <c r="F1527" s="38"/>
      <c r="G1527" s="10" t="s">
        <v>1524</v>
      </c>
      <c r="H1527" s="12" t="s">
        <v>6438</v>
      </c>
      <c r="I1527" s="13">
        <v>15.9</v>
      </c>
      <c r="J1527" s="15" t="s">
        <v>6439</v>
      </c>
      <c r="K1527" s="12"/>
      <c r="L1527" s="11" t="s">
        <v>38</v>
      </c>
      <c r="M1527" s="15"/>
      <c r="N1527" s="17">
        <v>8250</v>
      </c>
      <c r="O1527" s="17"/>
      <c r="P1527" s="17"/>
      <c r="Q1527" s="48"/>
      <c r="R1527" s="11"/>
      <c r="S1527" s="48"/>
      <c r="T1527" s="85" t="s">
        <v>8073</v>
      </c>
      <c r="U1527" s="88"/>
      <c r="V1527" s="32" t="s">
        <v>4613</v>
      </c>
      <c r="W1527" s="25" t="s">
        <v>8</v>
      </c>
      <c r="X1527" s="11"/>
      <c r="Y1527" s="50" t="s">
        <v>14</v>
      </c>
      <c r="Z1527" s="50"/>
      <c r="AA1527" s="50"/>
      <c r="AB1527" s="50"/>
      <c r="AC1527" s="50"/>
      <c r="AD1527" s="50"/>
      <c r="AE1527" s="50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65"/>
      <c r="AP1527" s="69"/>
      <c r="AQ1527" s="62"/>
      <c r="AR1527" s="34"/>
    </row>
    <row r="1528" spans="1:44" customFormat="1">
      <c r="A1528" s="39">
        <v>45106</v>
      </c>
      <c r="B1528" s="11" t="s">
        <v>22</v>
      </c>
      <c r="C1528" s="16" t="s">
        <v>6440</v>
      </c>
      <c r="D1528" s="16" t="s">
        <v>6441</v>
      </c>
      <c r="E1528" s="38">
        <v>39790</v>
      </c>
      <c r="F1528" s="38"/>
      <c r="G1528" s="10" t="s">
        <v>5311</v>
      </c>
      <c r="H1528" s="12" t="s">
        <v>6442</v>
      </c>
      <c r="I1528" s="13">
        <v>7.1</v>
      </c>
      <c r="J1528" s="15" t="s">
        <v>6443</v>
      </c>
      <c r="K1528" s="12"/>
      <c r="L1528" s="11" t="s">
        <v>38</v>
      </c>
      <c r="M1528" s="15"/>
      <c r="N1528" s="17">
        <v>2750</v>
      </c>
      <c r="O1528" s="17"/>
      <c r="P1528" s="17"/>
      <c r="Q1528" s="48"/>
      <c r="R1528" s="11"/>
      <c r="S1528" s="48"/>
      <c r="T1528" s="85" t="s">
        <v>8079</v>
      </c>
      <c r="U1528" s="91">
        <v>45107</v>
      </c>
      <c r="V1528" s="32"/>
      <c r="W1528" s="25" t="s">
        <v>8</v>
      </c>
      <c r="X1528" s="11"/>
      <c r="Y1528" s="50"/>
      <c r="Z1528" s="50"/>
      <c r="AA1528" s="50"/>
      <c r="AB1528" s="50"/>
      <c r="AC1528" s="50"/>
      <c r="AD1528" s="50"/>
      <c r="AE1528" s="50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65" t="s">
        <v>5822</v>
      </c>
      <c r="AP1528" s="69" t="s">
        <v>6444</v>
      </c>
      <c r="AQ1528" s="62" t="s">
        <v>8079</v>
      </c>
      <c r="AR1528" s="80">
        <v>45107</v>
      </c>
    </row>
    <row r="1529" spans="1:44" customFormat="1">
      <c r="A1529" s="39">
        <v>45107</v>
      </c>
      <c r="B1529" s="11" t="s">
        <v>49</v>
      </c>
      <c r="C1529" s="16" t="s">
        <v>6445</v>
      </c>
      <c r="D1529" s="16" t="s">
        <v>6446</v>
      </c>
      <c r="E1529" s="38">
        <v>21082</v>
      </c>
      <c r="F1529" s="38"/>
      <c r="G1529" s="10" t="s">
        <v>6447</v>
      </c>
      <c r="H1529" s="22" t="s">
        <v>6448</v>
      </c>
      <c r="I1529" s="13">
        <v>16.7</v>
      </c>
      <c r="J1529" s="15" t="s">
        <v>6449</v>
      </c>
      <c r="K1529" s="12"/>
      <c r="L1529" s="11" t="s">
        <v>33</v>
      </c>
      <c r="M1529" s="15" t="s">
        <v>3599</v>
      </c>
      <c r="N1529" s="17">
        <v>8250</v>
      </c>
      <c r="O1529" s="17"/>
      <c r="P1529" s="17"/>
      <c r="Q1529" s="48"/>
      <c r="R1529" s="11"/>
      <c r="S1529" s="48"/>
      <c r="T1529" s="85" t="s">
        <v>8073</v>
      </c>
      <c r="U1529" s="88"/>
      <c r="V1529" s="32" t="s">
        <v>403</v>
      </c>
      <c r="W1529" s="25" t="s">
        <v>8</v>
      </c>
      <c r="X1529" s="11"/>
      <c r="Y1529" s="50" t="s">
        <v>13</v>
      </c>
      <c r="Z1529" s="50"/>
      <c r="AA1529" s="50"/>
      <c r="AB1529" s="50"/>
      <c r="AC1529" s="50"/>
      <c r="AD1529" s="50"/>
      <c r="AE1529" s="50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65"/>
      <c r="AP1529" s="69"/>
      <c r="AQ1529" s="62"/>
      <c r="AR1529" s="34"/>
    </row>
    <row r="1530" spans="1:44" customFormat="1">
      <c r="A1530" s="39">
        <v>45109</v>
      </c>
      <c r="B1530" s="11" t="s">
        <v>22</v>
      </c>
      <c r="C1530" s="16" t="s">
        <v>6450</v>
      </c>
      <c r="D1530" s="16" t="s">
        <v>6451</v>
      </c>
      <c r="E1530" s="38">
        <v>36781</v>
      </c>
      <c r="F1530" s="38"/>
      <c r="G1530" s="10" t="s">
        <v>4558</v>
      </c>
      <c r="H1530" s="54" t="s">
        <v>6452</v>
      </c>
      <c r="I1530" s="13">
        <v>18</v>
      </c>
      <c r="J1530" s="15" t="s">
        <v>6453</v>
      </c>
      <c r="K1530" s="12"/>
      <c r="L1530" s="11" t="s">
        <v>34</v>
      </c>
      <c r="M1530" s="15"/>
      <c r="N1530" s="17">
        <v>3300</v>
      </c>
      <c r="O1530" s="17"/>
      <c r="P1530" s="17"/>
      <c r="Q1530" s="48"/>
      <c r="R1530" s="11"/>
      <c r="S1530" s="48"/>
      <c r="T1530" s="85"/>
      <c r="U1530" s="88"/>
      <c r="V1530" s="32" t="s">
        <v>6455</v>
      </c>
      <c r="W1530" s="25"/>
      <c r="X1530" s="11"/>
      <c r="Y1530" s="50"/>
      <c r="Z1530" s="50"/>
      <c r="AA1530" s="50"/>
      <c r="AB1530" s="50"/>
      <c r="AC1530" s="50"/>
      <c r="AD1530" s="50"/>
      <c r="AE1530" s="50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65" t="s">
        <v>6454</v>
      </c>
      <c r="AP1530" s="69"/>
      <c r="AQ1530" s="62"/>
      <c r="AR1530" s="34"/>
    </row>
    <row r="1531" spans="1:44" customFormat="1">
      <c r="A1531" s="39">
        <v>45113</v>
      </c>
      <c r="B1531" s="11" t="s">
        <v>49</v>
      </c>
      <c r="C1531" s="16" t="s">
        <v>6457</v>
      </c>
      <c r="D1531" s="16" t="s">
        <v>6458</v>
      </c>
      <c r="E1531" s="38">
        <v>37252</v>
      </c>
      <c r="F1531" s="38"/>
      <c r="G1531" s="10" t="s">
        <v>3267</v>
      </c>
      <c r="H1531" s="22" t="s">
        <v>6459</v>
      </c>
      <c r="I1531" s="13">
        <v>13.1</v>
      </c>
      <c r="J1531" s="15" t="s">
        <v>6461</v>
      </c>
      <c r="K1531" s="46" t="s">
        <v>6460</v>
      </c>
      <c r="L1531" s="11" t="s">
        <v>38</v>
      </c>
      <c r="M1531" s="15" t="s">
        <v>3584</v>
      </c>
      <c r="N1531" s="17">
        <v>16500</v>
      </c>
      <c r="O1531" s="17"/>
      <c r="P1531" s="17"/>
      <c r="Q1531" s="48"/>
      <c r="R1531" s="11"/>
      <c r="S1531" s="48"/>
      <c r="T1531" s="85"/>
      <c r="U1531" s="88"/>
      <c r="V1531" s="32"/>
      <c r="W1531" s="25" t="s">
        <v>8</v>
      </c>
      <c r="X1531" s="11"/>
      <c r="Y1531" s="50" t="s">
        <v>13</v>
      </c>
      <c r="Z1531" s="50"/>
      <c r="AA1531" s="50"/>
      <c r="AB1531" s="50"/>
      <c r="AC1531" s="50"/>
      <c r="AD1531" s="50"/>
      <c r="AE1531" s="50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65"/>
      <c r="AP1531" s="69"/>
      <c r="AQ1531" s="62"/>
      <c r="AR1531" s="34"/>
    </row>
    <row r="1532" spans="1:44" customFormat="1">
      <c r="A1532" s="39">
        <v>45116</v>
      </c>
      <c r="B1532" s="11" t="s">
        <v>49</v>
      </c>
      <c r="C1532" s="16" t="s">
        <v>6462</v>
      </c>
      <c r="D1532" s="16" t="s">
        <v>6463</v>
      </c>
      <c r="E1532" s="38">
        <v>35356</v>
      </c>
      <c r="F1532" s="38"/>
      <c r="G1532" s="10" t="s">
        <v>6464</v>
      </c>
      <c r="H1532" s="12" t="s">
        <v>6465</v>
      </c>
      <c r="I1532" s="13" t="s">
        <v>6474</v>
      </c>
      <c r="J1532" s="15" t="s">
        <v>6467</v>
      </c>
      <c r="K1532" s="46" t="s">
        <v>6466</v>
      </c>
      <c r="L1532" s="11" t="s">
        <v>36</v>
      </c>
      <c r="M1532" s="15" t="s">
        <v>3599</v>
      </c>
      <c r="N1532" s="17">
        <v>16500</v>
      </c>
      <c r="O1532" s="17"/>
      <c r="P1532" s="17"/>
      <c r="Q1532" s="48"/>
      <c r="R1532" s="11"/>
      <c r="S1532" s="48"/>
      <c r="T1532" s="85"/>
      <c r="U1532" s="88"/>
      <c r="V1532" s="32" t="s">
        <v>6468</v>
      </c>
      <c r="W1532" s="25"/>
      <c r="X1532" s="11"/>
      <c r="Y1532" s="50" t="s">
        <v>12</v>
      </c>
      <c r="Z1532" s="50"/>
      <c r="AA1532" s="50"/>
      <c r="AB1532" s="50"/>
      <c r="AC1532" s="50"/>
      <c r="AD1532" s="50"/>
      <c r="AE1532" s="50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65"/>
      <c r="AP1532" s="69"/>
      <c r="AQ1532" s="62"/>
      <c r="AR1532" s="34"/>
    </row>
    <row r="1533" spans="1:44" customFormat="1">
      <c r="A1533" s="39">
        <v>45119</v>
      </c>
      <c r="B1533" s="11" t="s">
        <v>22</v>
      </c>
      <c r="C1533" s="16" t="s">
        <v>6469</v>
      </c>
      <c r="D1533" s="16" t="s">
        <v>6470</v>
      </c>
      <c r="E1533" s="38">
        <v>23343</v>
      </c>
      <c r="F1533" s="38"/>
      <c r="G1533" s="10" t="s">
        <v>2183</v>
      </c>
      <c r="H1533" s="12" t="s">
        <v>6471</v>
      </c>
      <c r="I1533" s="13" t="s">
        <v>2128</v>
      </c>
      <c r="J1533" s="15" t="s">
        <v>6473</v>
      </c>
      <c r="K1533" s="46" t="s">
        <v>6472</v>
      </c>
      <c r="L1533" s="11" t="s">
        <v>34</v>
      </c>
      <c r="M1533" s="15" t="s">
        <v>3584</v>
      </c>
      <c r="N1533" s="17">
        <v>3300</v>
      </c>
      <c r="O1533" s="17"/>
      <c r="P1533" s="17"/>
      <c r="Q1533" s="48"/>
      <c r="R1533" s="11"/>
      <c r="S1533" s="48"/>
      <c r="T1533" s="85"/>
      <c r="U1533" s="89">
        <v>45154</v>
      </c>
      <c r="V1533" s="32" t="s">
        <v>6468</v>
      </c>
      <c r="W1533" s="25" t="s">
        <v>48</v>
      </c>
      <c r="X1533" s="11"/>
      <c r="Y1533" s="50"/>
      <c r="Z1533" s="50"/>
      <c r="AA1533" s="50"/>
      <c r="AB1533" s="50"/>
      <c r="AC1533" s="50"/>
      <c r="AD1533" s="50"/>
      <c r="AE1533" s="50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65"/>
      <c r="AP1533" s="69"/>
      <c r="AQ1533" s="62"/>
      <c r="AR1533" s="78">
        <v>45154</v>
      </c>
    </row>
    <row r="1534" spans="1:44" customFormat="1">
      <c r="A1534" s="39">
        <v>45119</v>
      </c>
      <c r="B1534" s="11" t="s">
        <v>49</v>
      </c>
      <c r="C1534" s="16" t="s">
        <v>6475</v>
      </c>
      <c r="D1534" s="16" t="s">
        <v>6476</v>
      </c>
      <c r="E1534" s="38">
        <v>26329</v>
      </c>
      <c r="F1534" s="38"/>
      <c r="G1534" s="10" t="s">
        <v>293</v>
      </c>
      <c r="H1534" s="12" t="s">
        <v>6477</v>
      </c>
      <c r="I1534" s="13" t="s">
        <v>3067</v>
      </c>
      <c r="J1534" s="15" t="s">
        <v>6479</v>
      </c>
      <c r="K1534" s="46" t="s">
        <v>6478</v>
      </c>
      <c r="L1534" s="11" t="s">
        <v>36</v>
      </c>
      <c r="M1534" s="15" t="s">
        <v>3584</v>
      </c>
      <c r="N1534" s="17">
        <v>16500</v>
      </c>
      <c r="O1534" s="17"/>
      <c r="P1534" s="17"/>
      <c r="Q1534" s="48"/>
      <c r="R1534" s="11"/>
      <c r="S1534" s="48"/>
      <c r="T1534" s="85"/>
      <c r="U1534" s="88"/>
      <c r="V1534" s="32" t="s">
        <v>6468</v>
      </c>
      <c r="W1534" s="25" t="s">
        <v>8</v>
      </c>
      <c r="X1534" s="11"/>
      <c r="Y1534" s="50" t="s">
        <v>13</v>
      </c>
      <c r="Z1534" s="50"/>
      <c r="AA1534" s="50"/>
      <c r="AB1534" s="50"/>
      <c r="AC1534" s="50"/>
      <c r="AD1534" s="50"/>
      <c r="AE1534" s="50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65"/>
      <c r="AP1534" s="69"/>
      <c r="AQ1534" s="62"/>
      <c r="AR1534" s="34"/>
    </row>
    <row r="1535" spans="1:44" customFormat="1">
      <c r="A1535" s="39">
        <v>45120</v>
      </c>
      <c r="B1535" s="11" t="s">
        <v>22</v>
      </c>
      <c r="C1535" s="16" t="s">
        <v>6480</v>
      </c>
      <c r="D1535" s="16" t="s">
        <v>6481</v>
      </c>
      <c r="E1535" s="38">
        <v>24999</v>
      </c>
      <c r="F1535" s="38"/>
      <c r="G1535" s="10" t="s">
        <v>1020</v>
      </c>
      <c r="H1535" s="12" t="s">
        <v>6482</v>
      </c>
      <c r="I1535" s="13" t="s">
        <v>6483</v>
      </c>
      <c r="J1535" s="15" t="s">
        <v>6485</v>
      </c>
      <c r="K1535" s="46" t="s">
        <v>6484</v>
      </c>
      <c r="L1535" s="11" t="s">
        <v>36</v>
      </c>
      <c r="M1535" s="15" t="s">
        <v>3584</v>
      </c>
      <c r="N1535" s="17">
        <v>3300</v>
      </c>
      <c r="O1535" s="17"/>
      <c r="P1535" s="17"/>
      <c r="Q1535" s="48"/>
      <c r="R1535" s="11"/>
      <c r="S1535" s="48"/>
      <c r="T1535" s="85" t="s">
        <v>8079</v>
      </c>
      <c r="U1535" s="91">
        <v>45134</v>
      </c>
      <c r="V1535" s="32" t="s">
        <v>6468</v>
      </c>
      <c r="W1535" s="25" t="s">
        <v>8</v>
      </c>
      <c r="X1535" s="11"/>
      <c r="Y1535" s="50" t="s">
        <v>15</v>
      </c>
      <c r="Z1535" s="50"/>
      <c r="AA1535" s="50"/>
      <c r="AB1535" s="50"/>
      <c r="AC1535" s="50"/>
      <c r="AD1535" s="50"/>
      <c r="AE1535" s="50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65" t="s">
        <v>6486</v>
      </c>
      <c r="AP1535" s="69" t="s">
        <v>6487</v>
      </c>
      <c r="AQ1535" s="62" t="s">
        <v>8079</v>
      </c>
      <c r="AR1535" s="80">
        <v>45134</v>
      </c>
    </row>
    <row r="1536" spans="1:44" customFormat="1">
      <c r="A1536" s="39">
        <v>45121</v>
      </c>
      <c r="B1536" s="11" t="s">
        <v>22</v>
      </c>
      <c r="C1536" s="16" t="s">
        <v>6491</v>
      </c>
      <c r="D1536" s="16" t="s">
        <v>6488</v>
      </c>
      <c r="E1536" s="38">
        <v>25034</v>
      </c>
      <c r="F1536" s="38"/>
      <c r="G1536" s="10" t="s">
        <v>704</v>
      </c>
      <c r="H1536" s="12" t="s">
        <v>6489</v>
      </c>
      <c r="I1536" s="13" t="s">
        <v>2025</v>
      </c>
      <c r="J1536" s="15" t="s">
        <v>6490</v>
      </c>
      <c r="K1536" s="12"/>
      <c r="L1536" s="11" t="s">
        <v>33</v>
      </c>
      <c r="M1536" s="15" t="s">
        <v>3599</v>
      </c>
      <c r="N1536" s="17">
        <v>3300</v>
      </c>
      <c r="O1536" s="17"/>
      <c r="P1536" s="17"/>
      <c r="Q1536" s="48"/>
      <c r="R1536" s="11"/>
      <c r="S1536" s="48"/>
      <c r="T1536" s="85" t="s">
        <v>8079</v>
      </c>
      <c r="U1536" s="91">
        <v>45126</v>
      </c>
      <c r="V1536" s="32" t="s">
        <v>6468</v>
      </c>
      <c r="W1536" s="25"/>
      <c r="X1536" s="11"/>
      <c r="Y1536" s="50" t="s">
        <v>15</v>
      </c>
      <c r="Z1536" s="50"/>
      <c r="AA1536" s="50"/>
      <c r="AB1536" s="50"/>
      <c r="AC1536" s="50"/>
      <c r="AD1536" s="50"/>
      <c r="AE1536" s="50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65" t="s">
        <v>5822</v>
      </c>
      <c r="AP1536" s="69"/>
      <c r="AQ1536" s="62" t="s">
        <v>8079</v>
      </c>
      <c r="AR1536" s="80">
        <v>45126</v>
      </c>
    </row>
    <row r="1537" spans="1:44" customFormat="1">
      <c r="A1537" s="39">
        <v>45121</v>
      </c>
      <c r="B1537" s="11" t="s">
        <v>2170</v>
      </c>
      <c r="C1537" s="16" t="s">
        <v>6492</v>
      </c>
      <c r="D1537" s="16" t="s">
        <v>6493</v>
      </c>
      <c r="E1537" s="38">
        <v>24003</v>
      </c>
      <c r="F1537" s="38"/>
      <c r="G1537" s="10" t="s">
        <v>102</v>
      </c>
      <c r="H1537" s="12" t="s">
        <v>6494</v>
      </c>
      <c r="I1537" s="13">
        <v>27.1</v>
      </c>
      <c r="J1537" s="15" t="s">
        <v>817</v>
      </c>
      <c r="K1537" s="46" t="s">
        <v>6495</v>
      </c>
      <c r="L1537" s="11" t="s">
        <v>37</v>
      </c>
      <c r="M1537" s="15"/>
      <c r="N1537" s="17">
        <v>0</v>
      </c>
      <c r="O1537" s="17"/>
      <c r="P1537" s="17"/>
      <c r="Q1537" s="48"/>
      <c r="R1537" s="48"/>
      <c r="S1537" s="48"/>
      <c r="T1537" s="85"/>
      <c r="U1537" s="88"/>
      <c r="V1537" s="99" t="s">
        <v>6496</v>
      </c>
      <c r="W1537" s="25"/>
      <c r="X1537" s="11"/>
      <c r="Y1537" s="50"/>
      <c r="Z1537" s="50"/>
      <c r="AA1537" s="50"/>
      <c r="AB1537" s="50"/>
      <c r="AC1537" s="50"/>
      <c r="AD1537" s="50"/>
      <c r="AE1537" s="50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65"/>
      <c r="AP1537" s="69"/>
      <c r="AQ1537" s="62"/>
      <c r="AR1537" s="34"/>
    </row>
    <row r="1538" spans="1:44" customFormat="1">
      <c r="A1538" s="39">
        <v>45122</v>
      </c>
      <c r="B1538" s="11" t="s">
        <v>22</v>
      </c>
      <c r="C1538" s="16" t="s">
        <v>6499</v>
      </c>
      <c r="D1538" s="16" t="s">
        <v>6500</v>
      </c>
      <c r="E1538" s="38">
        <v>27046</v>
      </c>
      <c r="F1538" s="38"/>
      <c r="G1538" s="10" t="s">
        <v>6501</v>
      </c>
      <c r="H1538" s="21" t="s">
        <v>6502</v>
      </c>
      <c r="I1538" s="13" t="s">
        <v>1844</v>
      </c>
      <c r="J1538" s="15" t="s">
        <v>6504</v>
      </c>
      <c r="K1538" s="46" t="s">
        <v>6503</v>
      </c>
      <c r="L1538" s="11" t="s">
        <v>35</v>
      </c>
      <c r="M1538" s="15" t="s">
        <v>3584</v>
      </c>
      <c r="N1538" s="17">
        <v>3300</v>
      </c>
      <c r="O1538" s="17"/>
      <c r="P1538" s="17"/>
      <c r="Q1538" s="48"/>
      <c r="R1538" s="11"/>
      <c r="S1538" s="48"/>
      <c r="T1538" s="85" t="s">
        <v>8079</v>
      </c>
      <c r="U1538" s="91">
        <v>45123</v>
      </c>
      <c r="V1538" s="32" t="s">
        <v>6468</v>
      </c>
      <c r="W1538" s="25" t="s">
        <v>48</v>
      </c>
      <c r="X1538" s="11"/>
      <c r="Y1538" s="50"/>
      <c r="Z1538" s="50"/>
      <c r="AA1538" s="50"/>
      <c r="AB1538" s="50"/>
      <c r="AC1538" s="50"/>
      <c r="AD1538" s="50"/>
      <c r="AE1538" s="50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65" t="s">
        <v>5822</v>
      </c>
      <c r="AP1538" s="69"/>
      <c r="AQ1538" s="62" t="s">
        <v>8079</v>
      </c>
      <c r="AR1538" s="80">
        <v>45123</v>
      </c>
    </row>
    <row r="1539" spans="1:44" customFormat="1">
      <c r="A1539" s="39">
        <v>45123</v>
      </c>
      <c r="B1539" s="11" t="s">
        <v>22</v>
      </c>
      <c r="C1539" s="16" t="s">
        <v>6505</v>
      </c>
      <c r="D1539" s="16"/>
      <c r="E1539" s="38"/>
      <c r="F1539" s="38"/>
      <c r="G1539" s="10"/>
      <c r="H1539" s="12"/>
      <c r="I1539" s="13"/>
      <c r="J1539" s="15"/>
      <c r="K1539" s="12"/>
      <c r="L1539" s="11"/>
      <c r="M1539" s="15"/>
      <c r="N1539" s="17">
        <v>3300</v>
      </c>
      <c r="O1539" s="17"/>
      <c r="P1539" s="17"/>
      <c r="Q1539" s="48"/>
      <c r="R1539" s="11"/>
      <c r="S1539" s="48"/>
      <c r="T1539" s="85"/>
      <c r="U1539" s="88"/>
      <c r="V1539" s="32" t="s">
        <v>575</v>
      </c>
      <c r="W1539" s="25"/>
      <c r="X1539" s="11"/>
      <c r="Y1539" s="50"/>
      <c r="Z1539" s="50"/>
      <c r="AA1539" s="50"/>
      <c r="AB1539" s="50"/>
      <c r="AC1539" s="50"/>
      <c r="AD1539" s="50"/>
      <c r="AE1539" s="50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65"/>
      <c r="AP1539" s="69"/>
      <c r="AQ1539" s="62"/>
      <c r="AR1539" s="34"/>
    </row>
    <row r="1540" spans="1:44" customFormat="1">
      <c r="A1540" s="39">
        <v>45127</v>
      </c>
      <c r="B1540" s="11" t="s">
        <v>49</v>
      </c>
      <c r="C1540" s="16" t="s">
        <v>6506</v>
      </c>
      <c r="D1540" s="16" t="s">
        <v>6507</v>
      </c>
      <c r="E1540" s="38">
        <v>29010</v>
      </c>
      <c r="F1540" s="38"/>
      <c r="G1540" s="10" t="s">
        <v>3933</v>
      </c>
      <c r="H1540" s="12" t="s">
        <v>6508</v>
      </c>
      <c r="I1540" s="13" t="s">
        <v>6509</v>
      </c>
      <c r="J1540" s="15" t="s">
        <v>6511</v>
      </c>
      <c r="K1540" s="46" t="s">
        <v>6510</v>
      </c>
      <c r="L1540" s="11" t="s">
        <v>34</v>
      </c>
      <c r="M1540" s="15" t="s">
        <v>3584</v>
      </c>
      <c r="N1540" s="17">
        <v>10500</v>
      </c>
      <c r="O1540" s="17"/>
      <c r="P1540" s="17"/>
      <c r="Q1540" s="48"/>
      <c r="R1540" s="11"/>
      <c r="S1540" s="48"/>
      <c r="T1540" s="85"/>
      <c r="U1540" s="88"/>
      <c r="V1540" s="32" t="s">
        <v>6512</v>
      </c>
      <c r="W1540" s="25" t="s">
        <v>8</v>
      </c>
      <c r="X1540" s="11"/>
      <c r="Y1540" s="50" t="s">
        <v>13</v>
      </c>
      <c r="Z1540" s="50"/>
      <c r="AA1540" s="50"/>
      <c r="AB1540" s="50"/>
      <c r="AC1540" s="50"/>
      <c r="AD1540" s="50"/>
      <c r="AE1540" s="50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65" t="s">
        <v>6229</v>
      </c>
      <c r="AP1540" s="69" t="s">
        <v>6513</v>
      </c>
      <c r="AQ1540" s="62"/>
      <c r="AR1540" s="34"/>
    </row>
    <row r="1541" spans="1:44" customFormat="1">
      <c r="A1541" s="39">
        <v>45127</v>
      </c>
      <c r="B1541" s="11" t="s">
        <v>49</v>
      </c>
      <c r="C1541" s="16" t="s">
        <v>6514</v>
      </c>
      <c r="D1541" s="16" t="s">
        <v>6515</v>
      </c>
      <c r="E1541" s="38">
        <v>29156</v>
      </c>
      <c r="F1541" s="38"/>
      <c r="G1541" s="10" t="s">
        <v>4903</v>
      </c>
      <c r="H1541" s="12" t="s">
        <v>6516</v>
      </c>
      <c r="I1541" s="13" t="s">
        <v>6524</v>
      </c>
      <c r="J1541" s="15" t="s">
        <v>6518</v>
      </c>
      <c r="K1541" s="46" t="s">
        <v>6517</v>
      </c>
      <c r="L1541" s="11" t="s">
        <v>36</v>
      </c>
      <c r="M1541" s="15" t="s">
        <v>3584</v>
      </c>
      <c r="N1541" s="17">
        <v>16500</v>
      </c>
      <c r="O1541" s="17"/>
      <c r="P1541" s="17"/>
      <c r="Q1541" s="48"/>
      <c r="R1541" s="11"/>
      <c r="S1541" s="48"/>
      <c r="T1541" s="85"/>
      <c r="U1541" s="88"/>
      <c r="V1541" s="32" t="s">
        <v>6526</v>
      </c>
      <c r="W1541" s="25"/>
      <c r="X1541" s="11"/>
      <c r="Y1541" s="50"/>
      <c r="Z1541" s="50"/>
      <c r="AA1541" s="50"/>
      <c r="AB1541" s="50"/>
      <c r="AC1541" s="50"/>
      <c r="AD1541" s="50"/>
      <c r="AE1541" s="50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65"/>
      <c r="AP1541" s="69"/>
      <c r="AQ1541" s="62"/>
      <c r="AR1541" s="34"/>
    </row>
    <row r="1542" spans="1:44" customFormat="1">
      <c r="A1542" s="39">
        <v>45127</v>
      </c>
      <c r="B1542" s="11" t="s">
        <v>22</v>
      </c>
      <c r="C1542" s="16" t="s">
        <v>6519</v>
      </c>
      <c r="D1542" s="16" t="s">
        <v>6520</v>
      </c>
      <c r="E1542" s="38">
        <v>18581</v>
      </c>
      <c r="F1542" s="38"/>
      <c r="G1542" s="10" t="s">
        <v>4870</v>
      </c>
      <c r="H1542" s="12" t="s">
        <v>6521</v>
      </c>
      <c r="I1542" s="13" t="s">
        <v>6522</v>
      </c>
      <c r="J1542" s="15" t="s">
        <v>6523</v>
      </c>
      <c r="K1542" s="12"/>
      <c r="L1542" s="11" t="s">
        <v>34</v>
      </c>
      <c r="M1542" s="15" t="s">
        <v>3577</v>
      </c>
      <c r="N1542" s="17">
        <v>3300</v>
      </c>
      <c r="O1542" s="17"/>
      <c r="P1542" s="17"/>
      <c r="Q1542" s="48"/>
      <c r="R1542" s="11"/>
      <c r="S1542" s="48"/>
      <c r="T1542" s="85"/>
      <c r="U1542" s="88"/>
      <c r="V1542" s="32"/>
      <c r="W1542" s="25" t="s">
        <v>8</v>
      </c>
      <c r="X1542" s="11"/>
      <c r="Y1542" s="50"/>
      <c r="Z1542" s="50"/>
      <c r="AA1542" s="50"/>
      <c r="AB1542" s="50"/>
      <c r="AC1542" s="50"/>
      <c r="AD1542" s="50"/>
      <c r="AE1542" s="50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65" t="s">
        <v>6229</v>
      </c>
      <c r="AP1542" s="69"/>
      <c r="AQ1542" s="62"/>
      <c r="AR1542" s="34"/>
    </row>
    <row r="1543" spans="1:44" customFormat="1">
      <c r="A1543" s="39">
        <v>45127</v>
      </c>
      <c r="B1543" s="11" t="s">
        <v>22</v>
      </c>
      <c r="C1543" s="16" t="s">
        <v>6514</v>
      </c>
      <c r="D1543" s="16" t="s">
        <v>6515</v>
      </c>
      <c r="E1543" s="38">
        <v>29156</v>
      </c>
      <c r="F1543" s="38"/>
      <c r="G1543" s="10" t="s">
        <v>4903</v>
      </c>
      <c r="H1543" s="12" t="s">
        <v>6516</v>
      </c>
      <c r="I1543" s="13" t="s">
        <v>6524</v>
      </c>
      <c r="J1543" s="15" t="s">
        <v>6518</v>
      </c>
      <c r="K1543" s="46" t="s">
        <v>6517</v>
      </c>
      <c r="L1543" s="11" t="s">
        <v>36</v>
      </c>
      <c r="M1543" s="15" t="s">
        <v>3584</v>
      </c>
      <c r="N1543" s="17">
        <v>3300</v>
      </c>
      <c r="O1543" s="17"/>
      <c r="P1543" s="17"/>
      <c r="Q1543" s="48"/>
      <c r="R1543" s="11"/>
      <c r="S1543" s="48"/>
      <c r="T1543" s="85" t="s">
        <v>8079</v>
      </c>
      <c r="U1543" s="91">
        <v>45140</v>
      </c>
      <c r="V1543" s="32" t="s">
        <v>6526</v>
      </c>
      <c r="W1543" s="25"/>
      <c r="X1543" s="11"/>
      <c r="Y1543" s="50"/>
      <c r="Z1543" s="50"/>
      <c r="AA1543" s="50"/>
      <c r="AB1543" s="50"/>
      <c r="AC1543" s="50"/>
      <c r="AD1543" s="50"/>
      <c r="AE1543" s="50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65" t="s">
        <v>5822</v>
      </c>
      <c r="AP1543" s="75" t="s">
        <v>6525</v>
      </c>
      <c r="AQ1543" s="62" t="s">
        <v>8079</v>
      </c>
      <c r="AR1543" s="80">
        <v>45140</v>
      </c>
    </row>
    <row r="1544" spans="1:44" customFormat="1">
      <c r="A1544" s="39">
        <v>45130</v>
      </c>
      <c r="B1544" s="11" t="s">
        <v>22</v>
      </c>
      <c r="C1544" s="16" t="s">
        <v>6527</v>
      </c>
      <c r="D1544" s="16" t="s">
        <v>6528</v>
      </c>
      <c r="E1544" s="38">
        <v>22619</v>
      </c>
      <c r="F1544" s="38"/>
      <c r="G1544" s="10" t="s">
        <v>1245</v>
      </c>
      <c r="H1544" s="12" t="s">
        <v>6529</v>
      </c>
      <c r="I1544" s="13" t="s">
        <v>3463</v>
      </c>
      <c r="J1544" s="15" t="s">
        <v>6530</v>
      </c>
      <c r="K1544" s="12"/>
      <c r="L1544" s="11" t="s">
        <v>34</v>
      </c>
      <c r="M1544" s="15" t="s">
        <v>3629</v>
      </c>
      <c r="N1544" s="17">
        <v>2750</v>
      </c>
      <c r="O1544" s="17"/>
      <c r="P1544" s="17"/>
      <c r="Q1544" s="48"/>
      <c r="R1544" s="11"/>
      <c r="S1544" s="48"/>
      <c r="T1544" s="85" t="s">
        <v>8079</v>
      </c>
      <c r="U1544" s="91">
        <v>45144</v>
      </c>
      <c r="V1544" s="32" t="s">
        <v>6468</v>
      </c>
      <c r="W1544" s="25"/>
      <c r="X1544" s="11"/>
      <c r="Y1544" s="50"/>
      <c r="Z1544" s="50"/>
      <c r="AA1544" s="50"/>
      <c r="AB1544" s="50"/>
      <c r="AC1544" s="50"/>
      <c r="AD1544" s="50"/>
      <c r="AE1544" s="50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65" t="s">
        <v>5822</v>
      </c>
      <c r="AP1544" s="69" t="s">
        <v>6531</v>
      </c>
      <c r="AQ1544" s="62" t="s">
        <v>8079</v>
      </c>
      <c r="AR1544" s="80">
        <v>45144</v>
      </c>
    </row>
    <row r="1545" spans="1:44" customFormat="1">
      <c r="A1545" s="39">
        <v>45131</v>
      </c>
      <c r="B1545" s="11" t="s">
        <v>22</v>
      </c>
      <c r="C1545" s="16" t="s">
        <v>6532</v>
      </c>
      <c r="D1545" s="16" t="s">
        <v>6533</v>
      </c>
      <c r="E1545" s="38">
        <v>19058</v>
      </c>
      <c r="F1545" s="38"/>
      <c r="G1545" s="10" t="s">
        <v>6536</v>
      </c>
      <c r="H1545" s="12" t="s">
        <v>6534</v>
      </c>
      <c r="I1545" s="13" t="s">
        <v>6535</v>
      </c>
      <c r="J1545" s="15" t="s">
        <v>6537</v>
      </c>
      <c r="K1545" s="12"/>
      <c r="L1545" s="11"/>
      <c r="M1545" s="15"/>
      <c r="N1545" s="17">
        <v>0</v>
      </c>
      <c r="O1545" s="17"/>
      <c r="P1545" s="17"/>
      <c r="Q1545" s="48"/>
      <c r="R1545" s="11"/>
      <c r="S1545" s="48"/>
      <c r="T1545" s="85"/>
      <c r="U1545" s="88"/>
      <c r="V1545" s="32" t="s">
        <v>6538</v>
      </c>
      <c r="W1545" s="25"/>
      <c r="X1545" s="11"/>
      <c r="Y1545" s="50"/>
      <c r="Z1545" s="50"/>
      <c r="AA1545" s="50"/>
      <c r="AB1545" s="50"/>
      <c r="AC1545" s="50"/>
      <c r="AD1545" s="50"/>
      <c r="AE1545" s="50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65" t="s">
        <v>6229</v>
      </c>
      <c r="AP1545" s="69"/>
      <c r="AQ1545" s="62"/>
      <c r="AR1545" s="34"/>
    </row>
    <row r="1546" spans="1:44" customFormat="1">
      <c r="A1546" s="39">
        <v>45133</v>
      </c>
      <c r="B1546" s="11" t="s">
        <v>22</v>
      </c>
      <c r="C1546" s="16" t="s">
        <v>6539</v>
      </c>
      <c r="D1546" s="16" t="s">
        <v>6540</v>
      </c>
      <c r="E1546" s="38">
        <v>28019</v>
      </c>
      <c r="F1546" s="38"/>
      <c r="G1546" s="10" t="s">
        <v>4141</v>
      </c>
      <c r="H1546" s="22" t="s">
        <v>6541</v>
      </c>
      <c r="I1546" s="13">
        <v>4.2</v>
      </c>
      <c r="J1546" s="15" t="s">
        <v>6542</v>
      </c>
      <c r="K1546" s="12"/>
      <c r="L1546" s="11" t="s">
        <v>34</v>
      </c>
      <c r="M1546" s="15" t="s">
        <v>3584</v>
      </c>
      <c r="N1546" s="17">
        <v>3300</v>
      </c>
      <c r="O1546" s="17"/>
      <c r="P1546" s="17"/>
      <c r="Q1546" s="48"/>
      <c r="R1546" s="11"/>
      <c r="S1546" s="48"/>
      <c r="T1546" s="85"/>
      <c r="U1546" s="89">
        <v>45154</v>
      </c>
      <c r="V1546" s="32"/>
      <c r="W1546" s="25" t="s">
        <v>48</v>
      </c>
      <c r="X1546" s="11"/>
      <c r="Y1546" s="50"/>
      <c r="Z1546" s="50"/>
      <c r="AA1546" s="50"/>
      <c r="AB1546" s="50"/>
      <c r="AC1546" s="50"/>
      <c r="AD1546" s="50"/>
      <c r="AE1546" s="50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65" t="s">
        <v>5822</v>
      </c>
      <c r="AP1546" s="69"/>
      <c r="AQ1546" s="62"/>
      <c r="AR1546" s="78">
        <v>45154</v>
      </c>
    </row>
    <row r="1547" spans="1:44" customFormat="1">
      <c r="A1547" s="39">
        <v>45136</v>
      </c>
      <c r="B1547" s="11" t="s">
        <v>49</v>
      </c>
      <c r="C1547" s="16" t="s">
        <v>6543</v>
      </c>
      <c r="D1547" s="16" t="s">
        <v>6544</v>
      </c>
      <c r="E1547" s="38">
        <v>25855</v>
      </c>
      <c r="F1547" s="38"/>
      <c r="G1547" s="10" t="s">
        <v>6545</v>
      </c>
      <c r="H1547" s="22" t="s">
        <v>6546</v>
      </c>
      <c r="I1547" s="13">
        <v>6.2</v>
      </c>
      <c r="J1547" s="15" t="s">
        <v>6548</v>
      </c>
      <c r="K1547" s="46" t="s">
        <v>6547</v>
      </c>
      <c r="L1547" s="11" t="s">
        <v>36</v>
      </c>
      <c r="M1547" s="15" t="s">
        <v>3584</v>
      </c>
      <c r="N1547" s="17">
        <v>16500</v>
      </c>
      <c r="O1547" s="17"/>
      <c r="P1547" s="17"/>
      <c r="Q1547" s="48"/>
      <c r="R1547" s="11"/>
      <c r="S1547" s="48"/>
      <c r="T1547" s="85" t="s">
        <v>8073</v>
      </c>
      <c r="U1547" s="88"/>
      <c r="V1547" s="32"/>
      <c r="W1547" s="25" t="s">
        <v>8</v>
      </c>
      <c r="X1547" s="11"/>
      <c r="Y1547" s="50"/>
      <c r="Z1547" s="50"/>
      <c r="AA1547" s="50"/>
      <c r="AB1547" s="50"/>
      <c r="AC1547" s="50"/>
      <c r="AD1547" s="50"/>
      <c r="AE1547" s="50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65"/>
      <c r="AP1547" s="69"/>
      <c r="AQ1547" s="62"/>
      <c r="AR1547" s="34"/>
    </row>
    <row r="1548" spans="1:44" customFormat="1">
      <c r="A1548" s="39">
        <v>45136</v>
      </c>
      <c r="B1548" s="11" t="s">
        <v>49</v>
      </c>
      <c r="C1548" s="16" t="s">
        <v>6549</v>
      </c>
      <c r="D1548" s="16" t="s">
        <v>6550</v>
      </c>
      <c r="E1548" s="38">
        <v>30877</v>
      </c>
      <c r="F1548" s="38"/>
      <c r="G1548" s="10" t="s">
        <v>6551</v>
      </c>
      <c r="H1548" s="22" t="s">
        <v>6552</v>
      </c>
      <c r="I1548" s="13">
        <v>31.5</v>
      </c>
      <c r="J1548" s="15" t="s">
        <v>6559</v>
      </c>
      <c r="K1548" s="46" t="s">
        <v>6553</v>
      </c>
      <c r="L1548" s="11" t="s">
        <v>36</v>
      </c>
      <c r="M1548" s="15" t="s">
        <v>3584</v>
      </c>
      <c r="N1548" s="17">
        <v>16500</v>
      </c>
      <c r="O1548" s="17"/>
      <c r="P1548" s="17"/>
      <c r="Q1548" s="48"/>
      <c r="R1548" s="11"/>
      <c r="S1548" s="48"/>
      <c r="T1548" s="85"/>
      <c r="U1548" s="88"/>
      <c r="V1548" s="32"/>
      <c r="W1548" s="25" t="s">
        <v>48</v>
      </c>
      <c r="X1548" s="11"/>
      <c r="Y1548" s="50"/>
      <c r="Z1548" s="50"/>
      <c r="AA1548" s="50"/>
      <c r="AB1548" s="50"/>
      <c r="AC1548" s="50"/>
      <c r="AD1548" s="50"/>
      <c r="AE1548" s="50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65"/>
      <c r="AP1548" s="69"/>
      <c r="AQ1548" s="62"/>
      <c r="AR1548" s="34"/>
    </row>
    <row r="1549" spans="1:44" customFormat="1">
      <c r="A1549" s="39">
        <v>45136</v>
      </c>
      <c r="B1549" s="11" t="s">
        <v>22</v>
      </c>
      <c r="C1549" s="16" t="s">
        <v>6554</v>
      </c>
      <c r="D1549" s="16" t="s">
        <v>6555</v>
      </c>
      <c r="E1549" s="38">
        <v>25763</v>
      </c>
      <c r="F1549" s="38"/>
      <c r="G1549" s="10" t="s">
        <v>6556</v>
      </c>
      <c r="H1549" s="12" t="s">
        <v>6557</v>
      </c>
      <c r="I1549" s="13">
        <v>17.7</v>
      </c>
      <c r="J1549" s="15" t="s">
        <v>6558</v>
      </c>
      <c r="K1549" s="12"/>
      <c r="L1549" s="11" t="s">
        <v>36</v>
      </c>
      <c r="M1549" s="15" t="s">
        <v>3599</v>
      </c>
      <c r="N1549" s="17">
        <v>3300</v>
      </c>
      <c r="O1549" s="17"/>
      <c r="P1549" s="17"/>
      <c r="Q1549" s="48"/>
      <c r="R1549" s="11"/>
      <c r="S1549" s="48"/>
      <c r="T1549" s="85" t="s">
        <v>8079</v>
      </c>
      <c r="U1549" s="91">
        <v>45141</v>
      </c>
      <c r="V1549" s="32"/>
      <c r="W1549" s="25" t="s">
        <v>48</v>
      </c>
      <c r="X1549" s="11"/>
      <c r="Y1549" s="50"/>
      <c r="Z1549" s="50"/>
      <c r="AA1549" s="50"/>
      <c r="AB1549" s="50"/>
      <c r="AC1549" s="50"/>
      <c r="AD1549" s="50"/>
      <c r="AE1549" s="50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65" t="s">
        <v>5822</v>
      </c>
      <c r="AP1549" s="69"/>
      <c r="AQ1549" s="62" t="s">
        <v>8079</v>
      </c>
      <c r="AR1549" s="80">
        <v>45141</v>
      </c>
    </row>
    <row r="1550" spans="1:44" customFormat="1">
      <c r="A1550" s="39">
        <v>45137</v>
      </c>
      <c r="B1550" s="11" t="s">
        <v>49</v>
      </c>
      <c r="C1550" s="16" t="s">
        <v>6560</v>
      </c>
      <c r="D1550" s="16" t="s">
        <v>6561</v>
      </c>
      <c r="E1550" s="38">
        <v>22714</v>
      </c>
      <c r="F1550" s="38"/>
      <c r="G1550" s="10" t="s">
        <v>3194</v>
      </c>
      <c r="H1550" s="12" t="s">
        <v>6562</v>
      </c>
      <c r="I1550" s="13">
        <v>38.799999999999997</v>
      </c>
      <c r="J1550" s="15" t="s">
        <v>6564</v>
      </c>
      <c r="K1550" s="46" t="s">
        <v>6563</v>
      </c>
      <c r="L1550" s="11" t="s">
        <v>36</v>
      </c>
      <c r="M1550" s="15" t="s">
        <v>3584</v>
      </c>
      <c r="N1550" s="17">
        <v>16500</v>
      </c>
      <c r="O1550" s="17"/>
      <c r="P1550" s="17"/>
      <c r="Q1550" s="48"/>
      <c r="R1550" s="11"/>
      <c r="S1550" s="48"/>
      <c r="T1550" s="85" t="s">
        <v>8073</v>
      </c>
      <c r="U1550" s="88"/>
      <c r="V1550" s="32"/>
      <c r="W1550" s="25" t="s">
        <v>48</v>
      </c>
      <c r="X1550" s="11"/>
      <c r="Y1550" s="50" t="s">
        <v>14</v>
      </c>
      <c r="Z1550" s="50"/>
      <c r="AA1550" s="50"/>
      <c r="AB1550" s="50"/>
      <c r="AC1550" s="50"/>
      <c r="AD1550" s="50"/>
      <c r="AE1550" s="50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65"/>
      <c r="AP1550" s="69"/>
      <c r="AQ1550" s="62"/>
      <c r="AR1550" s="34"/>
    </row>
    <row r="1551" spans="1:44" customFormat="1">
      <c r="A1551" s="39">
        <v>45137</v>
      </c>
      <c r="B1551" s="11" t="s">
        <v>22</v>
      </c>
      <c r="C1551" s="16" t="s">
        <v>6565</v>
      </c>
      <c r="D1551" s="16" t="s">
        <v>6566</v>
      </c>
      <c r="E1551" s="38">
        <v>22087</v>
      </c>
      <c r="F1551" s="38"/>
      <c r="G1551" s="10" t="s">
        <v>6567</v>
      </c>
      <c r="H1551" s="12" t="s">
        <v>6568</v>
      </c>
      <c r="I1551" s="13">
        <v>8.3000000000000007</v>
      </c>
      <c r="J1551" s="15" t="s">
        <v>6570</v>
      </c>
      <c r="K1551" s="46" t="s">
        <v>6569</v>
      </c>
      <c r="L1551" s="11" t="s">
        <v>36</v>
      </c>
      <c r="M1551" s="15" t="s">
        <v>3584</v>
      </c>
      <c r="N1551" s="17">
        <v>2750</v>
      </c>
      <c r="O1551" s="17"/>
      <c r="P1551" s="17"/>
      <c r="Q1551" s="48"/>
      <c r="R1551" s="11"/>
      <c r="S1551" s="48"/>
      <c r="T1551" s="85" t="s">
        <v>8079</v>
      </c>
      <c r="U1551" s="91">
        <v>45143</v>
      </c>
      <c r="V1551" s="32" t="s">
        <v>6468</v>
      </c>
      <c r="W1551" s="25" t="s">
        <v>48</v>
      </c>
      <c r="X1551" s="11"/>
      <c r="Y1551" s="50"/>
      <c r="Z1551" s="50"/>
      <c r="AA1551" s="50"/>
      <c r="AB1551" s="50"/>
      <c r="AC1551" s="50"/>
      <c r="AD1551" s="50"/>
      <c r="AE1551" s="50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65" t="s">
        <v>5822</v>
      </c>
      <c r="AP1551" s="69" t="s">
        <v>6571</v>
      </c>
      <c r="AQ1551" s="62" t="s">
        <v>8079</v>
      </c>
      <c r="AR1551" s="80">
        <v>45143</v>
      </c>
    </row>
    <row r="1552" spans="1:44" customFormat="1">
      <c r="A1552" s="39">
        <v>45141</v>
      </c>
      <c r="B1552" s="11" t="s">
        <v>49</v>
      </c>
      <c r="C1552" s="16" t="s">
        <v>6572</v>
      </c>
      <c r="D1552" s="16" t="s">
        <v>6573</v>
      </c>
      <c r="E1552" s="38">
        <v>26598</v>
      </c>
      <c r="F1552" s="38"/>
      <c r="G1552" s="10" t="s">
        <v>5537</v>
      </c>
      <c r="H1552" s="22" t="s">
        <v>6574</v>
      </c>
      <c r="I1552" s="13">
        <v>5.9</v>
      </c>
      <c r="J1552" s="15" t="s">
        <v>6575</v>
      </c>
      <c r="K1552" s="12"/>
      <c r="L1552" s="11" t="s">
        <v>34</v>
      </c>
      <c r="M1552" s="15" t="s">
        <v>3599</v>
      </c>
      <c r="N1552" s="17">
        <v>16500</v>
      </c>
      <c r="O1552" s="17"/>
      <c r="P1552" s="17"/>
      <c r="Q1552" s="48"/>
      <c r="R1552" s="11"/>
      <c r="S1552" s="48"/>
      <c r="T1552" s="85"/>
      <c r="U1552" s="88"/>
      <c r="V1552" s="32"/>
      <c r="W1552" s="25"/>
      <c r="X1552" s="11"/>
      <c r="Y1552" s="50" t="s">
        <v>13</v>
      </c>
      <c r="Z1552" s="50"/>
      <c r="AA1552" s="50"/>
      <c r="AB1552" s="50"/>
      <c r="AC1552" s="50"/>
      <c r="AD1552" s="50"/>
      <c r="AE1552" s="50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65"/>
      <c r="AP1552" s="69"/>
      <c r="AQ1552" s="62"/>
      <c r="AR1552" s="34"/>
    </row>
    <row r="1553" spans="1:44" customFormat="1">
      <c r="A1553" s="39">
        <v>45141</v>
      </c>
      <c r="B1553" s="11" t="s">
        <v>49</v>
      </c>
      <c r="C1553" s="16" t="s">
        <v>171</v>
      </c>
      <c r="D1553" s="16" t="s">
        <v>6576</v>
      </c>
      <c r="E1553" s="38">
        <v>27694</v>
      </c>
      <c r="F1553" s="38"/>
      <c r="G1553" s="10" t="s">
        <v>6577</v>
      </c>
      <c r="H1553" s="12" t="s">
        <v>6578</v>
      </c>
      <c r="I1553" s="13">
        <v>35.799999999999997</v>
      </c>
      <c r="J1553" s="15" t="s">
        <v>172</v>
      </c>
      <c r="K1553" s="12"/>
      <c r="L1553" s="11" t="s">
        <v>34</v>
      </c>
      <c r="M1553" s="15"/>
      <c r="N1553" s="17">
        <v>0</v>
      </c>
      <c r="O1553" s="17"/>
      <c r="P1553" s="17"/>
      <c r="Q1553" s="48"/>
      <c r="R1553" s="11"/>
      <c r="S1553" s="48"/>
      <c r="T1553" s="85" t="s">
        <v>8073</v>
      </c>
      <c r="U1553" s="88"/>
      <c r="V1553" s="32" t="s">
        <v>6579</v>
      </c>
      <c r="W1553" s="25" t="s">
        <v>8</v>
      </c>
      <c r="X1553" s="11"/>
      <c r="Y1553" s="50"/>
      <c r="Z1553" s="50"/>
      <c r="AA1553" s="50"/>
      <c r="AB1553" s="50"/>
      <c r="AC1553" s="50"/>
      <c r="AD1553" s="50"/>
      <c r="AE1553" s="50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65"/>
      <c r="AP1553" s="69"/>
      <c r="AQ1553" s="62"/>
      <c r="AR1553" s="34"/>
    </row>
    <row r="1554" spans="1:44" customFormat="1">
      <c r="A1554" s="39">
        <v>45143</v>
      </c>
      <c r="B1554" s="11" t="s">
        <v>22</v>
      </c>
      <c r="C1554" s="16" t="s">
        <v>6580</v>
      </c>
      <c r="D1554" s="16" t="s">
        <v>6581</v>
      </c>
      <c r="E1554" s="38">
        <v>22535</v>
      </c>
      <c r="F1554" s="38"/>
      <c r="G1554" s="10" t="s">
        <v>3915</v>
      </c>
      <c r="H1554" s="22" t="s">
        <v>6582</v>
      </c>
      <c r="I1554" s="13">
        <v>10.1</v>
      </c>
      <c r="J1554" s="15" t="s">
        <v>6584</v>
      </c>
      <c r="K1554" s="46" t="s">
        <v>6583</v>
      </c>
      <c r="L1554" s="11" t="s">
        <v>34</v>
      </c>
      <c r="M1554" s="15" t="s">
        <v>3584</v>
      </c>
      <c r="N1554" s="17">
        <v>3300</v>
      </c>
      <c r="O1554" s="17"/>
      <c r="P1554" s="17"/>
      <c r="Q1554" s="48"/>
      <c r="R1554" s="11"/>
      <c r="S1554" s="48"/>
      <c r="T1554" s="85" t="s">
        <v>8079</v>
      </c>
      <c r="U1554" s="91">
        <v>45143</v>
      </c>
      <c r="V1554" s="32" t="s">
        <v>6579</v>
      </c>
      <c r="W1554" s="25" t="s">
        <v>8</v>
      </c>
      <c r="X1554" s="11"/>
      <c r="Y1554" s="50"/>
      <c r="Z1554" s="50"/>
      <c r="AA1554" s="50"/>
      <c r="AB1554" s="50"/>
      <c r="AC1554" s="50"/>
      <c r="AD1554" s="50"/>
      <c r="AE1554" s="50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65" t="s">
        <v>6585</v>
      </c>
      <c r="AP1554" s="69"/>
      <c r="AQ1554" s="62" t="s">
        <v>8079</v>
      </c>
      <c r="AR1554" s="80">
        <v>45143</v>
      </c>
    </row>
    <row r="1555" spans="1:44" customFormat="1">
      <c r="A1555" s="39">
        <v>45144</v>
      </c>
      <c r="B1555" s="11" t="s">
        <v>49</v>
      </c>
      <c r="C1555" s="16" t="s">
        <v>6586</v>
      </c>
      <c r="D1555" s="16" t="s">
        <v>6587</v>
      </c>
      <c r="E1555" s="38">
        <v>21869</v>
      </c>
      <c r="F1555" s="38"/>
      <c r="G1555" s="10" t="s">
        <v>6588</v>
      </c>
      <c r="H1555" s="22" t="s">
        <v>6589</v>
      </c>
      <c r="I1555" s="13">
        <v>23.9</v>
      </c>
      <c r="J1555" s="15" t="s">
        <v>6590</v>
      </c>
      <c r="K1555" s="12"/>
      <c r="L1555" s="11" t="s">
        <v>37</v>
      </c>
      <c r="M1555" s="15" t="s">
        <v>3629</v>
      </c>
      <c r="N1555" s="17">
        <v>0</v>
      </c>
      <c r="O1555" s="17"/>
      <c r="P1555" s="17"/>
      <c r="Q1555" s="48"/>
      <c r="R1555" s="11"/>
      <c r="S1555" s="48"/>
      <c r="T1555" s="85" t="s">
        <v>8073</v>
      </c>
      <c r="U1555" s="88"/>
      <c r="V1555" s="32" t="s">
        <v>4613</v>
      </c>
      <c r="W1555" s="25" t="s">
        <v>8</v>
      </c>
      <c r="X1555" s="11"/>
      <c r="Y1555" s="50"/>
      <c r="Z1555" s="50"/>
      <c r="AA1555" s="50"/>
      <c r="AB1555" s="50"/>
      <c r="AC1555" s="50"/>
      <c r="AD1555" s="50"/>
      <c r="AE1555" s="50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65"/>
      <c r="AP1555" s="69"/>
      <c r="AQ1555" s="62"/>
      <c r="AR1555" s="34"/>
    </row>
    <row r="1556" spans="1:44" customFormat="1">
      <c r="A1556" s="39">
        <v>45148</v>
      </c>
      <c r="B1556" s="11" t="s">
        <v>22</v>
      </c>
      <c r="C1556" s="16" t="s">
        <v>5305</v>
      </c>
      <c r="D1556" s="16" t="s">
        <v>6591</v>
      </c>
      <c r="E1556" s="38">
        <v>27373</v>
      </c>
      <c r="F1556" s="38"/>
      <c r="G1556" s="10" t="s">
        <v>623</v>
      </c>
      <c r="H1556" s="12" t="s">
        <v>6592</v>
      </c>
      <c r="I1556" s="13" t="s">
        <v>6593</v>
      </c>
      <c r="J1556" s="15" t="s">
        <v>6595</v>
      </c>
      <c r="K1556" s="12" t="s">
        <v>6594</v>
      </c>
      <c r="L1556" s="11" t="s">
        <v>33</v>
      </c>
      <c r="M1556" s="15" t="s">
        <v>3584</v>
      </c>
      <c r="N1556" s="17">
        <v>3300</v>
      </c>
      <c r="O1556" s="17"/>
      <c r="P1556" s="17"/>
      <c r="Q1556" s="48"/>
      <c r="R1556" s="11"/>
      <c r="S1556" s="48"/>
      <c r="T1556" s="85" t="s">
        <v>8082</v>
      </c>
      <c r="U1556" s="91">
        <v>45173</v>
      </c>
      <c r="V1556" s="32" t="s">
        <v>5309</v>
      </c>
      <c r="W1556" s="25" t="s">
        <v>8</v>
      </c>
      <c r="X1556" s="11"/>
      <c r="Y1556" s="50" t="s">
        <v>17</v>
      </c>
      <c r="Z1556" s="50"/>
      <c r="AA1556" s="50"/>
      <c r="AB1556" s="50"/>
      <c r="AC1556" s="50"/>
      <c r="AD1556" s="50"/>
      <c r="AE1556" s="50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65"/>
      <c r="AP1556" s="69"/>
      <c r="AQ1556" s="62" t="s">
        <v>8082</v>
      </c>
      <c r="AR1556" s="80">
        <v>45173</v>
      </c>
    </row>
    <row r="1557" spans="1:44" customFormat="1">
      <c r="A1557" s="39">
        <v>45152</v>
      </c>
      <c r="B1557" s="11" t="s">
        <v>22</v>
      </c>
      <c r="C1557" s="16" t="s">
        <v>3123</v>
      </c>
      <c r="D1557" s="16" t="s">
        <v>6597</v>
      </c>
      <c r="E1557" s="38">
        <v>30614</v>
      </c>
      <c r="F1557" s="38"/>
      <c r="G1557" s="10" t="s">
        <v>3124</v>
      </c>
      <c r="H1557" s="12" t="s">
        <v>3125</v>
      </c>
      <c r="I1557" s="13" t="s">
        <v>3126</v>
      </c>
      <c r="J1557" s="15" t="s">
        <v>3127</v>
      </c>
      <c r="K1557" s="12"/>
      <c r="L1557" s="11" t="s">
        <v>36</v>
      </c>
      <c r="M1557" s="15"/>
      <c r="N1557" s="17">
        <v>3300</v>
      </c>
      <c r="O1557" s="17"/>
      <c r="P1557" s="17"/>
      <c r="Q1557" s="48"/>
      <c r="R1557" s="11"/>
      <c r="S1557" s="48"/>
      <c r="T1557" s="85"/>
      <c r="U1557" s="89">
        <v>45184</v>
      </c>
      <c r="V1557" s="32" t="s">
        <v>6468</v>
      </c>
      <c r="W1557" s="25" t="s">
        <v>48</v>
      </c>
      <c r="X1557" s="11"/>
      <c r="Y1557" s="50" t="s">
        <v>13</v>
      </c>
      <c r="Z1557" s="50"/>
      <c r="AA1557" s="50"/>
      <c r="AB1557" s="50"/>
      <c r="AC1557" s="50"/>
      <c r="AD1557" s="50"/>
      <c r="AE1557" s="50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65" t="s">
        <v>5822</v>
      </c>
      <c r="AP1557" s="69" t="s">
        <v>6596</v>
      </c>
      <c r="AQ1557" s="62"/>
      <c r="AR1557" s="78">
        <v>45184</v>
      </c>
    </row>
    <row r="1558" spans="1:44" customFormat="1">
      <c r="A1558" s="39">
        <v>45154</v>
      </c>
      <c r="B1558" s="11" t="s">
        <v>22</v>
      </c>
      <c r="C1558" s="16" t="s">
        <v>6754</v>
      </c>
      <c r="D1558" s="16" t="s">
        <v>6599</v>
      </c>
      <c r="E1558" s="38">
        <v>30537</v>
      </c>
      <c r="F1558" s="38"/>
      <c r="G1558" s="10" t="s">
        <v>6600</v>
      </c>
      <c r="H1558" s="12" t="s">
        <v>6280</v>
      </c>
      <c r="I1558" s="13">
        <v>2.6</v>
      </c>
      <c r="J1558" s="15" t="s">
        <v>6602</v>
      </c>
      <c r="K1558" s="12" t="s">
        <v>6601</v>
      </c>
      <c r="L1558" s="11" t="s">
        <v>36</v>
      </c>
      <c r="M1558" s="15" t="s">
        <v>3584</v>
      </c>
      <c r="N1558" s="17">
        <v>0</v>
      </c>
      <c r="O1558" s="17"/>
      <c r="P1558" s="17"/>
      <c r="Q1558" s="48"/>
      <c r="R1558" s="11"/>
      <c r="S1558" s="48"/>
      <c r="T1558" s="85" t="s">
        <v>8083</v>
      </c>
      <c r="U1558" s="89">
        <v>45184</v>
      </c>
      <c r="V1558" s="32" t="s">
        <v>6603</v>
      </c>
      <c r="W1558" s="25"/>
      <c r="X1558" s="11"/>
      <c r="Y1558" s="50"/>
      <c r="Z1558" s="50"/>
      <c r="AA1558" s="50"/>
      <c r="AB1558" s="50"/>
      <c r="AC1558" s="50"/>
      <c r="AD1558" s="50"/>
      <c r="AE1558" s="50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65"/>
      <c r="AP1558" s="69"/>
      <c r="AQ1558" s="62" t="s">
        <v>8083</v>
      </c>
      <c r="AR1558" s="78">
        <v>45184</v>
      </c>
    </row>
    <row r="1559" spans="1:44" customFormat="1">
      <c r="A1559" s="39">
        <v>45155</v>
      </c>
      <c r="B1559" s="11" t="s">
        <v>2171</v>
      </c>
      <c r="C1559" s="16" t="s">
        <v>6663</v>
      </c>
      <c r="D1559" s="16" t="s">
        <v>5945</v>
      </c>
      <c r="E1559" s="39">
        <v>26636</v>
      </c>
      <c r="F1559" s="39"/>
      <c r="G1559" s="11" t="s">
        <v>3447</v>
      </c>
      <c r="H1559" s="12" t="s">
        <v>5946</v>
      </c>
      <c r="I1559" s="13">
        <v>5.7</v>
      </c>
      <c r="J1559" s="12" t="s">
        <v>5948</v>
      </c>
      <c r="K1559" s="46" t="s">
        <v>5947</v>
      </c>
      <c r="L1559" s="11"/>
      <c r="M1559" s="15"/>
      <c r="N1559" s="17">
        <v>3300</v>
      </c>
      <c r="O1559" s="17"/>
      <c r="P1559" s="17"/>
      <c r="Q1559" s="48"/>
      <c r="R1559" s="11"/>
      <c r="S1559" s="48"/>
      <c r="T1559" s="85"/>
      <c r="U1559" s="88"/>
      <c r="V1559" s="32"/>
      <c r="W1559" s="25"/>
      <c r="X1559" s="11"/>
      <c r="Y1559" s="50"/>
      <c r="Z1559" s="50"/>
      <c r="AA1559" s="50"/>
      <c r="AB1559" s="50"/>
      <c r="AC1559" s="50"/>
      <c r="AD1559" s="50"/>
      <c r="AE1559" s="50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65"/>
      <c r="AP1559" s="69"/>
      <c r="AQ1559" s="62"/>
      <c r="AR1559" s="34"/>
    </row>
    <row r="1560" spans="1:44" customFormat="1">
      <c r="A1560" s="39">
        <v>45156</v>
      </c>
      <c r="B1560" s="11" t="s">
        <v>49</v>
      </c>
      <c r="C1560" s="16" t="s">
        <v>3843</v>
      </c>
      <c r="D1560" s="16" t="s">
        <v>6616</v>
      </c>
      <c r="E1560" s="38">
        <v>35132</v>
      </c>
      <c r="F1560" s="38"/>
      <c r="G1560" s="10" t="s">
        <v>3844</v>
      </c>
      <c r="H1560" s="12" t="s">
        <v>3845</v>
      </c>
      <c r="I1560" s="13" t="s">
        <v>3850</v>
      </c>
      <c r="J1560" s="15" t="s">
        <v>3846</v>
      </c>
      <c r="K1560" s="12"/>
      <c r="L1560" s="11" t="s">
        <v>39</v>
      </c>
      <c r="M1560" s="15" t="s">
        <v>3599</v>
      </c>
      <c r="N1560" s="17">
        <v>16500</v>
      </c>
      <c r="O1560" s="17"/>
      <c r="P1560" s="17"/>
      <c r="Q1560" s="48"/>
      <c r="R1560" s="11"/>
      <c r="S1560" s="48"/>
      <c r="T1560" s="85"/>
      <c r="U1560" s="88"/>
      <c r="V1560" s="32" t="s">
        <v>6606</v>
      </c>
      <c r="W1560" s="25" t="s">
        <v>3847</v>
      </c>
      <c r="X1560" s="11"/>
      <c r="Y1560" s="50" t="s">
        <v>13</v>
      </c>
      <c r="Z1560" s="50"/>
      <c r="AA1560" s="50"/>
      <c r="AB1560" s="50"/>
      <c r="AC1560" s="50"/>
      <c r="AD1560" s="50"/>
      <c r="AE1560" s="50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65"/>
      <c r="AP1560" s="69"/>
      <c r="AQ1560" s="62"/>
      <c r="AR1560" s="34"/>
    </row>
    <row r="1561" spans="1:44" customFormat="1">
      <c r="A1561" s="39">
        <v>45157</v>
      </c>
      <c r="B1561" s="11" t="s">
        <v>22</v>
      </c>
      <c r="C1561" s="16" t="s">
        <v>6607</v>
      </c>
      <c r="D1561" s="16" t="s">
        <v>6608</v>
      </c>
      <c r="E1561" s="38">
        <v>28522</v>
      </c>
      <c r="F1561" s="38"/>
      <c r="G1561" s="10" t="s">
        <v>551</v>
      </c>
      <c r="H1561" s="22" t="s">
        <v>6609</v>
      </c>
      <c r="I1561" s="13">
        <v>1.5</v>
      </c>
      <c r="J1561" s="15" t="s">
        <v>6610</v>
      </c>
      <c r="K1561" s="12"/>
      <c r="L1561" s="11" t="s">
        <v>36</v>
      </c>
      <c r="M1561" s="15" t="s">
        <v>3599</v>
      </c>
      <c r="N1561" s="17">
        <v>3300</v>
      </c>
      <c r="O1561" s="17"/>
      <c r="P1561" s="17"/>
      <c r="Q1561" s="48"/>
      <c r="R1561" s="11"/>
      <c r="S1561" s="48"/>
      <c r="T1561" s="85" t="s">
        <v>8079</v>
      </c>
      <c r="U1561" s="91">
        <v>45157</v>
      </c>
      <c r="V1561" s="32"/>
      <c r="W1561" s="25" t="s">
        <v>4073</v>
      </c>
      <c r="X1561" s="11"/>
      <c r="Y1561" s="50"/>
      <c r="Z1561" s="50"/>
      <c r="AA1561" s="50"/>
      <c r="AB1561" s="50"/>
      <c r="AC1561" s="50"/>
      <c r="AD1561" s="50"/>
      <c r="AE1561" s="50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65" t="s">
        <v>6585</v>
      </c>
      <c r="AP1561" s="69"/>
      <c r="AQ1561" s="62" t="s">
        <v>8079</v>
      </c>
      <c r="AR1561" s="80">
        <v>45157</v>
      </c>
    </row>
    <row r="1562" spans="1:44" customFormat="1">
      <c r="A1562" s="39">
        <v>45160</v>
      </c>
      <c r="B1562" s="11" t="s">
        <v>49</v>
      </c>
      <c r="C1562" s="16" t="s">
        <v>6611</v>
      </c>
      <c r="D1562" s="16" t="s">
        <v>6612</v>
      </c>
      <c r="E1562" s="38">
        <v>27083</v>
      </c>
      <c r="F1562" s="38"/>
      <c r="G1562" s="10" t="s">
        <v>6404</v>
      </c>
      <c r="H1562" s="12" t="s">
        <v>6613</v>
      </c>
      <c r="I1562" s="13" t="s">
        <v>1613</v>
      </c>
      <c r="J1562" s="15" t="s">
        <v>6615</v>
      </c>
      <c r="K1562" s="46" t="s">
        <v>6614</v>
      </c>
      <c r="L1562" s="11" t="s">
        <v>34</v>
      </c>
      <c r="M1562" s="15" t="s">
        <v>3584</v>
      </c>
      <c r="N1562" s="17">
        <v>5500</v>
      </c>
      <c r="O1562" s="17"/>
      <c r="P1562" s="17"/>
      <c r="Q1562" s="48"/>
      <c r="R1562" s="11"/>
      <c r="S1562" s="48"/>
      <c r="T1562" s="85" t="s">
        <v>8073</v>
      </c>
      <c r="U1562" s="88"/>
      <c r="V1562" s="32"/>
      <c r="W1562" s="25" t="s">
        <v>8</v>
      </c>
      <c r="X1562" s="11"/>
      <c r="Y1562" s="50" t="s">
        <v>14</v>
      </c>
      <c r="Z1562" s="50"/>
      <c r="AA1562" s="50"/>
      <c r="AB1562" s="50"/>
      <c r="AC1562" s="50"/>
      <c r="AD1562" s="50"/>
      <c r="AE1562" s="50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65"/>
      <c r="AP1562" s="69"/>
      <c r="AQ1562" s="62"/>
      <c r="AR1562" s="34"/>
    </row>
    <row r="1563" spans="1:44" customFormat="1">
      <c r="A1563" s="39">
        <v>45161</v>
      </c>
      <c r="B1563" s="11" t="s">
        <v>49</v>
      </c>
      <c r="C1563" s="16" t="s">
        <v>6617</v>
      </c>
      <c r="D1563" s="16" t="s">
        <v>6618</v>
      </c>
      <c r="E1563" s="38">
        <v>35537</v>
      </c>
      <c r="F1563" s="38"/>
      <c r="G1563" s="10" t="s">
        <v>6619</v>
      </c>
      <c r="H1563" s="12" t="s">
        <v>6620</v>
      </c>
      <c r="I1563" s="13" t="s">
        <v>6621</v>
      </c>
      <c r="J1563" s="15" t="s">
        <v>6622</v>
      </c>
      <c r="K1563" s="12"/>
      <c r="L1563" s="11" t="s">
        <v>36</v>
      </c>
      <c r="M1563" s="15" t="s">
        <v>3599</v>
      </c>
      <c r="N1563" s="17">
        <v>16500</v>
      </c>
      <c r="O1563" s="17"/>
      <c r="P1563" s="17"/>
      <c r="Q1563" s="48"/>
      <c r="R1563" s="11"/>
      <c r="S1563" s="48"/>
      <c r="T1563" s="85" t="s">
        <v>8073</v>
      </c>
      <c r="U1563" s="88"/>
      <c r="V1563" s="32"/>
      <c r="W1563" s="25" t="s">
        <v>48</v>
      </c>
      <c r="X1563" s="11"/>
      <c r="Y1563" s="50" t="s">
        <v>13</v>
      </c>
      <c r="Z1563" s="50"/>
      <c r="AA1563" s="50"/>
      <c r="AB1563" s="50"/>
      <c r="AC1563" s="50"/>
      <c r="AD1563" s="50"/>
      <c r="AE1563" s="50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65"/>
      <c r="AP1563" s="69"/>
      <c r="AQ1563" s="62"/>
      <c r="AR1563" s="34"/>
    </row>
    <row r="1564" spans="1:44" customFormat="1">
      <c r="A1564" s="39">
        <v>45161</v>
      </c>
      <c r="B1564" s="11" t="s">
        <v>49</v>
      </c>
      <c r="C1564" s="16" t="s">
        <v>6631</v>
      </c>
      <c r="D1564" s="16" t="s">
        <v>6632</v>
      </c>
      <c r="E1564" s="38">
        <v>32856</v>
      </c>
      <c r="F1564" s="38"/>
      <c r="G1564" s="10" t="s">
        <v>6634</v>
      </c>
      <c r="H1564" s="12" t="s">
        <v>6633</v>
      </c>
      <c r="I1564" s="13" t="s">
        <v>6635</v>
      </c>
      <c r="J1564" s="15" t="s">
        <v>6637</v>
      </c>
      <c r="K1564" s="46" t="s">
        <v>6636</v>
      </c>
      <c r="L1564" s="11" t="s">
        <v>36</v>
      </c>
      <c r="M1564" s="15" t="s">
        <v>3584</v>
      </c>
      <c r="N1564" s="17">
        <v>16500</v>
      </c>
      <c r="O1564" s="17"/>
      <c r="P1564" s="17"/>
      <c r="Q1564" s="48"/>
      <c r="R1564" s="11"/>
      <c r="S1564" s="48"/>
      <c r="T1564" s="85"/>
      <c r="U1564" s="88"/>
      <c r="V1564" s="32"/>
      <c r="W1564" s="25" t="s">
        <v>48</v>
      </c>
      <c r="X1564" s="11"/>
      <c r="Y1564" s="50" t="s">
        <v>13</v>
      </c>
      <c r="Z1564" s="50"/>
      <c r="AA1564" s="50"/>
      <c r="AB1564" s="50"/>
      <c r="AC1564" s="50"/>
      <c r="AD1564" s="50"/>
      <c r="AE1564" s="50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65" t="s">
        <v>5822</v>
      </c>
      <c r="AP1564" s="69" t="s">
        <v>6628</v>
      </c>
      <c r="AQ1564" s="62" t="s">
        <v>8079</v>
      </c>
      <c r="AR1564" s="80">
        <v>45161</v>
      </c>
    </row>
    <row r="1565" spans="1:44" customFormat="1">
      <c r="A1565" s="39">
        <v>45161</v>
      </c>
      <c r="B1565" s="11" t="s">
        <v>22</v>
      </c>
      <c r="C1565" s="16" t="s">
        <v>6630</v>
      </c>
      <c r="D1565" s="16" t="s">
        <v>6629</v>
      </c>
      <c r="E1565" s="38">
        <v>26849</v>
      </c>
      <c r="F1565" s="38"/>
      <c r="G1565" s="10" t="s">
        <v>6623</v>
      </c>
      <c r="H1565" s="12" t="s">
        <v>6624</v>
      </c>
      <c r="I1565" s="13" t="s">
        <v>6625</v>
      </c>
      <c r="J1565" s="15" t="s">
        <v>6627</v>
      </c>
      <c r="K1565" s="46" t="s">
        <v>6626</v>
      </c>
      <c r="L1565" s="11" t="s">
        <v>33</v>
      </c>
      <c r="M1565" s="15" t="s">
        <v>3584</v>
      </c>
      <c r="N1565" s="17">
        <v>3300</v>
      </c>
      <c r="O1565" s="17"/>
      <c r="P1565" s="17"/>
      <c r="Q1565" s="48"/>
      <c r="R1565" s="11"/>
      <c r="S1565" s="48"/>
      <c r="T1565" s="85" t="s">
        <v>8079</v>
      </c>
      <c r="U1565" s="91">
        <v>45161</v>
      </c>
      <c r="V1565" s="32"/>
      <c r="W1565" s="25" t="s">
        <v>48</v>
      </c>
      <c r="X1565" s="11"/>
      <c r="Y1565" s="50"/>
      <c r="Z1565" s="50"/>
      <c r="AA1565" s="50"/>
      <c r="AB1565" s="50"/>
      <c r="AC1565" s="50"/>
      <c r="AD1565" s="50"/>
      <c r="AE1565" s="50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65"/>
      <c r="AP1565" s="69"/>
      <c r="AQ1565" s="62"/>
      <c r="AR1565" s="34"/>
    </row>
    <row r="1566" spans="1:44" customFormat="1">
      <c r="A1566" s="39">
        <v>45162</v>
      </c>
      <c r="B1566" s="11" t="s">
        <v>22</v>
      </c>
      <c r="C1566" s="16" t="s">
        <v>6643</v>
      </c>
      <c r="D1566" s="16" t="s">
        <v>6638</v>
      </c>
      <c r="E1566" s="38">
        <v>28003</v>
      </c>
      <c r="F1566" s="38"/>
      <c r="G1566" s="10" t="s">
        <v>4038</v>
      </c>
      <c r="H1566" s="12" t="s">
        <v>6639</v>
      </c>
      <c r="I1566" s="13">
        <v>3.6</v>
      </c>
      <c r="J1566" s="15" t="s">
        <v>6641</v>
      </c>
      <c r="K1566" s="46" t="s">
        <v>6640</v>
      </c>
      <c r="L1566" s="11" t="s">
        <v>33</v>
      </c>
      <c r="M1566" s="15" t="s">
        <v>3599</v>
      </c>
      <c r="N1566" s="17">
        <v>3300</v>
      </c>
      <c r="O1566" s="17"/>
      <c r="P1566" s="17"/>
      <c r="Q1566" s="48"/>
      <c r="R1566" s="11"/>
      <c r="S1566" s="48"/>
      <c r="T1566" s="85" t="s">
        <v>8079</v>
      </c>
      <c r="U1566" s="91">
        <v>45162</v>
      </c>
      <c r="V1566" s="32" t="s">
        <v>6642</v>
      </c>
      <c r="W1566" s="25" t="s">
        <v>48</v>
      </c>
      <c r="X1566" s="11"/>
      <c r="Y1566" s="50" t="s">
        <v>15</v>
      </c>
      <c r="Z1566" s="50"/>
      <c r="AA1566" s="50"/>
      <c r="AB1566" s="50"/>
      <c r="AC1566" s="50"/>
      <c r="AD1566" s="50"/>
      <c r="AE1566" s="50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65" t="s">
        <v>5822</v>
      </c>
      <c r="AP1566" s="69"/>
      <c r="AQ1566" s="62" t="s">
        <v>8079</v>
      </c>
      <c r="AR1566" s="80">
        <v>45162</v>
      </c>
    </row>
    <row r="1567" spans="1:44" customFormat="1">
      <c r="A1567" s="39">
        <v>45166</v>
      </c>
      <c r="B1567" s="11" t="s">
        <v>22</v>
      </c>
      <c r="C1567" s="16" t="s">
        <v>6644</v>
      </c>
      <c r="D1567" s="16" t="s">
        <v>6645</v>
      </c>
      <c r="E1567" s="38">
        <v>23441</v>
      </c>
      <c r="F1567" s="38"/>
      <c r="G1567" s="10" t="s">
        <v>6646</v>
      </c>
      <c r="H1567" s="22" t="s">
        <v>6647</v>
      </c>
      <c r="I1567" s="13">
        <v>7</v>
      </c>
      <c r="J1567" s="15" t="s">
        <v>6649</v>
      </c>
      <c r="K1567" s="46" t="s">
        <v>6648</v>
      </c>
      <c r="L1567" s="11" t="s">
        <v>34</v>
      </c>
      <c r="M1567" s="15" t="s">
        <v>3629</v>
      </c>
      <c r="N1567" s="17">
        <v>3300</v>
      </c>
      <c r="O1567" s="17"/>
      <c r="P1567" s="17"/>
      <c r="Q1567" s="48"/>
      <c r="R1567" s="11"/>
      <c r="S1567" s="48"/>
      <c r="T1567" s="85" t="s">
        <v>8082</v>
      </c>
      <c r="U1567" s="91">
        <v>45170</v>
      </c>
      <c r="V1567" s="32" t="s">
        <v>6650</v>
      </c>
      <c r="W1567" s="25" t="s">
        <v>48</v>
      </c>
      <c r="X1567" s="11"/>
      <c r="Y1567" s="50"/>
      <c r="Z1567" s="50"/>
      <c r="AA1567" s="50"/>
      <c r="AB1567" s="50"/>
      <c r="AC1567" s="50"/>
      <c r="AD1567" s="50"/>
      <c r="AE1567" s="50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65" t="s">
        <v>5822</v>
      </c>
      <c r="AP1567" s="69"/>
      <c r="AQ1567" s="62" t="s">
        <v>8082</v>
      </c>
      <c r="AR1567" s="80">
        <v>45170</v>
      </c>
    </row>
    <row r="1568" spans="1:44" customFormat="1">
      <c r="A1568" s="39">
        <v>45168</v>
      </c>
      <c r="B1568" s="11" t="s">
        <v>49</v>
      </c>
      <c r="C1568" s="16" t="s">
        <v>6651</v>
      </c>
      <c r="D1568" s="16" t="s">
        <v>6652</v>
      </c>
      <c r="E1568" s="38">
        <v>28659</v>
      </c>
      <c r="F1568" s="38"/>
      <c r="G1568" s="10" t="s">
        <v>6653</v>
      </c>
      <c r="H1568" s="12" t="s">
        <v>6654</v>
      </c>
      <c r="I1568" s="13" t="s">
        <v>6655</v>
      </c>
      <c r="J1568" s="15" t="s">
        <v>6656</v>
      </c>
      <c r="K1568" s="12"/>
      <c r="L1568" s="11" t="s">
        <v>36</v>
      </c>
      <c r="M1568" s="15"/>
      <c r="N1568" s="17">
        <v>14850</v>
      </c>
      <c r="O1568" s="17"/>
      <c r="P1568" s="17"/>
      <c r="Q1568" s="48"/>
      <c r="R1568" s="11"/>
      <c r="S1568" s="48"/>
      <c r="T1568" s="85" t="s">
        <v>8073</v>
      </c>
      <c r="U1568" s="88"/>
      <c r="V1568" s="32" t="s">
        <v>6650</v>
      </c>
      <c r="W1568" s="25" t="s">
        <v>8</v>
      </c>
      <c r="X1568" s="11"/>
      <c r="Y1568" s="50"/>
      <c r="Z1568" s="50"/>
      <c r="AA1568" s="50"/>
      <c r="AB1568" s="50"/>
      <c r="AC1568" s="50"/>
      <c r="AD1568" s="50"/>
      <c r="AE1568" s="50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65"/>
      <c r="AP1568" s="69" t="s">
        <v>6657</v>
      </c>
      <c r="AQ1568" s="62"/>
      <c r="AR1568" s="34"/>
    </row>
    <row r="1569" spans="1:44" customFormat="1">
      <c r="A1569" s="39">
        <v>45169</v>
      </c>
      <c r="B1569" s="11" t="s">
        <v>49</v>
      </c>
      <c r="C1569" s="16" t="s">
        <v>557</v>
      </c>
      <c r="D1569" s="16" t="s">
        <v>6658</v>
      </c>
      <c r="E1569" s="38">
        <v>18693</v>
      </c>
      <c r="F1569" s="38"/>
      <c r="G1569" s="10" t="s">
        <v>554</v>
      </c>
      <c r="H1569" s="12" t="s">
        <v>555</v>
      </c>
      <c r="I1569" s="13" t="s">
        <v>1702</v>
      </c>
      <c r="J1569" s="15" t="s">
        <v>556</v>
      </c>
      <c r="K1569" s="12"/>
      <c r="L1569" s="11"/>
      <c r="M1569" s="15"/>
      <c r="N1569" s="17">
        <v>11000</v>
      </c>
      <c r="O1569" s="17"/>
      <c r="P1569" s="17"/>
      <c r="Q1569" s="48"/>
      <c r="R1569" s="11"/>
      <c r="S1569" s="48"/>
      <c r="T1569" s="85" t="s">
        <v>8073</v>
      </c>
      <c r="U1569" s="88"/>
      <c r="V1569" s="32" t="s">
        <v>6650</v>
      </c>
      <c r="W1569" s="25"/>
      <c r="X1569" s="11"/>
      <c r="Y1569" s="50" t="s">
        <v>13</v>
      </c>
      <c r="Z1569" s="50"/>
      <c r="AA1569" s="50"/>
      <c r="AB1569" s="50"/>
      <c r="AC1569" s="50"/>
      <c r="AD1569" s="50"/>
      <c r="AE1569" s="50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65"/>
      <c r="AP1569" s="69" t="s">
        <v>403</v>
      </c>
      <c r="AQ1569" s="62"/>
      <c r="AR1569" s="34"/>
    </row>
    <row r="1570" spans="1:44" customFormat="1">
      <c r="A1570" s="39">
        <v>45169</v>
      </c>
      <c r="B1570" s="11" t="s">
        <v>49</v>
      </c>
      <c r="C1570" s="16" t="s">
        <v>6659</v>
      </c>
      <c r="D1570" s="16" t="s">
        <v>6660</v>
      </c>
      <c r="E1570" s="38">
        <v>20032</v>
      </c>
      <c r="F1570" s="38"/>
      <c r="G1570" s="10" t="s">
        <v>554</v>
      </c>
      <c r="H1570" s="12" t="s">
        <v>555</v>
      </c>
      <c r="I1570" s="13" t="s">
        <v>1702</v>
      </c>
      <c r="J1570" s="15" t="s">
        <v>6661</v>
      </c>
      <c r="K1570" s="12"/>
      <c r="L1570" s="11" t="s">
        <v>37</v>
      </c>
      <c r="M1570" s="15" t="s">
        <v>3599</v>
      </c>
      <c r="N1570" s="17">
        <v>11000</v>
      </c>
      <c r="O1570" s="17"/>
      <c r="P1570" s="17"/>
      <c r="Q1570" s="48"/>
      <c r="R1570" s="11"/>
      <c r="S1570" s="48"/>
      <c r="T1570" s="85" t="s">
        <v>8073</v>
      </c>
      <c r="U1570" s="88"/>
      <c r="V1570" s="32" t="s">
        <v>6650</v>
      </c>
      <c r="W1570" s="25"/>
      <c r="X1570" s="11"/>
      <c r="Y1570" s="50" t="s">
        <v>13</v>
      </c>
      <c r="Z1570" s="50"/>
      <c r="AA1570" s="50"/>
      <c r="AB1570" s="50"/>
      <c r="AC1570" s="50"/>
      <c r="AD1570" s="50"/>
      <c r="AE1570" s="50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65"/>
      <c r="AP1570" s="69" t="s">
        <v>6662</v>
      </c>
      <c r="AQ1570" s="62"/>
      <c r="AR1570" s="34"/>
    </row>
    <row r="1571" spans="1:44" customFormat="1">
      <c r="A1571" s="39">
        <v>45170</v>
      </c>
      <c r="B1571" s="11" t="s">
        <v>22</v>
      </c>
      <c r="C1571" s="16" t="s">
        <v>6664</v>
      </c>
      <c r="D1571" s="16" t="s">
        <v>6665</v>
      </c>
      <c r="E1571" s="38">
        <v>26362</v>
      </c>
      <c r="F1571" s="38"/>
      <c r="G1571" s="10" t="s">
        <v>617</v>
      </c>
      <c r="H1571" s="22" t="s">
        <v>6666</v>
      </c>
      <c r="I1571" s="13">
        <v>2.4</v>
      </c>
      <c r="J1571" s="15" t="s">
        <v>6668</v>
      </c>
      <c r="K1571" s="46" t="s">
        <v>6667</v>
      </c>
      <c r="L1571" s="11" t="s">
        <v>36</v>
      </c>
      <c r="M1571" s="15" t="s">
        <v>3584</v>
      </c>
      <c r="N1571" s="17">
        <v>3300</v>
      </c>
      <c r="O1571" s="17"/>
      <c r="P1571" s="17"/>
      <c r="Q1571" s="48"/>
      <c r="R1571" s="11"/>
      <c r="S1571" s="48"/>
      <c r="T1571" s="85" t="s">
        <v>8079</v>
      </c>
      <c r="U1571" s="91">
        <v>45170</v>
      </c>
      <c r="V1571" s="32" t="s">
        <v>6650</v>
      </c>
      <c r="W1571" s="25" t="s">
        <v>8</v>
      </c>
      <c r="X1571" s="11"/>
      <c r="Y1571" s="50"/>
      <c r="Z1571" s="50"/>
      <c r="AA1571" s="50"/>
      <c r="AB1571" s="50"/>
      <c r="AC1571" s="50"/>
      <c r="AD1571" s="50"/>
      <c r="AE1571" s="50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65" t="s">
        <v>5822</v>
      </c>
      <c r="AP1571" s="69"/>
      <c r="AQ1571" s="62" t="s">
        <v>8079</v>
      </c>
      <c r="AR1571" s="80">
        <v>45170</v>
      </c>
    </row>
    <row r="1572" spans="1:44" customFormat="1">
      <c r="A1572" s="39">
        <v>45172</v>
      </c>
      <c r="B1572" s="11" t="s">
        <v>22</v>
      </c>
      <c r="C1572" s="16" t="s">
        <v>6669</v>
      </c>
      <c r="D1572" s="16" t="s">
        <v>6670</v>
      </c>
      <c r="E1572" s="38">
        <v>23829</v>
      </c>
      <c r="F1572" s="38"/>
      <c r="G1572" s="10" t="s">
        <v>617</v>
      </c>
      <c r="H1572" s="22" t="s">
        <v>6671</v>
      </c>
      <c r="I1572" s="13">
        <v>2.7</v>
      </c>
      <c r="J1572" s="15" t="s">
        <v>6673</v>
      </c>
      <c r="K1572" s="46" t="s">
        <v>6672</v>
      </c>
      <c r="L1572" s="11" t="s">
        <v>33</v>
      </c>
      <c r="M1572" s="15" t="s">
        <v>3629</v>
      </c>
      <c r="N1572" s="17">
        <v>3300</v>
      </c>
      <c r="O1572" s="17"/>
      <c r="P1572" s="17"/>
      <c r="Q1572" s="48"/>
      <c r="R1572" s="11"/>
      <c r="S1572" s="48"/>
      <c r="T1572" s="85" t="s">
        <v>8079</v>
      </c>
      <c r="U1572" s="91">
        <v>45172</v>
      </c>
      <c r="V1572" s="32" t="s">
        <v>6650</v>
      </c>
      <c r="W1572" s="25" t="s">
        <v>4073</v>
      </c>
      <c r="X1572" s="11"/>
      <c r="Y1572" s="50"/>
      <c r="Z1572" s="50"/>
      <c r="AA1572" s="50"/>
      <c r="AB1572" s="50"/>
      <c r="AC1572" s="50"/>
      <c r="AD1572" s="50"/>
      <c r="AE1572" s="50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65" t="s">
        <v>5822</v>
      </c>
      <c r="AP1572" s="69"/>
      <c r="AQ1572" s="62" t="s">
        <v>8079</v>
      </c>
      <c r="AR1572" s="80">
        <v>45172</v>
      </c>
    </row>
    <row r="1573" spans="1:44" customFormat="1">
      <c r="A1573" s="39">
        <v>45172</v>
      </c>
      <c r="B1573" s="11" t="s">
        <v>22</v>
      </c>
      <c r="C1573" s="16" t="s">
        <v>6674</v>
      </c>
      <c r="D1573" s="16" t="s">
        <v>6675</v>
      </c>
      <c r="E1573" s="38">
        <v>41057</v>
      </c>
      <c r="F1573" s="38"/>
      <c r="G1573" s="10" t="s">
        <v>617</v>
      </c>
      <c r="H1573" s="22" t="s">
        <v>6671</v>
      </c>
      <c r="I1573" s="13">
        <v>2.7</v>
      </c>
      <c r="J1573" s="15" t="s">
        <v>6676</v>
      </c>
      <c r="K1573" s="12"/>
      <c r="L1573" s="11" t="s">
        <v>38</v>
      </c>
      <c r="M1573" s="15" t="s">
        <v>3599</v>
      </c>
      <c r="N1573" s="17">
        <v>3300</v>
      </c>
      <c r="O1573" s="17"/>
      <c r="P1573" s="17"/>
      <c r="Q1573" s="48"/>
      <c r="R1573" s="11"/>
      <c r="S1573" s="48"/>
      <c r="T1573" s="85" t="s">
        <v>8079</v>
      </c>
      <c r="U1573" s="91">
        <v>45172</v>
      </c>
      <c r="V1573" s="32" t="s">
        <v>6650</v>
      </c>
      <c r="W1573" s="25" t="s">
        <v>4073</v>
      </c>
      <c r="X1573" s="11"/>
      <c r="Y1573" s="50"/>
      <c r="Z1573" s="50"/>
      <c r="AA1573" s="50"/>
      <c r="AB1573" s="50"/>
      <c r="AC1573" s="50"/>
      <c r="AD1573" s="50"/>
      <c r="AE1573" s="50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65" t="s">
        <v>5822</v>
      </c>
      <c r="AP1573" s="69"/>
      <c r="AQ1573" s="62" t="s">
        <v>8079</v>
      </c>
      <c r="AR1573" s="80">
        <v>45172</v>
      </c>
    </row>
    <row r="1574" spans="1:44" customFormat="1">
      <c r="A1574" s="39">
        <v>45175</v>
      </c>
      <c r="B1574" s="11" t="s">
        <v>22</v>
      </c>
      <c r="C1574" s="16" t="s">
        <v>6687</v>
      </c>
      <c r="D1574" s="16" t="s">
        <v>6688</v>
      </c>
      <c r="E1574" s="38">
        <v>30950</v>
      </c>
      <c r="F1574" s="38"/>
      <c r="G1574" s="10" t="s">
        <v>6690</v>
      </c>
      <c r="H1574" s="12" t="s">
        <v>6689</v>
      </c>
      <c r="I1574" s="13">
        <v>12.4</v>
      </c>
      <c r="J1574" s="15" t="s">
        <v>6691</v>
      </c>
      <c r="K1574" s="12"/>
      <c r="L1574" s="11" t="s">
        <v>36</v>
      </c>
      <c r="M1574" s="15" t="s">
        <v>3629</v>
      </c>
      <c r="N1574" s="17">
        <v>3300</v>
      </c>
      <c r="O1574" s="17"/>
      <c r="P1574" s="17"/>
      <c r="Q1574" s="48"/>
      <c r="R1574" s="11"/>
      <c r="S1574" s="48"/>
      <c r="T1574" s="85"/>
      <c r="U1574" s="90">
        <v>45214</v>
      </c>
      <c r="V1574" s="32"/>
      <c r="W1574" s="25" t="s">
        <v>39</v>
      </c>
      <c r="X1574" s="11"/>
      <c r="Y1574" s="50"/>
      <c r="Z1574" s="50"/>
      <c r="AA1574" s="50"/>
      <c r="AB1574" s="50"/>
      <c r="AC1574" s="50"/>
      <c r="AD1574" s="50"/>
      <c r="AE1574" s="50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65"/>
      <c r="AP1574" s="69" t="s">
        <v>6706</v>
      </c>
      <c r="AQ1574" s="62"/>
      <c r="AR1574" s="34"/>
    </row>
    <row r="1575" spans="1:44" customFormat="1">
      <c r="A1575" s="39">
        <v>45176</v>
      </c>
      <c r="B1575" s="11" t="s">
        <v>49</v>
      </c>
      <c r="C1575" s="16" t="s">
        <v>6681</v>
      </c>
      <c r="D1575" s="16" t="s">
        <v>6682</v>
      </c>
      <c r="E1575" s="38">
        <v>24884</v>
      </c>
      <c r="F1575" s="38"/>
      <c r="G1575" s="10" t="s">
        <v>6683</v>
      </c>
      <c r="H1575" s="12" t="s">
        <v>6684</v>
      </c>
      <c r="I1575" s="13">
        <v>13.3</v>
      </c>
      <c r="J1575" s="15" t="s">
        <v>6686</v>
      </c>
      <c r="K1575" s="46" t="s">
        <v>6685</v>
      </c>
      <c r="L1575" s="11" t="s">
        <v>33</v>
      </c>
      <c r="M1575" s="15" t="s">
        <v>3584</v>
      </c>
      <c r="N1575" s="17">
        <v>16500</v>
      </c>
      <c r="O1575" s="17"/>
      <c r="P1575" s="17"/>
      <c r="Q1575" s="48"/>
      <c r="R1575" s="11"/>
      <c r="S1575" s="48"/>
      <c r="T1575" s="85"/>
      <c r="U1575" s="88"/>
      <c r="V1575" s="32"/>
      <c r="W1575" s="25" t="s">
        <v>8</v>
      </c>
      <c r="X1575" s="11"/>
      <c r="Y1575" s="50" t="s">
        <v>14</v>
      </c>
      <c r="Z1575" s="50"/>
      <c r="AA1575" s="50"/>
      <c r="AB1575" s="50"/>
      <c r="AC1575" s="50"/>
      <c r="AD1575" s="50"/>
      <c r="AE1575" s="50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65"/>
      <c r="AP1575" s="69"/>
      <c r="AQ1575" s="62"/>
      <c r="AR1575" s="34"/>
    </row>
    <row r="1576" spans="1:44" customFormat="1" ht="20.25" customHeight="1">
      <c r="A1576" s="39">
        <v>45178</v>
      </c>
      <c r="B1576" s="11" t="s">
        <v>22</v>
      </c>
      <c r="C1576" s="16" t="s">
        <v>6677</v>
      </c>
      <c r="D1576" s="16" t="s">
        <v>6678</v>
      </c>
      <c r="E1576" s="38">
        <v>21477</v>
      </c>
      <c r="F1576" s="38"/>
      <c r="G1576" s="10" t="s">
        <v>5568</v>
      </c>
      <c r="H1576" s="12" t="s">
        <v>6679</v>
      </c>
      <c r="I1576" s="13">
        <v>7.1</v>
      </c>
      <c r="J1576" s="15" t="s">
        <v>6680</v>
      </c>
      <c r="K1576" s="12"/>
      <c r="L1576" s="11" t="s">
        <v>37</v>
      </c>
      <c r="M1576" s="15" t="s">
        <v>3584</v>
      </c>
      <c r="N1576" s="17">
        <v>3300</v>
      </c>
      <c r="O1576" s="17"/>
      <c r="P1576" s="17"/>
      <c r="Q1576" s="48"/>
      <c r="R1576" s="11"/>
      <c r="S1576" s="48"/>
      <c r="T1576" s="85"/>
      <c r="U1576" s="88"/>
      <c r="V1576" s="32"/>
      <c r="W1576" s="25" t="s">
        <v>8</v>
      </c>
      <c r="X1576" s="11"/>
      <c r="Y1576" s="50" t="s">
        <v>17</v>
      </c>
      <c r="Z1576" s="50"/>
      <c r="AA1576" s="50"/>
      <c r="AB1576" s="50"/>
      <c r="AC1576" s="50"/>
      <c r="AD1576" s="50"/>
      <c r="AE1576" s="50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65"/>
      <c r="AP1576" s="69"/>
      <c r="AQ1576" s="62"/>
      <c r="AR1576" s="79">
        <v>45214</v>
      </c>
    </row>
    <row r="1577" spans="1:44" customFormat="1">
      <c r="A1577" s="39">
        <v>45178</v>
      </c>
      <c r="B1577" s="11" t="s">
        <v>22</v>
      </c>
      <c r="C1577" s="16" t="s">
        <v>6692</v>
      </c>
      <c r="D1577" s="16" t="s">
        <v>6693</v>
      </c>
      <c r="E1577" s="38">
        <v>36223</v>
      </c>
      <c r="F1577" s="38"/>
      <c r="G1577" s="10" t="s">
        <v>485</v>
      </c>
      <c r="H1577" s="12" t="s">
        <v>6694</v>
      </c>
      <c r="I1577" s="13">
        <v>1.5</v>
      </c>
      <c r="J1577" s="15" t="s">
        <v>6696</v>
      </c>
      <c r="K1577" s="55" t="s">
        <v>6695</v>
      </c>
      <c r="L1577" s="11" t="s">
        <v>36</v>
      </c>
      <c r="M1577" s="15" t="s">
        <v>3584</v>
      </c>
      <c r="N1577" s="17">
        <v>3300</v>
      </c>
      <c r="O1577" s="17"/>
      <c r="P1577" s="17"/>
      <c r="Q1577" s="48"/>
      <c r="R1577" s="11"/>
      <c r="S1577" s="48"/>
      <c r="T1577" s="85" t="s">
        <v>8079</v>
      </c>
      <c r="U1577" s="91">
        <v>45203</v>
      </c>
      <c r="V1577" s="32" t="s">
        <v>6650</v>
      </c>
      <c r="W1577" s="25" t="s">
        <v>4073</v>
      </c>
      <c r="X1577" s="11"/>
      <c r="Y1577" s="50"/>
      <c r="Z1577" s="50"/>
      <c r="AA1577" s="50"/>
      <c r="AB1577" s="50"/>
      <c r="AC1577" s="50"/>
      <c r="AD1577" s="50"/>
      <c r="AE1577" s="50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65" t="s">
        <v>5822</v>
      </c>
      <c r="AP1577" s="69" t="s">
        <v>6697</v>
      </c>
      <c r="AQ1577" s="62" t="s">
        <v>8079</v>
      </c>
      <c r="AR1577" s="80">
        <v>45203</v>
      </c>
    </row>
    <row r="1578" spans="1:44" customFormat="1">
      <c r="A1578" s="39">
        <v>45179</v>
      </c>
      <c r="B1578" s="11" t="s">
        <v>22</v>
      </c>
      <c r="C1578" s="16" t="s">
        <v>6698</v>
      </c>
      <c r="D1578" s="16" t="s">
        <v>6699</v>
      </c>
      <c r="E1578" s="38">
        <v>31086</v>
      </c>
      <c r="F1578" s="38"/>
      <c r="G1578" s="10" t="s">
        <v>2237</v>
      </c>
      <c r="H1578" s="22" t="s">
        <v>6700</v>
      </c>
      <c r="I1578" s="13">
        <v>5.5</v>
      </c>
      <c r="J1578" s="15" t="s">
        <v>6702</v>
      </c>
      <c r="K1578" s="55" t="s">
        <v>6701</v>
      </c>
      <c r="L1578" s="11" t="s">
        <v>39</v>
      </c>
      <c r="M1578" s="15" t="s">
        <v>3584</v>
      </c>
      <c r="N1578" s="17">
        <v>3300</v>
      </c>
      <c r="O1578" s="17"/>
      <c r="P1578" s="17"/>
      <c r="Q1578" s="48"/>
      <c r="R1578" s="11"/>
      <c r="S1578" s="48"/>
      <c r="T1578" s="85"/>
      <c r="U1578" s="89">
        <v>45206</v>
      </c>
      <c r="V1578" s="32" t="s">
        <v>6650</v>
      </c>
      <c r="W1578" s="25" t="s">
        <v>8</v>
      </c>
      <c r="X1578" s="11"/>
      <c r="Y1578" s="50"/>
      <c r="Z1578" s="50"/>
      <c r="AA1578" s="50"/>
      <c r="AB1578" s="50"/>
      <c r="AC1578" s="50"/>
      <c r="AD1578" s="50"/>
      <c r="AE1578" s="50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65" t="s">
        <v>5822</v>
      </c>
      <c r="AP1578" s="69"/>
      <c r="AQ1578" s="62"/>
      <c r="AR1578" s="78">
        <v>45206</v>
      </c>
    </row>
    <row r="1579" spans="1:44" customFormat="1">
      <c r="A1579" s="39">
        <v>45179</v>
      </c>
      <c r="B1579" s="11" t="s">
        <v>49</v>
      </c>
      <c r="C1579" s="16" t="s">
        <v>4534</v>
      </c>
      <c r="D1579" s="16" t="s">
        <v>6703</v>
      </c>
      <c r="E1579" s="38">
        <v>27746</v>
      </c>
      <c r="F1579" s="38"/>
      <c r="G1579" s="10" t="s">
        <v>1574</v>
      </c>
      <c r="H1579" s="22" t="s">
        <v>6704</v>
      </c>
      <c r="I1579" s="13">
        <v>14.5</v>
      </c>
      <c r="J1579" s="15" t="s">
        <v>1576</v>
      </c>
      <c r="K1579" s="46" t="s">
        <v>6705</v>
      </c>
      <c r="L1579" s="11" t="s">
        <v>34</v>
      </c>
      <c r="M1579" s="15" t="s">
        <v>3599</v>
      </c>
      <c r="N1579" s="17">
        <v>16500</v>
      </c>
      <c r="O1579" s="17"/>
      <c r="P1579" s="17"/>
      <c r="Q1579" s="48"/>
      <c r="R1579" s="11"/>
      <c r="S1579" s="48"/>
      <c r="T1579" s="85"/>
      <c r="U1579" s="88"/>
      <c r="V1579" s="32" t="s">
        <v>6650</v>
      </c>
      <c r="W1579" s="25"/>
      <c r="X1579" s="11"/>
      <c r="Y1579" s="50"/>
      <c r="Z1579" s="50"/>
      <c r="AA1579" s="50"/>
      <c r="AB1579" s="50"/>
      <c r="AC1579" s="50"/>
      <c r="AD1579" s="50"/>
      <c r="AE1579" s="50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65"/>
      <c r="AP1579" s="69"/>
      <c r="AQ1579" s="62"/>
      <c r="AR1579" s="34"/>
    </row>
    <row r="1580" spans="1:44" customFormat="1">
      <c r="A1580" s="39">
        <v>45182</v>
      </c>
      <c r="B1580" s="11" t="s">
        <v>2171</v>
      </c>
      <c r="C1580" s="16" t="s">
        <v>6707</v>
      </c>
      <c r="D1580" s="16" t="s">
        <v>6708</v>
      </c>
      <c r="E1580" s="38">
        <v>32986</v>
      </c>
      <c r="F1580" s="38"/>
      <c r="G1580" s="10" t="s">
        <v>6709</v>
      </c>
      <c r="H1580" s="12" t="s">
        <v>6713</v>
      </c>
      <c r="I1580" s="13" t="s">
        <v>6712</v>
      </c>
      <c r="J1580" s="15" t="s">
        <v>6711</v>
      </c>
      <c r="K1580" s="46" t="s">
        <v>6710</v>
      </c>
      <c r="L1580" s="11" t="s">
        <v>39</v>
      </c>
      <c r="M1580" s="15" t="s">
        <v>3577</v>
      </c>
      <c r="N1580" s="17">
        <v>3300</v>
      </c>
      <c r="O1580" s="17"/>
      <c r="P1580" s="17"/>
      <c r="Q1580" s="48"/>
      <c r="R1580" s="11"/>
      <c r="S1580" s="48"/>
      <c r="T1580" s="85"/>
      <c r="U1580" s="88"/>
      <c r="V1580" s="32" t="s">
        <v>6714</v>
      </c>
      <c r="W1580" s="25" t="s">
        <v>8</v>
      </c>
      <c r="X1580" s="11"/>
      <c r="Y1580" s="50" t="s">
        <v>15</v>
      </c>
      <c r="Z1580" s="50"/>
      <c r="AA1580" s="50"/>
      <c r="AB1580" s="50"/>
      <c r="AC1580" s="50"/>
      <c r="AD1580" s="50"/>
      <c r="AE1580" s="50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65"/>
      <c r="AP1580" s="69"/>
      <c r="AQ1580" s="62"/>
      <c r="AR1580" s="34"/>
    </row>
    <row r="1581" spans="1:44" customFormat="1">
      <c r="A1581" s="39">
        <v>45186</v>
      </c>
      <c r="B1581" s="11" t="s">
        <v>22</v>
      </c>
      <c r="C1581" s="16" t="s">
        <v>6716</v>
      </c>
      <c r="D1581" s="16" t="s">
        <v>6717</v>
      </c>
      <c r="E1581" s="38">
        <v>32613</v>
      </c>
      <c r="F1581" s="38"/>
      <c r="G1581" s="10" t="s">
        <v>1028</v>
      </c>
      <c r="H1581" s="22" t="s">
        <v>6718</v>
      </c>
      <c r="I1581" s="13">
        <v>2.2999999999999998</v>
      </c>
      <c r="J1581" s="15" t="s">
        <v>6720</v>
      </c>
      <c r="K1581" s="46" t="s">
        <v>6719</v>
      </c>
      <c r="L1581" s="11" t="s">
        <v>36</v>
      </c>
      <c r="M1581" s="15" t="s">
        <v>3599</v>
      </c>
      <c r="N1581" s="17">
        <v>3300</v>
      </c>
      <c r="O1581" s="17"/>
      <c r="P1581" s="17"/>
      <c r="Q1581" s="48"/>
      <c r="R1581" s="11"/>
      <c r="S1581" s="48"/>
      <c r="T1581" s="85" t="s">
        <v>8079</v>
      </c>
      <c r="U1581" s="91">
        <v>45186</v>
      </c>
      <c r="V1581" s="32" t="s">
        <v>6642</v>
      </c>
      <c r="W1581" s="25" t="s">
        <v>48</v>
      </c>
      <c r="X1581" s="11"/>
      <c r="Y1581" s="50"/>
      <c r="Z1581" s="50"/>
      <c r="AA1581" s="50"/>
      <c r="AB1581" s="50"/>
      <c r="AC1581" s="50"/>
      <c r="AD1581" s="50"/>
      <c r="AE1581" s="50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65" t="s">
        <v>5822</v>
      </c>
      <c r="AP1581" s="69"/>
      <c r="AQ1581" s="62" t="s">
        <v>8079</v>
      </c>
      <c r="AR1581" s="80">
        <v>45186</v>
      </c>
    </row>
    <row r="1582" spans="1:44" customFormat="1">
      <c r="A1582" s="39">
        <v>45192</v>
      </c>
      <c r="B1582" s="11" t="s">
        <v>24</v>
      </c>
      <c r="C1582" s="16" t="s">
        <v>6721</v>
      </c>
      <c r="D1582" s="16" t="s">
        <v>6722</v>
      </c>
      <c r="E1582" s="38">
        <v>21014</v>
      </c>
      <c r="F1582" s="38"/>
      <c r="G1582" s="10" t="s">
        <v>6723</v>
      </c>
      <c r="H1582" s="12" t="s">
        <v>6724</v>
      </c>
      <c r="I1582" s="13" t="s">
        <v>3006</v>
      </c>
      <c r="J1582" s="15" t="s">
        <v>6725</v>
      </c>
      <c r="K1582" s="12"/>
      <c r="L1582" s="11" t="s">
        <v>33</v>
      </c>
      <c r="M1582" s="15" t="s">
        <v>3577</v>
      </c>
      <c r="N1582" s="17">
        <v>13750</v>
      </c>
      <c r="O1582" s="17"/>
      <c r="P1582" s="17"/>
      <c r="Q1582" s="48"/>
      <c r="R1582" s="11"/>
      <c r="S1582" s="48"/>
      <c r="T1582" s="85"/>
      <c r="U1582" s="88"/>
      <c r="V1582" s="32" t="s">
        <v>6642</v>
      </c>
      <c r="W1582" s="25" t="s">
        <v>48</v>
      </c>
      <c r="X1582" s="11"/>
      <c r="Y1582" s="50" t="s">
        <v>14</v>
      </c>
      <c r="Z1582" s="50"/>
      <c r="AA1582" s="50"/>
      <c r="AB1582" s="50"/>
      <c r="AC1582" s="50"/>
      <c r="AD1582" s="50"/>
      <c r="AE1582" s="50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65"/>
      <c r="AP1582" s="69"/>
      <c r="AQ1582" s="62"/>
      <c r="AR1582" s="34"/>
    </row>
    <row r="1583" spans="1:44" customFormat="1">
      <c r="A1583" s="39">
        <v>45192</v>
      </c>
      <c r="B1583" s="11" t="s">
        <v>24</v>
      </c>
      <c r="C1583" s="16" t="s">
        <v>6726</v>
      </c>
      <c r="D1583" s="16" t="s">
        <v>6727</v>
      </c>
      <c r="E1583" s="38">
        <v>32562</v>
      </c>
      <c r="F1583" s="38"/>
      <c r="G1583" s="10" t="s">
        <v>144</v>
      </c>
      <c r="H1583" s="12" t="s">
        <v>6728</v>
      </c>
      <c r="I1583" s="13" t="s">
        <v>3669</v>
      </c>
      <c r="J1583" s="15" t="s">
        <v>6729</v>
      </c>
      <c r="K1583" s="12"/>
      <c r="L1583" s="11" t="s">
        <v>36</v>
      </c>
      <c r="M1583" s="15" t="s">
        <v>3577</v>
      </c>
      <c r="N1583" s="17">
        <v>13750</v>
      </c>
      <c r="O1583" s="17"/>
      <c r="P1583" s="17"/>
      <c r="Q1583" s="48"/>
      <c r="R1583" s="11"/>
      <c r="S1583" s="48"/>
      <c r="T1583" s="85"/>
      <c r="U1583" s="88"/>
      <c r="V1583" s="32" t="s">
        <v>6642</v>
      </c>
      <c r="W1583" s="25" t="s">
        <v>48</v>
      </c>
      <c r="X1583" s="11"/>
      <c r="Y1583" s="50" t="s">
        <v>13</v>
      </c>
      <c r="Z1583" s="50"/>
      <c r="AA1583" s="50"/>
      <c r="AB1583" s="50"/>
      <c r="AC1583" s="50"/>
      <c r="AD1583" s="50"/>
      <c r="AE1583" s="50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65"/>
      <c r="AP1583" s="69"/>
      <c r="AQ1583" s="62"/>
      <c r="AR1583" s="34"/>
    </row>
    <row r="1584" spans="1:44" customFormat="1">
      <c r="A1584" s="39">
        <v>45192</v>
      </c>
      <c r="B1584" s="11" t="s">
        <v>49</v>
      </c>
      <c r="C1584" s="16" t="s">
        <v>6730</v>
      </c>
      <c r="D1584" s="16" t="s">
        <v>6731</v>
      </c>
      <c r="E1584" s="38">
        <v>19521</v>
      </c>
      <c r="F1584" s="38"/>
      <c r="G1584" s="10" t="s">
        <v>6732</v>
      </c>
      <c r="H1584" s="12" t="s">
        <v>6733</v>
      </c>
      <c r="I1584" s="13" t="s">
        <v>6741</v>
      </c>
      <c r="J1584" s="15" t="s">
        <v>6734</v>
      </c>
      <c r="K1584" s="12"/>
      <c r="L1584" s="11" t="s">
        <v>33</v>
      </c>
      <c r="M1584" s="15" t="s">
        <v>3577</v>
      </c>
      <c r="N1584" s="17">
        <v>16500</v>
      </c>
      <c r="O1584" s="17"/>
      <c r="P1584" s="17"/>
      <c r="Q1584" s="48"/>
      <c r="R1584" s="11"/>
      <c r="S1584" s="48"/>
      <c r="T1584" s="85" t="s">
        <v>8073</v>
      </c>
      <c r="U1584" s="88"/>
      <c r="V1584" s="32" t="s">
        <v>6735</v>
      </c>
      <c r="W1584" s="25" t="s">
        <v>48</v>
      </c>
      <c r="X1584" s="11"/>
      <c r="Y1584" s="50" t="s">
        <v>13</v>
      </c>
      <c r="Z1584" s="50"/>
      <c r="AA1584" s="50"/>
      <c r="AB1584" s="50"/>
      <c r="AC1584" s="50"/>
      <c r="AD1584" s="50"/>
      <c r="AE1584" s="50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65"/>
      <c r="AP1584" s="69"/>
      <c r="AQ1584" s="62"/>
      <c r="AR1584" s="34"/>
    </row>
    <row r="1585" spans="1:44" customFormat="1">
      <c r="A1585" s="39">
        <v>45193</v>
      </c>
      <c r="B1585" s="11" t="s">
        <v>49</v>
      </c>
      <c r="C1585" s="16" t="s">
        <v>6736</v>
      </c>
      <c r="D1585" s="16" t="s">
        <v>6737</v>
      </c>
      <c r="E1585" s="38">
        <v>24966</v>
      </c>
      <c r="F1585" s="38"/>
      <c r="G1585" s="10" t="s">
        <v>650</v>
      </c>
      <c r="H1585" s="12" t="s">
        <v>6738</v>
      </c>
      <c r="I1585" s="13" t="s">
        <v>3432</v>
      </c>
      <c r="J1585" s="15" t="s">
        <v>6739</v>
      </c>
      <c r="K1585" s="46" t="s">
        <v>6740</v>
      </c>
      <c r="L1585" s="11" t="s">
        <v>36</v>
      </c>
      <c r="M1585" s="15" t="s">
        <v>3577</v>
      </c>
      <c r="N1585" s="17">
        <v>16500</v>
      </c>
      <c r="O1585" s="17"/>
      <c r="P1585" s="17"/>
      <c r="Q1585" s="48"/>
      <c r="R1585" s="11"/>
      <c r="S1585" s="48"/>
      <c r="T1585" s="85" t="s">
        <v>8073</v>
      </c>
      <c r="U1585" s="88"/>
      <c r="V1585" s="32" t="s">
        <v>6642</v>
      </c>
      <c r="W1585" s="25" t="s">
        <v>8</v>
      </c>
      <c r="X1585" s="11"/>
      <c r="Y1585" s="50"/>
      <c r="Z1585" s="50"/>
      <c r="AA1585" s="50"/>
      <c r="AB1585" s="50"/>
      <c r="AC1585" s="50"/>
      <c r="AD1585" s="50"/>
      <c r="AE1585" s="50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65"/>
      <c r="AP1585" s="69"/>
      <c r="AQ1585" s="62"/>
      <c r="AR1585" s="34"/>
    </row>
    <row r="1586" spans="1:44" customFormat="1">
      <c r="A1586" s="39">
        <v>45197</v>
      </c>
      <c r="B1586" s="11" t="s">
        <v>23</v>
      </c>
      <c r="C1586" s="16" t="s">
        <v>6742</v>
      </c>
      <c r="D1586" s="16" t="s">
        <v>6743</v>
      </c>
      <c r="E1586" s="38">
        <v>33063</v>
      </c>
      <c r="F1586" s="38"/>
      <c r="G1586" s="10" t="s">
        <v>6744</v>
      </c>
      <c r="H1586" s="12" t="s">
        <v>6745</v>
      </c>
      <c r="I1586" s="13" t="s">
        <v>6748</v>
      </c>
      <c r="J1586" s="15" t="s">
        <v>6746</v>
      </c>
      <c r="K1586" s="12"/>
      <c r="L1586" s="11" t="s">
        <v>531</v>
      </c>
      <c r="M1586" s="15" t="s">
        <v>3577</v>
      </c>
      <c r="N1586" s="17">
        <v>16500</v>
      </c>
      <c r="O1586" s="17"/>
      <c r="P1586" s="17"/>
      <c r="Q1586" s="48"/>
      <c r="R1586" s="11"/>
      <c r="S1586" s="48"/>
      <c r="T1586" s="85"/>
      <c r="U1586" s="88"/>
      <c r="V1586" s="32" t="s">
        <v>6642</v>
      </c>
      <c r="W1586" s="25" t="s">
        <v>6747</v>
      </c>
      <c r="X1586" s="11"/>
      <c r="Y1586" s="50" t="s">
        <v>13</v>
      </c>
      <c r="Z1586" s="50"/>
      <c r="AA1586" s="50"/>
      <c r="AB1586" s="50"/>
      <c r="AC1586" s="50"/>
      <c r="AD1586" s="50"/>
      <c r="AE1586" s="50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65"/>
      <c r="AP1586" s="69"/>
      <c r="AQ1586" s="62"/>
      <c r="AR1586" s="34"/>
    </row>
    <row r="1587" spans="1:44" customFormat="1">
      <c r="A1587" s="39">
        <v>45199</v>
      </c>
      <c r="B1587" s="11" t="s">
        <v>49</v>
      </c>
      <c r="C1587" s="16" t="s">
        <v>3123</v>
      </c>
      <c r="D1587" s="16" t="s">
        <v>6749</v>
      </c>
      <c r="E1587" s="38">
        <v>30614</v>
      </c>
      <c r="F1587" s="38"/>
      <c r="G1587" s="10" t="s">
        <v>6750</v>
      </c>
      <c r="H1587" s="12" t="s">
        <v>3125</v>
      </c>
      <c r="I1587" s="13" t="s">
        <v>6751</v>
      </c>
      <c r="J1587" s="15" t="s">
        <v>6752</v>
      </c>
      <c r="K1587" s="12"/>
      <c r="L1587" s="11" t="s">
        <v>36</v>
      </c>
      <c r="M1587" s="15"/>
      <c r="N1587" s="17">
        <v>16500</v>
      </c>
      <c r="O1587" s="17"/>
      <c r="P1587" s="17"/>
      <c r="Q1587" s="48"/>
      <c r="R1587" s="11"/>
      <c r="S1587" s="48"/>
      <c r="T1587" s="85" t="s">
        <v>8073</v>
      </c>
      <c r="U1587" s="88"/>
      <c r="V1587" s="32"/>
      <c r="W1587" s="25" t="s">
        <v>48</v>
      </c>
      <c r="X1587" s="11"/>
      <c r="Y1587" s="50" t="s">
        <v>13</v>
      </c>
      <c r="Z1587" s="50"/>
      <c r="AA1587" s="50"/>
      <c r="AB1587" s="50"/>
      <c r="AC1587" s="50"/>
      <c r="AD1587" s="50"/>
      <c r="AE1587" s="50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65"/>
      <c r="AP1587" s="69"/>
      <c r="AQ1587" s="62"/>
      <c r="AR1587" s="34"/>
    </row>
    <row r="1588" spans="1:44" customFormat="1">
      <c r="A1588" s="39">
        <v>45200</v>
      </c>
      <c r="B1588" s="11" t="s">
        <v>2171</v>
      </c>
      <c r="C1588" s="16" t="s">
        <v>6707</v>
      </c>
      <c r="D1588" s="16" t="s">
        <v>6708</v>
      </c>
      <c r="E1588" s="38">
        <v>32986</v>
      </c>
      <c r="F1588" s="38"/>
      <c r="G1588" s="10" t="s">
        <v>6709</v>
      </c>
      <c r="H1588" s="12" t="s">
        <v>6713</v>
      </c>
      <c r="I1588" s="13" t="s">
        <v>6712</v>
      </c>
      <c r="J1588" s="15" t="s">
        <v>6711</v>
      </c>
      <c r="K1588" s="46" t="s">
        <v>6710</v>
      </c>
      <c r="L1588" s="11" t="s">
        <v>39</v>
      </c>
      <c r="M1588" s="15" t="s">
        <v>3577</v>
      </c>
      <c r="N1588" s="17">
        <v>6600</v>
      </c>
      <c r="O1588" s="17"/>
      <c r="P1588" s="17"/>
      <c r="Q1588" s="48"/>
      <c r="R1588" s="11"/>
      <c r="S1588" s="48"/>
      <c r="T1588" s="85"/>
      <c r="U1588" s="88"/>
      <c r="V1588" s="32" t="s">
        <v>6714</v>
      </c>
      <c r="W1588" s="25" t="s">
        <v>8</v>
      </c>
      <c r="X1588" s="11"/>
      <c r="Y1588" s="50" t="s">
        <v>15</v>
      </c>
      <c r="Z1588" s="50"/>
      <c r="AA1588" s="50"/>
      <c r="AB1588" s="50"/>
      <c r="AC1588" s="50"/>
      <c r="AD1588" s="50"/>
      <c r="AE1588" s="50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65" t="s">
        <v>6753</v>
      </c>
      <c r="AP1588" s="69"/>
      <c r="AQ1588" s="62"/>
      <c r="AR1588" s="34"/>
    </row>
    <row r="1589" spans="1:44" customFormat="1">
      <c r="A1589" s="39">
        <v>45201</v>
      </c>
      <c r="B1589" s="11" t="s">
        <v>49</v>
      </c>
      <c r="C1589" s="16" t="s">
        <v>6755</v>
      </c>
      <c r="D1589" s="16" t="s">
        <v>6756</v>
      </c>
      <c r="E1589" s="38">
        <v>23880</v>
      </c>
      <c r="F1589" s="38"/>
      <c r="G1589" s="10" t="s">
        <v>6757</v>
      </c>
      <c r="H1589" s="12" t="s">
        <v>6758</v>
      </c>
      <c r="I1589" s="13" t="s">
        <v>3536</v>
      </c>
      <c r="J1589" s="15" t="s">
        <v>6760</v>
      </c>
      <c r="K1589" s="46" t="s">
        <v>6759</v>
      </c>
      <c r="L1589" s="11" t="s">
        <v>33</v>
      </c>
      <c r="M1589" s="15" t="s">
        <v>3584</v>
      </c>
      <c r="N1589" s="17">
        <v>16500</v>
      </c>
      <c r="O1589" s="17"/>
      <c r="P1589" s="17"/>
      <c r="Q1589" s="48"/>
      <c r="R1589" s="11" t="s">
        <v>6847</v>
      </c>
      <c r="S1589" s="48"/>
      <c r="T1589" s="85" t="s">
        <v>8073</v>
      </c>
      <c r="U1589" s="88"/>
      <c r="V1589" s="32" t="s">
        <v>6642</v>
      </c>
      <c r="W1589" s="25" t="s">
        <v>48</v>
      </c>
      <c r="X1589" s="11"/>
      <c r="Y1589" s="50" t="s">
        <v>13</v>
      </c>
      <c r="Z1589" s="50"/>
      <c r="AA1589" s="50"/>
      <c r="AB1589" s="50"/>
      <c r="AC1589" s="50"/>
      <c r="AD1589" s="50"/>
      <c r="AE1589" s="50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65"/>
      <c r="AP1589" s="69"/>
      <c r="AQ1589" s="62"/>
      <c r="AR1589" s="34"/>
    </row>
    <row r="1590" spans="1:44" customFormat="1">
      <c r="A1590" s="39">
        <v>45201</v>
      </c>
      <c r="B1590" s="11" t="s">
        <v>22</v>
      </c>
      <c r="C1590" s="16" t="s">
        <v>6761</v>
      </c>
      <c r="D1590" s="16" t="s">
        <v>6769</v>
      </c>
      <c r="E1590" s="38">
        <v>30621</v>
      </c>
      <c r="F1590" s="38"/>
      <c r="G1590" s="10" t="s">
        <v>6764</v>
      </c>
      <c r="H1590" s="12" t="s">
        <v>6765</v>
      </c>
      <c r="I1590" s="13" t="s">
        <v>1989</v>
      </c>
      <c r="J1590" s="15" t="s">
        <v>6768</v>
      </c>
      <c r="K1590" s="12"/>
      <c r="L1590" s="11" t="s">
        <v>34</v>
      </c>
      <c r="M1590" s="15" t="s">
        <v>3599</v>
      </c>
      <c r="N1590" s="17">
        <v>3300</v>
      </c>
      <c r="O1590" s="17"/>
      <c r="P1590" s="17"/>
      <c r="Q1590" s="48"/>
      <c r="R1590" s="11" t="s">
        <v>6847</v>
      </c>
      <c r="S1590" s="48"/>
      <c r="T1590" s="85" t="s">
        <v>8079</v>
      </c>
      <c r="U1590" s="88"/>
      <c r="V1590" s="32" t="s">
        <v>6642</v>
      </c>
      <c r="W1590" s="25" t="s">
        <v>48</v>
      </c>
      <c r="X1590" s="11"/>
      <c r="Y1590" s="50"/>
      <c r="Z1590" s="50"/>
      <c r="AA1590" s="50"/>
      <c r="AB1590" s="50"/>
      <c r="AC1590" s="50"/>
      <c r="AD1590" s="50"/>
      <c r="AE1590" s="50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65" t="s">
        <v>5804</v>
      </c>
      <c r="AP1590" s="276" t="s">
        <v>6771</v>
      </c>
      <c r="AQ1590" s="62" t="s">
        <v>8079</v>
      </c>
      <c r="AR1590" s="34"/>
    </row>
    <row r="1591" spans="1:44" customFormat="1">
      <c r="A1591" s="39">
        <v>45201</v>
      </c>
      <c r="B1591" s="11" t="s">
        <v>22</v>
      </c>
      <c r="C1591" s="16" t="s">
        <v>6762</v>
      </c>
      <c r="D1591" s="16" t="s">
        <v>6763</v>
      </c>
      <c r="E1591" s="38">
        <v>35136</v>
      </c>
      <c r="F1591" s="38"/>
      <c r="G1591" s="10" t="s">
        <v>236</v>
      </c>
      <c r="H1591" s="12" t="s">
        <v>6766</v>
      </c>
      <c r="I1591" s="13" t="s">
        <v>1663</v>
      </c>
      <c r="J1591" s="15" t="s">
        <v>6767</v>
      </c>
      <c r="K1591" s="12"/>
      <c r="L1591" s="11" t="s">
        <v>34</v>
      </c>
      <c r="M1591" s="15" t="s">
        <v>3599</v>
      </c>
      <c r="N1591" s="17">
        <v>3300</v>
      </c>
      <c r="O1591" s="17"/>
      <c r="P1591" s="17"/>
      <c r="Q1591" s="48"/>
      <c r="R1591" s="11" t="s">
        <v>6848</v>
      </c>
      <c r="S1591" s="48"/>
      <c r="T1591" s="85" t="s">
        <v>8079</v>
      </c>
      <c r="U1591" s="88"/>
      <c r="V1591" s="32" t="s">
        <v>6642</v>
      </c>
      <c r="W1591" s="25" t="s">
        <v>48</v>
      </c>
      <c r="X1591" s="11"/>
      <c r="Y1591" s="50"/>
      <c r="Z1591" s="50"/>
      <c r="AA1591" s="50"/>
      <c r="AB1591" s="50"/>
      <c r="AC1591" s="50"/>
      <c r="AD1591" s="50"/>
      <c r="AE1591" s="50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 t="s">
        <v>6770</v>
      </c>
      <c r="AP1591" s="277"/>
      <c r="AQ1591" s="62" t="s">
        <v>8079</v>
      </c>
      <c r="AR1591" s="34"/>
    </row>
    <row r="1592" spans="1:44" customFormat="1">
      <c r="A1592" s="39">
        <v>45205</v>
      </c>
      <c r="B1592" s="11" t="s">
        <v>22</v>
      </c>
      <c r="C1592" s="16" t="s">
        <v>6773</v>
      </c>
      <c r="D1592" s="16" t="s">
        <v>6774</v>
      </c>
      <c r="E1592" s="38">
        <v>30364</v>
      </c>
      <c r="F1592" s="38"/>
      <c r="G1592" s="10" t="s">
        <v>682</v>
      </c>
      <c r="H1592" s="22" t="s">
        <v>6775</v>
      </c>
      <c r="I1592" s="13">
        <v>6.7</v>
      </c>
      <c r="J1592" s="15" t="s">
        <v>6776</v>
      </c>
      <c r="K1592" s="12"/>
      <c r="L1592" s="11" t="s">
        <v>34</v>
      </c>
      <c r="M1592" s="15" t="s">
        <v>3629</v>
      </c>
      <c r="N1592" s="17">
        <v>3300</v>
      </c>
      <c r="O1592" s="17"/>
      <c r="P1592" s="17"/>
      <c r="Q1592" s="48"/>
      <c r="R1592" s="11" t="s">
        <v>6848</v>
      </c>
      <c r="S1592" s="48"/>
      <c r="T1592" s="85"/>
      <c r="U1592" s="90">
        <v>45245</v>
      </c>
      <c r="V1592" s="32" t="s">
        <v>6642</v>
      </c>
      <c r="W1592" s="25" t="s">
        <v>48</v>
      </c>
      <c r="X1592" s="11"/>
      <c r="Y1592" s="50"/>
      <c r="Z1592" s="50"/>
      <c r="AA1592" s="50"/>
      <c r="AB1592" s="50"/>
      <c r="AC1592" s="50"/>
      <c r="AD1592" s="50"/>
      <c r="AE1592" s="50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65" t="s">
        <v>5822</v>
      </c>
      <c r="AP1592" s="69"/>
      <c r="AQ1592" s="62"/>
      <c r="AR1592" s="79">
        <v>45245</v>
      </c>
    </row>
    <row r="1593" spans="1:44" customFormat="1">
      <c r="A1593" s="39">
        <v>45207</v>
      </c>
      <c r="B1593" s="11" t="s">
        <v>49</v>
      </c>
      <c r="C1593" s="16" t="s">
        <v>6781</v>
      </c>
      <c r="D1593" s="16" t="s">
        <v>6782</v>
      </c>
      <c r="E1593" s="38">
        <v>30116</v>
      </c>
      <c r="F1593" s="38"/>
      <c r="G1593" s="10" t="s">
        <v>1959</v>
      </c>
      <c r="H1593" s="22" t="s">
        <v>6783</v>
      </c>
      <c r="I1593" s="13">
        <v>40.200000000000003</v>
      </c>
      <c r="J1593" s="15" t="s">
        <v>6784</v>
      </c>
      <c r="K1593" s="12"/>
      <c r="L1593" s="11" t="s">
        <v>36</v>
      </c>
      <c r="M1593" s="15" t="s">
        <v>3599</v>
      </c>
      <c r="N1593" s="17">
        <v>14850</v>
      </c>
      <c r="O1593" s="17"/>
      <c r="P1593" s="17"/>
      <c r="Q1593" s="48"/>
      <c r="R1593" s="11" t="s">
        <v>6849</v>
      </c>
      <c r="S1593" s="48"/>
      <c r="T1593" s="85"/>
      <c r="U1593" s="88"/>
      <c r="V1593" s="32" t="s">
        <v>6785</v>
      </c>
      <c r="W1593" s="25" t="s">
        <v>8</v>
      </c>
      <c r="X1593" s="11"/>
      <c r="Y1593" s="50"/>
      <c r="Z1593" s="50"/>
      <c r="AA1593" s="50"/>
      <c r="AB1593" s="50"/>
      <c r="AC1593" s="50"/>
      <c r="AD1593" s="50"/>
      <c r="AE1593" s="50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65" t="s">
        <v>5822</v>
      </c>
      <c r="AP1593" s="69"/>
      <c r="AQ1593" s="62" t="s">
        <v>8079</v>
      </c>
      <c r="AR1593" s="34"/>
    </row>
    <row r="1594" spans="1:44" customFormat="1">
      <c r="A1594" s="39">
        <v>45207</v>
      </c>
      <c r="B1594" s="11" t="s">
        <v>22</v>
      </c>
      <c r="C1594" s="16" t="s">
        <v>6777</v>
      </c>
      <c r="D1594" s="16" t="s">
        <v>6778</v>
      </c>
      <c r="E1594" s="38">
        <v>21019</v>
      </c>
      <c r="F1594" s="38"/>
      <c r="G1594" s="10" t="s">
        <v>207</v>
      </c>
      <c r="H1594" s="12" t="s">
        <v>6779</v>
      </c>
      <c r="I1594" s="13">
        <v>1.7</v>
      </c>
      <c r="J1594" s="15" t="s">
        <v>6780</v>
      </c>
      <c r="K1594" s="12"/>
      <c r="L1594" s="11" t="s">
        <v>36</v>
      </c>
      <c r="M1594" s="15" t="s">
        <v>3599</v>
      </c>
      <c r="N1594" s="17">
        <v>3300</v>
      </c>
      <c r="O1594" s="17"/>
      <c r="P1594" s="17"/>
      <c r="Q1594" s="48"/>
      <c r="R1594" s="11" t="s">
        <v>6847</v>
      </c>
      <c r="S1594" s="48"/>
      <c r="T1594" s="85" t="s">
        <v>8079</v>
      </c>
      <c r="U1594" s="88"/>
      <c r="V1594" s="32" t="s">
        <v>6642</v>
      </c>
      <c r="W1594" s="25" t="s">
        <v>4073</v>
      </c>
      <c r="X1594" s="11"/>
      <c r="Y1594" s="50"/>
      <c r="Z1594" s="50"/>
      <c r="AA1594" s="50"/>
      <c r="AB1594" s="50"/>
      <c r="AC1594" s="50"/>
      <c r="AD1594" s="50"/>
      <c r="AE1594" s="50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65"/>
      <c r="AP1594" s="69"/>
      <c r="AQ1594" s="62"/>
      <c r="AR1594" s="34"/>
    </row>
    <row r="1595" spans="1:44" customFormat="1">
      <c r="A1595" s="39">
        <v>45208</v>
      </c>
      <c r="B1595" s="11" t="s">
        <v>49</v>
      </c>
      <c r="C1595" s="16" t="s">
        <v>6786</v>
      </c>
      <c r="D1595" s="16" t="s">
        <v>6787</v>
      </c>
      <c r="E1595" s="38">
        <v>28044</v>
      </c>
      <c r="F1595" s="38"/>
      <c r="G1595" s="10" t="s">
        <v>3933</v>
      </c>
      <c r="H1595" s="12" t="s">
        <v>6788</v>
      </c>
      <c r="I1595" s="13">
        <v>17.7</v>
      </c>
      <c r="J1595" s="15" t="s">
        <v>6789</v>
      </c>
      <c r="K1595" s="12"/>
      <c r="L1595" s="11" t="s">
        <v>33</v>
      </c>
      <c r="M1595" s="15" t="s">
        <v>3599</v>
      </c>
      <c r="N1595" s="17">
        <v>16500</v>
      </c>
      <c r="O1595" s="17"/>
      <c r="P1595" s="17"/>
      <c r="Q1595" s="48"/>
      <c r="R1595" s="11" t="s">
        <v>6847</v>
      </c>
      <c r="S1595" s="48"/>
      <c r="T1595" s="85" t="s">
        <v>8073</v>
      </c>
      <c r="U1595" s="88"/>
      <c r="V1595" s="32"/>
      <c r="W1595" s="25" t="s">
        <v>8</v>
      </c>
      <c r="X1595" s="11"/>
      <c r="Y1595" s="50" t="s">
        <v>13</v>
      </c>
      <c r="Z1595" s="50"/>
      <c r="AA1595" s="50"/>
      <c r="AB1595" s="50"/>
      <c r="AC1595" s="50"/>
      <c r="AD1595" s="50"/>
      <c r="AE1595" s="50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65"/>
      <c r="AP1595" s="69"/>
      <c r="AQ1595" s="62"/>
      <c r="AR1595" s="34"/>
    </row>
    <row r="1596" spans="1:44" customFormat="1">
      <c r="A1596" s="39">
        <v>45212</v>
      </c>
      <c r="B1596" s="11" t="s">
        <v>22</v>
      </c>
      <c r="C1596" s="16" t="s">
        <v>6790</v>
      </c>
      <c r="D1596" s="16" t="s">
        <v>6791</v>
      </c>
      <c r="E1596" s="38">
        <v>24045</v>
      </c>
      <c r="F1596" s="38"/>
      <c r="G1596" s="10" t="s">
        <v>6792</v>
      </c>
      <c r="H1596" s="12" t="s">
        <v>6793</v>
      </c>
      <c r="I1596" s="13" t="s">
        <v>4457</v>
      </c>
      <c r="J1596" s="15" t="s">
        <v>6795</v>
      </c>
      <c r="K1596" s="46" t="s">
        <v>6794</v>
      </c>
      <c r="L1596" s="11" t="s">
        <v>36</v>
      </c>
      <c r="M1596" s="15" t="s">
        <v>3584</v>
      </c>
      <c r="N1596" s="17">
        <v>3300</v>
      </c>
      <c r="O1596" s="17"/>
      <c r="P1596" s="17"/>
      <c r="Q1596" s="48"/>
      <c r="R1596" s="11" t="s">
        <v>6847</v>
      </c>
      <c r="S1596" s="48"/>
      <c r="T1596" s="85" t="s">
        <v>8079</v>
      </c>
      <c r="U1596" s="88"/>
      <c r="V1596" s="32" t="s">
        <v>6642</v>
      </c>
      <c r="W1596" s="25" t="s">
        <v>8</v>
      </c>
      <c r="X1596" s="11"/>
      <c r="Y1596" s="50"/>
      <c r="Z1596" s="50"/>
      <c r="AA1596" s="50"/>
      <c r="AB1596" s="50"/>
      <c r="AC1596" s="50"/>
      <c r="AD1596" s="50"/>
      <c r="AE1596" s="50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65" t="s">
        <v>5822</v>
      </c>
      <c r="AP1596" s="77" t="s">
        <v>6796</v>
      </c>
      <c r="AQ1596" s="62" t="s">
        <v>8079</v>
      </c>
      <c r="AR1596" s="34"/>
    </row>
    <row r="1597" spans="1:44" customFormat="1">
      <c r="A1597" s="39">
        <v>45213</v>
      </c>
      <c r="B1597" s="11" t="s">
        <v>49</v>
      </c>
      <c r="C1597" s="16" t="s">
        <v>6797</v>
      </c>
      <c r="D1597" s="16" t="s">
        <v>6798</v>
      </c>
      <c r="E1597" s="38">
        <v>27866</v>
      </c>
      <c r="F1597" s="38"/>
      <c r="G1597" s="10" t="s">
        <v>3404</v>
      </c>
      <c r="H1597" s="12" t="s">
        <v>6799</v>
      </c>
      <c r="I1597" s="13">
        <v>33.9</v>
      </c>
      <c r="J1597" s="15" t="s">
        <v>6801</v>
      </c>
      <c r="K1597" s="46" t="s">
        <v>6800</v>
      </c>
      <c r="L1597" s="11" t="s">
        <v>36</v>
      </c>
      <c r="M1597" s="15" t="s">
        <v>3584</v>
      </c>
      <c r="N1597" s="17">
        <v>16500</v>
      </c>
      <c r="O1597" s="17"/>
      <c r="P1597" s="17"/>
      <c r="Q1597" s="48"/>
      <c r="R1597" s="11" t="s">
        <v>6847</v>
      </c>
      <c r="S1597" s="48"/>
      <c r="T1597" s="85" t="s">
        <v>8073</v>
      </c>
      <c r="U1597" s="88"/>
      <c r="V1597" s="32"/>
      <c r="W1597" s="25" t="s">
        <v>48</v>
      </c>
      <c r="X1597" s="11"/>
      <c r="Y1597" s="50" t="s">
        <v>13</v>
      </c>
      <c r="Z1597" s="50"/>
      <c r="AA1597" s="50"/>
      <c r="AB1597" s="50"/>
      <c r="AC1597" s="50"/>
      <c r="AD1597" s="50"/>
      <c r="AE1597" s="50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65"/>
      <c r="AP1597" s="69"/>
      <c r="AQ1597" s="62"/>
      <c r="AR1597" s="34"/>
    </row>
    <row r="1598" spans="1:44" customFormat="1">
      <c r="A1598" s="39">
        <v>45214</v>
      </c>
      <c r="B1598" s="11" t="s">
        <v>49</v>
      </c>
      <c r="C1598" s="16" t="s">
        <v>6736</v>
      </c>
      <c r="D1598" s="16" t="s">
        <v>6809</v>
      </c>
      <c r="E1598" s="38">
        <v>24966</v>
      </c>
      <c r="F1598" s="38"/>
      <c r="G1598" s="10" t="s">
        <v>6810</v>
      </c>
      <c r="H1598" s="12" t="s">
        <v>6738</v>
      </c>
      <c r="I1598" s="13" t="s">
        <v>6811</v>
      </c>
      <c r="J1598" s="15" t="s">
        <v>6739</v>
      </c>
      <c r="K1598" s="12" t="s">
        <v>6812</v>
      </c>
      <c r="L1598" s="11" t="s">
        <v>36</v>
      </c>
      <c r="M1598" s="15" t="s">
        <v>3577</v>
      </c>
      <c r="N1598" s="17">
        <v>16500</v>
      </c>
      <c r="O1598" s="17"/>
      <c r="P1598" s="17"/>
      <c r="Q1598" s="48"/>
      <c r="R1598" s="11" t="s">
        <v>6847</v>
      </c>
      <c r="S1598" s="48"/>
      <c r="T1598" s="85" t="s">
        <v>8073</v>
      </c>
      <c r="U1598" s="88"/>
      <c r="V1598" s="32"/>
      <c r="W1598" s="25" t="s">
        <v>8</v>
      </c>
      <c r="X1598" s="11"/>
      <c r="Y1598" s="50"/>
      <c r="Z1598" s="50"/>
      <c r="AA1598" s="50"/>
      <c r="AB1598" s="50"/>
      <c r="AC1598" s="50"/>
      <c r="AD1598" s="50"/>
      <c r="AE1598" s="50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65" t="s">
        <v>5822</v>
      </c>
      <c r="AP1598" s="69"/>
      <c r="AQ1598" s="62" t="s">
        <v>8079</v>
      </c>
      <c r="AR1598" s="34"/>
    </row>
    <row r="1599" spans="1:44" customFormat="1">
      <c r="A1599" s="39">
        <v>45214</v>
      </c>
      <c r="B1599" s="11" t="s">
        <v>22</v>
      </c>
      <c r="C1599" s="16" t="s">
        <v>6802</v>
      </c>
      <c r="D1599" s="16" t="s">
        <v>6803</v>
      </c>
      <c r="E1599" s="38">
        <v>22454</v>
      </c>
      <c r="F1599" s="38"/>
      <c r="G1599" s="10" t="s">
        <v>406</v>
      </c>
      <c r="H1599" s="22" t="s">
        <v>6804</v>
      </c>
      <c r="I1599" s="13" t="s">
        <v>1676</v>
      </c>
      <c r="J1599" s="15" t="s">
        <v>6805</v>
      </c>
      <c r="K1599" s="12"/>
      <c r="L1599" s="11" t="s">
        <v>34</v>
      </c>
      <c r="M1599" s="15" t="s">
        <v>3629</v>
      </c>
      <c r="N1599" s="17">
        <v>3300</v>
      </c>
      <c r="O1599" s="17"/>
      <c r="P1599" s="17"/>
      <c r="Q1599" s="48"/>
      <c r="R1599" s="11" t="s">
        <v>6847</v>
      </c>
      <c r="S1599" s="48"/>
      <c r="T1599" s="85" t="s">
        <v>8079</v>
      </c>
      <c r="U1599" s="88"/>
      <c r="V1599" s="32" t="s">
        <v>6642</v>
      </c>
      <c r="W1599" s="25" t="s">
        <v>4073</v>
      </c>
      <c r="X1599" s="11"/>
      <c r="Y1599" s="50"/>
      <c r="Z1599" s="50"/>
      <c r="AA1599" s="50"/>
      <c r="AB1599" s="50"/>
      <c r="AC1599" s="50"/>
      <c r="AD1599" s="50"/>
      <c r="AE1599" s="50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65" t="s">
        <v>5822</v>
      </c>
      <c r="AP1599" s="69"/>
      <c r="AQ1599" s="62" t="s">
        <v>8079</v>
      </c>
      <c r="AR1599" s="34"/>
    </row>
    <row r="1600" spans="1:44" customFormat="1">
      <c r="A1600" s="39">
        <v>45214</v>
      </c>
      <c r="B1600" s="11" t="s">
        <v>22</v>
      </c>
      <c r="C1600" s="16" t="s">
        <v>6806</v>
      </c>
      <c r="D1600" s="16" t="s">
        <v>6807</v>
      </c>
      <c r="E1600" s="38">
        <v>24549</v>
      </c>
      <c r="F1600" s="38"/>
      <c r="G1600" s="10" t="s">
        <v>406</v>
      </c>
      <c r="H1600" s="22" t="s">
        <v>6804</v>
      </c>
      <c r="I1600" s="13" t="s">
        <v>1676</v>
      </c>
      <c r="J1600" s="15" t="s">
        <v>6808</v>
      </c>
      <c r="K1600" s="12"/>
      <c r="L1600" s="11" t="s">
        <v>36</v>
      </c>
      <c r="M1600" s="15" t="s">
        <v>3629</v>
      </c>
      <c r="N1600" s="17">
        <v>3300</v>
      </c>
      <c r="O1600" s="17"/>
      <c r="P1600" s="17"/>
      <c r="Q1600" s="48"/>
      <c r="R1600" s="11" t="s">
        <v>6847</v>
      </c>
      <c r="S1600" s="48"/>
      <c r="T1600" s="85" t="s">
        <v>8079</v>
      </c>
      <c r="U1600" s="88"/>
      <c r="V1600" s="32" t="s">
        <v>6642</v>
      </c>
      <c r="W1600" s="25" t="s">
        <v>4073</v>
      </c>
      <c r="X1600" s="11"/>
      <c r="Y1600" s="50"/>
      <c r="Z1600" s="50"/>
      <c r="AA1600" s="50"/>
      <c r="AB1600" s="50"/>
      <c r="AC1600" s="50"/>
      <c r="AD1600" s="50"/>
      <c r="AE1600" s="50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65"/>
      <c r="AP1600" s="69"/>
      <c r="AQ1600" s="62"/>
      <c r="AR1600" s="34"/>
    </row>
    <row r="1601" spans="1:44" customFormat="1">
      <c r="A1601" s="39">
        <v>45219</v>
      </c>
      <c r="B1601" s="11" t="s">
        <v>49</v>
      </c>
      <c r="C1601" s="16" t="s">
        <v>6813</v>
      </c>
      <c r="D1601" s="16" t="s">
        <v>6814</v>
      </c>
      <c r="E1601" s="38">
        <v>19315</v>
      </c>
      <c r="F1601" s="38"/>
      <c r="G1601" s="10" t="s">
        <v>4303</v>
      </c>
      <c r="H1601" s="12" t="s">
        <v>4304</v>
      </c>
      <c r="I1601" s="13" t="s">
        <v>2052</v>
      </c>
      <c r="J1601" s="15" t="s">
        <v>4306</v>
      </c>
      <c r="K1601" s="14" t="s">
        <v>6815</v>
      </c>
      <c r="L1601" s="11" t="s">
        <v>34</v>
      </c>
      <c r="M1601" s="15" t="s">
        <v>3584</v>
      </c>
      <c r="N1601" s="17">
        <v>11000</v>
      </c>
      <c r="O1601" s="17"/>
      <c r="P1601" s="17"/>
      <c r="Q1601" s="48"/>
      <c r="R1601" s="11" t="s">
        <v>6847</v>
      </c>
      <c r="S1601" s="48"/>
      <c r="T1601" s="85" t="s">
        <v>8073</v>
      </c>
      <c r="U1601" s="88"/>
      <c r="V1601" s="32" t="s">
        <v>6538</v>
      </c>
      <c r="W1601" s="25" t="s">
        <v>8</v>
      </c>
      <c r="X1601" s="11"/>
      <c r="Y1601" s="50" t="s">
        <v>13</v>
      </c>
      <c r="Z1601" s="50"/>
      <c r="AA1601" s="50"/>
      <c r="AB1601" s="50"/>
      <c r="AC1601" s="50"/>
      <c r="AD1601" s="50"/>
      <c r="AE1601" s="50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65"/>
      <c r="AP1601" s="69"/>
      <c r="AQ1601" s="62"/>
      <c r="AR1601" s="34"/>
    </row>
    <row r="1602" spans="1:44" customFormat="1">
      <c r="A1602" s="39">
        <v>45219</v>
      </c>
      <c r="B1602" s="11" t="s">
        <v>49</v>
      </c>
      <c r="C1602" s="16" t="s">
        <v>6816</v>
      </c>
      <c r="D1602" s="16" t="s">
        <v>6817</v>
      </c>
      <c r="E1602" s="38">
        <v>36084</v>
      </c>
      <c r="F1602" s="38"/>
      <c r="G1602" s="10" t="s">
        <v>6818</v>
      </c>
      <c r="H1602" s="12" t="s">
        <v>6819</v>
      </c>
      <c r="I1602" s="13" t="s">
        <v>6820</v>
      </c>
      <c r="J1602" s="15" t="s">
        <v>6821</v>
      </c>
      <c r="K1602" s="12"/>
      <c r="L1602" s="11" t="s">
        <v>39</v>
      </c>
      <c r="M1602" s="15" t="s">
        <v>3629</v>
      </c>
      <c r="N1602" s="17">
        <v>16500</v>
      </c>
      <c r="O1602" s="17"/>
      <c r="P1602" s="17"/>
      <c r="Q1602" s="48"/>
      <c r="R1602" s="11" t="s">
        <v>6848</v>
      </c>
      <c r="S1602" s="48"/>
      <c r="T1602" s="85"/>
      <c r="U1602" s="88"/>
      <c r="V1602" s="32" t="s">
        <v>6642</v>
      </c>
      <c r="W1602" s="25" t="s">
        <v>48</v>
      </c>
      <c r="X1602" s="11"/>
      <c r="Y1602" s="50" t="s">
        <v>12</v>
      </c>
      <c r="Z1602" s="50"/>
      <c r="AA1602" s="50"/>
      <c r="AB1602" s="50"/>
      <c r="AC1602" s="50"/>
      <c r="AD1602" s="50"/>
      <c r="AE1602" s="50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65"/>
      <c r="AP1602" s="69"/>
      <c r="AQ1602" s="62"/>
      <c r="AR1602" s="34"/>
    </row>
    <row r="1603" spans="1:44" customFormat="1">
      <c r="A1603" s="39">
        <v>45219</v>
      </c>
      <c r="B1603" s="11" t="s">
        <v>22</v>
      </c>
      <c r="C1603" s="16" t="s">
        <v>6822</v>
      </c>
      <c r="D1603" s="16" t="s">
        <v>6823</v>
      </c>
      <c r="E1603" s="38">
        <v>28606</v>
      </c>
      <c r="F1603" s="38"/>
      <c r="G1603" s="10" t="s">
        <v>5296</v>
      </c>
      <c r="H1603" s="12" t="s">
        <v>6824</v>
      </c>
      <c r="I1603" s="13" t="s">
        <v>6825</v>
      </c>
      <c r="J1603" s="15" t="s">
        <v>6827</v>
      </c>
      <c r="K1603" s="46" t="s">
        <v>6826</v>
      </c>
      <c r="L1603" s="11" t="s">
        <v>33</v>
      </c>
      <c r="M1603" s="15" t="s">
        <v>3584</v>
      </c>
      <c r="N1603" s="17">
        <v>3300</v>
      </c>
      <c r="O1603" s="17"/>
      <c r="P1603" s="17"/>
      <c r="Q1603" s="48"/>
      <c r="R1603" s="11" t="s">
        <v>6849</v>
      </c>
      <c r="S1603" s="48"/>
      <c r="T1603" s="85" t="s">
        <v>8079</v>
      </c>
      <c r="U1603" s="88"/>
      <c r="V1603" s="32" t="s">
        <v>6642</v>
      </c>
      <c r="W1603" s="25" t="s">
        <v>8</v>
      </c>
      <c r="X1603" s="11"/>
      <c r="Y1603" s="50"/>
      <c r="Z1603" s="50"/>
      <c r="AA1603" s="50"/>
      <c r="AB1603" s="50"/>
      <c r="AC1603" s="50"/>
      <c r="AD1603" s="50"/>
      <c r="AE1603" s="50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65" t="s">
        <v>5804</v>
      </c>
      <c r="AP1603" s="69" t="s">
        <v>6854</v>
      </c>
      <c r="AQ1603" s="62" t="s">
        <v>8079</v>
      </c>
      <c r="AR1603" s="34"/>
    </row>
    <row r="1604" spans="1:44" customFormat="1">
      <c r="A1604" s="39">
        <v>45220</v>
      </c>
      <c r="B1604" s="11" t="s">
        <v>22</v>
      </c>
      <c r="C1604" s="16" t="s">
        <v>6828</v>
      </c>
      <c r="D1604" s="16" t="s">
        <v>6829</v>
      </c>
      <c r="E1604" s="38">
        <v>32963</v>
      </c>
      <c r="F1604" s="38"/>
      <c r="G1604" s="10" t="s">
        <v>6830</v>
      </c>
      <c r="H1604" s="22" t="s">
        <v>6831</v>
      </c>
      <c r="I1604" s="13">
        <v>4</v>
      </c>
      <c r="J1604" s="15" t="s">
        <v>6832</v>
      </c>
      <c r="K1604" s="12"/>
      <c r="L1604" s="11" t="s">
        <v>35</v>
      </c>
      <c r="M1604" s="15" t="s">
        <v>3599</v>
      </c>
      <c r="N1604" s="17">
        <v>3300</v>
      </c>
      <c r="O1604" s="17"/>
      <c r="P1604" s="17"/>
      <c r="Q1604" s="48"/>
      <c r="R1604" s="11" t="s">
        <v>6847</v>
      </c>
      <c r="S1604" s="48"/>
      <c r="T1604" s="85" t="s">
        <v>8079</v>
      </c>
      <c r="U1604" s="88"/>
      <c r="V1604" s="32" t="s">
        <v>6642</v>
      </c>
      <c r="W1604" s="25" t="s">
        <v>48</v>
      </c>
      <c r="X1604" s="11"/>
      <c r="Y1604" s="50"/>
      <c r="Z1604" s="50"/>
      <c r="AA1604" s="50"/>
      <c r="AB1604" s="50"/>
      <c r="AC1604" s="50"/>
      <c r="AD1604" s="50"/>
      <c r="AE1604" s="50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65"/>
      <c r="AP1604" s="69"/>
      <c r="AQ1604" s="62" t="s">
        <v>8079</v>
      </c>
      <c r="AR1604" s="34"/>
    </row>
    <row r="1605" spans="1:44" customFormat="1">
      <c r="A1605" s="39">
        <v>45220</v>
      </c>
      <c r="B1605" s="11" t="s">
        <v>22</v>
      </c>
      <c r="C1605" s="16" t="s">
        <v>6834</v>
      </c>
      <c r="D1605" s="16" t="s">
        <v>6835</v>
      </c>
      <c r="E1605" s="38">
        <v>21504</v>
      </c>
      <c r="F1605" s="38"/>
      <c r="G1605" s="10" t="s">
        <v>795</v>
      </c>
      <c r="H1605" s="12" t="s">
        <v>6836</v>
      </c>
      <c r="I1605" s="13" t="s">
        <v>5043</v>
      </c>
      <c r="J1605" s="15" t="s">
        <v>6838</v>
      </c>
      <c r="K1605" s="46" t="s">
        <v>6837</v>
      </c>
      <c r="L1605" s="11" t="s">
        <v>33</v>
      </c>
      <c r="M1605" s="15" t="s">
        <v>3584</v>
      </c>
      <c r="N1605" s="17">
        <v>3300</v>
      </c>
      <c r="O1605" s="17"/>
      <c r="P1605" s="17"/>
      <c r="Q1605" s="48"/>
      <c r="R1605" s="11" t="s">
        <v>6847</v>
      </c>
      <c r="S1605" s="48"/>
      <c r="T1605" s="85" t="s">
        <v>8079</v>
      </c>
      <c r="U1605" s="88"/>
      <c r="V1605" s="32" t="s">
        <v>6642</v>
      </c>
      <c r="W1605" s="25" t="s">
        <v>48</v>
      </c>
      <c r="X1605" s="11"/>
      <c r="Y1605" s="50"/>
      <c r="Z1605" s="50"/>
      <c r="AA1605" s="50"/>
      <c r="AB1605" s="50"/>
      <c r="AC1605" s="50"/>
      <c r="AD1605" s="50"/>
      <c r="AE1605" s="50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65" t="s">
        <v>5804</v>
      </c>
      <c r="AP1605" s="69" t="s">
        <v>6833</v>
      </c>
      <c r="AQ1605" s="62" t="s">
        <v>8079</v>
      </c>
      <c r="AR1605" s="34"/>
    </row>
    <row r="1606" spans="1:44" customFormat="1">
      <c r="A1606" s="39">
        <v>45221</v>
      </c>
      <c r="B1606" s="11" t="s">
        <v>49</v>
      </c>
      <c r="C1606" s="16" t="s">
        <v>68</v>
      </c>
      <c r="D1606" s="16" t="s">
        <v>6839</v>
      </c>
      <c r="E1606" s="38">
        <v>23281</v>
      </c>
      <c r="F1606" s="38"/>
      <c r="G1606" s="10" t="s">
        <v>69</v>
      </c>
      <c r="H1606" s="12" t="s">
        <v>70</v>
      </c>
      <c r="I1606" s="13" t="s">
        <v>2617</v>
      </c>
      <c r="J1606" s="15" t="s">
        <v>71</v>
      </c>
      <c r="K1606" s="12"/>
      <c r="L1606" s="11" t="s">
        <v>36</v>
      </c>
      <c r="M1606" s="15" t="s">
        <v>3599</v>
      </c>
      <c r="N1606" s="17">
        <v>16500</v>
      </c>
      <c r="O1606" s="17"/>
      <c r="P1606" s="17"/>
      <c r="Q1606" s="48"/>
      <c r="R1606" s="11" t="s">
        <v>6849</v>
      </c>
      <c r="S1606" s="48"/>
      <c r="T1606" s="85" t="s">
        <v>8073</v>
      </c>
      <c r="U1606" s="88"/>
      <c r="V1606" s="32" t="s">
        <v>6642</v>
      </c>
      <c r="W1606" s="25" t="s">
        <v>48</v>
      </c>
      <c r="X1606" s="11"/>
      <c r="Y1606" s="50" t="s">
        <v>12</v>
      </c>
      <c r="Z1606" s="50"/>
      <c r="AA1606" s="50"/>
      <c r="AB1606" s="50"/>
      <c r="AC1606" s="50"/>
      <c r="AD1606" s="50"/>
      <c r="AE1606" s="50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65"/>
      <c r="AP1606" s="69" t="s">
        <v>6840</v>
      </c>
      <c r="AQ1606" s="62"/>
      <c r="AR1606" s="34"/>
    </row>
    <row r="1607" spans="1:44" customFormat="1">
      <c r="A1607" s="39">
        <v>45225</v>
      </c>
      <c r="B1607" s="11" t="s">
        <v>22</v>
      </c>
      <c r="C1607" s="16" t="s">
        <v>6842</v>
      </c>
      <c r="D1607" s="16" t="s">
        <v>6841</v>
      </c>
      <c r="E1607" s="38">
        <v>26571</v>
      </c>
      <c r="F1607" s="38"/>
      <c r="G1607" s="10" t="s">
        <v>406</v>
      </c>
      <c r="H1607" s="12" t="s">
        <v>6843</v>
      </c>
      <c r="I1607" s="13" t="s">
        <v>2805</v>
      </c>
      <c r="J1607" s="15" t="s">
        <v>6845</v>
      </c>
      <c r="K1607" s="46" t="s">
        <v>6844</v>
      </c>
      <c r="L1607" s="11" t="s">
        <v>36</v>
      </c>
      <c r="M1607" s="15" t="s">
        <v>3584</v>
      </c>
      <c r="N1607" s="17">
        <v>3300</v>
      </c>
      <c r="O1607" s="17"/>
      <c r="P1607" s="17"/>
      <c r="Q1607" s="48"/>
      <c r="R1607" s="11" t="s">
        <v>6849</v>
      </c>
      <c r="S1607" s="48"/>
      <c r="T1607" s="85"/>
      <c r="U1607" s="90">
        <v>45245</v>
      </c>
      <c r="V1607" s="32" t="s">
        <v>6642</v>
      </c>
      <c r="W1607" s="25" t="s">
        <v>4073</v>
      </c>
      <c r="X1607" s="11"/>
      <c r="Y1607" s="50"/>
      <c r="Z1607" s="50"/>
      <c r="AA1607" s="50"/>
      <c r="AB1607" s="50"/>
      <c r="AC1607" s="50"/>
      <c r="AD1607" s="50"/>
      <c r="AE1607" s="50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65" t="s">
        <v>5804</v>
      </c>
      <c r="AP1607" s="69"/>
      <c r="AQ1607" s="62"/>
      <c r="AR1607" s="79">
        <v>45245</v>
      </c>
    </row>
    <row r="1608" spans="1:44" customFormat="1">
      <c r="A1608" s="39">
        <v>45229</v>
      </c>
      <c r="B1608" s="11" t="s">
        <v>49</v>
      </c>
      <c r="C1608" s="16" t="s">
        <v>6850</v>
      </c>
      <c r="D1608" s="16" t="s">
        <v>6851</v>
      </c>
      <c r="E1608" s="38">
        <v>33618</v>
      </c>
      <c r="F1608" s="38"/>
      <c r="G1608" s="10" t="s">
        <v>196</v>
      </c>
      <c r="H1608" s="12" t="s">
        <v>6852</v>
      </c>
      <c r="I1608" s="13" t="s">
        <v>1844</v>
      </c>
      <c r="J1608" s="15" t="s">
        <v>6853</v>
      </c>
      <c r="K1608" s="12"/>
      <c r="L1608" s="11" t="s">
        <v>33</v>
      </c>
      <c r="M1608" s="15" t="s">
        <v>3584</v>
      </c>
      <c r="N1608" s="17">
        <v>16500</v>
      </c>
      <c r="O1608" s="17"/>
      <c r="P1608" s="17"/>
      <c r="Q1608" s="48"/>
      <c r="R1608" s="11" t="s">
        <v>6848</v>
      </c>
      <c r="S1608" s="48"/>
      <c r="T1608" s="85"/>
      <c r="U1608" s="88"/>
      <c r="V1608" s="32" t="s">
        <v>6642</v>
      </c>
      <c r="W1608" s="25" t="s">
        <v>39</v>
      </c>
      <c r="X1608" s="11"/>
      <c r="Y1608" s="50" t="s">
        <v>12</v>
      </c>
      <c r="Z1608" s="50"/>
      <c r="AA1608" s="50"/>
      <c r="AB1608" s="50"/>
      <c r="AC1608" s="50"/>
      <c r="AD1608" s="50"/>
      <c r="AE1608" s="50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65"/>
      <c r="AP1608" s="69"/>
      <c r="AQ1608" s="62"/>
      <c r="AR1608" s="34"/>
    </row>
    <row r="1609" spans="1:44" customFormat="1">
      <c r="A1609" s="39">
        <v>45231</v>
      </c>
      <c r="B1609" s="11" t="s">
        <v>22</v>
      </c>
      <c r="C1609" s="16" t="s">
        <v>6855</v>
      </c>
      <c r="D1609" s="16" t="s">
        <v>6856</v>
      </c>
      <c r="E1609" s="38">
        <v>21778</v>
      </c>
      <c r="F1609" s="38"/>
      <c r="G1609" s="10" t="s">
        <v>485</v>
      </c>
      <c r="H1609" s="22" t="s">
        <v>6857</v>
      </c>
      <c r="I1609" s="13">
        <v>2.9</v>
      </c>
      <c r="J1609" s="15" t="s">
        <v>6859</v>
      </c>
      <c r="K1609" s="46" t="s">
        <v>6858</v>
      </c>
      <c r="L1609" s="11" t="s">
        <v>39</v>
      </c>
      <c r="M1609" s="15" t="s">
        <v>3599</v>
      </c>
      <c r="N1609" s="17">
        <v>3300</v>
      </c>
      <c r="O1609" s="17"/>
      <c r="P1609" s="17"/>
      <c r="Q1609" s="48"/>
      <c r="R1609" s="11" t="s">
        <v>6848</v>
      </c>
      <c r="S1609" s="48"/>
      <c r="T1609" s="85" t="s">
        <v>8079</v>
      </c>
      <c r="U1609" s="88"/>
      <c r="V1609" s="32" t="s">
        <v>6650</v>
      </c>
      <c r="W1609" s="25" t="s">
        <v>48</v>
      </c>
      <c r="X1609" s="11"/>
      <c r="Y1609" s="50"/>
      <c r="Z1609" s="50"/>
      <c r="AA1609" s="50"/>
      <c r="AB1609" s="50"/>
      <c r="AC1609" s="50"/>
      <c r="AD1609" s="50"/>
      <c r="AE1609" s="50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65" t="s">
        <v>5822</v>
      </c>
      <c r="AP1609" s="69" t="s">
        <v>6860</v>
      </c>
      <c r="AQ1609" s="62" t="s">
        <v>8079</v>
      </c>
      <c r="AR1609" s="34"/>
    </row>
    <row r="1610" spans="1:44" customFormat="1">
      <c r="A1610" s="39">
        <v>45232</v>
      </c>
      <c r="B1610" s="11" t="s">
        <v>49</v>
      </c>
      <c r="C1610" s="16" t="s">
        <v>4624</v>
      </c>
      <c r="D1610" s="16" t="s">
        <v>6861</v>
      </c>
      <c r="E1610" s="38"/>
      <c r="F1610" s="38"/>
      <c r="G1610" s="10"/>
      <c r="H1610" s="12"/>
      <c r="I1610" s="13"/>
      <c r="J1610" s="15"/>
      <c r="K1610" s="12"/>
      <c r="L1610" s="11"/>
      <c r="M1610" s="15"/>
      <c r="N1610" s="17">
        <v>16500</v>
      </c>
      <c r="O1610" s="17"/>
      <c r="P1610" s="17"/>
      <c r="Q1610" s="48"/>
      <c r="R1610" s="11" t="s">
        <v>6847</v>
      </c>
      <c r="S1610" s="48"/>
      <c r="T1610" s="85" t="s">
        <v>8073</v>
      </c>
      <c r="U1610" s="88"/>
      <c r="V1610" s="32"/>
      <c r="W1610" s="25"/>
      <c r="X1610" s="11"/>
      <c r="Y1610" s="50"/>
      <c r="Z1610" s="50"/>
      <c r="AA1610" s="50"/>
      <c r="AB1610" s="50"/>
      <c r="AC1610" s="50"/>
      <c r="AD1610" s="50"/>
      <c r="AE1610" s="50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65"/>
      <c r="AP1610" s="69"/>
      <c r="AQ1610" s="62"/>
      <c r="AR1610" s="34"/>
    </row>
    <row r="1611" spans="1:44" customFormat="1">
      <c r="A1611" s="39">
        <v>45234</v>
      </c>
      <c r="B1611" s="11" t="s">
        <v>49</v>
      </c>
      <c r="C1611" s="16" t="s">
        <v>6862</v>
      </c>
      <c r="D1611" s="16" t="s">
        <v>6863</v>
      </c>
      <c r="E1611" s="38">
        <v>32525</v>
      </c>
      <c r="F1611" s="38"/>
      <c r="G1611" s="10" t="s">
        <v>6864</v>
      </c>
      <c r="H1611" s="22" t="s">
        <v>6865</v>
      </c>
      <c r="I1611" s="13">
        <v>10.8</v>
      </c>
      <c r="J1611" s="15" t="s">
        <v>6867</v>
      </c>
      <c r="K1611" s="46" t="s">
        <v>6866</v>
      </c>
      <c r="L1611" s="11" t="s">
        <v>36</v>
      </c>
      <c r="M1611" s="15" t="s">
        <v>3599</v>
      </c>
      <c r="N1611" s="17">
        <v>16500</v>
      </c>
      <c r="O1611" s="17"/>
      <c r="P1611" s="17"/>
      <c r="Q1611" s="48"/>
      <c r="R1611" s="11" t="s">
        <v>6847</v>
      </c>
      <c r="S1611" s="48"/>
      <c r="T1611" s="85" t="s">
        <v>8073</v>
      </c>
      <c r="U1611" s="88"/>
      <c r="V1611" s="32"/>
      <c r="W1611" s="25" t="s">
        <v>48</v>
      </c>
      <c r="X1611" s="11"/>
      <c r="Y1611" s="50" t="s">
        <v>13</v>
      </c>
      <c r="Z1611" s="50"/>
      <c r="AA1611" s="50"/>
      <c r="AB1611" s="50"/>
      <c r="AC1611" s="50"/>
      <c r="AD1611" s="50"/>
      <c r="AE1611" s="50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65"/>
      <c r="AP1611" s="69"/>
      <c r="AQ1611" s="62"/>
      <c r="AR1611" s="34"/>
    </row>
    <row r="1612" spans="1:44" customFormat="1">
      <c r="A1612" s="39">
        <v>45235</v>
      </c>
      <c r="B1612" s="11" t="s">
        <v>22</v>
      </c>
      <c r="C1612" s="16" t="s">
        <v>6868</v>
      </c>
      <c r="D1612" s="16" t="s">
        <v>6869</v>
      </c>
      <c r="E1612" s="38">
        <v>28468</v>
      </c>
      <c r="F1612" s="38"/>
      <c r="G1612" s="10" t="s">
        <v>6870</v>
      </c>
      <c r="H1612" s="22" t="s">
        <v>6871</v>
      </c>
      <c r="I1612" s="13">
        <v>11.9</v>
      </c>
      <c r="J1612" s="15" t="s">
        <v>6873</v>
      </c>
      <c r="K1612" s="46" t="s">
        <v>6872</v>
      </c>
      <c r="L1612" s="11" t="s">
        <v>36</v>
      </c>
      <c r="M1612" s="15" t="s">
        <v>3584</v>
      </c>
      <c r="N1612" s="17">
        <v>3300</v>
      </c>
      <c r="O1612" s="17"/>
      <c r="P1612" s="17"/>
      <c r="Q1612" s="48"/>
      <c r="R1612" s="11" t="s">
        <v>6847</v>
      </c>
      <c r="S1612" s="48"/>
      <c r="T1612" s="85" t="s">
        <v>8079</v>
      </c>
      <c r="U1612" s="88"/>
      <c r="V1612" s="32" t="s">
        <v>6650</v>
      </c>
      <c r="W1612" s="25" t="s">
        <v>48</v>
      </c>
      <c r="X1612" s="11"/>
      <c r="Y1612" s="50"/>
      <c r="Z1612" s="50"/>
      <c r="AA1612" s="50"/>
      <c r="AB1612" s="50"/>
      <c r="AC1612" s="50"/>
      <c r="AD1612" s="50"/>
      <c r="AE1612" s="50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65" t="s">
        <v>5822</v>
      </c>
      <c r="AP1612" s="69"/>
      <c r="AQ1612" s="62" t="s">
        <v>8079</v>
      </c>
      <c r="AR1612" s="34"/>
    </row>
    <row r="1613" spans="1:44" customFormat="1">
      <c r="A1613" s="39">
        <v>45236</v>
      </c>
      <c r="B1613" s="11" t="s">
        <v>24</v>
      </c>
      <c r="C1613" s="16" t="s">
        <v>6874</v>
      </c>
      <c r="D1613" s="16" t="s">
        <v>6875</v>
      </c>
      <c r="E1613" s="38">
        <v>31110</v>
      </c>
      <c r="F1613" s="38"/>
      <c r="G1613" s="10" t="s">
        <v>987</v>
      </c>
      <c r="H1613" s="12" t="s">
        <v>6876</v>
      </c>
      <c r="I1613" s="13">
        <v>17.2</v>
      </c>
      <c r="J1613" s="15" t="s">
        <v>6877</v>
      </c>
      <c r="K1613" s="12"/>
      <c r="L1613" s="11" t="s">
        <v>36</v>
      </c>
      <c r="M1613" s="15" t="s">
        <v>3599</v>
      </c>
      <c r="N1613" s="17">
        <v>8800</v>
      </c>
      <c r="O1613" s="17"/>
      <c r="P1613" s="17"/>
      <c r="Q1613" s="48"/>
      <c r="R1613" s="11" t="s">
        <v>6848</v>
      </c>
      <c r="S1613" s="48"/>
      <c r="T1613" s="85"/>
      <c r="U1613" s="88"/>
      <c r="V1613" s="32" t="s">
        <v>6650</v>
      </c>
      <c r="W1613" s="25" t="s">
        <v>48</v>
      </c>
      <c r="X1613" s="11"/>
      <c r="Y1613" s="50" t="s">
        <v>11</v>
      </c>
      <c r="Z1613" s="50"/>
      <c r="AA1613" s="50"/>
      <c r="AB1613" s="50"/>
      <c r="AC1613" s="50"/>
      <c r="AD1613" s="50"/>
      <c r="AE1613" s="50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65"/>
      <c r="AP1613" s="69"/>
      <c r="AQ1613" s="62"/>
      <c r="AR1613" s="34"/>
    </row>
    <row r="1614" spans="1:44" customFormat="1">
      <c r="A1614" s="39">
        <v>45236</v>
      </c>
      <c r="B1614" s="11" t="s">
        <v>24</v>
      </c>
      <c r="C1614" s="16" t="s">
        <v>6878</v>
      </c>
      <c r="D1614" s="16" t="s">
        <v>6879</v>
      </c>
      <c r="E1614" s="38">
        <v>33175</v>
      </c>
      <c r="F1614" s="38"/>
      <c r="G1614" s="10" t="s">
        <v>987</v>
      </c>
      <c r="H1614" s="12" t="s">
        <v>6876</v>
      </c>
      <c r="I1614" s="13">
        <v>17.2</v>
      </c>
      <c r="J1614" s="15" t="s">
        <v>6880</v>
      </c>
      <c r="K1614" s="12"/>
      <c r="L1614" s="11" t="s">
        <v>36</v>
      </c>
      <c r="M1614" s="15" t="s">
        <v>3680</v>
      </c>
      <c r="N1614" s="17">
        <v>8800</v>
      </c>
      <c r="O1614" s="17"/>
      <c r="P1614" s="17"/>
      <c r="Q1614" s="48"/>
      <c r="R1614" s="11" t="s">
        <v>6848</v>
      </c>
      <c r="S1614" s="48"/>
      <c r="T1614" s="85"/>
      <c r="U1614" s="88"/>
      <c r="V1614" s="32" t="s">
        <v>6642</v>
      </c>
      <c r="W1614" s="25" t="s">
        <v>48</v>
      </c>
      <c r="X1614" s="11"/>
      <c r="Y1614" s="50" t="s">
        <v>13</v>
      </c>
      <c r="Z1614" s="50"/>
      <c r="AA1614" s="50"/>
      <c r="AB1614" s="50"/>
      <c r="AC1614" s="50"/>
      <c r="AD1614" s="50"/>
      <c r="AE1614" s="50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65"/>
      <c r="AP1614" s="69" t="s">
        <v>6881</v>
      </c>
      <c r="AQ1614" s="62"/>
      <c r="AR1614" s="34"/>
    </row>
    <row r="1615" spans="1:44" customFormat="1">
      <c r="A1615" s="39">
        <v>45238</v>
      </c>
      <c r="B1615" s="11" t="s">
        <v>49</v>
      </c>
      <c r="C1615" s="16" t="s">
        <v>2941</v>
      </c>
      <c r="D1615" s="16" t="s">
        <v>6320</v>
      </c>
      <c r="E1615" s="38">
        <v>26501</v>
      </c>
      <c r="F1615" s="38"/>
      <c r="G1615" s="10" t="s">
        <v>6882</v>
      </c>
      <c r="H1615" s="12" t="s">
        <v>2943</v>
      </c>
      <c r="I1615" s="13" t="s">
        <v>6883</v>
      </c>
      <c r="J1615" s="15" t="s">
        <v>9310</v>
      </c>
      <c r="K1615" s="12"/>
      <c r="L1615" s="11" t="s">
        <v>34</v>
      </c>
      <c r="M1615" s="15"/>
      <c r="N1615" s="17">
        <v>16500</v>
      </c>
      <c r="O1615" s="17"/>
      <c r="P1615" s="17"/>
      <c r="Q1615" s="48"/>
      <c r="R1615" s="11" t="s">
        <v>6849</v>
      </c>
      <c r="S1615" s="48"/>
      <c r="T1615" s="85" t="s">
        <v>8073</v>
      </c>
      <c r="U1615" s="88"/>
      <c r="V1615" s="32" t="s">
        <v>6884</v>
      </c>
      <c r="W1615" s="25" t="s">
        <v>8</v>
      </c>
      <c r="X1615" s="11"/>
      <c r="Y1615" s="50"/>
      <c r="Z1615" s="50"/>
      <c r="AA1615" s="50"/>
      <c r="AB1615" s="50"/>
      <c r="AC1615" s="50"/>
      <c r="AD1615" s="50"/>
      <c r="AE1615" s="50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65"/>
      <c r="AP1615" s="69"/>
      <c r="AQ1615" s="62"/>
      <c r="AR1615" s="34"/>
    </row>
    <row r="1616" spans="1:44" customFormat="1">
      <c r="A1616" s="39">
        <v>45241</v>
      </c>
      <c r="B1616" s="11" t="s">
        <v>22</v>
      </c>
      <c r="C1616" s="16" t="s">
        <v>6893</v>
      </c>
      <c r="D1616" s="16" t="s">
        <v>6894</v>
      </c>
      <c r="E1616" s="38">
        <v>31271</v>
      </c>
      <c r="F1616" s="38"/>
      <c r="G1616" s="10" t="s">
        <v>6415</v>
      </c>
      <c r="H1616" s="22" t="s">
        <v>6895</v>
      </c>
      <c r="I1616" s="13">
        <v>5</v>
      </c>
      <c r="J1616" s="15" t="s">
        <v>6896</v>
      </c>
      <c r="K1616" s="46" t="s">
        <v>6901</v>
      </c>
      <c r="L1616" s="11" t="s">
        <v>33</v>
      </c>
      <c r="M1616" s="15" t="s">
        <v>3599</v>
      </c>
      <c r="N1616" s="17">
        <v>3300</v>
      </c>
      <c r="O1616" s="17"/>
      <c r="P1616" s="17"/>
      <c r="Q1616" s="48"/>
      <c r="R1616" s="11" t="s">
        <v>6847</v>
      </c>
      <c r="S1616" s="48"/>
      <c r="T1616" s="85" t="s">
        <v>8079</v>
      </c>
      <c r="U1616" s="88"/>
      <c r="V1616" s="32" t="s">
        <v>6642</v>
      </c>
      <c r="W1616" s="25" t="s">
        <v>48</v>
      </c>
      <c r="X1616" s="11"/>
      <c r="Y1616" s="50" t="s">
        <v>15</v>
      </c>
      <c r="Z1616" s="50"/>
      <c r="AA1616" s="50"/>
      <c r="AB1616" s="50"/>
      <c r="AC1616" s="50"/>
      <c r="AD1616" s="50"/>
      <c r="AE1616" s="50"/>
      <c r="AF1616" s="34" t="s">
        <v>14</v>
      </c>
      <c r="AG1616" s="34"/>
      <c r="AH1616" s="34"/>
      <c r="AI1616" s="34"/>
      <c r="AJ1616" s="34"/>
      <c r="AK1616" s="34"/>
      <c r="AL1616" s="34"/>
      <c r="AM1616" s="34"/>
      <c r="AN1616" s="34"/>
      <c r="AO1616" s="65"/>
      <c r="AP1616" s="69"/>
      <c r="AQ1616" s="62"/>
      <c r="AR1616" s="34"/>
    </row>
    <row r="1617" spans="1:44" customFormat="1">
      <c r="A1617" s="39">
        <v>45241</v>
      </c>
      <c r="B1617" s="11" t="s">
        <v>49</v>
      </c>
      <c r="C1617" s="16" t="s">
        <v>6885</v>
      </c>
      <c r="D1617" s="16" t="s">
        <v>6886</v>
      </c>
      <c r="E1617" s="38">
        <v>37924</v>
      </c>
      <c r="F1617" s="38"/>
      <c r="G1617" s="10" t="s">
        <v>3129</v>
      </c>
      <c r="H1617" s="22" t="s">
        <v>6889</v>
      </c>
      <c r="I1617" s="13">
        <v>21.4</v>
      </c>
      <c r="J1617" s="15" t="s">
        <v>6888</v>
      </c>
      <c r="K1617" s="46" t="s">
        <v>6887</v>
      </c>
      <c r="L1617" s="11" t="s">
        <v>39</v>
      </c>
      <c r="M1617" s="15" t="s">
        <v>3584</v>
      </c>
      <c r="N1617" s="17">
        <v>16500</v>
      </c>
      <c r="O1617" s="17"/>
      <c r="P1617" s="17"/>
      <c r="Q1617" s="48"/>
      <c r="R1617" s="11" t="s">
        <v>6849</v>
      </c>
      <c r="S1617" s="48"/>
      <c r="T1617" s="85"/>
      <c r="U1617" s="88"/>
      <c r="V1617" s="32" t="s">
        <v>6642</v>
      </c>
      <c r="W1617" s="25" t="s">
        <v>8</v>
      </c>
      <c r="X1617" s="11"/>
      <c r="Y1617" s="50" t="s">
        <v>11</v>
      </c>
      <c r="Z1617" s="50"/>
      <c r="AA1617" s="50"/>
      <c r="AB1617" s="50"/>
      <c r="AC1617" s="50"/>
      <c r="AD1617" s="50"/>
      <c r="AE1617" s="50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65"/>
      <c r="AP1617" s="69"/>
      <c r="AQ1617" s="62"/>
      <c r="AR1617" s="34"/>
    </row>
    <row r="1618" spans="1:44" customFormat="1">
      <c r="A1618" s="39">
        <v>45241</v>
      </c>
      <c r="B1618" s="11" t="s">
        <v>49</v>
      </c>
      <c r="C1618" s="16" t="s">
        <v>6086</v>
      </c>
      <c r="D1618" s="16" t="s">
        <v>6890</v>
      </c>
      <c r="E1618" s="38">
        <v>22812</v>
      </c>
      <c r="F1618" s="38"/>
      <c r="G1618" s="10" t="s">
        <v>6891</v>
      </c>
      <c r="H1618" s="12" t="s">
        <v>6088</v>
      </c>
      <c r="I1618" s="13">
        <v>14</v>
      </c>
      <c r="J1618" s="15" t="s">
        <v>6089</v>
      </c>
      <c r="K1618" s="12" t="s">
        <v>6892</v>
      </c>
      <c r="L1618" s="11" t="s">
        <v>33</v>
      </c>
      <c r="M1618" s="15" t="s">
        <v>3584</v>
      </c>
      <c r="N1618" s="17">
        <v>16500</v>
      </c>
      <c r="O1618" s="17"/>
      <c r="P1618" s="17"/>
      <c r="Q1618" s="48"/>
      <c r="R1618" s="11"/>
      <c r="S1618" s="48"/>
      <c r="T1618" s="85" t="s">
        <v>8073</v>
      </c>
      <c r="U1618" s="88"/>
      <c r="V1618" s="32"/>
      <c r="W1618" s="25"/>
      <c r="X1618" s="11"/>
      <c r="Y1618" s="50"/>
      <c r="Z1618" s="50"/>
      <c r="AA1618" s="50"/>
      <c r="AB1618" s="50"/>
      <c r="AC1618" s="50"/>
      <c r="AD1618" s="50"/>
      <c r="AE1618" s="50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65" t="s">
        <v>6585</v>
      </c>
      <c r="AP1618" s="69"/>
      <c r="AQ1618" s="62" t="s">
        <v>8079</v>
      </c>
      <c r="AR1618" s="34"/>
    </row>
    <row r="1619" spans="1:44" customFormat="1">
      <c r="A1619" s="39">
        <v>45242</v>
      </c>
      <c r="B1619" s="11" t="s">
        <v>22</v>
      </c>
      <c r="C1619" s="16" t="s">
        <v>6913</v>
      </c>
      <c r="D1619" s="16" t="s">
        <v>6914</v>
      </c>
      <c r="E1619" s="38">
        <v>24807</v>
      </c>
      <c r="F1619" s="38"/>
      <c r="G1619" s="10" t="s">
        <v>6916</v>
      </c>
      <c r="H1619" s="12" t="s">
        <v>6915</v>
      </c>
      <c r="I1619" s="13">
        <v>12</v>
      </c>
      <c r="J1619" s="15" t="s">
        <v>6917</v>
      </c>
      <c r="K1619" s="12"/>
      <c r="L1619" s="11" t="s">
        <v>33</v>
      </c>
      <c r="M1619" s="15"/>
      <c r="N1619" s="17">
        <v>3300</v>
      </c>
      <c r="O1619" s="17"/>
      <c r="P1619" s="17"/>
      <c r="Q1619" s="48"/>
      <c r="R1619" s="11" t="s">
        <v>6847</v>
      </c>
      <c r="S1619" s="48"/>
      <c r="T1619" s="85" t="s">
        <v>8079</v>
      </c>
      <c r="U1619" s="88"/>
      <c r="V1619" s="32" t="s">
        <v>6650</v>
      </c>
      <c r="W1619" s="25" t="s">
        <v>48</v>
      </c>
      <c r="X1619" s="11"/>
      <c r="Y1619" s="50" t="s">
        <v>12</v>
      </c>
      <c r="Z1619" s="50"/>
      <c r="AA1619" s="50"/>
      <c r="AB1619" s="50"/>
      <c r="AC1619" s="50"/>
      <c r="AD1619" s="50"/>
      <c r="AE1619" s="50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65" t="s">
        <v>6585</v>
      </c>
      <c r="AP1619" s="75" t="s">
        <v>6999</v>
      </c>
      <c r="AQ1619" s="62"/>
      <c r="AR1619" s="79">
        <v>45275</v>
      </c>
    </row>
    <row r="1620" spans="1:44" customFormat="1">
      <c r="A1620" s="39">
        <v>45242</v>
      </c>
      <c r="B1620" s="11" t="s">
        <v>22</v>
      </c>
      <c r="C1620" s="16" t="s">
        <v>6897</v>
      </c>
      <c r="D1620" s="16" t="s">
        <v>6898</v>
      </c>
      <c r="E1620" s="38">
        <v>20837</v>
      </c>
      <c r="F1620" s="38"/>
      <c r="G1620" s="10" t="s">
        <v>307</v>
      </c>
      <c r="H1620" s="22" t="s">
        <v>6899</v>
      </c>
      <c r="I1620" s="13">
        <v>3.9</v>
      </c>
      <c r="J1620" s="15" t="s">
        <v>6900</v>
      </c>
      <c r="K1620" s="46" t="s">
        <v>6907</v>
      </c>
      <c r="L1620" s="11" t="s">
        <v>36</v>
      </c>
      <c r="M1620" s="15" t="s">
        <v>3584</v>
      </c>
      <c r="N1620" s="17">
        <v>3300</v>
      </c>
      <c r="O1620" s="17"/>
      <c r="P1620" s="17"/>
      <c r="Q1620" s="48"/>
      <c r="R1620" s="11" t="s">
        <v>6848</v>
      </c>
      <c r="S1620" s="48"/>
      <c r="T1620" s="85"/>
      <c r="U1620" s="90">
        <v>45275</v>
      </c>
      <c r="V1620" s="32" t="s">
        <v>6650</v>
      </c>
      <c r="W1620" s="25" t="s">
        <v>8</v>
      </c>
      <c r="X1620" s="11"/>
      <c r="Y1620" s="50"/>
      <c r="Z1620" s="50"/>
      <c r="AA1620" s="50"/>
      <c r="AB1620" s="50"/>
      <c r="AC1620" s="50"/>
      <c r="AD1620" s="50"/>
      <c r="AE1620" s="50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65" t="s">
        <v>6585</v>
      </c>
      <c r="AP1620" s="69"/>
      <c r="AQ1620" s="62"/>
      <c r="AR1620" s="34"/>
    </row>
    <row r="1621" spans="1:44" customFormat="1">
      <c r="A1621" s="39">
        <v>45242</v>
      </c>
      <c r="B1621" s="11" t="s">
        <v>22</v>
      </c>
      <c r="C1621" s="16" t="s">
        <v>6902</v>
      </c>
      <c r="D1621" s="16" t="s">
        <v>6903</v>
      </c>
      <c r="E1621" s="38">
        <v>31604</v>
      </c>
      <c r="F1621" s="38"/>
      <c r="G1621" s="10" t="s">
        <v>6904</v>
      </c>
      <c r="H1621" s="22" t="s">
        <v>6905</v>
      </c>
      <c r="I1621" s="13">
        <v>96.5</v>
      </c>
      <c r="J1621" s="15" t="s">
        <v>6906</v>
      </c>
      <c r="K1621" s="12"/>
      <c r="L1621" s="11" t="s">
        <v>36</v>
      </c>
      <c r="M1621" s="15" t="s">
        <v>3629</v>
      </c>
      <c r="N1621" s="17">
        <v>3300</v>
      </c>
      <c r="O1621" s="17"/>
      <c r="P1621" s="17"/>
      <c r="Q1621" s="48"/>
      <c r="R1621" s="11" t="s">
        <v>6847</v>
      </c>
      <c r="S1621" s="48"/>
      <c r="T1621" s="85"/>
      <c r="U1621" s="88"/>
      <c r="V1621" s="32" t="s">
        <v>6650</v>
      </c>
      <c r="W1621" s="25" t="s">
        <v>8</v>
      </c>
      <c r="X1621" s="11"/>
      <c r="Y1621" s="50" t="s">
        <v>12</v>
      </c>
      <c r="Z1621" s="50"/>
      <c r="AA1621" s="50"/>
      <c r="AB1621" s="50"/>
      <c r="AC1621" s="50"/>
      <c r="AD1621" s="50"/>
      <c r="AE1621" s="50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65" t="s">
        <v>6585</v>
      </c>
      <c r="AP1621" s="69"/>
      <c r="AQ1621" s="62"/>
      <c r="AR1621" s="34"/>
    </row>
    <row r="1622" spans="1:44" customFormat="1">
      <c r="A1622" s="39">
        <v>45242</v>
      </c>
      <c r="B1622" s="11" t="s">
        <v>22</v>
      </c>
      <c r="C1622" s="16" t="s">
        <v>6908</v>
      </c>
      <c r="D1622" s="16" t="s">
        <v>6909</v>
      </c>
      <c r="E1622" s="38">
        <v>24762</v>
      </c>
      <c r="F1622" s="38"/>
      <c r="G1622" s="10" t="s">
        <v>6910</v>
      </c>
      <c r="H1622" s="12" t="s">
        <v>6911</v>
      </c>
      <c r="I1622" s="13">
        <v>95.8</v>
      </c>
      <c r="J1622" s="15" t="s">
        <v>6912</v>
      </c>
      <c r="K1622" s="12"/>
      <c r="L1622" s="11" t="s">
        <v>36</v>
      </c>
      <c r="M1622" s="15" t="s">
        <v>3599</v>
      </c>
      <c r="N1622" s="17">
        <v>3300</v>
      </c>
      <c r="O1622" s="17"/>
      <c r="P1622" s="17"/>
      <c r="Q1622" s="48"/>
      <c r="R1622" s="11" t="s">
        <v>6847</v>
      </c>
      <c r="S1622" s="48"/>
      <c r="T1622" s="85"/>
      <c r="U1622" s="88"/>
      <c r="V1622" s="32" t="s">
        <v>6650</v>
      </c>
      <c r="W1622" s="25" t="s">
        <v>48</v>
      </c>
      <c r="X1622" s="11"/>
      <c r="Y1622" s="50" t="s">
        <v>12</v>
      </c>
      <c r="Z1622" s="50"/>
      <c r="AA1622" s="50"/>
      <c r="AB1622" s="50"/>
      <c r="AC1622" s="50"/>
      <c r="AD1622" s="50"/>
      <c r="AE1622" s="50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65" t="s">
        <v>5822</v>
      </c>
      <c r="AP1622" s="69"/>
      <c r="AQ1622" s="62" t="s">
        <v>8079</v>
      </c>
      <c r="AR1622" s="34"/>
    </row>
    <row r="1623" spans="1:44" customFormat="1">
      <c r="A1623" s="39">
        <v>45243</v>
      </c>
      <c r="B1623" s="11" t="s">
        <v>49</v>
      </c>
      <c r="C1623" s="16" t="s">
        <v>645</v>
      </c>
      <c r="D1623" s="16" t="s">
        <v>5904</v>
      </c>
      <c r="E1623" s="38">
        <v>26002</v>
      </c>
      <c r="F1623" s="38"/>
      <c r="G1623" s="10" t="s">
        <v>646</v>
      </c>
      <c r="H1623" s="12" t="s">
        <v>5652</v>
      </c>
      <c r="I1623" s="13" t="s">
        <v>5653</v>
      </c>
      <c r="J1623" s="15" t="s">
        <v>648</v>
      </c>
      <c r="K1623" s="12"/>
      <c r="L1623" s="11" t="s">
        <v>33</v>
      </c>
      <c r="M1623" s="15"/>
      <c r="N1623" s="17">
        <v>16500</v>
      </c>
      <c r="O1623" s="17"/>
      <c r="P1623" s="17"/>
      <c r="Q1623" s="48"/>
      <c r="R1623" s="11" t="s">
        <v>6848</v>
      </c>
      <c r="S1623" s="48"/>
      <c r="T1623" s="85" t="s">
        <v>8073</v>
      </c>
      <c r="U1623" s="88"/>
      <c r="V1623" s="32"/>
      <c r="W1623" s="25" t="s">
        <v>8</v>
      </c>
      <c r="X1623" s="11"/>
      <c r="Y1623" s="50"/>
      <c r="Z1623" s="50"/>
      <c r="AA1623" s="50"/>
      <c r="AB1623" s="50"/>
      <c r="AC1623" s="50"/>
      <c r="AD1623" s="50"/>
      <c r="AE1623" s="50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65"/>
      <c r="AP1623" s="69"/>
      <c r="AQ1623" s="62"/>
      <c r="AR1623" s="34"/>
    </row>
    <row r="1624" spans="1:44" customFormat="1">
      <c r="A1624" s="39">
        <v>45245</v>
      </c>
      <c r="B1624" s="11" t="s">
        <v>49</v>
      </c>
      <c r="C1624" s="16" t="s">
        <v>6918</v>
      </c>
      <c r="D1624" s="16" t="s">
        <v>6919</v>
      </c>
      <c r="E1624" s="38">
        <v>38484</v>
      </c>
      <c r="F1624" s="38"/>
      <c r="G1624" s="10" t="s">
        <v>6920</v>
      </c>
      <c r="H1624" s="12" t="s">
        <v>6921</v>
      </c>
      <c r="I1624" s="13" t="s">
        <v>6922</v>
      </c>
      <c r="J1624" s="15" t="s">
        <v>6924</v>
      </c>
      <c r="K1624" s="46" t="s">
        <v>6923</v>
      </c>
      <c r="L1624" s="11" t="s">
        <v>38</v>
      </c>
      <c r="M1624" s="15" t="s">
        <v>3599</v>
      </c>
      <c r="N1624" s="17">
        <v>19800</v>
      </c>
      <c r="O1624" s="17"/>
      <c r="P1624" s="17"/>
      <c r="Q1624" s="48"/>
      <c r="R1624" s="11" t="s">
        <v>6849</v>
      </c>
      <c r="S1624" s="48"/>
      <c r="T1624" s="85"/>
      <c r="U1624" s="88"/>
      <c r="V1624" s="32" t="s">
        <v>6925</v>
      </c>
      <c r="W1624" s="25" t="s">
        <v>8</v>
      </c>
      <c r="X1624" s="11"/>
      <c r="Y1624" s="50" t="s">
        <v>13</v>
      </c>
      <c r="Z1624" s="50"/>
      <c r="AA1624" s="50"/>
      <c r="AB1624" s="50"/>
      <c r="AC1624" s="50"/>
      <c r="AD1624" s="50"/>
      <c r="AE1624" s="50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65"/>
      <c r="AP1624" s="69"/>
      <c r="AQ1624" s="62"/>
      <c r="AR1624" s="34"/>
    </row>
    <row r="1625" spans="1:44" customFormat="1">
      <c r="A1625" s="39">
        <v>45247</v>
      </c>
      <c r="B1625" s="11" t="s">
        <v>49</v>
      </c>
      <c r="C1625" s="16" t="s">
        <v>6926</v>
      </c>
      <c r="D1625" s="16" t="s">
        <v>6928</v>
      </c>
      <c r="E1625" s="38">
        <v>26897</v>
      </c>
      <c r="F1625" s="38"/>
      <c r="G1625" s="10" t="s">
        <v>6930</v>
      </c>
      <c r="H1625" s="12" t="s">
        <v>6932</v>
      </c>
      <c r="I1625" s="13" t="s">
        <v>6934</v>
      </c>
      <c r="J1625" s="15" t="s">
        <v>6936</v>
      </c>
      <c r="K1625" s="12"/>
      <c r="L1625" s="11" t="s">
        <v>33</v>
      </c>
      <c r="M1625" s="15" t="s">
        <v>3629</v>
      </c>
      <c r="N1625" s="17">
        <v>14850</v>
      </c>
      <c r="O1625" s="17"/>
      <c r="P1625" s="17"/>
      <c r="Q1625" s="48"/>
      <c r="R1625" s="11" t="s">
        <v>6848</v>
      </c>
      <c r="S1625" s="48"/>
      <c r="T1625" s="85"/>
      <c r="U1625" s="88"/>
      <c r="V1625" s="32" t="s">
        <v>6650</v>
      </c>
      <c r="W1625" s="25" t="s">
        <v>8</v>
      </c>
      <c r="X1625" s="11"/>
      <c r="Y1625" s="50" t="s">
        <v>13</v>
      </c>
      <c r="Z1625" s="50"/>
      <c r="AA1625" s="50"/>
      <c r="AB1625" s="50"/>
      <c r="AC1625" s="50"/>
      <c r="AD1625" s="50"/>
      <c r="AE1625" s="50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65"/>
      <c r="AP1625" s="69"/>
      <c r="AQ1625" s="62"/>
      <c r="AR1625" s="34"/>
    </row>
    <row r="1626" spans="1:44" customFormat="1">
      <c r="A1626" s="39">
        <v>45247</v>
      </c>
      <c r="B1626" s="11" t="s">
        <v>49</v>
      </c>
      <c r="C1626" s="16" t="s">
        <v>6927</v>
      </c>
      <c r="D1626" s="16" t="s">
        <v>6929</v>
      </c>
      <c r="E1626" s="38">
        <v>26789</v>
      </c>
      <c r="F1626" s="38"/>
      <c r="G1626" s="10" t="s">
        <v>6931</v>
      </c>
      <c r="H1626" s="12" t="s">
        <v>6933</v>
      </c>
      <c r="I1626" s="13" t="s">
        <v>6935</v>
      </c>
      <c r="J1626" s="15" t="s">
        <v>6937</v>
      </c>
      <c r="K1626" s="12"/>
      <c r="L1626" s="11" t="s">
        <v>33</v>
      </c>
      <c r="M1626" s="15" t="s">
        <v>3599</v>
      </c>
      <c r="N1626" s="17">
        <v>14850</v>
      </c>
      <c r="O1626" s="17"/>
      <c r="P1626" s="17"/>
      <c r="Q1626" s="48"/>
      <c r="R1626" s="11" t="s">
        <v>6943</v>
      </c>
      <c r="S1626" s="48"/>
      <c r="T1626" s="85"/>
      <c r="U1626" s="88"/>
      <c r="V1626" s="32" t="s">
        <v>6650</v>
      </c>
      <c r="W1626" s="25"/>
      <c r="X1626" s="11"/>
      <c r="Y1626" s="50"/>
      <c r="Z1626" s="50"/>
      <c r="AA1626" s="50"/>
      <c r="AB1626" s="50"/>
      <c r="AC1626" s="50"/>
      <c r="AD1626" s="50"/>
      <c r="AE1626" s="50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65"/>
      <c r="AP1626" s="69"/>
      <c r="AQ1626" s="62"/>
      <c r="AR1626" s="34"/>
    </row>
    <row r="1627" spans="1:44" customFormat="1">
      <c r="A1627" s="39">
        <v>45247</v>
      </c>
      <c r="B1627" s="11" t="s">
        <v>22</v>
      </c>
      <c r="C1627" s="16" t="s">
        <v>6945</v>
      </c>
      <c r="D1627" s="16" t="s">
        <v>6946</v>
      </c>
      <c r="E1627" s="38">
        <v>37747</v>
      </c>
      <c r="F1627" s="38"/>
      <c r="G1627" s="10" t="s">
        <v>5215</v>
      </c>
      <c r="H1627" s="22" t="s">
        <v>5729</v>
      </c>
      <c r="I1627" s="13">
        <v>5.8</v>
      </c>
      <c r="J1627" s="15" t="s">
        <v>6948</v>
      </c>
      <c r="K1627" s="46" t="s">
        <v>6947</v>
      </c>
      <c r="L1627" s="11" t="s">
        <v>38</v>
      </c>
      <c r="M1627" s="15" t="s">
        <v>3599</v>
      </c>
      <c r="N1627" s="17">
        <v>3300</v>
      </c>
      <c r="O1627" s="17"/>
      <c r="P1627" s="17"/>
      <c r="Q1627" s="48"/>
      <c r="R1627" s="11" t="s">
        <v>6848</v>
      </c>
      <c r="S1627" s="48"/>
      <c r="T1627" s="85"/>
      <c r="U1627" s="88"/>
      <c r="V1627" s="32" t="s">
        <v>6642</v>
      </c>
      <c r="W1627" s="25" t="s">
        <v>8</v>
      </c>
      <c r="X1627" s="11"/>
      <c r="Y1627" s="50"/>
      <c r="Z1627" s="50"/>
      <c r="AA1627" s="50"/>
      <c r="AB1627" s="50"/>
      <c r="AC1627" s="50"/>
      <c r="AD1627" s="50"/>
      <c r="AE1627" s="50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65" t="s">
        <v>5822</v>
      </c>
      <c r="AP1627" s="69"/>
      <c r="AQ1627" s="62" t="s">
        <v>8079</v>
      </c>
      <c r="AR1627" s="34"/>
    </row>
    <row r="1628" spans="1:44" customFormat="1">
      <c r="A1628" s="39">
        <v>45247</v>
      </c>
      <c r="B1628" s="11" t="s">
        <v>22</v>
      </c>
      <c r="C1628" s="16" t="s">
        <v>6938</v>
      </c>
      <c r="D1628" s="16" t="s">
        <v>6939</v>
      </c>
      <c r="E1628" s="38">
        <v>29553</v>
      </c>
      <c r="F1628" s="38"/>
      <c r="G1628" s="10" t="s">
        <v>617</v>
      </c>
      <c r="H1628" s="12" t="s">
        <v>6940</v>
      </c>
      <c r="I1628" s="13" t="s">
        <v>6941</v>
      </c>
      <c r="J1628" s="15" t="s">
        <v>6942</v>
      </c>
      <c r="K1628" s="12"/>
      <c r="L1628" s="11" t="s">
        <v>36</v>
      </c>
      <c r="M1628" s="15" t="s">
        <v>3599</v>
      </c>
      <c r="N1628" s="17">
        <v>3300</v>
      </c>
      <c r="O1628" s="17"/>
      <c r="P1628" s="17"/>
      <c r="Q1628" s="48"/>
      <c r="R1628" s="11" t="s">
        <v>6943</v>
      </c>
      <c r="S1628" s="48"/>
      <c r="T1628" s="85" t="s">
        <v>8079</v>
      </c>
      <c r="U1628" s="88"/>
      <c r="V1628" s="32" t="s">
        <v>6944</v>
      </c>
      <c r="W1628" s="25" t="s">
        <v>8</v>
      </c>
      <c r="X1628" s="11"/>
      <c r="Y1628" s="50"/>
      <c r="Z1628" s="50"/>
      <c r="AA1628" s="50"/>
      <c r="AB1628" s="50"/>
      <c r="AC1628" s="50"/>
      <c r="AD1628" s="50"/>
      <c r="AE1628" s="50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65" t="s">
        <v>6454</v>
      </c>
      <c r="AP1628" s="69"/>
      <c r="AQ1628" s="62"/>
      <c r="AR1628" s="34"/>
    </row>
    <row r="1629" spans="1:44" customFormat="1">
      <c r="A1629" s="39">
        <v>45248</v>
      </c>
      <c r="B1629" s="11" t="s">
        <v>22</v>
      </c>
      <c r="C1629" s="16" t="s">
        <v>6956</v>
      </c>
      <c r="D1629" s="16" t="s">
        <v>6954</v>
      </c>
      <c r="E1629" s="38">
        <v>33126</v>
      </c>
      <c r="F1629" s="38"/>
      <c r="G1629" s="10" t="s">
        <v>614</v>
      </c>
      <c r="H1629" s="22" t="s">
        <v>6955</v>
      </c>
      <c r="I1629" s="13">
        <v>1.9</v>
      </c>
      <c r="J1629" s="15" t="s">
        <v>6957</v>
      </c>
      <c r="K1629" s="12"/>
      <c r="L1629" s="11" t="s">
        <v>36</v>
      </c>
      <c r="M1629" s="15" t="s">
        <v>3629</v>
      </c>
      <c r="N1629" s="17">
        <v>3300</v>
      </c>
      <c r="O1629" s="17"/>
      <c r="P1629" s="17"/>
      <c r="Q1629" s="48"/>
      <c r="R1629" s="11" t="s">
        <v>6849</v>
      </c>
      <c r="S1629" s="48"/>
      <c r="T1629" s="85" t="s">
        <v>8079</v>
      </c>
      <c r="U1629" s="88"/>
      <c r="V1629" s="32" t="s">
        <v>6642</v>
      </c>
      <c r="W1629" s="25" t="s">
        <v>48</v>
      </c>
      <c r="X1629" s="11"/>
      <c r="Y1629" s="50" t="s">
        <v>20</v>
      </c>
      <c r="Z1629" s="50"/>
      <c r="AA1629" s="50"/>
      <c r="AB1629" s="50"/>
      <c r="AC1629" s="50"/>
      <c r="AD1629" s="50"/>
      <c r="AE1629" s="50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65" t="s">
        <v>5822</v>
      </c>
      <c r="AP1629" s="69"/>
      <c r="AQ1629" s="62" t="s">
        <v>8079</v>
      </c>
      <c r="AR1629" s="34"/>
    </row>
    <row r="1630" spans="1:44" customFormat="1">
      <c r="A1630" s="39">
        <v>45248</v>
      </c>
      <c r="B1630" s="11" t="s">
        <v>22</v>
      </c>
      <c r="C1630" s="16" t="s">
        <v>6963</v>
      </c>
      <c r="D1630" s="16" t="s">
        <v>6964</v>
      </c>
      <c r="E1630" s="38">
        <v>38394</v>
      </c>
      <c r="F1630" s="38"/>
      <c r="G1630" s="10" t="s">
        <v>307</v>
      </c>
      <c r="H1630" s="22" t="s">
        <v>6960</v>
      </c>
      <c r="I1630" s="13">
        <v>4.2</v>
      </c>
      <c r="J1630" s="15" t="s">
        <v>6966</v>
      </c>
      <c r="K1630" s="46" t="s">
        <v>6965</v>
      </c>
      <c r="L1630" s="11" t="s">
        <v>38</v>
      </c>
      <c r="M1630" s="15" t="s">
        <v>3584</v>
      </c>
      <c r="N1630" s="17">
        <v>3300</v>
      </c>
      <c r="O1630" s="17"/>
      <c r="P1630" s="17"/>
      <c r="Q1630" s="48"/>
      <c r="R1630" s="11" t="s">
        <v>6848</v>
      </c>
      <c r="S1630" s="48"/>
      <c r="T1630" s="85"/>
      <c r="U1630" s="88"/>
      <c r="V1630" s="32" t="s">
        <v>6642</v>
      </c>
      <c r="W1630" s="25" t="s">
        <v>8</v>
      </c>
      <c r="X1630" s="11"/>
      <c r="Y1630" s="50"/>
      <c r="Z1630" s="50"/>
      <c r="AA1630" s="50"/>
      <c r="AB1630" s="50"/>
      <c r="AC1630" s="50"/>
      <c r="AD1630" s="50"/>
      <c r="AE1630" s="50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65" t="s">
        <v>5822</v>
      </c>
      <c r="AP1630" s="69"/>
      <c r="AQ1630" s="62" t="s">
        <v>8079</v>
      </c>
      <c r="AR1630" s="34"/>
    </row>
    <row r="1631" spans="1:44" customFormat="1">
      <c r="A1631" s="39">
        <v>45248</v>
      </c>
      <c r="B1631" s="11" t="s">
        <v>22</v>
      </c>
      <c r="C1631" s="16" t="s">
        <v>6949</v>
      </c>
      <c r="D1631" s="16" t="s">
        <v>6950</v>
      </c>
      <c r="E1631" s="38">
        <v>29597</v>
      </c>
      <c r="F1631" s="38"/>
      <c r="G1631" s="10" t="s">
        <v>207</v>
      </c>
      <c r="H1631" s="12" t="s">
        <v>6951</v>
      </c>
      <c r="I1631" s="13" t="s">
        <v>1697</v>
      </c>
      <c r="J1631" s="15" t="s">
        <v>6953</v>
      </c>
      <c r="K1631" s="46" t="s">
        <v>6952</v>
      </c>
      <c r="L1631" s="11" t="s">
        <v>36</v>
      </c>
      <c r="M1631" s="15" t="s">
        <v>3584</v>
      </c>
      <c r="N1631" s="17">
        <v>3300</v>
      </c>
      <c r="O1631" s="17"/>
      <c r="P1631" s="17"/>
      <c r="Q1631" s="48"/>
      <c r="R1631" s="11" t="s">
        <v>6848</v>
      </c>
      <c r="S1631" s="48"/>
      <c r="T1631" s="85" t="s">
        <v>8079</v>
      </c>
      <c r="U1631" s="88"/>
      <c r="V1631" s="32" t="s">
        <v>6642</v>
      </c>
      <c r="W1631" s="25" t="s">
        <v>48</v>
      </c>
      <c r="X1631" s="11"/>
      <c r="Y1631" s="50"/>
      <c r="Z1631" s="50"/>
      <c r="AA1631" s="50"/>
      <c r="AB1631" s="50"/>
      <c r="AC1631" s="50"/>
      <c r="AD1631" s="50"/>
      <c r="AE1631" s="50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65" t="s">
        <v>5822</v>
      </c>
      <c r="AP1631" s="69"/>
      <c r="AQ1631" s="62" t="s">
        <v>8079</v>
      </c>
      <c r="AR1631" s="34"/>
    </row>
    <row r="1632" spans="1:44" customFormat="1">
      <c r="A1632" s="39">
        <v>45248</v>
      </c>
      <c r="B1632" s="11" t="s">
        <v>22</v>
      </c>
      <c r="C1632" s="16" t="s">
        <v>6958</v>
      </c>
      <c r="D1632" s="16" t="s">
        <v>6959</v>
      </c>
      <c r="E1632" s="38">
        <v>28048</v>
      </c>
      <c r="F1632" s="38"/>
      <c r="G1632" s="10" t="s">
        <v>307</v>
      </c>
      <c r="H1632" s="22" t="s">
        <v>6960</v>
      </c>
      <c r="I1632" s="13">
        <v>4.2</v>
      </c>
      <c r="J1632" s="15" t="s">
        <v>6962</v>
      </c>
      <c r="K1632" s="46" t="s">
        <v>6961</v>
      </c>
      <c r="L1632" s="11" t="s">
        <v>36</v>
      </c>
      <c r="M1632" s="15" t="s">
        <v>3584</v>
      </c>
      <c r="N1632" s="17">
        <v>3300</v>
      </c>
      <c r="O1632" s="17"/>
      <c r="P1632" s="17"/>
      <c r="Q1632" s="48"/>
      <c r="R1632" s="11" t="s">
        <v>6848</v>
      </c>
      <c r="S1632" s="48"/>
      <c r="T1632" s="85" t="s">
        <v>8079</v>
      </c>
      <c r="U1632" s="88"/>
      <c r="V1632" s="32" t="s">
        <v>6642</v>
      </c>
      <c r="W1632" s="25" t="s">
        <v>8</v>
      </c>
      <c r="X1632" s="11"/>
      <c r="Y1632" s="50"/>
      <c r="Z1632" s="50"/>
      <c r="AA1632" s="50"/>
      <c r="AB1632" s="50"/>
      <c r="AC1632" s="50"/>
      <c r="AD1632" s="50"/>
      <c r="AE1632" s="50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65" t="s">
        <v>5822</v>
      </c>
      <c r="AP1632" s="69"/>
      <c r="AQ1632" s="62"/>
      <c r="AR1632" s="34"/>
    </row>
    <row r="1633" spans="1:44" customFormat="1">
      <c r="A1633" s="39">
        <v>45250</v>
      </c>
      <c r="B1633" s="11" t="s">
        <v>49</v>
      </c>
      <c r="C1633" s="16" t="s">
        <v>6967</v>
      </c>
      <c r="D1633" s="16" t="s">
        <v>6968</v>
      </c>
      <c r="E1633" s="38">
        <v>33236</v>
      </c>
      <c r="F1633" s="38"/>
      <c r="G1633" s="10" t="s">
        <v>6969</v>
      </c>
      <c r="H1633" s="12" t="s">
        <v>6970</v>
      </c>
      <c r="I1633" s="13">
        <v>545</v>
      </c>
      <c r="J1633" s="15" t="s">
        <v>6972</v>
      </c>
      <c r="K1633" s="46" t="s">
        <v>6971</v>
      </c>
      <c r="L1633" s="11" t="s">
        <v>36</v>
      </c>
      <c r="M1633" s="15" t="s">
        <v>3584</v>
      </c>
      <c r="N1633" s="17">
        <v>16500</v>
      </c>
      <c r="O1633" s="17"/>
      <c r="P1633" s="17"/>
      <c r="Q1633" s="48"/>
      <c r="R1633" s="11" t="s">
        <v>6847</v>
      </c>
      <c r="S1633" s="48"/>
      <c r="T1633" s="85" t="s">
        <v>8073</v>
      </c>
      <c r="U1633" s="88"/>
      <c r="V1633" s="32" t="s">
        <v>6642</v>
      </c>
      <c r="W1633" s="25" t="s">
        <v>3847</v>
      </c>
      <c r="X1633" s="11"/>
      <c r="Y1633" s="50" t="s">
        <v>13</v>
      </c>
      <c r="Z1633" s="50"/>
      <c r="AA1633" s="50"/>
      <c r="AB1633" s="50"/>
      <c r="AC1633" s="50"/>
      <c r="AD1633" s="50"/>
      <c r="AE1633" s="50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65"/>
      <c r="AP1633" s="69"/>
      <c r="AQ1633" s="62"/>
      <c r="AR1633" s="34"/>
    </row>
    <row r="1634" spans="1:44" customFormat="1">
      <c r="A1634" s="39">
        <v>45252</v>
      </c>
      <c r="B1634" s="11" t="s">
        <v>49</v>
      </c>
      <c r="C1634" s="16" t="s">
        <v>5060</v>
      </c>
      <c r="D1634" s="16" t="s">
        <v>6973</v>
      </c>
      <c r="E1634" s="38">
        <v>27533</v>
      </c>
      <c r="F1634" s="38"/>
      <c r="G1634" s="10" t="s">
        <v>1524</v>
      </c>
      <c r="H1634" s="22" t="s">
        <v>6974</v>
      </c>
      <c r="I1634" s="13">
        <v>17.399999999999999</v>
      </c>
      <c r="J1634" s="15" t="s">
        <v>5064</v>
      </c>
      <c r="K1634" s="46" t="s">
        <v>5063</v>
      </c>
      <c r="L1634" s="11" t="s">
        <v>33</v>
      </c>
      <c r="M1634" s="15" t="s">
        <v>3584</v>
      </c>
      <c r="N1634" s="17">
        <v>16500</v>
      </c>
      <c r="O1634" s="17"/>
      <c r="P1634" s="17"/>
      <c r="Q1634" s="48"/>
      <c r="R1634" s="11" t="s">
        <v>6848</v>
      </c>
      <c r="S1634" s="48"/>
      <c r="T1634" s="85"/>
      <c r="U1634" s="88"/>
      <c r="V1634" s="32" t="s">
        <v>6642</v>
      </c>
      <c r="W1634" s="25" t="s">
        <v>48</v>
      </c>
      <c r="X1634" s="11"/>
      <c r="Y1634" s="50" t="s">
        <v>13</v>
      </c>
      <c r="Z1634" s="50"/>
      <c r="AA1634" s="50"/>
      <c r="AB1634" s="50"/>
      <c r="AC1634" s="50"/>
      <c r="AD1634" s="50"/>
      <c r="AE1634" s="50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65"/>
      <c r="AP1634" s="69"/>
      <c r="AQ1634" s="62"/>
      <c r="AR1634" s="34"/>
    </row>
    <row r="1635" spans="1:44" customFormat="1">
      <c r="A1635" s="39">
        <v>45253</v>
      </c>
      <c r="B1635" s="11" t="s">
        <v>2171</v>
      </c>
      <c r="C1635" s="16" t="s">
        <v>6945</v>
      </c>
      <c r="D1635" s="16" t="s">
        <v>6975</v>
      </c>
      <c r="E1635" s="38">
        <v>37747</v>
      </c>
      <c r="F1635" s="38"/>
      <c r="G1635" s="10" t="s">
        <v>5819</v>
      </c>
      <c r="H1635" s="12" t="s">
        <v>5729</v>
      </c>
      <c r="I1635" s="13">
        <v>5.8</v>
      </c>
      <c r="J1635" s="15" t="s">
        <v>6977</v>
      </c>
      <c r="K1635" s="12" t="s">
        <v>6976</v>
      </c>
      <c r="L1635" s="11" t="s">
        <v>38</v>
      </c>
      <c r="M1635" s="15" t="s">
        <v>3599</v>
      </c>
      <c r="N1635" s="17">
        <v>3300</v>
      </c>
      <c r="O1635" s="17"/>
      <c r="P1635" s="17"/>
      <c r="Q1635" s="48"/>
      <c r="R1635" s="11"/>
      <c r="S1635" s="48"/>
      <c r="T1635" s="85"/>
      <c r="U1635" s="88"/>
      <c r="V1635" s="32"/>
      <c r="W1635" s="25" t="s">
        <v>8</v>
      </c>
      <c r="X1635" s="11"/>
      <c r="Y1635" s="50"/>
      <c r="Z1635" s="50"/>
      <c r="AA1635" s="50"/>
      <c r="AB1635" s="50"/>
      <c r="AC1635" s="50"/>
      <c r="AD1635" s="50"/>
      <c r="AE1635" s="50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65"/>
      <c r="AP1635" s="69"/>
      <c r="AQ1635" s="62"/>
      <c r="AR1635" s="34"/>
    </row>
    <row r="1636" spans="1:44" customFormat="1">
      <c r="A1636" s="39">
        <v>45255</v>
      </c>
      <c r="B1636" s="11" t="s">
        <v>49</v>
      </c>
      <c r="C1636" s="16" t="s">
        <v>6979</v>
      </c>
      <c r="D1636" s="16" t="s">
        <v>6978</v>
      </c>
      <c r="E1636" s="38"/>
      <c r="F1636" s="38"/>
      <c r="G1636" s="10"/>
      <c r="H1636" s="12"/>
      <c r="I1636" s="13"/>
      <c r="J1636" s="15"/>
      <c r="K1636" s="12"/>
      <c r="L1636" s="11"/>
      <c r="M1636" s="15"/>
      <c r="N1636" s="17">
        <v>11000</v>
      </c>
      <c r="O1636" s="17"/>
      <c r="P1636" s="17"/>
      <c r="Q1636" s="48"/>
      <c r="R1636" s="11"/>
      <c r="S1636" s="48"/>
      <c r="T1636" s="85" t="s">
        <v>8073</v>
      </c>
      <c r="U1636" s="88"/>
      <c r="V1636" s="32"/>
      <c r="W1636" s="25"/>
      <c r="X1636" s="11"/>
      <c r="Y1636" s="50"/>
      <c r="Z1636" s="50"/>
      <c r="AA1636" s="50"/>
      <c r="AB1636" s="50"/>
      <c r="AC1636" s="50"/>
      <c r="AD1636" s="50"/>
      <c r="AE1636" s="50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65"/>
      <c r="AP1636" s="69"/>
      <c r="AQ1636" s="62"/>
      <c r="AR1636" s="34"/>
    </row>
    <row r="1637" spans="1:44" customFormat="1">
      <c r="A1637" s="39">
        <v>45260</v>
      </c>
      <c r="B1637" s="11" t="s">
        <v>22</v>
      </c>
      <c r="C1637" s="16" t="s">
        <v>6980</v>
      </c>
      <c r="D1637" s="16" t="s">
        <v>6987</v>
      </c>
      <c r="E1637" s="38"/>
      <c r="F1637" s="38"/>
      <c r="G1637" s="10" t="s">
        <v>207</v>
      </c>
      <c r="H1637" s="22" t="s">
        <v>6981</v>
      </c>
      <c r="I1637" s="13">
        <v>1.6</v>
      </c>
      <c r="J1637" s="15" t="s">
        <v>6983</v>
      </c>
      <c r="K1637" s="46" t="s">
        <v>6982</v>
      </c>
      <c r="L1637" s="11" t="s">
        <v>37</v>
      </c>
      <c r="M1637" s="15" t="s">
        <v>3584</v>
      </c>
      <c r="N1637" s="17">
        <v>3300</v>
      </c>
      <c r="O1637" s="17"/>
      <c r="P1637" s="17"/>
      <c r="Q1637" s="48"/>
      <c r="R1637" s="11" t="s">
        <v>6849</v>
      </c>
      <c r="S1637" s="48"/>
      <c r="T1637" s="85"/>
      <c r="U1637" s="89">
        <v>45275</v>
      </c>
      <c r="V1637" s="32" t="s">
        <v>6944</v>
      </c>
      <c r="W1637" s="25" t="s">
        <v>8</v>
      </c>
      <c r="X1637" s="11"/>
      <c r="Y1637" s="50"/>
      <c r="Z1637" s="50"/>
      <c r="AA1637" s="50"/>
      <c r="AB1637" s="50"/>
      <c r="AC1637" s="50"/>
      <c r="AD1637" s="50"/>
      <c r="AE1637" s="50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65" t="s">
        <v>5822</v>
      </c>
      <c r="AP1637" s="69" t="s">
        <v>7000</v>
      </c>
      <c r="AQ1637" s="62"/>
      <c r="AR1637" s="78">
        <v>45275</v>
      </c>
    </row>
    <row r="1638" spans="1:44" customFormat="1">
      <c r="A1638" s="39">
        <v>45267</v>
      </c>
      <c r="B1638" s="11" t="s">
        <v>22</v>
      </c>
      <c r="C1638" s="16" t="s">
        <v>6984</v>
      </c>
      <c r="D1638" s="16" t="s">
        <v>6988</v>
      </c>
      <c r="E1638" s="38">
        <v>21839</v>
      </c>
      <c r="F1638" s="38"/>
      <c r="G1638" s="10" t="s">
        <v>207</v>
      </c>
      <c r="H1638" s="22" t="s">
        <v>6981</v>
      </c>
      <c r="I1638" s="13">
        <v>1.6</v>
      </c>
      <c r="J1638" s="15" t="s">
        <v>6985</v>
      </c>
      <c r="K1638" s="12"/>
      <c r="L1638" s="11" t="s">
        <v>34</v>
      </c>
      <c r="M1638" s="15" t="s">
        <v>3629</v>
      </c>
      <c r="N1638" s="17">
        <v>3300</v>
      </c>
      <c r="O1638" s="17"/>
      <c r="P1638" s="17"/>
      <c r="Q1638" s="48"/>
      <c r="R1638" s="11" t="s">
        <v>6847</v>
      </c>
      <c r="S1638" s="48"/>
      <c r="T1638" s="85"/>
      <c r="U1638" s="89">
        <v>45298</v>
      </c>
      <c r="V1638" s="32" t="s">
        <v>6986</v>
      </c>
      <c r="W1638" s="25" t="s">
        <v>8</v>
      </c>
      <c r="X1638" s="11"/>
      <c r="Y1638" s="50"/>
      <c r="Z1638" s="50"/>
      <c r="AA1638" s="50"/>
      <c r="AB1638" s="50"/>
      <c r="AC1638" s="50"/>
      <c r="AD1638" s="50"/>
      <c r="AE1638" s="50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65" t="s">
        <v>5822</v>
      </c>
      <c r="AP1638" s="69" t="s">
        <v>6989</v>
      </c>
      <c r="AQ1638" s="62"/>
      <c r="AR1638" s="78">
        <v>45298</v>
      </c>
    </row>
    <row r="1639" spans="1:44" customFormat="1">
      <c r="A1639" s="39">
        <v>45270</v>
      </c>
      <c r="B1639" s="11" t="s">
        <v>49</v>
      </c>
      <c r="C1639" s="16" t="s">
        <v>6990</v>
      </c>
      <c r="D1639" s="16" t="s">
        <v>6991</v>
      </c>
      <c r="E1639" s="38">
        <v>21607</v>
      </c>
      <c r="F1639" s="38"/>
      <c r="G1639" s="10" t="s">
        <v>6992</v>
      </c>
      <c r="H1639" s="22" t="s">
        <v>6993</v>
      </c>
      <c r="I1639" s="13">
        <v>28.1</v>
      </c>
      <c r="J1639" s="15" t="s">
        <v>6994</v>
      </c>
      <c r="K1639" s="12"/>
      <c r="L1639" s="11" t="s">
        <v>33</v>
      </c>
      <c r="M1639" s="15" t="s">
        <v>3599</v>
      </c>
      <c r="N1639" s="17">
        <v>16500</v>
      </c>
      <c r="O1639" s="17"/>
      <c r="P1639" s="17"/>
      <c r="Q1639" s="48"/>
      <c r="R1639" s="11" t="s">
        <v>6847</v>
      </c>
      <c r="S1639" s="48"/>
      <c r="T1639" s="85" t="s">
        <v>8073</v>
      </c>
      <c r="U1639" s="88"/>
      <c r="V1639" s="32"/>
      <c r="W1639" s="25" t="s">
        <v>8</v>
      </c>
      <c r="X1639" s="11"/>
      <c r="Y1639" s="50" t="s">
        <v>14</v>
      </c>
      <c r="Z1639" s="50"/>
      <c r="AA1639" s="50"/>
      <c r="AB1639" s="50"/>
      <c r="AC1639" s="50"/>
      <c r="AD1639" s="50"/>
      <c r="AE1639" s="50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65"/>
      <c r="AP1639" s="69"/>
      <c r="AQ1639" s="62"/>
      <c r="AR1639" s="34"/>
    </row>
    <row r="1640" spans="1:44" customFormat="1">
      <c r="A1640" s="39">
        <v>45270</v>
      </c>
      <c r="B1640" s="11" t="s">
        <v>22</v>
      </c>
      <c r="C1640" s="16" t="s">
        <v>6995</v>
      </c>
      <c r="D1640" s="16" t="s">
        <v>6996</v>
      </c>
      <c r="E1640" s="38">
        <v>36997</v>
      </c>
      <c r="F1640" s="38"/>
      <c r="G1640" s="10" t="s">
        <v>6177</v>
      </c>
      <c r="H1640" s="22" t="s">
        <v>6997</v>
      </c>
      <c r="I1640" s="13">
        <v>11.2</v>
      </c>
      <c r="J1640" s="15" t="s">
        <v>6998</v>
      </c>
      <c r="K1640" s="12"/>
      <c r="L1640" s="11" t="s">
        <v>38</v>
      </c>
      <c r="M1640" s="15" t="s">
        <v>3599</v>
      </c>
      <c r="N1640" s="17">
        <v>3300</v>
      </c>
      <c r="O1640" s="17"/>
      <c r="P1640" s="17"/>
      <c r="Q1640" s="48"/>
      <c r="R1640" s="11" t="s">
        <v>6847</v>
      </c>
      <c r="S1640" s="48"/>
      <c r="T1640" s="85"/>
      <c r="U1640" s="89"/>
      <c r="V1640" s="32" t="s">
        <v>6642</v>
      </c>
      <c r="W1640" s="25" t="s">
        <v>8</v>
      </c>
      <c r="X1640" s="11"/>
      <c r="Y1640" s="50"/>
      <c r="Z1640" s="50"/>
      <c r="AA1640" s="50"/>
      <c r="AB1640" s="50"/>
      <c r="AC1640" s="50"/>
      <c r="AD1640" s="50"/>
      <c r="AE1640" s="50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65" t="s">
        <v>6454</v>
      </c>
      <c r="AP1640" s="69" t="s">
        <v>7035</v>
      </c>
      <c r="AQ1640" s="62"/>
      <c r="AR1640" s="78"/>
    </row>
    <row r="1641" spans="1:44" customFormat="1" ht="19.5" customHeight="1">
      <c r="A1641" s="39">
        <v>45277</v>
      </c>
      <c r="B1641" s="11" t="s">
        <v>2171</v>
      </c>
      <c r="C1641" s="16" t="s">
        <v>7009</v>
      </c>
      <c r="D1641" s="16" t="s">
        <v>7001</v>
      </c>
      <c r="E1641" s="38">
        <v>29863</v>
      </c>
      <c r="F1641" s="38"/>
      <c r="G1641" s="10" t="s">
        <v>5296</v>
      </c>
      <c r="H1641" s="12" t="s">
        <v>6824</v>
      </c>
      <c r="I1641" s="13">
        <v>9.1</v>
      </c>
      <c r="J1641" s="15" t="s">
        <v>7002</v>
      </c>
      <c r="K1641" s="12"/>
      <c r="L1641" s="11" t="s">
        <v>37</v>
      </c>
      <c r="M1641" s="15"/>
      <c r="N1641" s="17">
        <v>3300</v>
      </c>
      <c r="O1641" s="17"/>
      <c r="P1641" s="17"/>
      <c r="Q1641" s="48"/>
      <c r="R1641" s="11"/>
      <c r="S1641" s="48"/>
      <c r="T1641" s="85"/>
      <c r="U1641" s="88"/>
      <c r="V1641" s="32"/>
      <c r="W1641" s="25" t="s">
        <v>8</v>
      </c>
      <c r="X1641" s="11"/>
      <c r="Y1641" s="50" t="s">
        <v>17</v>
      </c>
      <c r="Z1641" s="50"/>
      <c r="AA1641" s="50"/>
      <c r="AB1641" s="50"/>
      <c r="AC1641" s="50"/>
      <c r="AD1641" s="50"/>
      <c r="AE1641" s="50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65"/>
      <c r="AP1641" s="69" t="s">
        <v>7035</v>
      </c>
      <c r="AQ1641" s="62"/>
      <c r="AR1641" s="34"/>
    </row>
    <row r="1642" spans="1:44" customFormat="1">
      <c r="A1642" s="39">
        <v>45278</v>
      </c>
      <c r="B1642" s="11" t="s">
        <v>22</v>
      </c>
      <c r="C1642" s="16" t="s">
        <v>7010</v>
      </c>
      <c r="D1642" s="16" t="s">
        <v>7011</v>
      </c>
      <c r="E1642" s="38">
        <v>22143</v>
      </c>
      <c r="F1642" s="38"/>
      <c r="G1642" s="10" t="s">
        <v>7012</v>
      </c>
      <c r="H1642" s="22" t="s">
        <v>7013</v>
      </c>
      <c r="I1642" s="13">
        <v>7</v>
      </c>
      <c r="J1642" s="15" t="s">
        <v>7015</v>
      </c>
      <c r="K1642" s="46" t="s">
        <v>7014</v>
      </c>
      <c r="L1642" s="11" t="s">
        <v>39</v>
      </c>
      <c r="M1642" s="15" t="s">
        <v>3629</v>
      </c>
      <c r="N1642" s="17">
        <v>3300</v>
      </c>
      <c r="O1642" s="17"/>
      <c r="P1642" s="17"/>
      <c r="Q1642" s="48"/>
      <c r="R1642" s="11" t="s">
        <v>6848</v>
      </c>
      <c r="S1642" s="48"/>
      <c r="T1642" s="85"/>
      <c r="U1642" s="89">
        <v>45298</v>
      </c>
      <c r="V1642" s="32"/>
      <c r="W1642" s="25" t="s">
        <v>39</v>
      </c>
      <c r="X1642" s="11"/>
      <c r="Y1642" s="50"/>
      <c r="Z1642" s="50"/>
      <c r="AA1642" s="50"/>
      <c r="AB1642" s="50"/>
      <c r="AC1642" s="50"/>
      <c r="AD1642" s="50"/>
      <c r="AE1642" s="50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65" t="s">
        <v>5822</v>
      </c>
      <c r="AP1642" s="69"/>
      <c r="AQ1642" s="62" t="s">
        <v>8079</v>
      </c>
      <c r="AR1642" s="78"/>
    </row>
    <row r="1643" spans="1:44" customFormat="1">
      <c r="A1643" s="39">
        <v>45278</v>
      </c>
      <c r="B1643" s="11" t="s">
        <v>22</v>
      </c>
      <c r="C1643" s="16" t="s">
        <v>7003</v>
      </c>
      <c r="D1643" s="16" t="s">
        <v>7004</v>
      </c>
      <c r="E1643" s="38">
        <v>28719</v>
      </c>
      <c r="F1643" s="38"/>
      <c r="G1643" s="10" t="s">
        <v>7005</v>
      </c>
      <c r="H1643" s="12" t="s">
        <v>7006</v>
      </c>
      <c r="I1643" s="13" t="s">
        <v>1995</v>
      </c>
      <c r="J1643" s="15" t="s">
        <v>7008</v>
      </c>
      <c r="K1643" s="46" t="s">
        <v>7007</v>
      </c>
      <c r="L1643" s="11" t="s">
        <v>33</v>
      </c>
      <c r="M1643" s="15" t="s">
        <v>3584</v>
      </c>
      <c r="N1643" s="17">
        <v>3300</v>
      </c>
      <c r="O1643" s="17"/>
      <c r="P1643" s="17"/>
      <c r="Q1643" s="48"/>
      <c r="R1643" s="11" t="s">
        <v>6848</v>
      </c>
      <c r="S1643" s="48"/>
      <c r="T1643" s="85" t="s">
        <v>8079</v>
      </c>
      <c r="U1643" s="89"/>
      <c r="V1643" s="32" t="s">
        <v>6642</v>
      </c>
      <c r="W1643" s="25" t="s">
        <v>4073</v>
      </c>
      <c r="X1643" s="11"/>
      <c r="Y1643" s="50"/>
      <c r="Z1643" s="50"/>
      <c r="AA1643" s="50"/>
      <c r="AB1643" s="50"/>
      <c r="AC1643" s="50"/>
      <c r="AD1643" s="50"/>
      <c r="AE1643" s="50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65" t="s">
        <v>5822</v>
      </c>
      <c r="AP1643" s="69" t="s">
        <v>7016</v>
      </c>
      <c r="AQ1643" s="62"/>
      <c r="AR1643" s="78">
        <v>45298</v>
      </c>
    </row>
    <row r="1644" spans="1:44" customFormat="1">
      <c r="A1644" s="39">
        <v>45282</v>
      </c>
      <c r="B1644" s="11" t="s">
        <v>2171</v>
      </c>
      <c r="C1644" s="16" t="s">
        <v>3344</v>
      </c>
      <c r="D1644" s="16" t="s">
        <v>6400</v>
      </c>
      <c r="E1644" s="38"/>
      <c r="F1644" s="38"/>
      <c r="G1644" s="10"/>
      <c r="H1644" s="12"/>
      <c r="I1644" s="13"/>
      <c r="J1644" s="15"/>
      <c r="K1644" s="12"/>
      <c r="L1644" s="11"/>
      <c r="M1644" s="15"/>
      <c r="N1644" s="17">
        <v>3300</v>
      </c>
      <c r="O1644" s="17"/>
      <c r="P1644" s="17"/>
      <c r="Q1644" s="48"/>
      <c r="R1644" s="11"/>
      <c r="S1644" s="48"/>
      <c r="T1644" s="85"/>
      <c r="U1644" s="88"/>
      <c r="V1644" s="32"/>
      <c r="W1644" s="25"/>
      <c r="X1644" s="11"/>
      <c r="Y1644" s="50"/>
      <c r="Z1644" s="50"/>
      <c r="AA1644" s="50"/>
      <c r="AB1644" s="50"/>
      <c r="AC1644" s="50"/>
      <c r="AD1644" s="50"/>
      <c r="AE1644" s="50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65"/>
      <c r="AP1644" s="69"/>
      <c r="AQ1644" s="62"/>
      <c r="AR1644" s="34"/>
    </row>
    <row r="1645" spans="1:44" customFormat="1">
      <c r="A1645" s="39">
        <v>45282</v>
      </c>
      <c r="B1645" s="11" t="s">
        <v>49</v>
      </c>
      <c r="C1645" s="16" t="s">
        <v>7017</v>
      </c>
      <c r="D1645" s="16" t="s">
        <v>7018</v>
      </c>
      <c r="E1645" s="38">
        <v>27072</v>
      </c>
      <c r="F1645" s="38"/>
      <c r="G1645" s="10" t="s">
        <v>7019</v>
      </c>
      <c r="H1645" s="12" t="s">
        <v>7020</v>
      </c>
      <c r="I1645" s="13"/>
      <c r="J1645" s="15" t="s">
        <v>7022</v>
      </c>
      <c r="K1645" s="46" t="s">
        <v>7021</v>
      </c>
      <c r="L1645" s="11" t="s">
        <v>36</v>
      </c>
      <c r="M1645" s="15" t="s">
        <v>3584</v>
      </c>
      <c r="N1645" s="17">
        <v>16500</v>
      </c>
      <c r="O1645" s="17"/>
      <c r="P1645" s="17"/>
      <c r="Q1645" s="48"/>
      <c r="R1645" s="11" t="s">
        <v>7023</v>
      </c>
      <c r="S1645" s="48"/>
      <c r="T1645" s="85" t="s">
        <v>8073</v>
      </c>
      <c r="U1645" s="88"/>
      <c r="V1645" s="32"/>
      <c r="W1645" s="25" t="s">
        <v>48</v>
      </c>
      <c r="X1645" s="11"/>
      <c r="Y1645" s="50"/>
      <c r="Z1645" s="50"/>
      <c r="AA1645" s="50"/>
      <c r="AB1645" s="50"/>
      <c r="AC1645" s="50"/>
      <c r="AD1645" s="50"/>
      <c r="AE1645" s="50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65"/>
      <c r="AP1645" s="69"/>
      <c r="AQ1645" s="62"/>
      <c r="AR1645" s="34"/>
    </row>
    <row r="1646" spans="1:44" customFormat="1">
      <c r="A1646" s="39">
        <v>45283</v>
      </c>
      <c r="B1646" s="11" t="s">
        <v>22</v>
      </c>
      <c r="C1646" s="16" t="s">
        <v>7024</v>
      </c>
      <c r="D1646" s="16" t="s">
        <v>7025</v>
      </c>
      <c r="E1646" s="38">
        <v>22101</v>
      </c>
      <c r="F1646" s="38"/>
      <c r="G1646" s="10" t="s">
        <v>7026</v>
      </c>
      <c r="H1646" s="12" t="s">
        <v>7027</v>
      </c>
      <c r="I1646" s="13">
        <v>14</v>
      </c>
      <c r="J1646" s="15" t="s">
        <v>7028</v>
      </c>
      <c r="K1646" s="46" t="s">
        <v>7029</v>
      </c>
      <c r="L1646" s="11" t="s">
        <v>33</v>
      </c>
      <c r="M1646" s="15" t="s">
        <v>3584</v>
      </c>
      <c r="N1646" s="17">
        <v>2200</v>
      </c>
      <c r="O1646" s="17"/>
      <c r="P1646" s="17"/>
      <c r="Q1646" s="48"/>
      <c r="R1646" s="11" t="s">
        <v>6848</v>
      </c>
      <c r="S1646" s="48"/>
      <c r="T1646" s="85"/>
      <c r="U1646" s="89">
        <v>45298</v>
      </c>
      <c r="V1646" s="32" t="s">
        <v>2191</v>
      </c>
      <c r="W1646" s="25" t="s">
        <v>8</v>
      </c>
      <c r="X1646" s="11"/>
      <c r="Y1646" s="50"/>
      <c r="Z1646" s="50"/>
      <c r="AA1646" s="50"/>
      <c r="AB1646" s="50"/>
      <c r="AC1646" s="50"/>
      <c r="AD1646" s="50"/>
      <c r="AE1646" s="50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65"/>
      <c r="AP1646" s="69"/>
      <c r="AQ1646" s="62"/>
      <c r="AR1646" s="34"/>
    </row>
    <row r="1647" spans="1:44" customFormat="1">
      <c r="A1647" s="39">
        <v>45283</v>
      </c>
      <c r="B1647" s="11" t="s">
        <v>22</v>
      </c>
      <c r="C1647" s="16" t="s">
        <v>7030</v>
      </c>
      <c r="D1647" s="16" t="s">
        <v>7031</v>
      </c>
      <c r="E1647" s="38">
        <v>18889</v>
      </c>
      <c r="F1647" s="38"/>
      <c r="G1647" s="10" t="s">
        <v>7032</v>
      </c>
      <c r="H1647" s="22" t="s">
        <v>7033</v>
      </c>
      <c r="I1647" s="13">
        <v>4.3</v>
      </c>
      <c r="J1647" s="15" t="s">
        <v>7034</v>
      </c>
      <c r="K1647" s="12"/>
      <c r="L1647" s="11" t="s">
        <v>34</v>
      </c>
      <c r="M1647" s="15" t="s">
        <v>3599</v>
      </c>
      <c r="N1647" s="17">
        <v>3300</v>
      </c>
      <c r="O1647" s="17"/>
      <c r="P1647" s="17"/>
      <c r="Q1647" s="48"/>
      <c r="R1647" s="11" t="s">
        <v>6849</v>
      </c>
      <c r="S1647" s="48"/>
      <c r="T1647" s="85"/>
      <c r="U1647" s="89">
        <v>45298</v>
      </c>
      <c r="V1647" s="32"/>
      <c r="W1647" s="25" t="s">
        <v>48</v>
      </c>
      <c r="X1647" s="11"/>
      <c r="Y1647" s="50"/>
      <c r="Z1647" s="50"/>
      <c r="AA1647" s="50"/>
      <c r="AB1647" s="50"/>
      <c r="AC1647" s="50"/>
      <c r="AD1647" s="50"/>
      <c r="AE1647" s="50"/>
      <c r="AF1647" s="34" t="s">
        <v>14</v>
      </c>
      <c r="AG1647" s="34"/>
      <c r="AH1647" s="34"/>
      <c r="AI1647" s="34"/>
      <c r="AJ1647" s="34"/>
      <c r="AK1647" s="34"/>
      <c r="AL1647" s="34"/>
      <c r="AM1647" s="34"/>
      <c r="AN1647" s="34"/>
      <c r="AO1647" s="65"/>
      <c r="AP1647" s="69"/>
      <c r="AQ1647" s="62"/>
      <c r="AR1647" s="34"/>
    </row>
    <row r="1648" spans="1:44" customFormat="1">
      <c r="A1648" s="39">
        <v>45286</v>
      </c>
      <c r="B1648" s="11" t="s">
        <v>49</v>
      </c>
      <c r="C1648" s="16" t="s">
        <v>7041</v>
      </c>
      <c r="D1648" s="16" t="s">
        <v>7042</v>
      </c>
      <c r="E1648" s="38" t="s">
        <v>7040</v>
      </c>
      <c r="F1648" s="38"/>
      <c r="G1648" s="10"/>
      <c r="H1648" s="12"/>
      <c r="I1648" s="13"/>
      <c r="J1648" s="15"/>
      <c r="K1648" s="46"/>
      <c r="L1648" s="11"/>
      <c r="M1648" s="15"/>
      <c r="N1648" s="17">
        <v>11000</v>
      </c>
      <c r="O1648" s="17"/>
      <c r="P1648" s="17"/>
      <c r="Q1648" s="48"/>
      <c r="R1648" s="11" t="s">
        <v>6847</v>
      </c>
      <c r="S1648" s="48"/>
      <c r="T1648" s="85" t="s">
        <v>8073</v>
      </c>
      <c r="U1648" s="88"/>
      <c r="V1648" s="32"/>
      <c r="W1648" s="25"/>
      <c r="X1648" s="11"/>
      <c r="Y1648" s="50"/>
      <c r="Z1648" s="50"/>
      <c r="AA1648" s="50"/>
      <c r="AB1648" s="50"/>
      <c r="AC1648" s="50"/>
      <c r="AD1648" s="50"/>
      <c r="AE1648" s="50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65" t="s">
        <v>5804</v>
      </c>
      <c r="AP1648" s="69" t="s">
        <v>7036</v>
      </c>
      <c r="AQ1648" s="62"/>
      <c r="AR1648" s="78">
        <v>45298</v>
      </c>
    </row>
    <row r="1649" spans="1:44" customFormat="1">
      <c r="A1649" s="39">
        <v>45287</v>
      </c>
      <c r="B1649" s="11" t="s">
        <v>49</v>
      </c>
      <c r="C1649" s="16" t="s">
        <v>6554</v>
      </c>
      <c r="D1649" s="16" t="s">
        <v>6555</v>
      </c>
      <c r="E1649" s="38" t="s">
        <v>7040</v>
      </c>
      <c r="F1649" s="38"/>
      <c r="G1649" s="10"/>
      <c r="H1649" s="12"/>
      <c r="I1649" s="13"/>
      <c r="J1649" s="15"/>
      <c r="K1649" s="46"/>
      <c r="L1649" s="11"/>
      <c r="M1649" s="15"/>
      <c r="N1649" s="17">
        <v>11000</v>
      </c>
      <c r="O1649" s="17"/>
      <c r="P1649" s="17"/>
      <c r="Q1649" s="48"/>
      <c r="R1649" s="11" t="s">
        <v>6849</v>
      </c>
      <c r="S1649" s="48"/>
      <c r="T1649" s="85" t="s">
        <v>8073</v>
      </c>
      <c r="U1649" s="88"/>
      <c r="V1649" s="32"/>
      <c r="W1649" s="25"/>
      <c r="X1649" s="11"/>
      <c r="Y1649" s="50"/>
      <c r="Z1649" s="50"/>
      <c r="AA1649" s="50"/>
      <c r="AB1649" s="50"/>
      <c r="AC1649" s="50"/>
      <c r="AD1649" s="50"/>
      <c r="AE1649" s="50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65" t="s">
        <v>5804</v>
      </c>
      <c r="AP1649" s="69" t="s">
        <v>7037</v>
      </c>
      <c r="AQ1649" s="62"/>
      <c r="AR1649" s="78">
        <v>45298</v>
      </c>
    </row>
    <row r="1650" spans="1:44" customFormat="1">
      <c r="A1650" s="39">
        <v>45295</v>
      </c>
      <c r="B1650" s="11" t="s">
        <v>49</v>
      </c>
      <c r="C1650" s="16" t="s">
        <v>7038</v>
      </c>
      <c r="D1650" s="16" t="s">
        <v>7039</v>
      </c>
      <c r="E1650" s="38" t="s">
        <v>7040</v>
      </c>
      <c r="F1650" s="38"/>
      <c r="G1650" s="10"/>
      <c r="H1650" s="12"/>
      <c r="I1650" s="13"/>
      <c r="J1650" s="15"/>
      <c r="K1650" s="12"/>
      <c r="L1650" s="11"/>
      <c r="M1650" s="15"/>
      <c r="N1650" s="17">
        <v>11000</v>
      </c>
      <c r="O1650" s="17"/>
      <c r="P1650" s="17"/>
      <c r="Q1650" s="48"/>
      <c r="R1650" s="11" t="s">
        <v>6848</v>
      </c>
      <c r="S1650" s="48"/>
      <c r="T1650" s="85" t="s">
        <v>8073</v>
      </c>
      <c r="U1650" s="88"/>
      <c r="V1650" s="32"/>
      <c r="W1650" s="25"/>
      <c r="X1650" s="11"/>
      <c r="Y1650" s="50"/>
      <c r="Z1650" s="50"/>
      <c r="AA1650" s="50"/>
      <c r="AB1650" s="50"/>
      <c r="AC1650" s="50"/>
      <c r="AD1650" s="50"/>
      <c r="AE1650" s="50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65"/>
      <c r="AP1650" s="69"/>
      <c r="AQ1650" s="62"/>
      <c r="AR1650" s="34"/>
    </row>
    <row r="1651" spans="1:44" customFormat="1">
      <c r="A1651" s="39">
        <v>45297</v>
      </c>
      <c r="B1651" s="11" t="s">
        <v>49</v>
      </c>
      <c r="C1651" s="16" t="s">
        <v>7043</v>
      </c>
      <c r="D1651" s="16" t="s">
        <v>7044</v>
      </c>
      <c r="E1651" s="38">
        <v>30871</v>
      </c>
      <c r="F1651" s="38"/>
      <c r="G1651" s="10" t="s">
        <v>7045</v>
      </c>
      <c r="H1651" s="12" t="s">
        <v>7046</v>
      </c>
      <c r="I1651" s="13">
        <v>316</v>
      </c>
      <c r="J1651" s="15" t="s">
        <v>7048</v>
      </c>
      <c r="K1651" s="46" t="s">
        <v>7047</v>
      </c>
      <c r="L1651" s="11" t="s">
        <v>36</v>
      </c>
      <c r="M1651" s="15" t="s">
        <v>3584</v>
      </c>
      <c r="N1651" s="17">
        <v>16500</v>
      </c>
      <c r="O1651" s="17"/>
      <c r="P1651" s="17"/>
      <c r="Q1651" s="48"/>
      <c r="R1651" s="11" t="s">
        <v>6849</v>
      </c>
      <c r="S1651" s="48"/>
      <c r="T1651" s="85" t="s">
        <v>8073</v>
      </c>
      <c r="U1651" s="88"/>
      <c r="V1651" s="32" t="s">
        <v>6642</v>
      </c>
      <c r="W1651" s="25" t="s">
        <v>48</v>
      </c>
      <c r="X1651" s="11"/>
      <c r="Y1651" s="50" t="s">
        <v>13</v>
      </c>
      <c r="Z1651" s="50"/>
      <c r="AA1651" s="50"/>
      <c r="AB1651" s="50"/>
      <c r="AC1651" s="50"/>
      <c r="AD1651" s="50"/>
      <c r="AE1651" s="50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65"/>
      <c r="AP1651" s="69"/>
      <c r="AQ1651" s="62"/>
      <c r="AR1651" s="34"/>
    </row>
    <row r="1652" spans="1:44" customFormat="1">
      <c r="A1652" s="39">
        <v>45301</v>
      </c>
      <c r="B1652" s="11" t="s">
        <v>49</v>
      </c>
      <c r="C1652" s="16" t="s">
        <v>7049</v>
      </c>
      <c r="D1652" s="16" t="s">
        <v>7050</v>
      </c>
      <c r="E1652" s="38">
        <v>28087</v>
      </c>
      <c r="F1652" s="38"/>
      <c r="G1652" s="10" t="s">
        <v>7051</v>
      </c>
      <c r="H1652" s="12" t="s">
        <v>7052</v>
      </c>
      <c r="I1652" s="13" t="s">
        <v>7054</v>
      </c>
      <c r="J1652" s="15" t="s">
        <v>7053</v>
      </c>
      <c r="K1652" s="12"/>
      <c r="L1652" s="11" t="s">
        <v>36</v>
      </c>
      <c r="M1652" s="15"/>
      <c r="N1652" s="17">
        <v>16500</v>
      </c>
      <c r="O1652" s="17"/>
      <c r="P1652" s="17"/>
      <c r="Q1652" s="48"/>
      <c r="R1652" s="11" t="s">
        <v>6848</v>
      </c>
      <c r="S1652" s="48"/>
      <c r="T1652" s="85"/>
      <c r="U1652" s="88"/>
      <c r="V1652" s="32" t="s">
        <v>6642</v>
      </c>
      <c r="W1652" s="25" t="s">
        <v>48</v>
      </c>
      <c r="X1652" s="11"/>
      <c r="Y1652" s="50" t="s">
        <v>13</v>
      </c>
      <c r="Z1652" s="50"/>
      <c r="AA1652" s="50"/>
      <c r="AB1652" s="50"/>
      <c r="AC1652" s="50"/>
      <c r="AD1652" s="50"/>
      <c r="AE1652" s="50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65"/>
      <c r="AP1652" s="69"/>
      <c r="AQ1652" s="62"/>
      <c r="AR1652" s="34"/>
    </row>
    <row r="1653" spans="1:44" customFormat="1">
      <c r="A1653" s="39">
        <v>45302</v>
      </c>
      <c r="B1653" s="11" t="s">
        <v>22</v>
      </c>
      <c r="C1653" s="16" t="s">
        <v>7071</v>
      </c>
      <c r="D1653" s="16" t="s">
        <v>7072</v>
      </c>
      <c r="E1653" s="38">
        <v>32919</v>
      </c>
      <c r="F1653" s="38"/>
      <c r="G1653" s="10" t="s">
        <v>7073</v>
      </c>
      <c r="H1653" s="12" t="s">
        <v>7074</v>
      </c>
      <c r="I1653" s="13" t="s">
        <v>7075</v>
      </c>
      <c r="J1653" s="15" t="s">
        <v>7076</v>
      </c>
      <c r="K1653" s="12"/>
      <c r="L1653" s="11" t="s">
        <v>35</v>
      </c>
      <c r="M1653" s="15" t="s">
        <v>3577</v>
      </c>
      <c r="N1653" s="17">
        <v>3300</v>
      </c>
      <c r="O1653" s="17"/>
      <c r="P1653" s="17"/>
      <c r="Q1653" s="48"/>
      <c r="R1653" s="11" t="s">
        <v>6847</v>
      </c>
      <c r="S1653" s="48"/>
      <c r="T1653" s="85" t="s">
        <v>8079</v>
      </c>
      <c r="U1653" s="88"/>
      <c r="V1653" s="32" t="s">
        <v>6642</v>
      </c>
      <c r="W1653" s="25" t="s">
        <v>6747</v>
      </c>
      <c r="X1653" s="11"/>
      <c r="Y1653" s="50"/>
      <c r="Z1653" s="50"/>
      <c r="AA1653" s="50"/>
      <c r="AB1653" s="50"/>
      <c r="AC1653" s="50"/>
      <c r="AD1653" s="50"/>
      <c r="AE1653" s="50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65" t="s">
        <v>5804</v>
      </c>
      <c r="AP1653" s="69"/>
      <c r="AQ1653" s="62" t="s">
        <v>8079</v>
      </c>
      <c r="AR1653" s="34"/>
    </row>
    <row r="1654" spans="1:44" customFormat="1">
      <c r="A1654" s="39">
        <v>45303</v>
      </c>
      <c r="B1654" s="11" t="s">
        <v>22</v>
      </c>
      <c r="C1654" s="16" t="s">
        <v>7055</v>
      </c>
      <c r="D1654" s="16" t="s">
        <v>7056</v>
      </c>
      <c r="E1654" s="38">
        <v>22858</v>
      </c>
      <c r="F1654" s="38"/>
      <c r="G1654" s="10" t="s">
        <v>2497</v>
      </c>
      <c r="H1654" s="12" t="s">
        <v>7057</v>
      </c>
      <c r="I1654" s="13">
        <v>2.5</v>
      </c>
      <c r="J1654" s="15" t="s">
        <v>7059</v>
      </c>
      <c r="K1654" s="46" t="s">
        <v>7058</v>
      </c>
      <c r="L1654" s="11" t="s">
        <v>33</v>
      </c>
      <c r="M1654" s="15" t="s">
        <v>3584</v>
      </c>
      <c r="N1654" s="17">
        <v>3300</v>
      </c>
      <c r="O1654" s="17"/>
      <c r="P1654" s="17"/>
      <c r="Q1654" s="48"/>
      <c r="R1654" s="11" t="s">
        <v>6847</v>
      </c>
      <c r="S1654" s="48"/>
      <c r="T1654" s="85"/>
      <c r="U1654" s="89">
        <v>45338</v>
      </c>
      <c r="V1654" s="32" t="s">
        <v>6642</v>
      </c>
      <c r="W1654" s="25" t="s">
        <v>39</v>
      </c>
      <c r="X1654" s="11"/>
      <c r="Y1654" s="50"/>
      <c r="Z1654" s="50"/>
      <c r="AA1654" s="50"/>
      <c r="AB1654" s="50"/>
      <c r="AC1654" s="50"/>
      <c r="AD1654" s="50"/>
      <c r="AE1654" s="50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65" t="s">
        <v>6585</v>
      </c>
      <c r="AP1654" s="69" t="s">
        <v>7215</v>
      </c>
      <c r="AQ1654" s="62"/>
      <c r="AR1654" s="78">
        <v>45338</v>
      </c>
    </row>
    <row r="1655" spans="1:44" customFormat="1">
      <c r="A1655" s="39">
        <v>45304</v>
      </c>
      <c r="B1655" s="11" t="s">
        <v>49</v>
      </c>
      <c r="C1655" s="16" t="s">
        <v>270</v>
      </c>
      <c r="D1655" s="16" t="s">
        <v>7061</v>
      </c>
      <c r="E1655" s="38">
        <v>24692</v>
      </c>
      <c r="F1655" s="38"/>
      <c r="G1655" s="10" t="s">
        <v>271</v>
      </c>
      <c r="H1655" s="12" t="s">
        <v>272</v>
      </c>
      <c r="I1655" s="13" t="s">
        <v>1658</v>
      </c>
      <c r="J1655" s="15" t="s">
        <v>274</v>
      </c>
      <c r="K1655" s="14" t="s">
        <v>273</v>
      </c>
      <c r="L1655" s="11" t="s">
        <v>33</v>
      </c>
      <c r="M1655" s="15"/>
      <c r="N1655" s="17">
        <v>16500</v>
      </c>
      <c r="O1655" s="17"/>
      <c r="P1655" s="17"/>
      <c r="Q1655" s="48"/>
      <c r="R1655" s="11" t="s">
        <v>6849</v>
      </c>
      <c r="S1655" s="48"/>
      <c r="T1655" s="85" t="s">
        <v>8073</v>
      </c>
      <c r="U1655" s="88"/>
      <c r="V1655" s="32"/>
      <c r="W1655" s="25" t="s">
        <v>48</v>
      </c>
      <c r="X1655" s="11"/>
      <c r="Y1655" s="50" t="s">
        <v>14</v>
      </c>
      <c r="Z1655" s="50"/>
      <c r="AA1655" s="50"/>
      <c r="AB1655" s="50"/>
      <c r="AC1655" s="50"/>
      <c r="AD1655" s="50"/>
      <c r="AE1655" s="50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65"/>
      <c r="AP1655" s="69" t="s">
        <v>7060</v>
      </c>
      <c r="AQ1655" s="62"/>
      <c r="AR1655" s="34"/>
    </row>
    <row r="1656" spans="1:44" customFormat="1">
      <c r="A1656" s="39">
        <v>45305</v>
      </c>
      <c r="B1656" s="11" t="s">
        <v>22</v>
      </c>
      <c r="C1656" s="16" t="s">
        <v>7062</v>
      </c>
      <c r="D1656" s="16" t="s">
        <v>7063</v>
      </c>
      <c r="E1656" s="38">
        <v>26387</v>
      </c>
      <c r="F1656" s="38"/>
      <c r="G1656" s="10" t="s">
        <v>5807</v>
      </c>
      <c r="H1656" s="12" t="s">
        <v>7064</v>
      </c>
      <c r="I1656" s="13">
        <v>2</v>
      </c>
      <c r="J1656" s="15" t="s">
        <v>7065</v>
      </c>
      <c r="K1656" s="12"/>
      <c r="L1656" s="11" t="s">
        <v>33</v>
      </c>
      <c r="M1656" s="15" t="s">
        <v>3629</v>
      </c>
      <c r="N1656" s="17">
        <v>3300</v>
      </c>
      <c r="O1656" s="17"/>
      <c r="P1656" s="17"/>
      <c r="Q1656" s="48"/>
      <c r="R1656" s="11" t="s">
        <v>6849</v>
      </c>
      <c r="S1656" s="48"/>
      <c r="T1656" s="85" t="s">
        <v>8079</v>
      </c>
      <c r="U1656" s="88"/>
      <c r="V1656" s="32" t="s">
        <v>6642</v>
      </c>
      <c r="W1656" s="25" t="s">
        <v>4073</v>
      </c>
      <c r="X1656" s="11"/>
      <c r="Y1656" s="50"/>
      <c r="Z1656" s="50"/>
      <c r="AA1656" s="50"/>
      <c r="AB1656" s="50"/>
      <c r="AC1656" s="50"/>
      <c r="AD1656" s="50"/>
      <c r="AE1656" s="50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65" t="s">
        <v>6585</v>
      </c>
      <c r="AP1656" s="69"/>
      <c r="AQ1656" s="62" t="s">
        <v>8079</v>
      </c>
      <c r="AR1656" s="34"/>
    </row>
    <row r="1657" spans="1:44" customFormat="1">
      <c r="A1657" s="39">
        <v>45305</v>
      </c>
      <c r="B1657" s="11" t="s">
        <v>22</v>
      </c>
      <c r="C1657" s="16" t="s">
        <v>7066</v>
      </c>
      <c r="D1657" s="16" t="s">
        <v>7067</v>
      </c>
      <c r="E1657" s="38">
        <v>36788</v>
      </c>
      <c r="F1657" s="38"/>
      <c r="G1657" s="10" t="s">
        <v>7068</v>
      </c>
      <c r="H1657" s="12" t="s">
        <v>7069</v>
      </c>
      <c r="I1657" s="13">
        <v>8.3000000000000007</v>
      </c>
      <c r="J1657" s="12" t="s">
        <v>7070</v>
      </c>
      <c r="K1657" s="12"/>
      <c r="L1657" s="11" t="s">
        <v>36</v>
      </c>
      <c r="M1657" s="15" t="s">
        <v>3629</v>
      </c>
      <c r="N1657" s="17">
        <v>3300</v>
      </c>
      <c r="O1657" s="17"/>
      <c r="P1657" s="17"/>
      <c r="Q1657" s="48"/>
      <c r="R1657" s="11" t="s">
        <v>6847</v>
      </c>
      <c r="S1657" s="48"/>
      <c r="T1657" s="85" t="s">
        <v>8079</v>
      </c>
      <c r="U1657" s="88"/>
      <c r="V1657" s="32" t="s">
        <v>6642</v>
      </c>
      <c r="W1657" s="25" t="s">
        <v>48</v>
      </c>
      <c r="X1657" s="11"/>
      <c r="Y1657" s="50"/>
      <c r="Z1657" s="50"/>
      <c r="AA1657" s="50"/>
      <c r="AB1657" s="50"/>
      <c r="AC1657" s="50"/>
      <c r="AD1657" s="50"/>
      <c r="AE1657" s="50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65" t="s">
        <v>6585</v>
      </c>
      <c r="AP1657" s="69"/>
      <c r="AQ1657" s="62" t="s">
        <v>8079</v>
      </c>
      <c r="AR1657" s="34"/>
    </row>
    <row r="1658" spans="1:44" customFormat="1">
      <c r="A1658" s="39">
        <v>45308</v>
      </c>
      <c r="B1658" s="11" t="s">
        <v>49</v>
      </c>
      <c r="C1658" s="16" t="s">
        <v>7077</v>
      </c>
      <c r="D1658" s="16" t="s">
        <v>7078</v>
      </c>
      <c r="E1658" s="38">
        <v>31186</v>
      </c>
      <c r="F1658" s="38"/>
      <c r="G1658" s="10" t="s">
        <v>7079</v>
      </c>
      <c r="H1658" s="12" t="s">
        <v>7081</v>
      </c>
      <c r="I1658" s="13" t="s">
        <v>7080</v>
      </c>
      <c r="J1658" s="15" t="s">
        <v>7082</v>
      </c>
      <c r="K1658" s="12"/>
      <c r="L1658" s="11" t="s">
        <v>36</v>
      </c>
      <c r="M1658" s="15" t="s">
        <v>3629</v>
      </c>
      <c r="N1658" s="17">
        <v>16500</v>
      </c>
      <c r="O1658" s="17"/>
      <c r="P1658" s="17"/>
      <c r="Q1658" s="48"/>
      <c r="R1658" s="11" t="s">
        <v>6848</v>
      </c>
      <c r="S1658" s="48"/>
      <c r="T1658" s="85"/>
      <c r="U1658" s="88"/>
      <c r="V1658" s="32" t="s">
        <v>6642</v>
      </c>
      <c r="W1658" s="25" t="s">
        <v>48</v>
      </c>
      <c r="X1658" s="11"/>
      <c r="Y1658" s="50"/>
      <c r="Z1658" s="50"/>
      <c r="AA1658" s="50"/>
      <c r="AB1658" s="50"/>
      <c r="AC1658" s="50"/>
      <c r="AD1658" s="50"/>
      <c r="AE1658" s="50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65"/>
      <c r="AP1658" s="69"/>
      <c r="AQ1658" s="62"/>
      <c r="AR1658" s="34"/>
    </row>
    <row r="1659" spans="1:44" customFormat="1">
      <c r="A1659" s="39">
        <v>45308</v>
      </c>
      <c r="B1659" s="11" t="s">
        <v>22</v>
      </c>
      <c r="C1659" s="16" t="s">
        <v>7083</v>
      </c>
      <c r="D1659" s="16" t="s">
        <v>7084</v>
      </c>
      <c r="E1659" s="38">
        <v>32113</v>
      </c>
      <c r="F1659" s="38"/>
      <c r="G1659" s="10" t="s">
        <v>2034</v>
      </c>
      <c r="H1659" s="12" t="s">
        <v>7085</v>
      </c>
      <c r="I1659" s="13" t="s">
        <v>2142</v>
      </c>
      <c r="J1659" s="15" t="s">
        <v>7087</v>
      </c>
      <c r="K1659" s="46" t="s">
        <v>7086</v>
      </c>
      <c r="L1659" s="11" t="s">
        <v>34</v>
      </c>
      <c r="M1659" s="15" t="s">
        <v>3584</v>
      </c>
      <c r="N1659" s="17">
        <v>3300</v>
      </c>
      <c r="O1659" s="17"/>
      <c r="P1659" s="17"/>
      <c r="Q1659" s="48"/>
      <c r="R1659" s="11" t="s">
        <v>7088</v>
      </c>
      <c r="S1659" s="48"/>
      <c r="T1659" s="85" t="s">
        <v>8079</v>
      </c>
      <c r="U1659" s="88"/>
      <c r="V1659" s="32" t="s">
        <v>6642</v>
      </c>
      <c r="W1659" s="25" t="s">
        <v>39</v>
      </c>
      <c r="X1659" s="11"/>
      <c r="Y1659" s="50"/>
      <c r="Z1659" s="50"/>
      <c r="AA1659" s="50"/>
      <c r="AB1659" s="50"/>
      <c r="AC1659" s="50"/>
      <c r="AD1659" s="50"/>
      <c r="AE1659" s="50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65" t="s">
        <v>6585</v>
      </c>
      <c r="AP1659" s="69"/>
      <c r="AQ1659" s="62" t="s">
        <v>8079</v>
      </c>
      <c r="AR1659" s="34"/>
    </row>
    <row r="1660" spans="1:44" customFormat="1" ht="15.75" customHeight="1">
      <c r="A1660" s="39">
        <v>45309</v>
      </c>
      <c r="B1660" s="11" t="s">
        <v>49</v>
      </c>
      <c r="C1660" s="16" t="s">
        <v>4806</v>
      </c>
      <c r="D1660" s="16" t="s">
        <v>7095</v>
      </c>
      <c r="E1660" s="38">
        <v>33118</v>
      </c>
      <c r="F1660" s="38"/>
      <c r="G1660" s="10" t="s">
        <v>7096</v>
      </c>
      <c r="H1660" s="12" t="s">
        <v>4808</v>
      </c>
      <c r="I1660" s="13" t="s">
        <v>7097</v>
      </c>
      <c r="J1660" s="15" t="s">
        <v>7094</v>
      </c>
      <c r="K1660" s="12" t="s">
        <v>7098</v>
      </c>
      <c r="L1660" s="11" t="s">
        <v>39</v>
      </c>
      <c r="M1660" s="15"/>
      <c r="N1660" s="17">
        <v>11000</v>
      </c>
      <c r="O1660" s="17"/>
      <c r="P1660" s="17"/>
      <c r="Q1660" s="48"/>
      <c r="R1660" s="11"/>
      <c r="S1660" s="48"/>
      <c r="T1660" s="85"/>
      <c r="U1660" s="88"/>
      <c r="V1660" s="32" t="s">
        <v>4811</v>
      </c>
      <c r="W1660" s="25" t="s">
        <v>8</v>
      </c>
      <c r="X1660" s="11"/>
      <c r="Y1660" s="50" t="s">
        <v>13</v>
      </c>
      <c r="Z1660" s="50"/>
      <c r="AA1660" s="50"/>
      <c r="AB1660" s="50"/>
      <c r="AC1660" s="50"/>
      <c r="AD1660" s="50"/>
      <c r="AE1660" s="50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65" t="s">
        <v>5804</v>
      </c>
      <c r="AP1660" s="69"/>
      <c r="AQ1660" s="62" t="s">
        <v>8079</v>
      </c>
      <c r="AR1660" s="34"/>
    </row>
    <row r="1661" spans="1:44" customFormat="1">
      <c r="A1661" s="39">
        <v>45309</v>
      </c>
      <c r="B1661" s="11" t="s">
        <v>22</v>
      </c>
      <c r="C1661" s="16" t="s">
        <v>7089</v>
      </c>
      <c r="D1661" s="16" t="s">
        <v>7090</v>
      </c>
      <c r="E1661" s="38">
        <v>20874</v>
      </c>
      <c r="F1661" s="38"/>
      <c r="G1661" s="10" t="s">
        <v>3447</v>
      </c>
      <c r="H1661" s="22" t="s">
        <v>7091</v>
      </c>
      <c r="I1661" s="13">
        <v>5.6</v>
      </c>
      <c r="J1661" s="15" t="s">
        <v>7093</v>
      </c>
      <c r="K1661" s="46" t="s">
        <v>7092</v>
      </c>
      <c r="L1661" s="11" t="s">
        <v>39</v>
      </c>
      <c r="M1661" s="15" t="s">
        <v>3584</v>
      </c>
      <c r="N1661" s="17">
        <v>3300</v>
      </c>
      <c r="O1661" s="17"/>
      <c r="P1661" s="17"/>
      <c r="Q1661" s="48"/>
      <c r="R1661" s="11" t="s">
        <v>6847</v>
      </c>
      <c r="S1661" s="48"/>
      <c r="T1661" s="85" t="s">
        <v>8079</v>
      </c>
      <c r="U1661" s="88"/>
      <c r="V1661" s="32" t="s">
        <v>6642</v>
      </c>
      <c r="W1661" s="25" t="s">
        <v>48</v>
      </c>
      <c r="X1661" s="11"/>
      <c r="Y1661" s="50"/>
      <c r="Z1661" s="50"/>
      <c r="AA1661" s="50"/>
      <c r="AB1661" s="50"/>
      <c r="AC1661" s="50"/>
      <c r="AD1661" s="50"/>
      <c r="AE1661" s="50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65"/>
      <c r="AP1661" s="69"/>
      <c r="AQ1661" s="62"/>
      <c r="AR1661" s="34"/>
    </row>
    <row r="1662" spans="1:44" customFormat="1" ht="15" customHeight="1">
      <c r="A1662" s="39">
        <v>45311</v>
      </c>
      <c r="B1662" s="11" t="s">
        <v>49</v>
      </c>
      <c r="C1662" s="16" t="s">
        <v>7099</v>
      </c>
      <c r="D1662" s="16" t="s">
        <v>7100</v>
      </c>
      <c r="E1662" s="38">
        <v>27510</v>
      </c>
      <c r="F1662" s="38"/>
      <c r="G1662" s="10" t="s">
        <v>7101</v>
      </c>
      <c r="H1662" s="12" t="s">
        <v>7102</v>
      </c>
      <c r="I1662" s="13">
        <v>50</v>
      </c>
      <c r="J1662" s="15" t="s">
        <v>7104</v>
      </c>
      <c r="K1662" s="46" t="s">
        <v>7103</v>
      </c>
      <c r="L1662" s="11" t="s">
        <v>36</v>
      </c>
      <c r="M1662" s="15" t="s">
        <v>3584</v>
      </c>
      <c r="N1662" s="17">
        <v>16500</v>
      </c>
      <c r="O1662" s="17"/>
      <c r="P1662" s="17"/>
      <c r="Q1662" s="48"/>
      <c r="R1662" s="11" t="s">
        <v>6847</v>
      </c>
      <c r="S1662" s="48"/>
      <c r="T1662" s="85" t="s">
        <v>8073</v>
      </c>
      <c r="U1662" s="88"/>
      <c r="V1662" s="32" t="s">
        <v>6642</v>
      </c>
      <c r="W1662" s="25" t="s">
        <v>48</v>
      </c>
      <c r="X1662" s="11"/>
      <c r="Y1662" s="50"/>
      <c r="Z1662" s="50"/>
      <c r="AA1662" s="50"/>
      <c r="AB1662" s="50"/>
      <c r="AC1662" s="50"/>
      <c r="AD1662" s="50"/>
      <c r="AE1662" s="50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65"/>
      <c r="AP1662" s="69"/>
      <c r="AQ1662" s="62"/>
      <c r="AR1662" s="34"/>
    </row>
    <row r="1663" spans="1:44" customFormat="1" ht="20.25" customHeight="1">
      <c r="A1663" s="39">
        <v>45311</v>
      </c>
      <c r="B1663" s="11" t="s">
        <v>49</v>
      </c>
      <c r="C1663" s="16" t="s">
        <v>7105</v>
      </c>
      <c r="D1663" s="16" t="s">
        <v>7106</v>
      </c>
      <c r="E1663" s="38">
        <v>26984</v>
      </c>
      <c r="F1663" s="38"/>
      <c r="G1663" s="10" t="s">
        <v>7107</v>
      </c>
      <c r="H1663" s="12" t="s">
        <v>7108</v>
      </c>
      <c r="I1663" s="13">
        <v>10</v>
      </c>
      <c r="J1663" s="15" t="s">
        <v>7109</v>
      </c>
      <c r="K1663" s="12"/>
      <c r="L1663" s="11" t="s">
        <v>33</v>
      </c>
      <c r="M1663" s="15" t="s">
        <v>3599</v>
      </c>
      <c r="N1663" s="17">
        <v>16500</v>
      </c>
      <c r="O1663" s="17"/>
      <c r="P1663" s="17"/>
      <c r="Q1663" s="48"/>
      <c r="R1663" s="11" t="s">
        <v>6848</v>
      </c>
      <c r="S1663" s="48"/>
      <c r="T1663" s="85"/>
      <c r="U1663" s="88"/>
      <c r="V1663" s="32" t="s">
        <v>6642</v>
      </c>
      <c r="W1663" s="25" t="s">
        <v>48</v>
      </c>
      <c r="X1663" s="11"/>
      <c r="Y1663" s="50" t="s">
        <v>13</v>
      </c>
      <c r="Z1663" s="50"/>
      <c r="AA1663" s="50"/>
      <c r="AB1663" s="50"/>
      <c r="AC1663" s="50"/>
      <c r="AD1663" s="50"/>
      <c r="AE1663" s="50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65"/>
      <c r="AP1663" s="69"/>
      <c r="AQ1663" s="62"/>
      <c r="AR1663" s="34"/>
    </row>
    <row r="1664" spans="1:44" customFormat="1">
      <c r="A1664" s="39">
        <v>45311</v>
      </c>
      <c r="B1664" s="11" t="s">
        <v>22</v>
      </c>
      <c r="C1664" s="16" t="s">
        <v>7114</v>
      </c>
      <c r="D1664" s="16" t="s">
        <v>7110</v>
      </c>
      <c r="E1664" s="38">
        <v>25990</v>
      </c>
      <c r="F1664" s="38"/>
      <c r="G1664" s="10" t="s">
        <v>207</v>
      </c>
      <c r="H1664" s="12" t="s">
        <v>7111</v>
      </c>
      <c r="I1664" s="13">
        <v>1.8</v>
      </c>
      <c r="J1664" s="15" t="s">
        <v>7113</v>
      </c>
      <c r="K1664" s="46" t="s">
        <v>7112</v>
      </c>
      <c r="L1664" s="11" t="s">
        <v>36</v>
      </c>
      <c r="M1664" s="15" t="s">
        <v>3584</v>
      </c>
      <c r="N1664" s="17">
        <v>3300</v>
      </c>
      <c r="O1664" s="17"/>
      <c r="P1664" s="17"/>
      <c r="Q1664" s="48"/>
      <c r="R1664" s="11" t="s">
        <v>6847</v>
      </c>
      <c r="S1664" s="48"/>
      <c r="T1664" s="85" t="s">
        <v>8079</v>
      </c>
      <c r="U1664" s="88"/>
      <c r="V1664" s="32" t="s">
        <v>6642</v>
      </c>
      <c r="W1664" s="25" t="s">
        <v>4073</v>
      </c>
      <c r="X1664" s="11"/>
      <c r="Y1664" s="50" t="s">
        <v>11</v>
      </c>
      <c r="Z1664" s="50"/>
      <c r="AA1664" s="50"/>
      <c r="AB1664" s="50"/>
      <c r="AC1664" s="50"/>
      <c r="AD1664" s="50"/>
      <c r="AE1664" s="50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65" t="s">
        <v>5804</v>
      </c>
      <c r="AP1664" s="69"/>
      <c r="AQ1664" s="62" t="s">
        <v>8079</v>
      </c>
      <c r="AR1664" s="34"/>
    </row>
    <row r="1665" spans="1:44" customFormat="1">
      <c r="A1665" s="39">
        <v>45312</v>
      </c>
      <c r="B1665" s="11" t="s">
        <v>49</v>
      </c>
      <c r="C1665" s="16" t="s">
        <v>2941</v>
      </c>
      <c r="D1665" s="16" t="s">
        <v>6320</v>
      </c>
      <c r="E1665" s="38">
        <v>26501</v>
      </c>
      <c r="F1665" s="38"/>
      <c r="G1665" s="10" t="s">
        <v>2942</v>
      </c>
      <c r="H1665" s="12" t="s">
        <v>2943</v>
      </c>
      <c r="I1665" s="13">
        <v>233</v>
      </c>
      <c r="J1665" s="15" t="s">
        <v>4748</v>
      </c>
      <c r="K1665" s="12"/>
      <c r="L1665" s="11" t="s">
        <v>33</v>
      </c>
      <c r="M1665" s="15" t="s">
        <v>3599</v>
      </c>
      <c r="N1665" s="17">
        <v>14850</v>
      </c>
      <c r="O1665" s="17"/>
      <c r="P1665" s="17"/>
      <c r="Q1665" s="48"/>
      <c r="R1665" s="11" t="s">
        <v>6849</v>
      </c>
      <c r="S1665" s="48"/>
      <c r="T1665" s="85" t="s">
        <v>8073</v>
      </c>
      <c r="U1665" s="88"/>
      <c r="V1665" s="32"/>
      <c r="W1665" s="25" t="s">
        <v>8</v>
      </c>
      <c r="X1665" s="11"/>
      <c r="Y1665" s="50" t="s">
        <v>13</v>
      </c>
      <c r="Z1665" s="50"/>
      <c r="AA1665" s="50"/>
      <c r="AB1665" s="50"/>
      <c r="AC1665" s="50"/>
      <c r="AD1665" s="50"/>
      <c r="AE1665" s="50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65" t="s">
        <v>5194</v>
      </c>
      <c r="AP1665" s="69"/>
      <c r="AQ1665" s="62"/>
      <c r="AR1665" s="34"/>
    </row>
    <row r="1666" spans="1:44" customFormat="1" ht="19.5" customHeight="1">
      <c r="A1666" s="39">
        <v>45312</v>
      </c>
      <c r="B1666" s="11" t="s">
        <v>49</v>
      </c>
      <c r="C1666" s="16" t="s">
        <v>7115</v>
      </c>
      <c r="D1666" s="16" t="s">
        <v>7116</v>
      </c>
      <c r="E1666" s="38">
        <v>26163</v>
      </c>
      <c r="F1666" s="38"/>
      <c r="G1666" s="10" t="s">
        <v>991</v>
      </c>
      <c r="H1666" s="12" t="s">
        <v>7117</v>
      </c>
      <c r="I1666" s="13">
        <v>25</v>
      </c>
      <c r="J1666" s="15" t="s">
        <v>993</v>
      </c>
      <c r="K1666" s="12"/>
      <c r="L1666" s="11" t="s">
        <v>33</v>
      </c>
      <c r="M1666" s="15" t="s">
        <v>3599</v>
      </c>
      <c r="N1666" s="17"/>
      <c r="O1666" s="17"/>
      <c r="P1666" s="17"/>
      <c r="Q1666" s="48"/>
      <c r="R1666" s="11"/>
      <c r="S1666" s="48"/>
      <c r="T1666" s="85" t="s">
        <v>8073</v>
      </c>
      <c r="U1666" s="88"/>
      <c r="V1666" s="32"/>
      <c r="W1666" s="25"/>
      <c r="X1666" s="11"/>
      <c r="Y1666" s="50"/>
      <c r="Z1666" s="50"/>
      <c r="AA1666" s="50"/>
      <c r="AB1666" s="50"/>
      <c r="AC1666" s="50"/>
      <c r="AD1666" s="50"/>
      <c r="AE1666" s="50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65"/>
      <c r="AP1666" s="69"/>
      <c r="AQ1666" s="62"/>
      <c r="AR1666" s="34"/>
    </row>
    <row r="1667" spans="1:44" customFormat="1">
      <c r="A1667" s="39">
        <v>45315</v>
      </c>
      <c r="B1667" s="11" t="s">
        <v>22</v>
      </c>
      <c r="C1667" s="16" t="s">
        <v>7118</v>
      </c>
      <c r="D1667" s="16" t="s">
        <v>7119</v>
      </c>
      <c r="E1667" s="38">
        <v>24672</v>
      </c>
      <c r="F1667" s="38"/>
      <c r="G1667" s="10" t="s">
        <v>328</v>
      </c>
      <c r="H1667" s="12" t="s">
        <v>7120</v>
      </c>
      <c r="I1667" s="13" t="s">
        <v>4951</v>
      </c>
      <c r="J1667" s="15" t="s">
        <v>7122</v>
      </c>
      <c r="K1667" s="46" t="s">
        <v>7121</v>
      </c>
      <c r="L1667" s="11" t="s">
        <v>33</v>
      </c>
      <c r="M1667" s="15" t="s">
        <v>3584</v>
      </c>
      <c r="N1667" s="17">
        <v>3300</v>
      </c>
      <c r="O1667" s="17"/>
      <c r="P1667" s="17"/>
      <c r="Q1667" s="48"/>
      <c r="R1667" s="11" t="s">
        <v>6849</v>
      </c>
      <c r="S1667" s="48"/>
      <c r="T1667" s="85" t="s">
        <v>8079</v>
      </c>
      <c r="U1667" s="88"/>
      <c r="V1667" s="32" t="s">
        <v>6642</v>
      </c>
      <c r="W1667" s="25" t="s">
        <v>8</v>
      </c>
      <c r="X1667" s="11"/>
      <c r="Y1667" s="50"/>
      <c r="Z1667" s="50"/>
      <c r="AA1667" s="50"/>
      <c r="AB1667" s="50"/>
      <c r="AC1667" s="50"/>
      <c r="AD1667" s="50"/>
      <c r="AE1667" s="50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65" t="s">
        <v>5804</v>
      </c>
      <c r="AP1667" s="69" t="s">
        <v>7123</v>
      </c>
      <c r="AQ1667" s="62" t="s">
        <v>8079</v>
      </c>
      <c r="AR1667" s="34"/>
    </row>
    <row r="1668" spans="1:44" customFormat="1" ht="19.5" customHeight="1">
      <c r="A1668" s="39">
        <v>45318</v>
      </c>
      <c r="B1668" s="11" t="s">
        <v>49</v>
      </c>
      <c r="C1668" s="16" t="s">
        <v>7099</v>
      </c>
      <c r="D1668" s="16" t="s">
        <v>7100</v>
      </c>
      <c r="E1668" s="38">
        <v>27510</v>
      </c>
      <c r="F1668" s="38"/>
      <c r="G1668" s="10" t="s">
        <v>7101</v>
      </c>
      <c r="H1668" s="12" t="s">
        <v>7102</v>
      </c>
      <c r="I1668" s="13">
        <v>50</v>
      </c>
      <c r="J1668" s="15" t="s">
        <v>7104</v>
      </c>
      <c r="K1668" s="46" t="s">
        <v>7103</v>
      </c>
      <c r="L1668" s="11" t="s">
        <v>36</v>
      </c>
      <c r="M1668" s="15" t="s">
        <v>3584</v>
      </c>
      <c r="N1668" s="17">
        <v>16500</v>
      </c>
      <c r="O1668" s="17"/>
      <c r="P1668" s="17"/>
      <c r="Q1668" s="48"/>
      <c r="R1668" s="11" t="s">
        <v>6849</v>
      </c>
      <c r="S1668" s="48"/>
      <c r="T1668" s="85" t="s">
        <v>8073</v>
      </c>
      <c r="U1668" s="88"/>
      <c r="V1668" s="32"/>
      <c r="W1668" s="25" t="s">
        <v>48</v>
      </c>
      <c r="X1668" s="11"/>
      <c r="Y1668" s="50"/>
      <c r="Z1668" s="50"/>
      <c r="AA1668" s="50"/>
      <c r="AB1668" s="50"/>
      <c r="AC1668" s="50"/>
      <c r="AD1668" s="50"/>
      <c r="AE1668" s="50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65"/>
      <c r="AP1668" s="69" t="s">
        <v>7124</v>
      </c>
      <c r="AQ1668" s="62"/>
      <c r="AR1668" s="34"/>
    </row>
    <row r="1669" spans="1:44" customFormat="1">
      <c r="A1669" s="39">
        <v>45318</v>
      </c>
      <c r="B1669" s="11" t="s">
        <v>22</v>
      </c>
      <c r="C1669" s="16" t="s">
        <v>7125</v>
      </c>
      <c r="D1669" s="16" t="s">
        <v>7126</v>
      </c>
      <c r="E1669" s="38">
        <v>23415</v>
      </c>
      <c r="F1669" s="38"/>
      <c r="G1669" s="10" t="s">
        <v>7026</v>
      </c>
      <c r="H1669" s="12" t="s">
        <v>7027</v>
      </c>
      <c r="I1669" s="13">
        <v>14</v>
      </c>
      <c r="J1669" s="15" t="s">
        <v>7127</v>
      </c>
      <c r="K1669" s="12"/>
      <c r="L1669" s="11" t="s">
        <v>33</v>
      </c>
      <c r="M1669" s="15" t="s">
        <v>3629</v>
      </c>
      <c r="N1669" s="17">
        <v>3300</v>
      </c>
      <c r="O1669" s="17"/>
      <c r="P1669" s="17"/>
      <c r="Q1669" s="48"/>
      <c r="R1669" s="11" t="s">
        <v>7088</v>
      </c>
      <c r="S1669" s="48"/>
      <c r="T1669" s="85"/>
      <c r="U1669" s="88"/>
      <c r="V1669" s="32" t="s">
        <v>6642</v>
      </c>
      <c r="W1669" s="25" t="s">
        <v>8</v>
      </c>
      <c r="X1669" s="11"/>
      <c r="Y1669" s="50"/>
      <c r="Z1669" s="50"/>
      <c r="AA1669" s="50"/>
      <c r="AB1669" s="50"/>
      <c r="AC1669" s="50"/>
      <c r="AD1669" s="50"/>
      <c r="AE1669" s="50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65" t="s">
        <v>5804</v>
      </c>
      <c r="AP1669" s="34" t="s">
        <v>7128</v>
      </c>
      <c r="AQ1669" s="62"/>
      <c r="AR1669" s="34"/>
    </row>
    <row r="1670" spans="1:44" customFormat="1">
      <c r="A1670" s="39">
        <v>45319</v>
      </c>
      <c r="B1670" s="11" t="s">
        <v>22</v>
      </c>
      <c r="C1670" s="16" t="s">
        <v>7129</v>
      </c>
      <c r="D1670" s="16" t="s">
        <v>7130</v>
      </c>
      <c r="E1670" s="38">
        <v>34700</v>
      </c>
      <c r="F1670" s="38"/>
      <c r="G1670" s="10" t="s">
        <v>207</v>
      </c>
      <c r="H1670" s="22" t="s">
        <v>7131</v>
      </c>
      <c r="I1670" s="13">
        <v>1.5</v>
      </c>
      <c r="J1670" s="15" t="s">
        <v>7133</v>
      </c>
      <c r="K1670" s="46" t="s">
        <v>7132</v>
      </c>
      <c r="L1670" s="11" t="s">
        <v>36</v>
      </c>
      <c r="M1670" s="15" t="s">
        <v>3584</v>
      </c>
      <c r="N1670" s="17">
        <v>3300</v>
      </c>
      <c r="O1670" s="17"/>
      <c r="P1670" s="17"/>
      <c r="Q1670" s="48"/>
      <c r="R1670" s="11" t="s">
        <v>6848</v>
      </c>
      <c r="S1670" s="48"/>
      <c r="T1670" s="85" t="s">
        <v>8079</v>
      </c>
      <c r="U1670" s="88"/>
      <c r="V1670" s="32" t="s">
        <v>6642</v>
      </c>
      <c r="W1670" s="25" t="s">
        <v>4073</v>
      </c>
      <c r="X1670" s="11"/>
      <c r="Y1670" s="50"/>
      <c r="Z1670" s="50"/>
      <c r="AA1670" s="50"/>
      <c r="AB1670" s="50"/>
      <c r="AC1670" s="50"/>
      <c r="AD1670" s="50"/>
      <c r="AE1670" s="50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65" t="s">
        <v>5804</v>
      </c>
      <c r="AP1670" s="69" t="s">
        <v>7134</v>
      </c>
      <c r="AQ1670" s="62" t="s">
        <v>8079</v>
      </c>
      <c r="AR1670" s="34"/>
    </row>
    <row r="1671" spans="1:44" customFormat="1">
      <c r="A1671" s="39">
        <v>45320</v>
      </c>
      <c r="B1671" s="11" t="s">
        <v>22</v>
      </c>
      <c r="C1671" s="16" t="s">
        <v>7139</v>
      </c>
      <c r="D1671" s="16" t="s">
        <v>7135</v>
      </c>
      <c r="E1671" s="38">
        <v>32276</v>
      </c>
      <c r="F1671" s="38"/>
      <c r="G1671" s="10" t="s">
        <v>617</v>
      </c>
      <c r="H1671" s="22" t="s">
        <v>7136</v>
      </c>
      <c r="I1671" s="13">
        <v>4.5999999999999996</v>
      </c>
      <c r="J1671" s="15" t="s">
        <v>7137</v>
      </c>
      <c r="K1671" s="12"/>
      <c r="L1671" s="11" t="s">
        <v>36</v>
      </c>
      <c r="M1671" s="15" t="s">
        <v>3584</v>
      </c>
      <c r="N1671" s="17">
        <v>3300</v>
      </c>
      <c r="O1671" s="17"/>
      <c r="P1671" s="17"/>
      <c r="Q1671" s="48"/>
      <c r="R1671" s="11" t="s">
        <v>6847</v>
      </c>
      <c r="S1671" s="48"/>
      <c r="T1671" s="85" t="s">
        <v>8079</v>
      </c>
      <c r="U1671" s="88"/>
      <c r="V1671" s="32" t="s">
        <v>6642</v>
      </c>
      <c r="W1671" s="25" t="s">
        <v>48</v>
      </c>
      <c r="X1671" s="11"/>
      <c r="Y1671" s="50"/>
      <c r="Z1671" s="50"/>
      <c r="AA1671" s="50"/>
      <c r="AB1671" s="50"/>
      <c r="AC1671" s="50"/>
      <c r="AD1671" s="50"/>
      <c r="AE1671" s="50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65" t="s">
        <v>5804</v>
      </c>
      <c r="AP1671" s="69" t="s">
        <v>7134</v>
      </c>
      <c r="AQ1671" s="62" t="s">
        <v>8079</v>
      </c>
      <c r="AR1671" s="34"/>
    </row>
    <row r="1672" spans="1:44" customFormat="1">
      <c r="A1672" s="39">
        <v>45322</v>
      </c>
      <c r="B1672" s="11" t="s">
        <v>49</v>
      </c>
      <c r="C1672" s="16" t="s">
        <v>7138</v>
      </c>
      <c r="D1672" s="16" t="s">
        <v>7141</v>
      </c>
      <c r="E1672" s="38">
        <v>27795</v>
      </c>
      <c r="F1672" s="38"/>
      <c r="G1672" s="10" t="s">
        <v>7143</v>
      </c>
      <c r="H1672" s="12" t="s">
        <v>7145</v>
      </c>
      <c r="I1672" s="13" t="s">
        <v>7147</v>
      </c>
      <c r="J1672" s="15" t="s">
        <v>7149</v>
      </c>
      <c r="K1672" s="12"/>
      <c r="L1672" s="11" t="s">
        <v>34</v>
      </c>
      <c r="M1672" s="15"/>
      <c r="N1672" s="17">
        <v>14850</v>
      </c>
      <c r="O1672" s="17"/>
      <c r="P1672" s="17"/>
      <c r="Q1672" s="48"/>
      <c r="R1672" s="11" t="s">
        <v>6943</v>
      </c>
      <c r="S1672" s="48"/>
      <c r="T1672" s="85"/>
      <c r="U1672" s="88"/>
      <c r="V1672" s="32" t="s">
        <v>6642</v>
      </c>
      <c r="W1672" s="25" t="s">
        <v>8</v>
      </c>
      <c r="X1672" s="11"/>
      <c r="Y1672" s="50"/>
      <c r="Z1672" s="50"/>
      <c r="AA1672" s="50"/>
      <c r="AB1672" s="50"/>
      <c r="AC1672" s="50"/>
      <c r="AD1672" s="50"/>
      <c r="AE1672" s="50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65" t="s">
        <v>5130</v>
      </c>
      <c r="AP1672" s="69"/>
      <c r="AQ1672" s="62"/>
      <c r="AR1672" s="34"/>
    </row>
    <row r="1673" spans="1:44" customFormat="1">
      <c r="A1673" s="39">
        <v>45322</v>
      </c>
      <c r="B1673" s="11" t="s">
        <v>49</v>
      </c>
      <c r="C1673" s="16" t="s">
        <v>7140</v>
      </c>
      <c r="D1673" s="16" t="s">
        <v>7142</v>
      </c>
      <c r="E1673" s="38">
        <v>28313</v>
      </c>
      <c r="F1673" s="38"/>
      <c r="G1673" s="10" t="s">
        <v>7144</v>
      </c>
      <c r="H1673" s="12" t="s">
        <v>7146</v>
      </c>
      <c r="I1673" s="13" t="s">
        <v>7148</v>
      </c>
      <c r="J1673" s="15" t="s">
        <v>7150</v>
      </c>
      <c r="K1673" s="12"/>
      <c r="L1673" s="11" t="s">
        <v>34</v>
      </c>
      <c r="M1673" s="15"/>
      <c r="N1673" s="17">
        <v>14850</v>
      </c>
      <c r="O1673" s="17"/>
      <c r="P1673" s="17"/>
      <c r="Q1673" s="48"/>
      <c r="R1673" s="11" t="s">
        <v>6848</v>
      </c>
      <c r="S1673" s="48"/>
      <c r="T1673" s="85"/>
      <c r="U1673" s="88"/>
      <c r="V1673" s="32" t="s">
        <v>6642</v>
      </c>
      <c r="W1673" s="25" t="s">
        <v>8</v>
      </c>
      <c r="X1673" s="11"/>
      <c r="Y1673" s="50"/>
      <c r="Z1673" s="50"/>
      <c r="AA1673" s="50"/>
      <c r="AB1673" s="50"/>
      <c r="AC1673" s="50"/>
      <c r="AD1673" s="50"/>
      <c r="AE1673" s="50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65" t="s">
        <v>5130</v>
      </c>
      <c r="AP1673" s="69"/>
      <c r="AQ1673" s="62"/>
      <c r="AR1673" s="34"/>
    </row>
    <row r="1674" spans="1:44" customFormat="1">
      <c r="A1674" s="39">
        <v>45322</v>
      </c>
      <c r="B1674" s="11" t="s">
        <v>22</v>
      </c>
      <c r="C1674" s="16" t="s">
        <v>7151</v>
      </c>
      <c r="D1674" s="16" t="s">
        <v>7152</v>
      </c>
      <c r="E1674" s="38">
        <v>27732</v>
      </c>
      <c r="F1674" s="38"/>
      <c r="G1674" s="10" t="s">
        <v>4431</v>
      </c>
      <c r="H1674" s="22" t="s">
        <v>7153</v>
      </c>
      <c r="I1674" s="13">
        <v>5.3</v>
      </c>
      <c r="J1674" s="15" t="s">
        <v>7155</v>
      </c>
      <c r="K1674" s="46" t="s">
        <v>7154</v>
      </c>
      <c r="L1674" s="11" t="s">
        <v>34</v>
      </c>
      <c r="M1674" s="15" t="s">
        <v>3599</v>
      </c>
      <c r="N1674" s="17">
        <v>3300</v>
      </c>
      <c r="O1674" s="17"/>
      <c r="P1674" s="17"/>
      <c r="Q1674" s="48"/>
      <c r="R1674" s="11" t="s">
        <v>6848</v>
      </c>
      <c r="S1674" s="48"/>
      <c r="T1674" s="85" t="s">
        <v>8079</v>
      </c>
      <c r="U1674" s="88"/>
      <c r="V1674" s="32" t="s">
        <v>6642</v>
      </c>
      <c r="W1674" s="25" t="s">
        <v>48</v>
      </c>
      <c r="X1674" s="11"/>
      <c r="Y1674" s="50"/>
      <c r="Z1674" s="50"/>
      <c r="AA1674" s="50"/>
      <c r="AB1674" s="50"/>
      <c r="AC1674" s="50"/>
      <c r="AD1674" s="50"/>
      <c r="AE1674" s="50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65" t="s">
        <v>5804</v>
      </c>
      <c r="AP1674" s="69"/>
      <c r="AQ1674" s="62" t="s">
        <v>8079</v>
      </c>
      <c r="AR1674" s="34"/>
    </row>
    <row r="1675" spans="1:44" customFormat="1">
      <c r="A1675" s="39">
        <v>45323</v>
      </c>
      <c r="B1675" s="11" t="s">
        <v>49</v>
      </c>
      <c r="C1675" s="16" t="s">
        <v>7156</v>
      </c>
      <c r="D1675" s="16" t="s">
        <v>7157</v>
      </c>
      <c r="E1675" s="38">
        <v>21059</v>
      </c>
      <c r="F1675" s="38"/>
      <c r="G1675" s="10" t="s">
        <v>358</v>
      </c>
      <c r="H1675" s="22" t="s">
        <v>7158</v>
      </c>
      <c r="I1675" s="13">
        <v>2.9</v>
      </c>
      <c r="J1675" s="15" t="s">
        <v>7160</v>
      </c>
      <c r="K1675" s="46" t="s">
        <v>7159</v>
      </c>
      <c r="L1675" s="11" t="s">
        <v>33</v>
      </c>
      <c r="M1675" s="15" t="s">
        <v>3584</v>
      </c>
      <c r="N1675" s="17">
        <v>8250</v>
      </c>
      <c r="O1675" s="17"/>
      <c r="P1675" s="17"/>
      <c r="Q1675" s="48"/>
      <c r="R1675" s="11" t="s">
        <v>6847</v>
      </c>
      <c r="S1675" s="48"/>
      <c r="T1675" s="85" t="s">
        <v>8073</v>
      </c>
      <c r="U1675" s="88"/>
      <c r="V1675" s="32"/>
      <c r="W1675" s="25" t="s">
        <v>8</v>
      </c>
      <c r="X1675" s="11"/>
      <c r="Y1675" s="50" t="s">
        <v>18</v>
      </c>
      <c r="Z1675" s="50"/>
      <c r="AA1675" s="50"/>
      <c r="AB1675" s="50"/>
      <c r="AC1675" s="50"/>
      <c r="AD1675" s="50"/>
      <c r="AE1675" s="50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65"/>
      <c r="AP1675" s="69"/>
      <c r="AQ1675" s="62"/>
      <c r="AR1675" s="34"/>
    </row>
    <row r="1676" spans="1:44" customFormat="1">
      <c r="A1676" s="39">
        <v>45324</v>
      </c>
      <c r="B1676" s="11" t="s">
        <v>49</v>
      </c>
      <c r="C1676" s="16" t="s">
        <v>7171</v>
      </c>
      <c r="D1676" s="16" t="s">
        <v>7161</v>
      </c>
      <c r="E1676" s="38">
        <v>23658</v>
      </c>
      <c r="F1676" s="38"/>
      <c r="G1676" s="10" t="s">
        <v>2279</v>
      </c>
      <c r="H1676" s="12" t="s">
        <v>7164</v>
      </c>
      <c r="I1676" s="13" t="s">
        <v>7169</v>
      </c>
      <c r="J1676" s="15" t="s">
        <v>7167</v>
      </c>
      <c r="K1676" s="12"/>
      <c r="L1676" s="11" t="s">
        <v>33</v>
      </c>
      <c r="M1676" s="15" t="s">
        <v>3599</v>
      </c>
      <c r="N1676" s="17">
        <v>16500</v>
      </c>
      <c r="O1676" s="17"/>
      <c r="P1676" s="17"/>
      <c r="Q1676" s="48"/>
      <c r="R1676" s="11" t="s">
        <v>6847</v>
      </c>
      <c r="S1676" s="48"/>
      <c r="T1676" s="85" t="s">
        <v>8073</v>
      </c>
      <c r="U1676" s="88"/>
      <c r="V1676" s="32" t="s">
        <v>6642</v>
      </c>
      <c r="W1676" s="25"/>
      <c r="X1676" s="11"/>
      <c r="Y1676" s="50"/>
      <c r="Z1676" s="50"/>
      <c r="AA1676" s="50"/>
      <c r="AB1676" s="50"/>
      <c r="AC1676" s="50"/>
      <c r="AD1676" s="50"/>
      <c r="AE1676" s="50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65"/>
      <c r="AP1676" s="69" t="s">
        <v>7172</v>
      </c>
      <c r="AQ1676" s="62"/>
      <c r="AR1676" s="34"/>
    </row>
    <row r="1677" spans="1:44" customFormat="1">
      <c r="A1677" s="39">
        <v>45324</v>
      </c>
      <c r="B1677" s="11" t="s">
        <v>22</v>
      </c>
      <c r="C1677" s="16" t="s">
        <v>7162</v>
      </c>
      <c r="D1677" s="16" t="s">
        <v>7163</v>
      </c>
      <c r="E1677" s="38">
        <v>25694</v>
      </c>
      <c r="F1677" s="38"/>
      <c r="G1677" s="10" t="s">
        <v>7170</v>
      </c>
      <c r="H1677" s="12" t="s">
        <v>7165</v>
      </c>
      <c r="I1677" s="13" t="s">
        <v>2070</v>
      </c>
      <c r="J1677" s="15" t="s">
        <v>7168</v>
      </c>
      <c r="K1677" s="46" t="s">
        <v>7166</v>
      </c>
      <c r="L1677" s="11" t="s">
        <v>39</v>
      </c>
      <c r="M1677" s="15" t="s">
        <v>3584</v>
      </c>
      <c r="N1677" s="17">
        <v>3300</v>
      </c>
      <c r="O1677" s="17"/>
      <c r="P1677" s="17"/>
      <c r="Q1677" s="48"/>
      <c r="R1677" s="11" t="s">
        <v>6848</v>
      </c>
      <c r="S1677" s="48"/>
      <c r="T1677" s="85"/>
      <c r="U1677" s="88" t="s">
        <v>7274</v>
      </c>
      <c r="V1677" s="32" t="s">
        <v>6642</v>
      </c>
      <c r="W1677" s="25" t="s">
        <v>4073</v>
      </c>
      <c r="X1677" s="11"/>
      <c r="Y1677" s="50"/>
      <c r="Z1677" s="50"/>
      <c r="AA1677" s="50"/>
      <c r="AB1677" s="50"/>
      <c r="AC1677" s="50"/>
      <c r="AD1677" s="50"/>
      <c r="AE1677" s="50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65" t="s">
        <v>6229</v>
      </c>
      <c r="AP1677" s="69"/>
      <c r="AQ1677" s="62"/>
      <c r="AR1677" s="34" t="s">
        <v>7274</v>
      </c>
    </row>
    <row r="1678" spans="1:44" customFormat="1">
      <c r="A1678" s="39">
        <v>45324</v>
      </c>
      <c r="B1678" s="11" t="s">
        <v>49</v>
      </c>
      <c r="C1678" s="16" t="s">
        <v>1573</v>
      </c>
      <c r="D1678" s="16" t="s">
        <v>6703</v>
      </c>
      <c r="E1678" s="38">
        <v>27746</v>
      </c>
      <c r="F1678" s="38"/>
      <c r="G1678" s="10" t="s">
        <v>7173</v>
      </c>
      <c r="H1678" s="12" t="s">
        <v>1575</v>
      </c>
      <c r="I1678" s="13">
        <v>14.6</v>
      </c>
      <c r="J1678" s="15" t="s">
        <v>7174</v>
      </c>
      <c r="K1678" s="12"/>
      <c r="L1678" s="11" t="s">
        <v>34</v>
      </c>
      <c r="M1678" s="15"/>
      <c r="N1678" s="17"/>
      <c r="O1678" s="17"/>
      <c r="P1678" s="17"/>
      <c r="Q1678" s="48"/>
      <c r="R1678" s="11"/>
      <c r="S1678" s="48"/>
      <c r="T1678" s="85" t="s">
        <v>8073</v>
      </c>
      <c r="U1678" s="88"/>
      <c r="V1678" s="32"/>
      <c r="W1678" s="25" t="s">
        <v>48</v>
      </c>
      <c r="X1678" s="11"/>
      <c r="Y1678" s="50"/>
      <c r="Z1678" s="50"/>
      <c r="AA1678" s="50"/>
      <c r="AB1678" s="50"/>
      <c r="AC1678" s="50"/>
      <c r="AD1678" s="50"/>
      <c r="AE1678" s="50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65"/>
      <c r="AP1678" s="69"/>
      <c r="AQ1678" s="62"/>
      <c r="AR1678" s="34"/>
    </row>
    <row r="1679" spans="1:44" customFormat="1">
      <c r="A1679" s="39">
        <v>45330</v>
      </c>
      <c r="B1679" s="11" t="s">
        <v>49</v>
      </c>
      <c r="C1679" s="16" t="s">
        <v>7175</v>
      </c>
      <c r="D1679" s="16" t="s">
        <v>7176</v>
      </c>
      <c r="E1679" s="38">
        <v>22720</v>
      </c>
      <c r="F1679" s="38"/>
      <c r="G1679" s="10" t="s">
        <v>7177</v>
      </c>
      <c r="H1679" s="22" t="s">
        <v>7178</v>
      </c>
      <c r="I1679" s="13">
        <v>50</v>
      </c>
      <c r="J1679" s="15" t="s">
        <v>7180</v>
      </c>
      <c r="K1679" s="46" t="s">
        <v>7179</v>
      </c>
      <c r="L1679" s="11" t="s">
        <v>34</v>
      </c>
      <c r="M1679" s="15" t="s">
        <v>3584</v>
      </c>
      <c r="N1679" s="17">
        <v>16500</v>
      </c>
      <c r="O1679" s="17"/>
      <c r="P1679" s="17"/>
      <c r="Q1679" s="48"/>
      <c r="R1679" s="11" t="s">
        <v>6848</v>
      </c>
      <c r="S1679" s="48"/>
      <c r="T1679" s="85" t="s">
        <v>8073</v>
      </c>
      <c r="U1679" s="88"/>
      <c r="V1679" s="32" t="s">
        <v>6642</v>
      </c>
      <c r="W1679" s="25" t="s">
        <v>39</v>
      </c>
      <c r="X1679" s="11"/>
      <c r="Y1679" s="50"/>
      <c r="Z1679" s="50"/>
      <c r="AA1679" s="50"/>
      <c r="AB1679" s="50"/>
      <c r="AC1679" s="50"/>
      <c r="AD1679" s="50"/>
      <c r="AE1679" s="50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65"/>
      <c r="AP1679" s="69"/>
      <c r="AQ1679" s="62"/>
      <c r="AR1679" s="34"/>
    </row>
    <row r="1680" spans="1:44" customFormat="1">
      <c r="A1680" s="39">
        <v>45331</v>
      </c>
      <c r="B1680" s="11" t="s">
        <v>49</v>
      </c>
      <c r="C1680" s="16" t="s">
        <v>4074</v>
      </c>
      <c r="D1680" s="16" t="s">
        <v>7181</v>
      </c>
      <c r="E1680" s="38">
        <v>25137</v>
      </c>
      <c r="F1680" s="38"/>
      <c r="G1680" s="10" t="s">
        <v>4076</v>
      </c>
      <c r="H1680" s="12" t="s">
        <v>4075</v>
      </c>
      <c r="I1680" s="13" t="s">
        <v>2098</v>
      </c>
      <c r="J1680" s="15" t="s">
        <v>4077</v>
      </c>
      <c r="K1680" s="12"/>
      <c r="L1680" s="11" t="s">
        <v>33</v>
      </c>
      <c r="M1680" s="15" t="s">
        <v>3599</v>
      </c>
      <c r="N1680" s="17">
        <v>14850</v>
      </c>
      <c r="O1680" s="17"/>
      <c r="P1680" s="17"/>
      <c r="Q1680" s="48"/>
      <c r="R1680" s="11" t="s">
        <v>6849</v>
      </c>
      <c r="S1680" s="48"/>
      <c r="T1680" s="85" t="s">
        <v>8073</v>
      </c>
      <c r="U1680" s="88"/>
      <c r="V1680" s="32"/>
      <c r="W1680" s="25" t="s">
        <v>10</v>
      </c>
      <c r="X1680" s="11"/>
      <c r="Y1680" s="50" t="s">
        <v>13</v>
      </c>
      <c r="Z1680" s="50"/>
      <c r="AA1680" s="50"/>
      <c r="AB1680" s="50"/>
      <c r="AC1680" s="50"/>
      <c r="AD1680" s="50"/>
      <c r="AE1680" s="50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65" t="s">
        <v>5194</v>
      </c>
      <c r="AP1680" s="69"/>
      <c r="AQ1680" s="62"/>
      <c r="AR1680" s="34"/>
    </row>
    <row r="1681" spans="1:44" customFormat="1">
      <c r="A1681" s="39">
        <v>45332</v>
      </c>
      <c r="B1681" s="11" t="s">
        <v>49</v>
      </c>
      <c r="C1681" s="16" t="s">
        <v>7182</v>
      </c>
      <c r="D1681" s="16" t="s">
        <v>7183</v>
      </c>
      <c r="E1681" s="38">
        <v>28422</v>
      </c>
      <c r="F1681" s="38"/>
      <c r="G1681" s="10" t="s">
        <v>7184</v>
      </c>
      <c r="H1681" s="22" t="s">
        <v>7185</v>
      </c>
      <c r="I1681" s="13">
        <v>65.400000000000006</v>
      </c>
      <c r="J1681" s="15" t="s">
        <v>7187</v>
      </c>
      <c r="K1681" s="46" t="s">
        <v>7186</v>
      </c>
      <c r="L1681" s="11" t="s">
        <v>36</v>
      </c>
      <c r="M1681" s="15" t="s">
        <v>3584</v>
      </c>
      <c r="N1681" s="17">
        <v>16500</v>
      </c>
      <c r="O1681" s="17"/>
      <c r="P1681" s="17"/>
      <c r="Q1681" s="48"/>
      <c r="R1681" s="11" t="s">
        <v>6847</v>
      </c>
      <c r="S1681" s="48"/>
      <c r="T1681" s="85" t="s">
        <v>8073</v>
      </c>
      <c r="U1681" s="88"/>
      <c r="V1681" s="32" t="s">
        <v>6642</v>
      </c>
      <c r="W1681" s="25" t="s">
        <v>48</v>
      </c>
      <c r="X1681" s="11"/>
      <c r="Y1681" s="50" t="s">
        <v>13</v>
      </c>
      <c r="Z1681" s="50"/>
      <c r="AA1681" s="50"/>
      <c r="AB1681" s="50"/>
      <c r="AC1681" s="50"/>
      <c r="AD1681" s="50"/>
      <c r="AE1681" s="50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65"/>
      <c r="AP1681" s="69"/>
      <c r="AQ1681" s="62"/>
      <c r="AR1681" s="34"/>
    </row>
    <row r="1682" spans="1:44" customFormat="1">
      <c r="A1682" s="39">
        <v>45332</v>
      </c>
      <c r="B1682" s="11" t="s">
        <v>49</v>
      </c>
      <c r="C1682" s="16" t="s">
        <v>7188</v>
      </c>
      <c r="D1682" s="16" t="s">
        <v>7189</v>
      </c>
      <c r="E1682" s="38">
        <v>27218</v>
      </c>
      <c r="F1682" s="38"/>
      <c r="G1682" s="10" t="s">
        <v>7190</v>
      </c>
      <c r="H1682" s="22" t="s">
        <v>7191</v>
      </c>
      <c r="I1682" s="13">
        <v>68.7</v>
      </c>
      <c r="J1682" s="15" t="s">
        <v>7192</v>
      </c>
      <c r="K1682" s="12"/>
      <c r="L1682" s="11" t="s">
        <v>36</v>
      </c>
      <c r="M1682" s="15" t="s">
        <v>3680</v>
      </c>
      <c r="N1682" s="17">
        <v>16500</v>
      </c>
      <c r="O1682" s="17"/>
      <c r="P1682" s="17"/>
      <c r="Q1682" s="48"/>
      <c r="R1682" s="11" t="s">
        <v>6848</v>
      </c>
      <c r="S1682" s="48"/>
      <c r="T1682" s="85" t="s">
        <v>8073</v>
      </c>
      <c r="U1682" s="88"/>
      <c r="V1682" s="32" t="s">
        <v>6642</v>
      </c>
      <c r="W1682" s="25" t="s">
        <v>48</v>
      </c>
      <c r="X1682" s="11"/>
      <c r="Y1682" s="50" t="s">
        <v>13</v>
      </c>
      <c r="Z1682" s="50"/>
      <c r="AA1682" s="50"/>
      <c r="AB1682" s="50"/>
      <c r="AC1682" s="50"/>
      <c r="AD1682" s="50"/>
      <c r="AE1682" s="50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65"/>
      <c r="AP1682" s="69"/>
      <c r="AQ1682" s="62"/>
      <c r="AR1682" s="34"/>
    </row>
    <row r="1683" spans="1:44" customFormat="1">
      <c r="A1683" s="39">
        <v>45333</v>
      </c>
      <c r="B1683" s="11" t="s">
        <v>22</v>
      </c>
      <c r="C1683" s="16" t="s">
        <v>7193</v>
      </c>
      <c r="D1683" s="16" t="s">
        <v>7194</v>
      </c>
      <c r="E1683" s="38">
        <v>26737</v>
      </c>
      <c r="F1683" s="38"/>
      <c r="G1683" s="10" t="s">
        <v>610</v>
      </c>
      <c r="H1683" s="22" t="s">
        <v>7195</v>
      </c>
      <c r="I1683" s="13">
        <v>6.8</v>
      </c>
      <c r="J1683" s="15" t="s">
        <v>7197</v>
      </c>
      <c r="K1683" s="46" t="s">
        <v>7196</v>
      </c>
      <c r="L1683" s="11" t="s">
        <v>33</v>
      </c>
      <c r="M1683" s="15" t="s">
        <v>3584</v>
      </c>
      <c r="N1683" s="17">
        <v>3300</v>
      </c>
      <c r="O1683" s="17"/>
      <c r="P1683" s="17"/>
      <c r="Q1683" s="48"/>
      <c r="R1683" s="11" t="s">
        <v>6847</v>
      </c>
      <c r="S1683" s="48"/>
      <c r="T1683" s="85" t="s">
        <v>8079</v>
      </c>
      <c r="U1683" s="88"/>
      <c r="V1683" s="32" t="s">
        <v>6642</v>
      </c>
      <c r="W1683" s="25" t="s">
        <v>4073</v>
      </c>
      <c r="X1683" s="11"/>
      <c r="Y1683" s="50"/>
      <c r="Z1683" s="50"/>
      <c r="AA1683" s="50"/>
      <c r="AB1683" s="50"/>
      <c r="AC1683" s="50"/>
      <c r="AD1683" s="50"/>
      <c r="AE1683" s="50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65"/>
      <c r="AP1683" s="69"/>
      <c r="AQ1683" s="62" t="s">
        <v>8079</v>
      </c>
      <c r="AR1683" s="34"/>
    </row>
    <row r="1684" spans="1:44" customFormat="1">
      <c r="A1684" s="39">
        <v>45334</v>
      </c>
      <c r="B1684" s="11" t="s">
        <v>22</v>
      </c>
      <c r="C1684" s="16" t="s">
        <v>7198</v>
      </c>
      <c r="D1684" s="16" t="s">
        <v>7199</v>
      </c>
      <c r="E1684" s="38">
        <v>41451</v>
      </c>
      <c r="F1684" s="38"/>
      <c r="G1684" s="10" t="s">
        <v>3291</v>
      </c>
      <c r="H1684" s="12" t="s">
        <v>7200</v>
      </c>
      <c r="I1684" s="13" t="s">
        <v>1745</v>
      </c>
      <c r="J1684" s="15" t="s">
        <v>7206</v>
      </c>
      <c r="K1684" s="12"/>
      <c r="L1684" s="11" t="s">
        <v>38</v>
      </c>
      <c r="M1684" s="15" t="s">
        <v>3599</v>
      </c>
      <c r="N1684" s="17">
        <v>3300</v>
      </c>
      <c r="O1684" s="17"/>
      <c r="P1684" s="17"/>
      <c r="Q1684" s="48"/>
      <c r="R1684" s="11" t="s">
        <v>6848</v>
      </c>
      <c r="S1684" s="48"/>
      <c r="T1684" s="85"/>
      <c r="U1684" s="88" t="s">
        <v>7275</v>
      </c>
      <c r="V1684" s="32" t="s">
        <v>6642</v>
      </c>
      <c r="W1684" s="25" t="s">
        <v>48</v>
      </c>
      <c r="X1684" s="11"/>
      <c r="Y1684" s="50"/>
      <c r="Z1684" s="50"/>
      <c r="AA1684" s="50"/>
      <c r="AB1684" s="50"/>
      <c r="AC1684" s="50"/>
      <c r="AD1684" s="50"/>
      <c r="AE1684" s="50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65" t="s">
        <v>5804</v>
      </c>
      <c r="AP1684" s="69" t="s">
        <v>7205</v>
      </c>
      <c r="AQ1684" s="62"/>
      <c r="AR1684" s="34" t="s">
        <v>7275</v>
      </c>
    </row>
    <row r="1685" spans="1:44" customFormat="1">
      <c r="A1685" s="39">
        <v>45334</v>
      </c>
      <c r="B1685" s="11" t="s">
        <v>22</v>
      </c>
      <c r="C1685" s="16" t="s">
        <v>7207</v>
      </c>
      <c r="D1685" s="16" t="s">
        <v>7208</v>
      </c>
      <c r="E1685" s="38">
        <v>24524</v>
      </c>
      <c r="F1685" s="38"/>
      <c r="G1685" s="10" t="s">
        <v>610</v>
      </c>
      <c r="H1685" s="22" t="s">
        <v>7209</v>
      </c>
      <c r="I1685" s="13">
        <v>7.2</v>
      </c>
      <c r="J1685" s="15" t="s">
        <v>7210</v>
      </c>
      <c r="K1685" s="12"/>
      <c r="L1685" s="11" t="s">
        <v>34</v>
      </c>
      <c r="M1685" s="15" t="s">
        <v>3599</v>
      </c>
      <c r="N1685" s="17">
        <v>3300</v>
      </c>
      <c r="O1685" s="17"/>
      <c r="P1685" s="17"/>
      <c r="Q1685" s="48"/>
      <c r="R1685" s="11" t="s">
        <v>6847</v>
      </c>
      <c r="S1685" s="48"/>
      <c r="T1685" s="85"/>
      <c r="U1685" s="88" t="s">
        <v>7275</v>
      </c>
      <c r="V1685" s="32" t="s">
        <v>6642</v>
      </c>
      <c r="W1685" s="25" t="s">
        <v>48</v>
      </c>
      <c r="X1685" s="11"/>
      <c r="Y1685" s="50"/>
      <c r="Z1685" s="50"/>
      <c r="AA1685" s="50"/>
      <c r="AB1685" s="50"/>
      <c r="AC1685" s="50"/>
      <c r="AD1685" s="50"/>
      <c r="AE1685" s="50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65" t="s">
        <v>5804</v>
      </c>
      <c r="AP1685" s="69"/>
      <c r="AQ1685" s="62" t="s">
        <v>8079</v>
      </c>
      <c r="AR1685" s="34"/>
    </row>
    <row r="1686" spans="1:44" customFormat="1">
      <c r="A1686" s="39">
        <v>45334</v>
      </c>
      <c r="B1686" s="11" t="s">
        <v>22</v>
      </c>
      <c r="C1686" s="16" t="s">
        <v>7201</v>
      </c>
      <c r="D1686" s="16" t="s">
        <v>7202</v>
      </c>
      <c r="E1686" s="38">
        <v>23464</v>
      </c>
      <c r="F1686" s="38"/>
      <c r="G1686" s="10" t="s">
        <v>2034</v>
      </c>
      <c r="H1686" s="12" t="s">
        <v>7203</v>
      </c>
      <c r="I1686" s="13" t="s">
        <v>1911</v>
      </c>
      <c r="J1686" s="15" t="s">
        <v>7204</v>
      </c>
      <c r="K1686" s="12"/>
      <c r="L1686" s="11" t="s">
        <v>36</v>
      </c>
      <c r="M1686" s="15" t="s">
        <v>3584</v>
      </c>
      <c r="N1686" s="17">
        <v>3300</v>
      </c>
      <c r="O1686" s="17"/>
      <c r="P1686" s="17"/>
      <c r="Q1686" s="48"/>
      <c r="R1686" s="11" t="s">
        <v>6847</v>
      </c>
      <c r="S1686" s="48"/>
      <c r="T1686" s="85" t="s">
        <v>8079</v>
      </c>
      <c r="U1686" s="88"/>
      <c r="V1686" s="32" t="s">
        <v>6642</v>
      </c>
      <c r="W1686" s="25" t="s">
        <v>48</v>
      </c>
      <c r="X1686" s="11"/>
      <c r="Y1686" s="50"/>
      <c r="Z1686" s="50"/>
      <c r="AA1686" s="50"/>
      <c r="AB1686" s="50"/>
      <c r="AC1686" s="50"/>
      <c r="AD1686" s="50"/>
      <c r="AE1686" s="50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65" t="s">
        <v>5804</v>
      </c>
      <c r="AP1686" s="69"/>
      <c r="AQ1686" s="62"/>
      <c r="AR1686" s="34" t="s">
        <v>7275</v>
      </c>
    </row>
    <row r="1687" spans="1:44" customFormat="1">
      <c r="A1687" s="39">
        <v>45337</v>
      </c>
      <c r="B1687" s="11" t="s">
        <v>22</v>
      </c>
      <c r="C1687" s="16" t="s">
        <v>7211</v>
      </c>
      <c r="D1687" s="16" t="s">
        <v>7212</v>
      </c>
      <c r="E1687" s="38">
        <v>31830</v>
      </c>
      <c r="F1687" s="38"/>
      <c r="G1687" s="10" t="s">
        <v>650</v>
      </c>
      <c r="H1687" s="12" t="s">
        <v>7213</v>
      </c>
      <c r="I1687" s="13">
        <v>1.7</v>
      </c>
      <c r="J1687" s="15" t="s">
        <v>7214</v>
      </c>
      <c r="K1687" s="12"/>
      <c r="L1687" s="11" t="s">
        <v>36</v>
      </c>
      <c r="M1687" s="15" t="s">
        <v>3629</v>
      </c>
      <c r="N1687" s="17">
        <v>3300</v>
      </c>
      <c r="O1687" s="17"/>
      <c r="P1687" s="17"/>
      <c r="Q1687" s="48"/>
      <c r="R1687" s="11" t="s">
        <v>6847</v>
      </c>
      <c r="S1687" s="48"/>
      <c r="T1687" s="85" t="s">
        <v>8079</v>
      </c>
      <c r="U1687" s="88"/>
      <c r="V1687" s="32" t="s">
        <v>6642</v>
      </c>
      <c r="W1687" s="25" t="s">
        <v>48</v>
      </c>
      <c r="X1687" s="11"/>
      <c r="Y1687" s="50" t="s">
        <v>12</v>
      </c>
      <c r="Z1687" s="50"/>
      <c r="AA1687" s="50"/>
      <c r="AB1687" s="50"/>
      <c r="AC1687" s="50"/>
      <c r="AD1687" s="50"/>
      <c r="AE1687" s="50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65" t="s">
        <v>5804</v>
      </c>
      <c r="AP1687" s="69"/>
      <c r="AQ1687" s="62" t="s">
        <v>8079</v>
      </c>
      <c r="AR1687" s="34"/>
    </row>
    <row r="1688" spans="1:44" customFormat="1">
      <c r="A1688" s="39">
        <v>45339</v>
      </c>
      <c r="B1688" s="11" t="s">
        <v>49</v>
      </c>
      <c r="C1688" s="16" t="s">
        <v>7216</v>
      </c>
      <c r="D1688" s="16" t="s">
        <v>7220</v>
      </c>
      <c r="E1688" s="38">
        <v>34155</v>
      </c>
      <c r="F1688" s="38"/>
      <c r="G1688" s="10" t="s">
        <v>1154</v>
      </c>
      <c r="H1688" s="22" t="s">
        <v>7217</v>
      </c>
      <c r="I1688" s="13">
        <v>11.2</v>
      </c>
      <c r="J1688" s="15" t="s">
        <v>7219</v>
      </c>
      <c r="K1688" s="46" t="s">
        <v>7218</v>
      </c>
      <c r="L1688" s="11" t="s">
        <v>39</v>
      </c>
      <c r="M1688" s="15" t="s">
        <v>3584</v>
      </c>
      <c r="N1688" s="17">
        <v>16500</v>
      </c>
      <c r="O1688" s="17"/>
      <c r="P1688" s="17"/>
      <c r="Q1688" s="48"/>
      <c r="R1688" s="11" t="s">
        <v>6847</v>
      </c>
      <c r="S1688" s="48"/>
      <c r="T1688" s="85"/>
      <c r="U1688" s="88"/>
      <c r="V1688" s="32" t="s">
        <v>6642</v>
      </c>
      <c r="W1688" s="25" t="s">
        <v>8</v>
      </c>
      <c r="X1688" s="11"/>
      <c r="Y1688" s="50" t="s">
        <v>13</v>
      </c>
      <c r="Z1688" s="50"/>
      <c r="AA1688" s="50"/>
      <c r="AB1688" s="50"/>
      <c r="AC1688" s="50"/>
      <c r="AD1688" s="50"/>
      <c r="AE1688" s="50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65"/>
      <c r="AP1688" s="69"/>
      <c r="AQ1688" s="62"/>
      <c r="AR1688" s="34"/>
    </row>
    <row r="1689" spans="1:44" customFormat="1">
      <c r="A1689" s="39">
        <v>45339</v>
      </c>
      <c r="B1689" s="11" t="s">
        <v>49</v>
      </c>
      <c r="C1689" s="16" t="s">
        <v>7221</v>
      </c>
      <c r="D1689" s="16" t="s">
        <v>7222</v>
      </c>
      <c r="E1689" s="38">
        <v>37220</v>
      </c>
      <c r="F1689" s="38"/>
      <c r="G1689" s="10" t="s">
        <v>7223</v>
      </c>
      <c r="H1689" s="22" t="s">
        <v>7224</v>
      </c>
      <c r="I1689" s="13">
        <v>19.100000000000001</v>
      </c>
      <c r="J1689" s="15" t="s">
        <v>7225</v>
      </c>
      <c r="K1689" s="12"/>
      <c r="L1689" s="11" t="s">
        <v>38</v>
      </c>
      <c r="M1689" s="15" t="s">
        <v>3629</v>
      </c>
      <c r="N1689" s="17">
        <v>16500</v>
      </c>
      <c r="O1689" s="17"/>
      <c r="P1689" s="17"/>
      <c r="Q1689" s="48"/>
      <c r="R1689" s="11" t="s">
        <v>6848</v>
      </c>
      <c r="S1689" s="48"/>
      <c r="T1689" s="85"/>
      <c r="U1689" s="88"/>
      <c r="V1689" s="32" t="s">
        <v>6642</v>
      </c>
      <c r="W1689" s="25" t="s">
        <v>8</v>
      </c>
      <c r="X1689" s="11"/>
      <c r="Y1689" s="50" t="s">
        <v>13</v>
      </c>
      <c r="Z1689" s="50"/>
      <c r="AA1689" s="50"/>
      <c r="AB1689" s="50"/>
      <c r="AC1689" s="50"/>
      <c r="AD1689" s="50"/>
      <c r="AE1689" s="50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65"/>
      <c r="AP1689" s="69"/>
      <c r="AQ1689" s="62"/>
      <c r="AR1689" s="34"/>
    </row>
    <row r="1690" spans="1:44" customFormat="1">
      <c r="A1690" s="39">
        <v>45340</v>
      </c>
      <c r="B1690" s="11" t="s">
        <v>22</v>
      </c>
      <c r="C1690" s="16" t="s">
        <v>7226</v>
      </c>
      <c r="D1690" s="16" t="s">
        <v>7227</v>
      </c>
      <c r="E1690" s="38">
        <v>33959</v>
      </c>
      <c r="F1690" s="38"/>
      <c r="G1690" s="10" t="s">
        <v>448</v>
      </c>
      <c r="H1690" s="22" t="s">
        <v>7228</v>
      </c>
      <c r="I1690" s="13">
        <v>2.8</v>
      </c>
      <c r="J1690" s="15" t="s">
        <v>7230</v>
      </c>
      <c r="K1690" s="46" t="s">
        <v>7229</v>
      </c>
      <c r="L1690" s="11" t="s">
        <v>36</v>
      </c>
      <c r="M1690" s="15" t="s">
        <v>3584</v>
      </c>
      <c r="N1690" s="17">
        <v>3300</v>
      </c>
      <c r="O1690" s="17"/>
      <c r="P1690" s="17"/>
      <c r="Q1690" s="48"/>
      <c r="R1690" s="11" t="s">
        <v>6847</v>
      </c>
      <c r="S1690" s="48"/>
      <c r="T1690" s="85" t="s">
        <v>8079</v>
      </c>
      <c r="U1690" s="88"/>
      <c r="V1690" s="32" t="s">
        <v>6642</v>
      </c>
      <c r="W1690" s="25" t="s">
        <v>48</v>
      </c>
      <c r="X1690" s="11"/>
      <c r="Y1690" s="50"/>
      <c r="Z1690" s="50"/>
      <c r="AA1690" s="50"/>
      <c r="AB1690" s="50"/>
      <c r="AC1690" s="50"/>
      <c r="AD1690" s="50"/>
      <c r="AE1690" s="50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65" t="s">
        <v>5804</v>
      </c>
      <c r="AP1690" s="69"/>
      <c r="AQ1690" s="62" t="s">
        <v>8079</v>
      </c>
      <c r="AR1690" s="34"/>
    </row>
    <row r="1691" spans="1:44" customFormat="1">
      <c r="A1691" s="39">
        <v>45343</v>
      </c>
      <c r="B1691" s="11" t="s">
        <v>2170</v>
      </c>
      <c r="C1691" s="16" t="s">
        <v>4084</v>
      </c>
      <c r="D1691" s="16"/>
      <c r="E1691" s="38">
        <v>30371</v>
      </c>
      <c r="F1691" s="38"/>
      <c r="G1691" s="10" t="s">
        <v>4085</v>
      </c>
      <c r="H1691" s="12" t="s">
        <v>4254</v>
      </c>
      <c r="I1691" s="13" t="s">
        <v>2444</v>
      </c>
      <c r="J1691" s="15" t="s">
        <v>4087</v>
      </c>
      <c r="K1691" s="14" t="s">
        <v>4086</v>
      </c>
      <c r="L1691" s="11" t="s">
        <v>33</v>
      </c>
      <c r="M1691" s="15" t="s">
        <v>3584</v>
      </c>
      <c r="N1691" s="17">
        <v>8250</v>
      </c>
      <c r="O1691" s="17"/>
      <c r="P1691" s="17"/>
      <c r="Q1691" s="48"/>
      <c r="R1691" s="11"/>
      <c r="S1691" s="48"/>
      <c r="T1691" s="85"/>
      <c r="U1691" s="88"/>
      <c r="V1691" s="32" t="s">
        <v>6642</v>
      </c>
      <c r="W1691" s="25" t="s">
        <v>48</v>
      </c>
      <c r="X1691" s="11"/>
      <c r="Y1691" s="50" t="s">
        <v>12</v>
      </c>
      <c r="Z1691" s="50"/>
      <c r="AA1691" s="50"/>
      <c r="AB1691" s="50"/>
      <c r="AC1691" s="50"/>
      <c r="AD1691" s="50"/>
      <c r="AE1691" s="50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65" t="s">
        <v>2389</v>
      </c>
      <c r="AP1691" s="69"/>
      <c r="AQ1691" s="62"/>
      <c r="AR1691" s="34"/>
    </row>
    <row r="1692" spans="1:44" customFormat="1">
      <c r="A1692" s="39">
        <v>45343</v>
      </c>
      <c r="B1692" s="11" t="s">
        <v>22</v>
      </c>
      <c r="C1692" s="16" t="s">
        <v>7231</v>
      </c>
      <c r="D1692" s="16" t="s">
        <v>7232</v>
      </c>
      <c r="E1692" s="38">
        <v>14012</v>
      </c>
      <c r="F1692" s="38"/>
      <c r="G1692" s="10" t="s">
        <v>2740</v>
      </c>
      <c r="H1692" s="12" t="s">
        <v>7233</v>
      </c>
      <c r="I1692" s="13" t="s">
        <v>2209</v>
      </c>
      <c r="J1692" s="15" t="s">
        <v>7234</v>
      </c>
      <c r="K1692" s="12"/>
      <c r="L1692" s="11" t="s">
        <v>39</v>
      </c>
      <c r="M1692" s="15" t="s">
        <v>3599</v>
      </c>
      <c r="N1692" s="17">
        <v>3300</v>
      </c>
      <c r="O1692" s="17"/>
      <c r="P1692" s="17"/>
      <c r="Q1692" s="48"/>
      <c r="R1692" s="11" t="s">
        <v>6848</v>
      </c>
      <c r="S1692" s="48"/>
      <c r="T1692" s="85" t="s">
        <v>8079</v>
      </c>
      <c r="U1692" s="88"/>
      <c r="V1692" s="32" t="s">
        <v>6642</v>
      </c>
      <c r="W1692" s="25" t="s">
        <v>4073</v>
      </c>
      <c r="X1692" s="11"/>
      <c r="Y1692" s="50"/>
      <c r="Z1692" s="50"/>
      <c r="AA1692" s="50"/>
      <c r="AB1692" s="50"/>
      <c r="AC1692" s="50"/>
      <c r="AD1692" s="50"/>
      <c r="AE1692" s="50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65" t="s">
        <v>5804</v>
      </c>
      <c r="AP1692" s="69"/>
      <c r="AQ1692" s="62" t="s">
        <v>8079</v>
      </c>
      <c r="AR1692" s="34"/>
    </row>
    <row r="1693" spans="1:44" customFormat="1">
      <c r="A1693" s="39">
        <v>45344</v>
      </c>
      <c r="B1693" s="11" t="s">
        <v>49</v>
      </c>
      <c r="C1693" s="16" t="s">
        <v>7235</v>
      </c>
      <c r="D1693" s="16" t="s">
        <v>7236</v>
      </c>
      <c r="E1693" s="38">
        <v>17578</v>
      </c>
      <c r="F1693" s="38"/>
      <c r="G1693" s="10" t="s">
        <v>69</v>
      </c>
      <c r="H1693" s="22" t="s">
        <v>7237</v>
      </c>
      <c r="I1693" s="13">
        <v>5.8</v>
      </c>
      <c r="J1693" s="15" t="s">
        <v>7239</v>
      </c>
      <c r="K1693" s="46" t="s">
        <v>7238</v>
      </c>
      <c r="L1693" s="11" t="s">
        <v>33</v>
      </c>
      <c r="M1693" s="15" t="s">
        <v>3584</v>
      </c>
      <c r="N1693" s="17">
        <v>8250</v>
      </c>
      <c r="O1693" s="17"/>
      <c r="P1693" s="17"/>
      <c r="Q1693" s="48"/>
      <c r="R1693" s="11" t="s">
        <v>6847</v>
      </c>
      <c r="S1693" s="48"/>
      <c r="T1693" s="85" t="s">
        <v>8073</v>
      </c>
      <c r="U1693" s="88"/>
      <c r="V1693" s="32" t="s">
        <v>6642</v>
      </c>
      <c r="W1693" s="25" t="s">
        <v>39</v>
      </c>
      <c r="X1693" s="11"/>
      <c r="Y1693" s="50" t="s">
        <v>14</v>
      </c>
      <c r="Z1693" s="50"/>
      <c r="AA1693" s="50"/>
      <c r="AB1693" s="50"/>
      <c r="AC1693" s="50"/>
      <c r="AD1693" s="50"/>
      <c r="AE1693" s="50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65" t="s">
        <v>2191</v>
      </c>
      <c r="AP1693" s="69"/>
      <c r="AQ1693" s="62"/>
      <c r="AR1693" s="34"/>
    </row>
    <row r="1694" spans="1:44" customFormat="1">
      <c r="A1694" s="39">
        <v>45345</v>
      </c>
      <c r="B1694" s="11" t="s">
        <v>49</v>
      </c>
      <c r="C1694" s="16" t="s">
        <v>4485</v>
      </c>
      <c r="D1694" s="16" t="s">
        <v>7249</v>
      </c>
      <c r="E1694" s="38">
        <v>22546</v>
      </c>
      <c r="F1694" s="38"/>
      <c r="G1694" s="10" t="s">
        <v>7246</v>
      </c>
      <c r="H1694" s="12" t="s">
        <v>4488</v>
      </c>
      <c r="I1694" s="13" t="s">
        <v>7247</v>
      </c>
      <c r="J1694" s="15" t="s">
        <v>4491</v>
      </c>
      <c r="K1694" s="12" t="s">
        <v>7248</v>
      </c>
      <c r="L1694" s="11" t="s">
        <v>33</v>
      </c>
      <c r="M1694" s="15" t="s">
        <v>3584</v>
      </c>
      <c r="N1694" s="17">
        <v>11000</v>
      </c>
      <c r="O1694" s="17"/>
      <c r="P1694" s="17"/>
      <c r="Q1694" s="48"/>
      <c r="R1694" s="11" t="s">
        <v>6849</v>
      </c>
      <c r="S1694" s="48"/>
      <c r="T1694" s="85" t="s">
        <v>8073</v>
      </c>
      <c r="U1694" s="88"/>
      <c r="V1694" s="32" t="s">
        <v>6642</v>
      </c>
      <c r="W1694" s="25" t="s">
        <v>8</v>
      </c>
      <c r="X1694" s="11"/>
      <c r="Y1694" s="50" t="s">
        <v>16</v>
      </c>
      <c r="Z1694" s="50"/>
      <c r="AA1694" s="50"/>
      <c r="AB1694" s="50"/>
      <c r="AC1694" s="50"/>
      <c r="AD1694" s="50"/>
      <c r="AE1694" s="50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65" t="s">
        <v>5804</v>
      </c>
      <c r="AP1694" s="69"/>
      <c r="AQ1694" s="62" t="s">
        <v>8079</v>
      </c>
      <c r="AR1694" s="34"/>
    </row>
    <row r="1695" spans="1:44" customFormat="1">
      <c r="A1695" s="39">
        <v>45345</v>
      </c>
      <c r="B1695" s="11" t="s">
        <v>49</v>
      </c>
      <c r="C1695" s="16" t="s">
        <v>4486</v>
      </c>
      <c r="D1695" s="16" t="s">
        <v>7272</v>
      </c>
      <c r="E1695" s="38">
        <v>25139</v>
      </c>
      <c r="F1695" s="38"/>
      <c r="G1695" s="10" t="s">
        <v>7246</v>
      </c>
      <c r="H1695" s="12" t="s">
        <v>4488</v>
      </c>
      <c r="I1695" s="13" t="s">
        <v>7247</v>
      </c>
      <c r="J1695" s="15" t="s">
        <v>7273</v>
      </c>
      <c r="K1695" s="12"/>
      <c r="L1695" s="11"/>
      <c r="M1695" s="15"/>
      <c r="N1695" s="17">
        <v>11000</v>
      </c>
      <c r="O1695" s="17"/>
      <c r="P1695" s="17"/>
      <c r="Q1695" s="48"/>
      <c r="R1695" s="11"/>
      <c r="S1695" s="48"/>
      <c r="T1695" s="85" t="s">
        <v>8073</v>
      </c>
      <c r="U1695" s="88"/>
      <c r="V1695" s="32"/>
      <c r="W1695" s="25"/>
      <c r="X1695" s="11"/>
      <c r="Y1695" s="50"/>
      <c r="Z1695" s="50"/>
      <c r="AA1695" s="50"/>
      <c r="AB1695" s="50"/>
      <c r="AC1695" s="50"/>
      <c r="AD1695" s="50"/>
      <c r="AE1695" s="50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65" t="s">
        <v>7250</v>
      </c>
      <c r="AP1695" s="69"/>
      <c r="AQ1695" s="62"/>
      <c r="AR1695" s="34"/>
    </row>
    <row r="1696" spans="1:44" customFormat="1">
      <c r="A1696" s="39">
        <v>45345</v>
      </c>
      <c r="B1696" s="11" t="s">
        <v>22</v>
      </c>
      <c r="C1696" s="16" t="s">
        <v>7240</v>
      </c>
      <c r="D1696" s="16" t="s">
        <v>7241</v>
      </c>
      <c r="E1696" s="38">
        <v>26542</v>
      </c>
      <c r="F1696" s="38"/>
      <c r="G1696" s="10" t="s">
        <v>7242</v>
      </c>
      <c r="H1696" s="22" t="s">
        <v>7243</v>
      </c>
      <c r="I1696" s="13">
        <v>11.2</v>
      </c>
      <c r="J1696" s="15" t="s">
        <v>7245</v>
      </c>
      <c r="K1696" s="46" t="s">
        <v>7244</v>
      </c>
      <c r="L1696" s="11" t="s">
        <v>34</v>
      </c>
      <c r="M1696" s="15" t="s">
        <v>3584</v>
      </c>
      <c r="N1696" s="17">
        <v>3300</v>
      </c>
      <c r="O1696" s="17"/>
      <c r="P1696" s="17"/>
      <c r="Q1696" s="48"/>
      <c r="R1696" s="11" t="s">
        <v>6943</v>
      </c>
      <c r="S1696" s="48"/>
      <c r="T1696" s="85" t="s">
        <v>8079</v>
      </c>
      <c r="U1696" s="88"/>
      <c r="V1696" s="32" t="s">
        <v>6642</v>
      </c>
      <c r="W1696" s="25" t="s">
        <v>48</v>
      </c>
      <c r="X1696" s="11"/>
      <c r="Y1696" s="50"/>
      <c r="Z1696" s="50"/>
      <c r="AA1696" s="50"/>
      <c r="AB1696" s="50"/>
      <c r="AC1696" s="50"/>
      <c r="AD1696" s="50"/>
      <c r="AE1696" s="50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65" t="s">
        <v>7250</v>
      </c>
      <c r="AP1696" s="69"/>
      <c r="AQ1696" s="62"/>
      <c r="AR1696" s="34"/>
    </row>
    <row r="1697" spans="1:44" customFormat="1">
      <c r="A1697" s="39">
        <v>45346</v>
      </c>
      <c r="B1697" s="11" t="s">
        <v>49</v>
      </c>
      <c r="C1697" s="16" t="s">
        <v>6913</v>
      </c>
      <c r="D1697" s="16" t="s">
        <v>7040</v>
      </c>
      <c r="E1697" s="38"/>
      <c r="F1697" s="38"/>
      <c r="G1697" s="10"/>
      <c r="H1697" s="12"/>
      <c r="I1697" s="13"/>
      <c r="J1697" s="15"/>
      <c r="K1697" s="12"/>
      <c r="L1697" s="11"/>
      <c r="M1697" s="15"/>
      <c r="N1697" s="17">
        <v>11000</v>
      </c>
      <c r="O1697" s="17"/>
      <c r="P1697" s="17"/>
      <c r="Q1697" s="48"/>
      <c r="R1697" s="11"/>
      <c r="S1697" s="48"/>
      <c r="T1697" s="85" t="s">
        <v>8073</v>
      </c>
      <c r="U1697" s="88"/>
      <c r="V1697" s="32"/>
      <c r="W1697" s="25"/>
      <c r="X1697" s="11"/>
      <c r="Y1697" s="50"/>
      <c r="Z1697" s="50"/>
      <c r="AA1697" s="50"/>
      <c r="AB1697" s="50"/>
      <c r="AC1697" s="50"/>
      <c r="AD1697" s="50"/>
      <c r="AE1697" s="50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65"/>
      <c r="AP1697" s="69"/>
      <c r="AQ1697" s="62"/>
      <c r="AR1697" s="34"/>
    </row>
    <row r="1698" spans="1:44" customFormat="1">
      <c r="A1698" s="39">
        <v>45346</v>
      </c>
      <c r="B1698" s="11" t="s">
        <v>22</v>
      </c>
      <c r="C1698" s="16" t="s">
        <v>7251</v>
      </c>
      <c r="D1698" s="16" t="s">
        <v>7252</v>
      </c>
      <c r="E1698" s="38">
        <v>32800</v>
      </c>
      <c r="F1698" s="38"/>
      <c r="G1698" s="10" t="s">
        <v>7253</v>
      </c>
      <c r="H1698" s="22" t="s">
        <v>7254</v>
      </c>
      <c r="I1698" s="13">
        <v>7.1</v>
      </c>
      <c r="J1698" s="15" t="s">
        <v>7255</v>
      </c>
      <c r="K1698" s="12"/>
      <c r="L1698" s="11" t="s">
        <v>36</v>
      </c>
      <c r="M1698" s="15" t="s">
        <v>3629</v>
      </c>
      <c r="N1698" s="17">
        <v>3300</v>
      </c>
      <c r="O1698" s="17"/>
      <c r="P1698" s="17"/>
      <c r="Q1698" s="48"/>
      <c r="R1698" s="11" t="s">
        <v>6849</v>
      </c>
      <c r="S1698" s="48"/>
      <c r="T1698" s="85"/>
      <c r="U1698" s="88" t="s">
        <v>7275</v>
      </c>
      <c r="V1698" s="32" t="s">
        <v>6642</v>
      </c>
      <c r="W1698" s="25" t="s">
        <v>48</v>
      </c>
      <c r="X1698" s="11"/>
      <c r="Y1698" s="50"/>
      <c r="Z1698" s="50"/>
      <c r="AA1698" s="50"/>
      <c r="AB1698" s="50"/>
      <c r="AC1698" s="50"/>
      <c r="AD1698" s="50"/>
      <c r="AE1698" s="50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65" t="s">
        <v>5804</v>
      </c>
      <c r="AP1698" s="69"/>
      <c r="AQ1698" s="62"/>
      <c r="AR1698" s="34" t="s">
        <v>7275</v>
      </c>
    </row>
    <row r="1699" spans="1:44" customFormat="1">
      <c r="A1699" s="39">
        <v>45346</v>
      </c>
      <c r="B1699" s="11" t="s">
        <v>22</v>
      </c>
      <c r="C1699" s="16" t="s">
        <v>7256</v>
      </c>
      <c r="D1699" s="16" t="s">
        <v>7257</v>
      </c>
      <c r="E1699" s="38">
        <v>35440</v>
      </c>
      <c r="F1699" s="38"/>
      <c r="G1699" s="10" t="s">
        <v>78</v>
      </c>
      <c r="H1699" s="35" t="s">
        <v>7258</v>
      </c>
      <c r="I1699" s="12" t="s">
        <v>7259</v>
      </c>
      <c r="J1699" s="15" t="s">
        <v>7261</v>
      </c>
      <c r="K1699" s="46" t="s">
        <v>7260</v>
      </c>
      <c r="L1699" s="11" t="s">
        <v>36</v>
      </c>
      <c r="M1699" s="15" t="s">
        <v>3629</v>
      </c>
      <c r="N1699" s="17">
        <v>3300</v>
      </c>
      <c r="O1699" s="17"/>
      <c r="P1699" s="17"/>
      <c r="Q1699" s="48"/>
      <c r="R1699" s="11" t="s">
        <v>6847</v>
      </c>
      <c r="S1699" s="48"/>
      <c r="T1699" s="85" t="s">
        <v>8079</v>
      </c>
      <c r="U1699" s="88"/>
      <c r="V1699" s="32" t="s">
        <v>6642</v>
      </c>
      <c r="W1699" s="25" t="s">
        <v>39</v>
      </c>
      <c r="X1699" s="11"/>
      <c r="Y1699" s="50"/>
      <c r="Z1699" s="50"/>
      <c r="AA1699" s="50"/>
      <c r="AB1699" s="50"/>
      <c r="AC1699" s="50"/>
      <c r="AD1699" s="50"/>
      <c r="AE1699" s="50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65" t="s">
        <v>5804</v>
      </c>
      <c r="AP1699" s="69"/>
      <c r="AQ1699" s="62" t="s">
        <v>8079</v>
      </c>
      <c r="AR1699" s="34"/>
    </row>
    <row r="1700" spans="1:44" customFormat="1">
      <c r="A1700" s="39">
        <v>45350</v>
      </c>
      <c r="B1700" s="11" t="s">
        <v>22</v>
      </c>
      <c r="C1700" s="16" t="s">
        <v>7262</v>
      </c>
      <c r="D1700" s="16" t="s">
        <v>7263</v>
      </c>
      <c r="E1700" s="38">
        <v>16228</v>
      </c>
      <c r="F1700" s="38"/>
      <c r="G1700" s="10" t="s">
        <v>551</v>
      </c>
      <c r="H1700" s="12" t="s">
        <v>7264</v>
      </c>
      <c r="I1700" s="13" t="s">
        <v>4951</v>
      </c>
      <c r="J1700" s="15" t="s">
        <v>7265</v>
      </c>
      <c r="K1700" s="12"/>
      <c r="L1700" s="11" t="s">
        <v>39</v>
      </c>
      <c r="M1700" s="15" t="s">
        <v>3599</v>
      </c>
      <c r="N1700" s="17">
        <v>3300</v>
      </c>
      <c r="O1700" s="17"/>
      <c r="P1700" s="17"/>
      <c r="Q1700" s="48"/>
      <c r="R1700" s="11" t="s">
        <v>6847</v>
      </c>
      <c r="S1700" s="48"/>
      <c r="T1700" s="85"/>
      <c r="U1700" s="88" t="s">
        <v>7275</v>
      </c>
      <c r="V1700" s="32" t="s">
        <v>6642</v>
      </c>
      <c r="W1700" s="25" t="s">
        <v>8</v>
      </c>
      <c r="X1700" s="11"/>
      <c r="Y1700" s="50" t="s">
        <v>12</v>
      </c>
      <c r="Z1700" s="50"/>
      <c r="AA1700" s="50"/>
      <c r="AB1700" s="50"/>
      <c r="AC1700" s="50"/>
      <c r="AD1700" s="50"/>
      <c r="AE1700" s="50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65"/>
      <c r="AP1700" s="69"/>
      <c r="AQ1700" s="62"/>
      <c r="AR1700" s="34" t="s">
        <v>7275</v>
      </c>
    </row>
    <row r="1701" spans="1:44" customFormat="1">
      <c r="A1701" s="39">
        <v>45350</v>
      </c>
      <c r="B1701" s="11" t="s">
        <v>49</v>
      </c>
      <c r="C1701" s="16" t="s">
        <v>7266</v>
      </c>
      <c r="D1701" s="16" t="s">
        <v>7267</v>
      </c>
      <c r="E1701" s="38">
        <v>29901</v>
      </c>
      <c r="F1701" s="38"/>
      <c r="G1701" s="10" t="s">
        <v>7268</v>
      </c>
      <c r="H1701" s="22" t="s">
        <v>7269</v>
      </c>
      <c r="I1701" s="13">
        <v>21.3</v>
      </c>
      <c r="J1701" s="15" t="s">
        <v>7270</v>
      </c>
      <c r="K1701" s="12"/>
      <c r="L1701" s="11" t="s">
        <v>36</v>
      </c>
      <c r="M1701" s="15" t="s">
        <v>3599</v>
      </c>
      <c r="N1701" s="17">
        <v>11000</v>
      </c>
      <c r="O1701" s="17"/>
      <c r="P1701" s="17"/>
      <c r="Q1701" s="48"/>
      <c r="R1701" s="11" t="s">
        <v>6847</v>
      </c>
      <c r="S1701" s="48"/>
      <c r="T1701" s="85" t="s">
        <v>8073</v>
      </c>
      <c r="U1701" s="88"/>
      <c r="V1701" s="32" t="s">
        <v>6642</v>
      </c>
      <c r="W1701" s="25" t="s">
        <v>8</v>
      </c>
      <c r="X1701" s="11"/>
      <c r="Y1701" s="50" t="s">
        <v>13</v>
      </c>
      <c r="Z1701" s="50"/>
      <c r="AA1701" s="50"/>
      <c r="AB1701" s="50"/>
      <c r="AC1701" s="50"/>
      <c r="AD1701" s="50"/>
      <c r="AE1701" s="50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65" t="s">
        <v>7271</v>
      </c>
      <c r="AP1701" s="69"/>
      <c r="AQ1701" s="62"/>
      <c r="AR1701" s="34"/>
    </row>
    <row r="1702" spans="1:44" customFormat="1">
      <c r="A1702" s="39">
        <v>45354</v>
      </c>
      <c r="B1702" s="11" t="s">
        <v>49</v>
      </c>
      <c r="C1702" s="16" t="s">
        <v>7276</v>
      </c>
      <c r="D1702" s="16" t="s">
        <v>7277</v>
      </c>
      <c r="E1702" s="38">
        <v>35904</v>
      </c>
      <c r="F1702" s="38"/>
      <c r="G1702" s="10" t="s">
        <v>7278</v>
      </c>
      <c r="H1702" s="22" t="s">
        <v>7279</v>
      </c>
      <c r="I1702" s="13">
        <v>22.1</v>
      </c>
      <c r="J1702" s="15" t="s">
        <v>7281</v>
      </c>
      <c r="K1702" s="46" t="s">
        <v>7280</v>
      </c>
      <c r="L1702" s="11" t="s">
        <v>36</v>
      </c>
      <c r="M1702" s="15" t="s">
        <v>3584</v>
      </c>
      <c r="N1702" s="17">
        <v>0</v>
      </c>
      <c r="O1702" s="17"/>
      <c r="P1702" s="17"/>
      <c r="Q1702" s="48"/>
      <c r="R1702" s="11" t="s">
        <v>6847</v>
      </c>
      <c r="S1702" s="48"/>
      <c r="T1702" s="85" t="s">
        <v>8073</v>
      </c>
      <c r="U1702" s="88"/>
      <c r="V1702" s="32"/>
      <c r="W1702" s="25" t="s">
        <v>8</v>
      </c>
      <c r="X1702" s="11"/>
      <c r="Y1702" s="50"/>
      <c r="Z1702" s="50"/>
      <c r="AA1702" s="50"/>
      <c r="AB1702" s="50"/>
      <c r="AC1702" s="50"/>
      <c r="AD1702" s="50"/>
      <c r="AE1702" s="50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65" t="s">
        <v>7282</v>
      </c>
      <c r="AP1702" s="69"/>
      <c r="AQ1702" s="62"/>
      <c r="AR1702" s="34"/>
    </row>
    <row r="1703" spans="1:44" customFormat="1">
      <c r="A1703" s="39">
        <v>45354</v>
      </c>
      <c r="B1703" s="11" t="s">
        <v>49</v>
      </c>
      <c r="C1703" s="16" t="s">
        <v>7283</v>
      </c>
      <c r="D1703" s="16" t="s">
        <v>7284</v>
      </c>
      <c r="E1703" s="38">
        <v>24873</v>
      </c>
      <c r="F1703" s="38"/>
      <c r="G1703" s="10" t="s">
        <v>1725</v>
      </c>
      <c r="H1703" s="22" t="s">
        <v>7285</v>
      </c>
      <c r="I1703" s="13">
        <v>28.4</v>
      </c>
      <c r="J1703" s="15" t="s">
        <v>1727</v>
      </c>
      <c r="K1703" s="46" t="s">
        <v>7286</v>
      </c>
      <c r="L1703" s="11" t="s">
        <v>33</v>
      </c>
      <c r="M1703" s="15" t="s">
        <v>3599</v>
      </c>
      <c r="N1703" s="17">
        <v>0</v>
      </c>
      <c r="O1703" s="17"/>
      <c r="P1703" s="17"/>
      <c r="Q1703" s="48"/>
      <c r="R1703" s="11" t="s">
        <v>6847</v>
      </c>
      <c r="S1703" s="48"/>
      <c r="T1703" s="85" t="s">
        <v>8073</v>
      </c>
      <c r="U1703" s="88"/>
      <c r="V1703" s="32"/>
      <c r="W1703" s="25" t="s">
        <v>8</v>
      </c>
      <c r="X1703" s="11"/>
      <c r="Y1703" s="50" t="s">
        <v>20</v>
      </c>
      <c r="Z1703" s="50"/>
      <c r="AA1703" s="50"/>
      <c r="AB1703" s="50"/>
      <c r="AC1703" s="50"/>
      <c r="AD1703" s="50"/>
      <c r="AE1703" s="50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65" t="s">
        <v>7282</v>
      </c>
      <c r="AP1703" s="69"/>
      <c r="AQ1703" s="62"/>
      <c r="AR1703" s="34"/>
    </row>
    <row r="1704" spans="1:44" customFormat="1">
      <c r="A1704" s="39">
        <v>45354</v>
      </c>
      <c r="B1704" s="11" t="s">
        <v>49</v>
      </c>
      <c r="C1704" s="16" t="s">
        <v>7287</v>
      </c>
      <c r="D1704" s="16" t="s">
        <v>7288</v>
      </c>
      <c r="E1704" s="38">
        <v>37003</v>
      </c>
      <c r="F1704" s="38"/>
      <c r="G1704" s="10" t="s">
        <v>5120</v>
      </c>
      <c r="H1704" s="22" t="s">
        <v>7289</v>
      </c>
      <c r="I1704" s="13">
        <v>6.3</v>
      </c>
      <c r="J1704" s="15" t="s">
        <v>7291</v>
      </c>
      <c r="K1704" s="46" t="s">
        <v>7290</v>
      </c>
      <c r="L1704" s="11" t="s">
        <v>38</v>
      </c>
      <c r="M1704" s="15" t="s">
        <v>3584</v>
      </c>
      <c r="N1704" s="17">
        <v>16500</v>
      </c>
      <c r="O1704" s="17"/>
      <c r="P1704" s="17"/>
      <c r="Q1704" s="48"/>
      <c r="R1704" s="11" t="s">
        <v>6848</v>
      </c>
      <c r="S1704" s="48"/>
      <c r="T1704" s="85"/>
      <c r="U1704" s="88"/>
      <c r="V1704" s="32"/>
      <c r="W1704" s="25" t="s">
        <v>7401</v>
      </c>
      <c r="X1704" s="11"/>
      <c r="Y1704" s="50" t="s">
        <v>15</v>
      </c>
      <c r="Z1704" s="50"/>
      <c r="AA1704" s="50"/>
      <c r="AB1704" s="50"/>
      <c r="AC1704" s="50"/>
      <c r="AD1704" s="50"/>
      <c r="AE1704" s="50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65"/>
      <c r="AP1704" s="69"/>
      <c r="AQ1704" s="62"/>
      <c r="AR1704" s="34"/>
    </row>
    <row r="1705" spans="1:44" customFormat="1">
      <c r="A1705" s="39">
        <v>45357</v>
      </c>
      <c r="B1705" s="11" t="s">
        <v>49</v>
      </c>
      <c r="C1705" s="16" t="s">
        <v>7296</v>
      </c>
      <c r="D1705" s="16" t="s">
        <v>7297</v>
      </c>
      <c r="E1705" s="38">
        <v>27997</v>
      </c>
      <c r="F1705" s="38"/>
      <c r="G1705" s="10" t="s">
        <v>7298</v>
      </c>
      <c r="H1705" s="22" t="s">
        <v>7299</v>
      </c>
      <c r="I1705" s="13">
        <v>65.7</v>
      </c>
      <c r="J1705" s="15" t="s">
        <v>7301</v>
      </c>
      <c r="K1705" s="46" t="s">
        <v>7300</v>
      </c>
      <c r="L1705" s="11" t="s">
        <v>33</v>
      </c>
      <c r="M1705" s="15" t="s">
        <v>3629</v>
      </c>
      <c r="N1705" s="17">
        <v>16500</v>
      </c>
      <c r="O1705" s="17"/>
      <c r="P1705" s="17"/>
      <c r="Q1705" s="48"/>
      <c r="R1705" s="11" t="s">
        <v>6847</v>
      </c>
      <c r="S1705" s="48"/>
      <c r="T1705" s="85"/>
      <c r="U1705" s="88"/>
      <c r="V1705" s="32" t="s">
        <v>6642</v>
      </c>
      <c r="W1705" s="25" t="s">
        <v>7401</v>
      </c>
      <c r="X1705" s="11"/>
      <c r="Y1705" s="50" t="s">
        <v>12</v>
      </c>
      <c r="Z1705" s="50"/>
      <c r="AA1705" s="50"/>
      <c r="AB1705" s="50"/>
      <c r="AC1705" s="50"/>
      <c r="AD1705" s="50"/>
      <c r="AE1705" s="50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65" t="s">
        <v>5804</v>
      </c>
      <c r="AP1705" s="69"/>
      <c r="AQ1705" s="62" t="s">
        <v>8079</v>
      </c>
      <c r="AR1705" s="34"/>
    </row>
    <row r="1706" spans="1:44" customFormat="1">
      <c r="A1706" s="39">
        <v>45357</v>
      </c>
      <c r="B1706" s="11" t="s">
        <v>22</v>
      </c>
      <c r="C1706" s="16" t="s">
        <v>7292</v>
      </c>
      <c r="D1706" s="16" t="s">
        <v>7293</v>
      </c>
      <c r="E1706" s="38">
        <v>30651</v>
      </c>
      <c r="F1706" s="38"/>
      <c r="G1706" s="10" t="s">
        <v>252</v>
      </c>
      <c r="H1706" s="12" t="s">
        <v>7294</v>
      </c>
      <c r="I1706" s="13" t="s">
        <v>2388</v>
      </c>
      <c r="J1706" s="15" t="s">
        <v>7295</v>
      </c>
      <c r="K1706" s="12"/>
      <c r="L1706" s="11" t="s">
        <v>34</v>
      </c>
      <c r="M1706" s="15" t="s">
        <v>3599</v>
      </c>
      <c r="N1706" s="17">
        <v>3300</v>
      </c>
      <c r="O1706" s="17"/>
      <c r="P1706" s="17"/>
      <c r="Q1706" s="48"/>
      <c r="R1706" s="11" t="s">
        <v>6848</v>
      </c>
      <c r="S1706" s="48"/>
      <c r="T1706" s="85" t="s">
        <v>8079</v>
      </c>
      <c r="U1706" s="88"/>
      <c r="V1706" s="32" t="s">
        <v>6642</v>
      </c>
      <c r="W1706" s="25" t="s">
        <v>48</v>
      </c>
      <c r="X1706" s="11"/>
      <c r="Y1706" s="50"/>
      <c r="Z1706" s="50"/>
      <c r="AA1706" s="50"/>
      <c r="AB1706" s="50"/>
      <c r="AC1706" s="50"/>
      <c r="AD1706" s="50"/>
      <c r="AE1706" s="50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65"/>
      <c r="AP1706" s="69"/>
      <c r="AQ1706" s="62"/>
      <c r="AR1706" s="34"/>
    </row>
    <row r="1707" spans="1:44" customFormat="1">
      <c r="A1707" s="39">
        <v>45358</v>
      </c>
      <c r="B1707" s="11" t="s">
        <v>49</v>
      </c>
      <c r="C1707" s="16" t="s">
        <v>7307</v>
      </c>
      <c r="D1707" s="16" t="s">
        <v>7308</v>
      </c>
      <c r="E1707" s="38">
        <v>25170</v>
      </c>
      <c r="F1707" s="38"/>
      <c r="G1707" s="10" t="s">
        <v>813</v>
      </c>
      <c r="H1707" s="22" t="s">
        <v>7309</v>
      </c>
      <c r="I1707" s="13">
        <v>22.6</v>
      </c>
      <c r="J1707" s="15" t="s">
        <v>7311</v>
      </c>
      <c r="K1707" s="46" t="s">
        <v>7310</v>
      </c>
      <c r="L1707" s="11" t="s">
        <v>33</v>
      </c>
      <c r="M1707" s="15" t="s">
        <v>3584</v>
      </c>
      <c r="N1707" s="17">
        <v>8250</v>
      </c>
      <c r="O1707" s="17"/>
      <c r="P1707" s="17"/>
      <c r="Q1707" s="48"/>
      <c r="R1707" s="11" t="s">
        <v>6848</v>
      </c>
      <c r="S1707" s="48"/>
      <c r="T1707" s="85" t="s">
        <v>8073</v>
      </c>
      <c r="U1707" s="88"/>
      <c r="V1707" s="32"/>
      <c r="W1707" s="25" t="s">
        <v>8</v>
      </c>
      <c r="X1707" s="11"/>
      <c r="Y1707" s="50" t="s">
        <v>17</v>
      </c>
      <c r="Z1707" s="50"/>
      <c r="AA1707" s="50"/>
      <c r="AB1707" s="50"/>
      <c r="AC1707" s="50"/>
      <c r="AD1707" s="50"/>
      <c r="AE1707" s="50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65" t="s">
        <v>5804</v>
      </c>
      <c r="AP1707" s="69"/>
      <c r="AQ1707" s="62" t="s">
        <v>8079</v>
      </c>
      <c r="AR1707" s="34"/>
    </row>
    <row r="1708" spans="1:44" customFormat="1">
      <c r="A1708" s="39">
        <v>45358</v>
      </c>
      <c r="B1708" s="11" t="s">
        <v>49</v>
      </c>
      <c r="C1708" s="16" t="s">
        <v>3328</v>
      </c>
      <c r="D1708" s="16" t="s">
        <v>7315</v>
      </c>
      <c r="E1708" s="38">
        <v>32408</v>
      </c>
      <c r="F1708" s="38"/>
      <c r="G1708" s="10" t="s">
        <v>7312</v>
      </c>
      <c r="H1708" s="12" t="s">
        <v>3330</v>
      </c>
      <c r="I1708" s="13" t="s">
        <v>7313</v>
      </c>
      <c r="J1708" s="15" t="s">
        <v>7314</v>
      </c>
      <c r="K1708" s="12"/>
      <c r="L1708" s="11"/>
      <c r="M1708" s="15"/>
      <c r="N1708" s="17">
        <v>11000</v>
      </c>
      <c r="O1708" s="17"/>
      <c r="P1708" s="17"/>
      <c r="Q1708" s="48"/>
      <c r="R1708" s="11" t="s">
        <v>6847</v>
      </c>
      <c r="S1708" s="48"/>
      <c r="T1708" s="85" t="s">
        <v>8073</v>
      </c>
      <c r="U1708" s="88"/>
      <c r="V1708" s="32" t="s">
        <v>3333</v>
      </c>
      <c r="W1708" s="25" t="s">
        <v>10</v>
      </c>
      <c r="X1708" s="11"/>
      <c r="Y1708" s="50" t="s">
        <v>20</v>
      </c>
      <c r="Z1708" s="50"/>
      <c r="AA1708" s="50"/>
      <c r="AB1708" s="50"/>
      <c r="AC1708" s="50"/>
      <c r="AD1708" s="50"/>
      <c r="AE1708" s="50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65" t="s">
        <v>7250</v>
      </c>
      <c r="AP1708" s="69"/>
      <c r="AQ1708" s="62"/>
      <c r="AR1708" s="34"/>
    </row>
    <row r="1709" spans="1:44" customFormat="1">
      <c r="A1709" s="39">
        <v>45358</v>
      </c>
      <c r="B1709" s="11" t="s">
        <v>22</v>
      </c>
      <c r="C1709" s="16" t="s">
        <v>7302</v>
      </c>
      <c r="D1709" s="16" t="s">
        <v>7303</v>
      </c>
      <c r="E1709" s="38">
        <v>24584</v>
      </c>
      <c r="F1709" s="38"/>
      <c r="G1709" s="10" t="s">
        <v>328</v>
      </c>
      <c r="H1709" s="22" t="s">
        <v>7304</v>
      </c>
      <c r="I1709" s="13">
        <v>1.5</v>
      </c>
      <c r="J1709" s="15" t="s">
        <v>7306</v>
      </c>
      <c r="K1709" s="46" t="s">
        <v>7305</v>
      </c>
      <c r="L1709" s="11" t="s">
        <v>36</v>
      </c>
      <c r="M1709" s="15" t="s">
        <v>3584</v>
      </c>
      <c r="N1709" s="17">
        <v>3300</v>
      </c>
      <c r="O1709" s="17"/>
      <c r="P1709" s="17"/>
      <c r="Q1709" s="48"/>
      <c r="R1709" s="11" t="s">
        <v>6847</v>
      </c>
      <c r="S1709" s="48"/>
      <c r="T1709" s="85" t="s">
        <v>8079</v>
      </c>
      <c r="U1709" s="88"/>
      <c r="V1709" s="32"/>
      <c r="W1709" s="25" t="s">
        <v>4073</v>
      </c>
      <c r="X1709" s="11"/>
      <c r="Y1709" s="50"/>
      <c r="Z1709" s="50"/>
      <c r="AA1709" s="50"/>
      <c r="AB1709" s="50"/>
      <c r="AC1709" s="50"/>
      <c r="AD1709" s="50"/>
      <c r="AE1709" s="50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65"/>
      <c r="AP1709" s="69"/>
      <c r="AQ1709" s="62"/>
      <c r="AR1709" s="34"/>
    </row>
    <row r="1710" spans="1:44" customFormat="1">
      <c r="A1710" s="39">
        <v>45360</v>
      </c>
      <c r="B1710" s="11" t="s">
        <v>2170</v>
      </c>
      <c r="C1710" s="16" t="s">
        <v>5028</v>
      </c>
      <c r="D1710" s="16" t="s">
        <v>5690</v>
      </c>
      <c r="E1710" s="38" t="s">
        <v>7321</v>
      </c>
      <c r="F1710" s="38"/>
      <c r="G1710" s="10"/>
      <c r="H1710" s="12"/>
      <c r="I1710" s="13"/>
      <c r="J1710" s="15"/>
      <c r="K1710" s="12"/>
      <c r="L1710" s="11"/>
      <c r="M1710" s="15"/>
      <c r="N1710" s="17">
        <v>8250</v>
      </c>
      <c r="O1710" s="17"/>
      <c r="P1710" s="17"/>
      <c r="Q1710" s="48"/>
      <c r="R1710" s="11"/>
      <c r="S1710" s="48"/>
      <c r="T1710" s="85"/>
      <c r="U1710" s="88"/>
      <c r="V1710" s="32"/>
      <c r="W1710" s="25"/>
      <c r="X1710" s="11"/>
      <c r="Y1710" s="50"/>
      <c r="Z1710" s="50"/>
      <c r="AA1710" s="50"/>
      <c r="AB1710" s="50"/>
      <c r="AC1710" s="50"/>
      <c r="AD1710" s="50"/>
      <c r="AE1710" s="50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65" t="s">
        <v>5804</v>
      </c>
      <c r="AP1710" s="69"/>
      <c r="AQ1710" s="62" t="s">
        <v>8079</v>
      </c>
      <c r="AR1710" s="34"/>
    </row>
    <row r="1711" spans="1:44" customFormat="1">
      <c r="A1711" s="39">
        <v>45360</v>
      </c>
      <c r="B1711" s="11" t="s">
        <v>22</v>
      </c>
      <c r="C1711" s="16" t="s">
        <v>7316</v>
      </c>
      <c r="D1711" s="16" t="s">
        <v>7317</v>
      </c>
      <c r="E1711" s="38">
        <v>24316</v>
      </c>
      <c r="F1711" s="38"/>
      <c r="G1711" s="10" t="s">
        <v>617</v>
      </c>
      <c r="H1711" s="12" t="s">
        <v>7318</v>
      </c>
      <c r="I1711" s="13" t="s">
        <v>2818</v>
      </c>
      <c r="J1711" s="15" t="s">
        <v>7320</v>
      </c>
      <c r="K1711" s="46" t="s">
        <v>7319</v>
      </c>
      <c r="L1711" s="11" t="s">
        <v>33</v>
      </c>
      <c r="M1711" s="15" t="s">
        <v>3629</v>
      </c>
      <c r="N1711" s="17">
        <v>3300</v>
      </c>
      <c r="O1711" s="17"/>
      <c r="P1711" s="17"/>
      <c r="Q1711" s="48"/>
      <c r="R1711" s="11" t="s">
        <v>6847</v>
      </c>
      <c r="S1711" s="48"/>
      <c r="T1711" s="85" t="s">
        <v>8079</v>
      </c>
      <c r="U1711" s="88"/>
      <c r="V1711" s="32" t="s">
        <v>6642</v>
      </c>
      <c r="W1711" s="25" t="s">
        <v>39</v>
      </c>
      <c r="X1711" s="11"/>
      <c r="Y1711" s="50"/>
      <c r="Z1711" s="50"/>
      <c r="AA1711" s="50"/>
      <c r="AB1711" s="50"/>
      <c r="AC1711" s="50"/>
      <c r="AD1711" s="50"/>
      <c r="AE1711" s="50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65" t="s">
        <v>7322</v>
      </c>
      <c r="AP1711" s="69"/>
      <c r="AQ1711" s="62"/>
      <c r="AR1711" s="34"/>
    </row>
    <row r="1712" spans="1:44" customFormat="1">
      <c r="A1712" s="39">
        <v>45362</v>
      </c>
      <c r="B1712" s="11" t="s">
        <v>22</v>
      </c>
      <c r="C1712" s="16" t="s">
        <v>7323</v>
      </c>
      <c r="D1712" s="16" t="s">
        <v>7324</v>
      </c>
      <c r="E1712" s="38">
        <v>33708</v>
      </c>
      <c r="F1712" s="38"/>
      <c r="G1712" s="10" t="s">
        <v>328</v>
      </c>
      <c r="H1712" s="22" t="s">
        <v>7325</v>
      </c>
      <c r="I1712" s="13">
        <v>2.1</v>
      </c>
      <c r="J1712" s="15" t="s">
        <v>7327</v>
      </c>
      <c r="K1712" s="46" t="s">
        <v>7326</v>
      </c>
      <c r="L1712" s="11" t="s">
        <v>36</v>
      </c>
      <c r="M1712" s="15" t="s">
        <v>3584</v>
      </c>
      <c r="N1712" s="17">
        <v>3300</v>
      </c>
      <c r="O1712" s="17"/>
      <c r="P1712" s="17"/>
      <c r="Q1712" s="48"/>
      <c r="R1712" s="11" t="s">
        <v>6848</v>
      </c>
      <c r="S1712" s="48"/>
      <c r="T1712" s="85" t="s">
        <v>8079</v>
      </c>
      <c r="U1712" s="88"/>
      <c r="V1712" s="32" t="s">
        <v>6642</v>
      </c>
      <c r="W1712" s="25" t="s">
        <v>4073</v>
      </c>
      <c r="X1712" s="11"/>
      <c r="Y1712" s="50"/>
      <c r="Z1712" s="50"/>
      <c r="AA1712" s="50"/>
      <c r="AB1712" s="50"/>
      <c r="AC1712" s="50"/>
      <c r="AD1712" s="50"/>
      <c r="AE1712" s="50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65" t="s">
        <v>5804</v>
      </c>
      <c r="AP1712" s="69"/>
      <c r="AQ1712" s="62" t="s">
        <v>8079</v>
      </c>
      <c r="AR1712" s="34"/>
    </row>
    <row r="1713" spans="1:44" customFormat="1">
      <c r="A1713" s="39">
        <v>45364</v>
      </c>
      <c r="B1713" s="11" t="s">
        <v>49</v>
      </c>
      <c r="C1713" s="16" t="s">
        <v>7266</v>
      </c>
      <c r="D1713" s="16" t="s">
        <v>7267</v>
      </c>
      <c r="E1713" s="38">
        <v>29901</v>
      </c>
      <c r="F1713" s="38"/>
      <c r="G1713" s="10" t="s">
        <v>7268</v>
      </c>
      <c r="H1713" s="22" t="s">
        <v>7269</v>
      </c>
      <c r="I1713" s="13">
        <v>21.3</v>
      </c>
      <c r="J1713" s="15" t="s">
        <v>7270</v>
      </c>
      <c r="K1713" s="12"/>
      <c r="L1713" s="11" t="s">
        <v>36</v>
      </c>
      <c r="M1713" s="15" t="s">
        <v>3599</v>
      </c>
      <c r="N1713" s="17">
        <v>11000</v>
      </c>
      <c r="O1713" s="17"/>
      <c r="P1713" s="17"/>
      <c r="Q1713" s="48"/>
      <c r="R1713" s="11" t="s">
        <v>6847</v>
      </c>
      <c r="S1713" s="48"/>
      <c r="T1713" s="85" t="s">
        <v>8073</v>
      </c>
      <c r="U1713" s="88"/>
      <c r="V1713" s="32"/>
      <c r="W1713" s="25" t="s">
        <v>8</v>
      </c>
      <c r="X1713" s="11"/>
      <c r="Y1713" s="50" t="s">
        <v>13</v>
      </c>
      <c r="Z1713" s="50"/>
      <c r="AA1713" s="50"/>
      <c r="AB1713" s="50"/>
      <c r="AC1713" s="50"/>
      <c r="AD1713" s="50"/>
      <c r="AE1713" s="50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65" t="s">
        <v>5804</v>
      </c>
      <c r="AP1713" s="69"/>
      <c r="AQ1713" s="62" t="s">
        <v>8079</v>
      </c>
      <c r="AR1713" s="34"/>
    </row>
    <row r="1714" spans="1:44" customFormat="1">
      <c r="A1714" s="39">
        <v>45364</v>
      </c>
      <c r="B1714" s="11" t="s">
        <v>22</v>
      </c>
      <c r="C1714" s="16" t="s">
        <v>7328</v>
      </c>
      <c r="D1714" s="16" t="s">
        <v>7329</v>
      </c>
      <c r="E1714" s="38">
        <v>32045</v>
      </c>
      <c r="F1714" s="38"/>
      <c r="G1714" s="10" t="s">
        <v>617</v>
      </c>
      <c r="H1714" s="12" t="s">
        <v>7330</v>
      </c>
      <c r="I1714" s="13" t="s">
        <v>6941</v>
      </c>
      <c r="J1714" s="15" t="s">
        <v>7332</v>
      </c>
      <c r="K1714" s="46" t="s">
        <v>7331</v>
      </c>
      <c r="L1714" s="11" t="s">
        <v>36</v>
      </c>
      <c r="M1714" s="15" t="s">
        <v>3584</v>
      </c>
      <c r="N1714" s="17">
        <v>3300</v>
      </c>
      <c r="O1714" s="17"/>
      <c r="P1714" s="17"/>
      <c r="Q1714" s="48"/>
      <c r="R1714" s="11" t="s">
        <v>6848</v>
      </c>
      <c r="S1714" s="48"/>
      <c r="T1714" s="85" t="s">
        <v>8079</v>
      </c>
      <c r="U1714" s="88"/>
      <c r="V1714" s="32" t="s">
        <v>6642</v>
      </c>
      <c r="W1714" s="25" t="s">
        <v>4073</v>
      </c>
      <c r="X1714" s="11"/>
      <c r="Y1714" s="50"/>
      <c r="Z1714" s="50"/>
      <c r="AA1714" s="50"/>
      <c r="AB1714" s="50"/>
      <c r="AC1714" s="50"/>
      <c r="AD1714" s="50"/>
      <c r="AE1714" s="50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65" t="s">
        <v>7271</v>
      </c>
      <c r="AP1714" s="69" t="s">
        <v>7333</v>
      </c>
      <c r="AQ1714" s="62"/>
      <c r="AR1714" s="34"/>
    </row>
    <row r="1715" spans="1:44" customFormat="1">
      <c r="A1715" s="39">
        <v>45365</v>
      </c>
      <c r="B1715" s="11" t="s">
        <v>49</v>
      </c>
      <c r="C1715" s="16" t="s">
        <v>7334</v>
      </c>
      <c r="D1715" s="16" t="s">
        <v>7335</v>
      </c>
      <c r="E1715" s="38">
        <v>25812</v>
      </c>
      <c r="F1715" s="38"/>
      <c r="G1715" s="10" t="s">
        <v>7336</v>
      </c>
      <c r="H1715" s="22" t="s">
        <v>7337</v>
      </c>
      <c r="I1715" s="13">
        <v>14.6</v>
      </c>
      <c r="J1715" s="15" t="s">
        <v>7338</v>
      </c>
      <c r="K1715" s="12"/>
      <c r="L1715" s="11" t="s">
        <v>34</v>
      </c>
      <c r="M1715" s="15" t="s">
        <v>3599</v>
      </c>
      <c r="N1715" s="17">
        <v>19800</v>
      </c>
      <c r="O1715" s="17"/>
      <c r="P1715" s="17"/>
      <c r="Q1715" s="48"/>
      <c r="R1715" s="11" t="s">
        <v>6847</v>
      </c>
      <c r="S1715" s="48"/>
      <c r="T1715" s="85"/>
      <c r="U1715" s="88"/>
      <c r="V1715" s="32" t="s">
        <v>6642</v>
      </c>
      <c r="W1715" s="25" t="s">
        <v>8</v>
      </c>
      <c r="X1715" s="11"/>
      <c r="Y1715" s="50" t="s">
        <v>13</v>
      </c>
      <c r="Z1715" s="50"/>
      <c r="AA1715" s="50"/>
      <c r="AB1715" s="50"/>
      <c r="AC1715" s="50"/>
      <c r="AD1715" s="50"/>
      <c r="AE1715" s="50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65" t="s">
        <v>7339</v>
      </c>
      <c r="AP1715" s="69"/>
      <c r="AQ1715" s="62"/>
      <c r="AR1715" s="34"/>
    </row>
    <row r="1716" spans="1:44" customFormat="1">
      <c r="A1716" s="39">
        <v>45366</v>
      </c>
      <c r="B1716" s="11" t="s">
        <v>49</v>
      </c>
      <c r="C1716" s="16" t="s">
        <v>7340</v>
      </c>
      <c r="D1716" s="16" t="s">
        <v>7341</v>
      </c>
      <c r="E1716" s="38">
        <v>37330</v>
      </c>
      <c r="F1716" s="38"/>
      <c r="G1716" s="10" t="s">
        <v>1374</v>
      </c>
      <c r="H1716" s="12" t="s">
        <v>7342</v>
      </c>
      <c r="I1716" s="13" t="s">
        <v>7343</v>
      </c>
      <c r="J1716" s="15" t="s">
        <v>7344</v>
      </c>
      <c r="K1716" s="12"/>
      <c r="L1716" s="11" t="s">
        <v>38</v>
      </c>
      <c r="M1716" s="15" t="s">
        <v>3599</v>
      </c>
      <c r="N1716" s="17"/>
      <c r="O1716" s="17"/>
      <c r="P1716" s="17"/>
      <c r="Q1716" s="48"/>
      <c r="R1716" s="11" t="s">
        <v>6847</v>
      </c>
      <c r="S1716" s="48"/>
      <c r="T1716" s="85" t="s">
        <v>8073</v>
      </c>
      <c r="U1716" s="88"/>
      <c r="V1716" s="32"/>
      <c r="W1716" s="25" t="s">
        <v>8</v>
      </c>
      <c r="X1716" s="11"/>
      <c r="Y1716" s="50" t="s">
        <v>12</v>
      </c>
      <c r="Z1716" s="50"/>
      <c r="AA1716" s="50"/>
      <c r="AB1716" s="50"/>
      <c r="AC1716" s="50"/>
      <c r="AD1716" s="50"/>
      <c r="AE1716" s="50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65"/>
      <c r="AP1716" s="69"/>
      <c r="AQ1716" s="62"/>
      <c r="AR1716" s="34"/>
    </row>
    <row r="1717" spans="1:44" customFormat="1">
      <c r="A1717" s="39">
        <v>45367</v>
      </c>
      <c r="B1717" s="11" t="s">
        <v>49</v>
      </c>
      <c r="C1717" s="16" t="s">
        <v>7389</v>
      </c>
      <c r="D1717" s="16" t="s">
        <v>7390</v>
      </c>
      <c r="E1717" s="38" t="s">
        <v>7040</v>
      </c>
      <c r="F1717" s="38"/>
      <c r="G1717" s="10"/>
      <c r="H1717" s="12"/>
      <c r="I1717" s="13"/>
      <c r="J1717" s="15"/>
      <c r="K1717" s="12"/>
      <c r="L1717" s="11"/>
      <c r="M1717" s="15"/>
      <c r="N1717" s="17">
        <v>11000</v>
      </c>
      <c r="O1717" s="17"/>
      <c r="P1717" s="17"/>
      <c r="Q1717" s="48"/>
      <c r="R1717" s="11" t="s">
        <v>6849</v>
      </c>
      <c r="S1717" s="48"/>
      <c r="T1717" s="85" t="s">
        <v>8073</v>
      </c>
      <c r="U1717" s="88"/>
      <c r="V1717" s="32"/>
      <c r="W1717" s="25"/>
      <c r="X1717" s="11"/>
      <c r="Y1717" s="50"/>
      <c r="Z1717" s="50"/>
      <c r="AA1717" s="50"/>
      <c r="AB1717" s="50"/>
      <c r="AC1717" s="50"/>
      <c r="AD1717" s="50"/>
      <c r="AE1717" s="50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65"/>
      <c r="AP1717" s="69"/>
      <c r="AQ1717" s="62"/>
      <c r="AR1717" s="34"/>
    </row>
    <row r="1718" spans="1:44" customFormat="1">
      <c r="A1718" s="39">
        <v>45367</v>
      </c>
      <c r="B1718" s="11" t="s">
        <v>22</v>
      </c>
      <c r="C1718" s="16" t="s">
        <v>7345</v>
      </c>
      <c r="D1718" s="16" t="s">
        <v>7346</v>
      </c>
      <c r="E1718" s="38">
        <v>25420</v>
      </c>
      <c r="F1718" s="38"/>
      <c r="G1718" s="10" t="s">
        <v>650</v>
      </c>
      <c r="H1718" s="12" t="s">
        <v>7347</v>
      </c>
      <c r="I1718" s="13">
        <v>1.4</v>
      </c>
      <c r="J1718" s="15" t="s">
        <v>7348</v>
      </c>
      <c r="K1718" s="12"/>
      <c r="L1718" s="11" t="s">
        <v>39</v>
      </c>
      <c r="M1718" s="15" t="s">
        <v>7349</v>
      </c>
      <c r="N1718" s="17">
        <v>0</v>
      </c>
      <c r="O1718" s="17"/>
      <c r="P1718" s="17"/>
      <c r="Q1718" s="48"/>
      <c r="R1718" s="11" t="s">
        <v>7023</v>
      </c>
      <c r="S1718" s="48"/>
      <c r="T1718" s="85"/>
      <c r="U1718" s="88" t="s">
        <v>7437</v>
      </c>
      <c r="V1718" s="32" t="s">
        <v>7350</v>
      </c>
      <c r="W1718" s="25" t="s">
        <v>39</v>
      </c>
      <c r="X1718" s="11"/>
      <c r="Y1718" s="50"/>
      <c r="Z1718" s="50"/>
      <c r="AA1718" s="50"/>
      <c r="AB1718" s="50"/>
      <c r="AC1718" s="50"/>
      <c r="AD1718" s="50"/>
      <c r="AE1718" s="50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65" t="s">
        <v>5804</v>
      </c>
      <c r="AP1718" s="69"/>
      <c r="AQ1718" s="62"/>
      <c r="AR1718" s="34" t="s">
        <v>7437</v>
      </c>
    </row>
    <row r="1719" spans="1:44" customFormat="1">
      <c r="A1719" s="39">
        <v>45368</v>
      </c>
      <c r="B1719" s="11" t="s">
        <v>49</v>
      </c>
      <c r="C1719" s="16" t="s">
        <v>7351</v>
      </c>
      <c r="D1719" s="16" t="s">
        <v>7352</v>
      </c>
      <c r="E1719" s="38">
        <v>29153</v>
      </c>
      <c r="F1719" s="38"/>
      <c r="G1719" s="10" t="s">
        <v>1574</v>
      </c>
      <c r="H1719" s="22" t="s">
        <v>7353</v>
      </c>
      <c r="I1719" s="13">
        <v>14.5</v>
      </c>
      <c r="J1719" s="15" t="s">
        <v>7355</v>
      </c>
      <c r="K1719" s="46" t="s">
        <v>7354</v>
      </c>
      <c r="L1719" s="11" t="s">
        <v>36</v>
      </c>
      <c r="M1719" s="15" t="s">
        <v>3584</v>
      </c>
      <c r="N1719" s="17">
        <v>16500</v>
      </c>
      <c r="O1719" s="17"/>
      <c r="P1719" s="17"/>
      <c r="Q1719" s="48"/>
      <c r="R1719" s="11" t="s">
        <v>6847</v>
      </c>
      <c r="S1719" s="48"/>
      <c r="T1719" s="85"/>
      <c r="U1719" s="88"/>
      <c r="V1719" s="32" t="s">
        <v>6642</v>
      </c>
      <c r="W1719" s="25" t="s">
        <v>8</v>
      </c>
      <c r="X1719" s="11"/>
      <c r="Y1719" s="50"/>
      <c r="Z1719" s="50"/>
      <c r="AA1719" s="50"/>
      <c r="AB1719" s="50"/>
      <c r="AC1719" s="50"/>
      <c r="AD1719" s="50"/>
      <c r="AE1719" s="50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65"/>
      <c r="AP1719" s="69"/>
      <c r="AQ1719" s="62"/>
      <c r="AR1719" s="34"/>
    </row>
    <row r="1720" spans="1:44" customFormat="1">
      <c r="A1720" s="39">
        <v>45369</v>
      </c>
      <c r="B1720" s="11" t="s">
        <v>22</v>
      </c>
      <c r="C1720" s="16" t="s">
        <v>7356</v>
      </c>
      <c r="D1720" s="16" t="s">
        <v>7357</v>
      </c>
      <c r="E1720" s="38">
        <v>25924</v>
      </c>
      <c r="F1720" s="38"/>
      <c r="G1720" s="10" t="s">
        <v>3307</v>
      </c>
      <c r="H1720" s="22" t="s">
        <v>7358</v>
      </c>
      <c r="I1720" s="13">
        <v>4.3</v>
      </c>
      <c r="J1720" s="15" t="s">
        <v>7360</v>
      </c>
      <c r="K1720" s="46" t="s">
        <v>7359</v>
      </c>
      <c r="L1720" s="11" t="s">
        <v>36</v>
      </c>
      <c r="M1720" s="15" t="s">
        <v>3599</v>
      </c>
      <c r="N1720" s="17">
        <v>3300</v>
      </c>
      <c r="O1720" s="17"/>
      <c r="P1720" s="17"/>
      <c r="Q1720" s="48"/>
      <c r="R1720" s="11" t="s">
        <v>6847</v>
      </c>
      <c r="S1720" s="48"/>
      <c r="T1720" s="85" t="s">
        <v>8079</v>
      </c>
      <c r="U1720" s="88"/>
      <c r="V1720" s="32"/>
      <c r="W1720" s="25" t="s">
        <v>8</v>
      </c>
      <c r="X1720" s="11"/>
      <c r="Y1720" s="50"/>
      <c r="Z1720" s="50"/>
      <c r="AA1720" s="50"/>
      <c r="AB1720" s="50"/>
      <c r="AC1720" s="50"/>
      <c r="AD1720" s="50"/>
      <c r="AE1720" s="50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65" t="s">
        <v>7361</v>
      </c>
      <c r="AP1720" s="69"/>
      <c r="AQ1720" s="62" t="s">
        <v>8079</v>
      </c>
      <c r="AR1720" s="34"/>
    </row>
    <row r="1721" spans="1:44" customFormat="1">
      <c r="A1721" s="39">
        <v>45372</v>
      </c>
      <c r="B1721" s="11" t="s">
        <v>49</v>
      </c>
      <c r="C1721" s="16" t="s">
        <v>7362</v>
      </c>
      <c r="D1721" s="16" t="s">
        <v>7363</v>
      </c>
      <c r="E1721" s="38">
        <v>28913</v>
      </c>
      <c r="F1721" s="38"/>
      <c r="G1721" s="10" t="s">
        <v>7364</v>
      </c>
      <c r="H1721" s="22" t="s">
        <v>7365</v>
      </c>
      <c r="I1721" s="13">
        <v>10.5</v>
      </c>
      <c r="J1721" s="15" t="s">
        <v>7367</v>
      </c>
      <c r="K1721" s="46" t="s">
        <v>7366</v>
      </c>
      <c r="L1721" s="11" t="s">
        <v>33</v>
      </c>
      <c r="M1721" s="15" t="s">
        <v>3584</v>
      </c>
      <c r="N1721" s="17">
        <v>18000</v>
      </c>
      <c r="O1721" s="17"/>
      <c r="P1721" s="17"/>
      <c r="Q1721" s="48"/>
      <c r="R1721" s="11" t="s">
        <v>6849</v>
      </c>
      <c r="S1721" s="48"/>
      <c r="T1721" s="85" t="s">
        <v>8073</v>
      </c>
      <c r="U1721" s="88"/>
      <c r="V1721" s="32" t="s">
        <v>6642</v>
      </c>
      <c r="W1721" s="25" t="s">
        <v>8</v>
      </c>
      <c r="X1721" s="11"/>
      <c r="Y1721" s="50" t="s">
        <v>13</v>
      </c>
      <c r="Z1721" s="50"/>
      <c r="AA1721" s="50"/>
      <c r="AB1721" s="50"/>
      <c r="AC1721" s="50"/>
      <c r="AD1721" s="50"/>
      <c r="AE1721" s="50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65" t="s">
        <v>7368</v>
      </c>
      <c r="AP1721" s="69"/>
      <c r="AQ1721" s="62"/>
      <c r="AR1721" s="34"/>
    </row>
    <row r="1722" spans="1:44" customFormat="1">
      <c r="A1722" s="39">
        <v>45374</v>
      </c>
      <c r="B1722" s="11" t="s">
        <v>22</v>
      </c>
      <c r="C1722" s="16" t="s">
        <v>7369</v>
      </c>
      <c r="D1722" s="16" t="s">
        <v>7370</v>
      </c>
      <c r="E1722" s="38">
        <v>35126</v>
      </c>
      <c r="F1722" s="38"/>
      <c r="G1722" s="10" t="s">
        <v>148</v>
      </c>
      <c r="H1722" s="22" t="s">
        <v>7371</v>
      </c>
      <c r="I1722" s="13">
        <v>1.4</v>
      </c>
      <c r="J1722" s="15" t="s">
        <v>7372</v>
      </c>
      <c r="K1722" s="12"/>
      <c r="L1722" s="11" t="s">
        <v>36</v>
      </c>
      <c r="M1722" s="15"/>
      <c r="N1722" s="17">
        <v>3300</v>
      </c>
      <c r="O1722" s="17"/>
      <c r="P1722" s="17"/>
      <c r="Q1722" s="48"/>
      <c r="R1722" s="11" t="s">
        <v>6849</v>
      </c>
      <c r="S1722" s="48"/>
      <c r="T1722" s="85"/>
      <c r="U1722" s="88"/>
      <c r="V1722" s="32"/>
      <c r="W1722" s="25" t="s">
        <v>4073</v>
      </c>
      <c r="X1722" s="11"/>
      <c r="Y1722" s="50"/>
      <c r="Z1722" s="50"/>
      <c r="AA1722" s="50"/>
      <c r="AB1722" s="50"/>
      <c r="AC1722" s="50"/>
      <c r="AD1722" s="50"/>
      <c r="AE1722" s="50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65" t="s">
        <v>6454</v>
      </c>
      <c r="AP1722" s="69"/>
      <c r="AQ1722" s="62"/>
      <c r="AR1722" s="34"/>
    </row>
    <row r="1723" spans="1:44" customFormat="1">
      <c r="A1723" s="39">
        <v>45374</v>
      </c>
      <c r="B1723" s="11" t="s">
        <v>2170</v>
      </c>
      <c r="C1723" s="16" t="s">
        <v>7373</v>
      </c>
      <c r="D1723" s="16" t="s">
        <v>7374</v>
      </c>
      <c r="E1723" s="38">
        <v>29738</v>
      </c>
      <c r="F1723" s="38"/>
      <c r="G1723" s="10" t="s">
        <v>3399</v>
      </c>
      <c r="H1723" s="22" t="s">
        <v>7375</v>
      </c>
      <c r="I1723" s="13">
        <v>24.1</v>
      </c>
      <c r="J1723" s="15" t="s">
        <v>3402</v>
      </c>
      <c r="K1723" s="46" t="s">
        <v>7376</v>
      </c>
      <c r="L1723" s="11" t="s">
        <v>34</v>
      </c>
      <c r="M1723" s="15" t="s">
        <v>3584</v>
      </c>
      <c r="N1723" s="17">
        <v>8250</v>
      </c>
      <c r="O1723" s="17"/>
      <c r="P1723" s="17"/>
      <c r="Q1723" s="48"/>
      <c r="R1723" s="11"/>
      <c r="S1723" s="48"/>
      <c r="T1723" s="85"/>
      <c r="U1723" s="88"/>
      <c r="V1723" s="32"/>
      <c r="W1723" s="25" t="s">
        <v>48</v>
      </c>
      <c r="X1723" s="11"/>
      <c r="Y1723" s="50" t="s">
        <v>12</v>
      </c>
      <c r="Z1723" s="50"/>
      <c r="AA1723" s="50"/>
      <c r="AB1723" s="50"/>
      <c r="AC1723" s="50"/>
      <c r="AD1723" s="50"/>
      <c r="AE1723" s="50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65"/>
      <c r="AP1723" s="69"/>
      <c r="AQ1723" s="62"/>
      <c r="AR1723" s="34"/>
    </row>
    <row r="1724" spans="1:44" customFormat="1">
      <c r="A1724" s="39">
        <v>45375</v>
      </c>
      <c r="B1724" s="11" t="s">
        <v>49</v>
      </c>
      <c r="C1724" s="16" t="s">
        <v>7377</v>
      </c>
      <c r="D1724" s="16" t="s">
        <v>7378</v>
      </c>
      <c r="E1724" s="38">
        <v>30838</v>
      </c>
      <c r="F1724" s="38"/>
      <c r="G1724" s="10" t="s">
        <v>6016</v>
      </c>
      <c r="H1724" s="22" t="s">
        <v>7379</v>
      </c>
      <c r="I1724" s="13">
        <v>8.1999999999999993</v>
      </c>
      <c r="J1724" s="15" t="s">
        <v>7380</v>
      </c>
      <c r="K1724" s="12"/>
      <c r="L1724" s="11" t="s">
        <v>33</v>
      </c>
      <c r="M1724" s="15"/>
      <c r="N1724" s="17">
        <v>16500</v>
      </c>
      <c r="O1724" s="17"/>
      <c r="P1724" s="17"/>
      <c r="Q1724" s="48"/>
      <c r="R1724" s="11" t="s">
        <v>6847</v>
      </c>
      <c r="S1724" s="48"/>
      <c r="T1724" s="85" t="s">
        <v>8073</v>
      </c>
      <c r="U1724" s="88"/>
      <c r="V1724" s="32"/>
      <c r="W1724" s="25" t="s">
        <v>7401</v>
      </c>
      <c r="X1724" s="11"/>
      <c r="Y1724" s="50"/>
      <c r="Z1724" s="50"/>
      <c r="AA1724" s="50"/>
      <c r="AB1724" s="50"/>
      <c r="AC1724" s="50"/>
      <c r="AD1724" s="50"/>
      <c r="AE1724" s="50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65"/>
      <c r="AP1724" s="69"/>
      <c r="AQ1724" s="62"/>
      <c r="AR1724" s="34"/>
    </row>
    <row r="1725" spans="1:44" customFormat="1">
      <c r="A1725" s="39">
        <v>45376</v>
      </c>
      <c r="B1725" s="11" t="s">
        <v>49</v>
      </c>
      <c r="C1725" s="16" t="s">
        <v>7391</v>
      </c>
      <c r="D1725" s="16" t="s">
        <v>7392</v>
      </c>
      <c r="E1725" s="38" t="s">
        <v>7040</v>
      </c>
      <c r="F1725" s="38"/>
      <c r="G1725" s="10"/>
      <c r="H1725" s="22"/>
      <c r="I1725" s="13"/>
      <c r="J1725" s="15"/>
      <c r="K1725" s="12"/>
      <c r="L1725" s="11"/>
      <c r="M1725" s="15"/>
      <c r="N1725" s="17">
        <v>11000</v>
      </c>
      <c r="O1725" s="17"/>
      <c r="P1725" s="17"/>
      <c r="Q1725" s="48"/>
      <c r="R1725" s="11" t="s">
        <v>6847</v>
      </c>
      <c r="S1725" s="48"/>
      <c r="T1725" s="85" t="s">
        <v>8073</v>
      </c>
      <c r="U1725" s="88"/>
      <c r="V1725" s="32"/>
      <c r="W1725" s="25"/>
      <c r="X1725" s="11"/>
      <c r="Y1725" s="50"/>
      <c r="Z1725" s="50"/>
      <c r="AA1725" s="50"/>
      <c r="AB1725" s="50"/>
      <c r="AC1725" s="50"/>
      <c r="AD1725" s="50"/>
      <c r="AE1725" s="50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65"/>
      <c r="AP1725" s="69"/>
      <c r="AQ1725" s="62"/>
      <c r="AR1725" s="34"/>
    </row>
    <row r="1726" spans="1:44" customFormat="1">
      <c r="A1726" s="39">
        <v>45377</v>
      </c>
      <c r="B1726" s="11" t="s">
        <v>49</v>
      </c>
      <c r="C1726" s="16" t="s">
        <v>7381</v>
      </c>
      <c r="D1726" s="16" t="s">
        <v>7382</v>
      </c>
      <c r="E1726" s="38">
        <v>28261</v>
      </c>
      <c r="F1726" s="38"/>
      <c r="G1726" s="10" t="s">
        <v>7383</v>
      </c>
      <c r="H1726" s="22" t="s">
        <v>7384</v>
      </c>
      <c r="I1726" s="13" t="s">
        <v>4161</v>
      </c>
      <c r="J1726" s="15" t="s">
        <v>7394</v>
      </c>
      <c r="K1726" s="46" t="s">
        <v>7393</v>
      </c>
      <c r="L1726" s="11" t="s">
        <v>36</v>
      </c>
      <c r="M1726" s="15" t="s">
        <v>3584</v>
      </c>
      <c r="N1726" s="17">
        <v>16500</v>
      </c>
      <c r="O1726" s="17"/>
      <c r="P1726" s="17"/>
      <c r="Q1726" s="48"/>
      <c r="R1726" s="11" t="s">
        <v>6847</v>
      </c>
      <c r="S1726" s="48"/>
      <c r="T1726" s="85" t="s">
        <v>8073</v>
      </c>
      <c r="U1726" s="88"/>
      <c r="V1726" s="32"/>
      <c r="W1726" s="25" t="s">
        <v>7401</v>
      </c>
      <c r="X1726" s="11"/>
      <c r="Y1726" s="50" t="s">
        <v>13</v>
      </c>
      <c r="Z1726" s="50"/>
      <c r="AA1726" s="50"/>
      <c r="AB1726" s="50"/>
      <c r="AC1726" s="50"/>
      <c r="AD1726" s="50"/>
      <c r="AE1726" s="50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65"/>
      <c r="AP1726" s="69"/>
      <c r="AQ1726" s="62"/>
      <c r="AR1726" s="34"/>
    </row>
    <row r="1727" spans="1:44" customFormat="1">
      <c r="A1727" s="39">
        <v>45378</v>
      </c>
      <c r="B1727" s="11" t="s">
        <v>49</v>
      </c>
      <c r="C1727" s="16" t="s">
        <v>7385</v>
      </c>
      <c r="D1727" s="16" t="s">
        <v>7386</v>
      </c>
      <c r="E1727" s="38">
        <v>24812</v>
      </c>
      <c r="F1727" s="38"/>
      <c r="G1727" s="10" t="s">
        <v>2256</v>
      </c>
      <c r="H1727" s="12" t="s">
        <v>7387</v>
      </c>
      <c r="I1727" s="13" t="s">
        <v>2785</v>
      </c>
      <c r="J1727" s="15" t="s">
        <v>7388</v>
      </c>
      <c r="K1727" s="12"/>
      <c r="L1727" s="11" t="s">
        <v>33</v>
      </c>
      <c r="M1727" s="15" t="s">
        <v>3599</v>
      </c>
      <c r="N1727" s="17">
        <v>22000</v>
      </c>
      <c r="O1727" s="17"/>
      <c r="P1727" s="17"/>
      <c r="Q1727" s="48"/>
      <c r="R1727" s="11" t="s">
        <v>6847</v>
      </c>
      <c r="S1727" s="48"/>
      <c r="T1727" s="85"/>
      <c r="U1727" s="88"/>
      <c r="V1727" s="32" t="s">
        <v>6642</v>
      </c>
      <c r="W1727" s="25" t="s">
        <v>7401</v>
      </c>
      <c r="X1727" s="11"/>
      <c r="Y1727" s="50" t="s">
        <v>13</v>
      </c>
      <c r="Z1727" s="50"/>
      <c r="AA1727" s="50"/>
      <c r="AB1727" s="50"/>
      <c r="AC1727" s="50"/>
      <c r="AD1727" s="50"/>
      <c r="AE1727" s="50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65"/>
      <c r="AP1727" s="69"/>
      <c r="AQ1727" s="62"/>
      <c r="AR1727" s="34"/>
    </row>
    <row r="1728" spans="1:44" customFormat="1">
      <c r="A1728" s="39">
        <v>45382</v>
      </c>
      <c r="B1728" s="11" t="s">
        <v>49</v>
      </c>
      <c r="C1728" s="16" t="s">
        <v>5245</v>
      </c>
      <c r="D1728" s="16" t="s">
        <v>7395</v>
      </c>
      <c r="E1728" s="38" t="s">
        <v>7040</v>
      </c>
      <c r="F1728" s="38"/>
      <c r="G1728" s="10"/>
      <c r="H1728" s="12"/>
      <c r="I1728" s="13"/>
      <c r="J1728" s="15"/>
      <c r="K1728" s="12"/>
      <c r="L1728" s="11"/>
      <c r="M1728" s="15"/>
      <c r="N1728" s="17">
        <v>11000</v>
      </c>
      <c r="O1728" s="17"/>
      <c r="P1728" s="17"/>
      <c r="Q1728" s="48"/>
      <c r="R1728" s="11" t="s">
        <v>6847</v>
      </c>
      <c r="S1728" s="48"/>
      <c r="T1728" s="85" t="s">
        <v>8073</v>
      </c>
      <c r="U1728" s="88"/>
      <c r="V1728" s="32"/>
      <c r="W1728" s="25"/>
      <c r="X1728" s="11"/>
      <c r="Y1728" s="50"/>
      <c r="Z1728" s="50"/>
      <c r="AA1728" s="50"/>
      <c r="AB1728" s="50"/>
      <c r="AC1728" s="50"/>
      <c r="AD1728" s="50"/>
      <c r="AE1728" s="50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65"/>
      <c r="AP1728" s="69"/>
      <c r="AQ1728" s="62"/>
      <c r="AR1728" s="34"/>
    </row>
    <row r="1729" spans="1:44" customFormat="1">
      <c r="A1729" s="39">
        <v>45383</v>
      </c>
      <c r="B1729" s="11" t="s">
        <v>49</v>
      </c>
      <c r="C1729" s="16" t="s">
        <v>7396</v>
      </c>
      <c r="D1729" s="16" t="s">
        <v>7397</v>
      </c>
      <c r="E1729" s="38">
        <v>22858</v>
      </c>
      <c r="F1729" s="38"/>
      <c r="G1729" s="10" t="s">
        <v>7398</v>
      </c>
      <c r="H1729" s="22" t="s">
        <v>7399</v>
      </c>
      <c r="I1729" s="13">
        <v>360</v>
      </c>
      <c r="J1729" s="15" t="s">
        <v>7400</v>
      </c>
      <c r="K1729" s="12"/>
      <c r="L1729" s="11" t="s">
        <v>33</v>
      </c>
      <c r="M1729" s="15" t="s">
        <v>3629</v>
      </c>
      <c r="N1729" s="17">
        <v>22000</v>
      </c>
      <c r="O1729" s="17"/>
      <c r="P1729" s="17"/>
      <c r="Q1729" s="48"/>
      <c r="R1729" s="11" t="s">
        <v>6848</v>
      </c>
      <c r="S1729" s="48"/>
      <c r="T1729" s="85" t="s">
        <v>8073</v>
      </c>
      <c r="U1729" s="88"/>
      <c r="V1729" s="32" t="s">
        <v>6642</v>
      </c>
      <c r="W1729" s="25" t="s">
        <v>7401</v>
      </c>
      <c r="X1729" s="11"/>
      <c r="Y1729" s="50" t="s">
        <v>13</v>
      </c>
      <c r="Z1729" s="50"/>
      <c r="AA1729" s="50"/>
      <c r="AB1729" s="50"/>
      <c r="AC1729" s="50"/>
      <c r="AD1729" s="50"/>
      <c r="AE1729" s="50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65"/>
      <c r="AP1729" s="69"/>
      <c r="AQ1729" s="62"/>
      <c r="AR1729" s="34"/>
    </row>
    <row r="1730" spans="1:44" customFormat="1">
      <c r="A1730" s="39">
        <v>45385</v>
      </c>
      <c r="B1730" s="11" t="s">
        <v>49</v>
      </c>
      <c r="C1730" s="16" t="s">
        <v>7403</v>
      </c>
      <c r="D1730" s="16" t="s">
        <v>7404</v>
      </c>
      <c r="E1730" s="38">
        <v>28308</v>
      </c>
      <c r="F1730" s="38"/>
      <c r="G1730" s="10" t="s">
        <v>4912</v>
      </c>
      <c r="H1730" s="22" t="s">
        <v>7405</v>
      </c>
      <c r="I1730" s="13">
        <v>25.5</v>
      </c>
      <c r="J1730" s="15" t="s">
        <v>7406</v>
      </c>
      <c r="K1730" s="12"/>
      <c r="L1730" s="11" t="s">
        <v>33</v>
      </c>
      <c r="M1730" s="15" t="s">
        <v>3629</v>
      </c>
      <c r="N1730" s="17">
        <v>22000</v>
      </c>
      <c r="O1730" s="17"/>
      <c r="P1730" s="17"/>
      <c r="Q1730" s="48"/>
      <c r="R1730" s="11" t="s">
        <v>6848</v>
      </c>
      <c r="S1730" s="48"/>
      <c r="T1730" s="85" t="s">
        <v>8073</v>
      </c>
      <c r="U1730" s="88"/>
      <c r="V1730" s="32" t="s">
        <v>6642</v>
      </c>
      <c r="W1730" s="25" t="s">
        <v>8</v>
      </c>
      <c r="X1730" s="11"/>
      <c r="Y1730" s="50" t="s">
        <v>13</v>
      </c>
      <c r="Z1730" s="50"/>
      <c r="AA1730" s="50"/>
      <c r="AB1730" s="50"/>
      <c r="AC1730" s="50"/>
      <c r="AD1730" s="50"/>
      <c r="AE1730" s="50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65"/>
      <c r="AP1730" s="69"/>
      <c r="AQ1730" s="62"/>
      <c r="AR1730" s="34"/>
    </row>
    <row r="1731" spans="1:44" customFormat="1">
      <c r="A1731" s="39">
        <v>45385</v>
      </c>
      <c r="B1731" s="11" t="s">
        <v>49</v>
      </c>
      <c r="C1731" s="16" t="s">
        <v>7407</v>
      </c>
      <c r="D1731" s="16" t="s">
        <v>7408</v>
      </c>
      <c r="E1731" s="38">
        <v>28047</v>
      </c>
      <c r="F1731" s="38"/>
      <c r="G1731" s="10" t="s">
        <v>629</v>
      </c>
      <c r="H1731" s="22" t="s">
        <v>7409</v>
      </c>
      <c r="I1731" s="13">
        <v>34.4</v>
      </c>
      <c r="J1731" s="15" t="s">
        <v>7410</v>
      </c>
      <c r="K1731" s="12"/>
      <c r="L1731" s="11" t="s">
        <v>34</v>
      </c>
      <c r="M1731" s="15" t="s">
        <v>3599</v>
      </c>
      <c r="N1731" s="17">
        <v>22000</v>
      </c>
      <c r="O1731" s="17"/>
      <c r="P1731" s="17"/>
      <c r="Q1731" s="48"/>
      <c r="R1731" s="11" t="s">
        <v>6849</v>
      </c>
      <c r="S1731" s="48"/>
      <c r="T1731" s="85" t="s">
        <v>8073</v>
      </c>
      <c r="U1731" s="88"/>
      <c r="V1731" s="32" t="s">
        <v>6642</v>
      </c>
      <c r="W1731" s="25" t="s">
        <v>8</v>
      </c>
      <c r="X1731" s="11"/>
      <c r="Y1731" s="50" t="s">
        <v>13</v>
      </c>
      <c r="Z1731" s="50"/>
      <c r="AA1731" s="50"/>
      <c r="AB1731" s="50"/>
      <c r="AC1731" s="50"/>
      <c r="AD1731" s="50"/>
      <c r="AE1731" s="50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65" t="s">
        <v>7411</v>
      </c>
      <c r="AP1731" s="69"/>
      <c r="AQ1731" s="62"/>
      <c r="AR1731" s="34"/>
    </row>
    <row r="1732" spans="1:44" customFormat="1">
      <c r="A1732" s="39">
        <v>45387</v>
      </c>
      <c r="B1732" s="11" t="s">
        <v>49</v>
      </c>
      <c r="C1732" s="16" t="s">
        <v>7412</v>
      </c>
      <c r="D1732" s="16" t="s">
        <v>7413</v>
      </c>
      <c r="E1732" s="38">
        <v>31154</v>
      </c>
      <c r="F1732" s="38"/>
      <c r="G1732" s="10" t="s">
        <v>1245</v>
      </c>
      <c r="H1732" s="12" t="s">
        <v>7414</v>
      </c>
      <c r="I1732" s="13" t="s">
        <v>2596</v>
      </c>
      <c r="J1732" s="15" t="s">
        <v>7416</v>
      </c>
      <c r="K1732" s="46" t="s">
        <v>7415</v>
      </c>
      <c r="L1732" s="11" t="s">
        <v>36</v>
      </c>
      <c r="M1732" s="15" t="s">
        <v>3584</v>
      </c>
      <c r="N1732" s="17">
        <v>16500</v>
      </c>
      <c r="O1732" s="17"/>
      <c r="P1732" s="17"/>
      <c r="Q1732" s="48"/>
      <c r="R1732" s="11" t="s">
        <v>6847</v>
      </c>
      <c r="S1732" s="48"/>
      <c r="T1732" s="85" t="s">
        <v>8073</v>
      </c>
      <c r="U1732" s="88"/>
      <c r="V1732" s="32" t="s">
        <v>6642</v>
      </c>
      <c r="W1732" s="25" t="s">
        <v>48</v>
      </c>
      <c r="X1732" s="11"/>
      <c r="Y1732" s="50" t="s">
        <v>13</v>
      </c>
      <c r="Z1732" s="50"/>
      <c r="AA1732" s="50"/>
      <c r="AB1732" s="50"/>
      <c r="AC1732" s="50"/>
      <c r="AD1732" s="50"/>
      <c r="AE1732" s="50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65"/>
      <c r="AP1732" s="69"/>
      <c r="AQ1732" s="62"/>
      <c r="AR1732" s="34"/>
    </row>
    <row r="1733" spans="1:44" customFormat="1">
      <c r="A1733" s="39">
        <v>45388</v>
      </c>
      <c r="B1733" s="11" t="s">
        <v>22</v>
      </c>
      <c r="C1733" s="16" t="s">
        <v>7417</v>
      </c>
      <c r="D1733" s="16" t="s">
        <v>7418</v>
      </c>
      <c r="E1733" s="38">
        <v>29304</v>
      </c>
      <c r="F1733" s="38"/>
      <c r="G1733" s="10" t="s">
        <v>78</v>
      </c>
      <c r="H1733" s="22" t="s">
        <v>7419</v>
      </c>
      <c r="I1733" s="13" t="s">
        <v>4722</v>
      </c>
      <c r="J1733" s="15" t="s">
        <v>7421</v>
      </c>
      <c r="K1733" s="46" t="s">
        <v>7420</v>
      </c>
      <c r="L1733" s="11" t="s">
        <v>35</v>
      </c>
      <c r="M1733" s="15" t="s">
        <v>3584</v>
      </c>
      <c r="N1733" s="17">
        <v>3300</v>
      </c>
      <c r="O1733" s="17"/>
      <c r="P1733" s="17"/>
      <c r="Q1733" s="48"/>
      <c r="R1733" s="11" t="s">
        <v>6848</v>
      </c>
      <c r="S1733" s="48"/>
      <c r="T1733" s="85" t="s">
        <v>8079</v>
      </c>
      <c r="U1733" s="88"/>
      <c r="V1733" s="32" t="s">
        <v>6642</v>
      </c>
      <c r="W1733" s="25" t="s">
        <v>4073</v>
      </c>
      <c r="X1733" s="11"/>
      <c r="Y1733" s="50"/>
      <c r="Z1733" s="50"/>
      <c r="AA1733" s="50"/>
      <c r="AB1733" s="50"/>
      <c r="AC1733" s="50"/>
      <c r="AD1733" s="50"/>
      <c r="AE1733" s="50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65" t="s">
        <v>5822</v>
      </c>
      <c r="AP1733" s="69"/>
      <c r="AQ1733" s="62" t="s">
        <v>8079</v>
      </c>
      <c r="AR1733" s="34"/>
    </row>
    <row r="1734" spans="1:44" customFormat="1">
      <c r="A1734" s="39">
        <v>45394</v>
      </c>
      <c r="B1734" s="11" t="s">
        <v>22</v>
      </c>
      <c r="C1734" s="16" t="s">
        <v>7422</v>
      </c>
      <c r="D1734" s="16" t="s">
        <v>7423</v>
      </c>
      <c r="E1734" s="38">
        <v>36732</v>
      </c>
      <c r="F1734" s="38"/>
      <c r="G1734" s="10" t="s">
        <v>1763</v>
      </c>
      <c r="H1734" s="12" t="s">
        <v>7424</v>
      </c>
      <c r="I1734" s="13">
        <v>1.7</v>
      </c>
      <c r="J1734" s="15" t="s">
        <v>7426</v>
      </c>
      <c r="K1734" s="46" t="s">
        <v>7425</v>
      </c>
      <c r="L1734" s="11" t="s">
        <v>39</v>
      </c>
      <c r="M1734" s="15" t="s">
        <v>3584</v>
      </c>
      <c r="N1734" s="17">
        <v>3300</v>
      </c>
      <c r="O1734" s="17"/>
      <c r="P1734" s="17"/>
      <c r="Q1734" s="48"/>
      <c r="R1734" s="11" t="s">
        <v>6847</v>
      </c>
      <c r="S1734" s="48"/>
      <c r="T1734" s="85"/>
      <c r="U1734" s="88"/>
      <c r="V1734" s="32" t="s">
        <v>6642</v>
      </c>
      <c r="W1734" s="25" t="s">
        <v>4073</v>
      </c>
      <c r="X1734" s="11"/>
      <c r="Y1734" s="50"/>
      <c r="Z1734" s="50"/>
      <c r="AA1734" s="50"/>
      <c r="AB1734" s="50"/>
      <c r="AC1734" s="50"/>
      <c r="AD1734" s="50"/>
      <c r="AE1734" s="50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65"/>
      <c r="AP1734" s="69"/>
      <c r="AQ1734" s="62"/>
      <c r="AR1734" s="34"/>
    </row>
    <row r="1735" spans="1:44" customFormat="1">
      <c r="A1735" s="39">
        <v>45396</v>
      </c>
      <c r="B1735" s="11" t="s">
        <v>49</v>
      </c>
      <c r="C1735" s="16" t="s">
        <v>5604</v>
      </c>
      <c r="D1735" s="16" t="s">
        <v>5993</v>
      </c>
      <c r="E1735" s="38" t="s">
        <v>7040</v>
      </c>
      <c r="F1735" s="38"/>
      <c r="G1735" s="10" t="s">
        <v>5605</v>
      </c>
      <c r="H1735" s="12" t="s">
        <v>5606</v>
      </c>
      <c r="I1735" s="13">
        <v>16.5</v>
      </c>
      <c r="J1735" s="15"/>
      <c r="K1735" s="12"/>
      <c r="L1735" s="11" t="s">
        <v>38</v>
      </c>
      <c r="M1735" s="15"/>
      <c r="N1735" s="17">
        <v>11000</v>
      </c>
      <c r="O1735" s="17"/>
      <c r="P1735" s="17"/>
      <c r="Q1735" s="48"/>
      <c r="R1735" s="11" t="s">
        <v>6847</v>
      </c>
      <c r="S1735" s="48"/>
      <c r="T1735" s="85" t="s">
        <v>8073</v>
      </c>
      <c r="U1735" s="88"/>
      <c r="V1735" s="32"/>
      <c r="W1735" s="25"/>
      <c r="X1735" s="11"/>
      <c r="Y1735" s="50"/>
      <c r="Z1735" s="50"/>
      <c r="AA1735" s="50"/>
      <c r="AB1735" s="50"/>
      <c r="AC1735" s="50"/>
      <c r="AD1735" s="50"/>
      <c r="AE1735" s="50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65" t="s">
        <v>6454</v>
      </c>
      <c r="AP1735" s="69"/>
      <c r="AQ1735" s="62"/>
      <c r="AR1735" s="34"/>
    </row>
    <row r="1736" spans="1:44" customFormat="1">
      <c r="A1736" s="39">
        <v>45400</v>
      </c>
      <c r="B1736" s="11" t="s">
        <v>22</v>
      </c>
      <c r="C1736" s="16" t="s">
        <v>7427</v>
      </c>
      <c r="D1736" s="16" t="s">
        <v>7428</v>
      </c>
      <c r="E1736" s="38">
        <v>26075</v>
      </c>
      <c r="F1736" s="38"/>
      <c r="G1736" s="10" t="s">
        <v>551</v>
      </c>
      <c r="H1736" s="12" t="s">
        <v>7429</v>
      </c>
      <c r="I1736" s="13" t="s">
        <v>3089</v>
      </c>
      <c r="J1736" s="15" t="s">
        <v>7430</v>
      </c>
      <c r="K1736" s="12"/>
      <c r="L1736" s="11" t="s">
        <v>37</v>
      </c>
      <c r="M1736" s="15"/>
      <c r="N1736" s="17">
        <v>3300</v>
      </c>
      <c r="O1736" s="17"/>
      <c r="P1736" s="17"/>
      <c r="Q1736" s="48"/>
      <c r="R1736" s="11" t="s">
        <v>6847</v>
      </c>
      <c r="S1736" s="48"/>
      <c r="T1736" s="85"/>
      <c r="U1736" s="88" t="s">
        <v>7438</v>
      </c>
      <c r="V1736" s="32" t="s">
        <v>7431</v>
      </c>
      <c r="W1736" s="25" t="s">
        <v>4073</v>
      </c>
      <c r="X1736" s="11"/>
      <c r="Y1736" s="50"/>
      <c r="Z1736" s="50"/>
      <c r="AA1736" s="50"/>
      <c r="AB1736" s="50"/>
      <c r="AC1736" s="50"/>
      <c r="AD1736" s="50"/>
      <c r="AE1736" s="50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65"/>
      <c r="AP1736" s="69"/>
      <c r="AQ1736" s="62"/>
      <c r="AR1736" s="34" t="s">
        <v>7438</v>
      </c>
    </row>
    <row r="1737" spans="1:44" customFormat="1">
      <c r="A1737" s="39">
        <v>45401</v>
      </c>
      <c r="B1737" s="11" t="s">
        <v>22</v>
      </c>
      <c r="C1737" s="16" t="s">
        <v>7432</v>
      </c>
      <c r="D1737" s="16" t="s">
        <v>7433</v>
      </c>
      <c r="E1737" s="38">
        <v>29605</v>
      </c>
      <c r="F1737" s="38"/>
      <c r="G1737" s="10" t="s">
        <v>6567</v>
      </c>
      <c r="H1737" s="22" t="s">
        <v>7436</v>
      </c>
      <c r="I1737" s="13">
        <v>8.1</v>
      </c>
      <c r="J1737" s="15" t="s">
        <v>7435</v>
      </c>
      <c r="K1737" s="46" t="s">
        <v>7434</v>
      </c>
      <c r="L1737" s="11" t="s">
        <v>36</v>
      </c>
      <c r="M1737" s="15" t="s">
        <v>3584</v>
      </c>
      <c r="N1737" s="17">
        <v>3300</v>
      </c>
      <c r="O1737" s="17"/>
      <c r="P1737" s="17"/>
      <c r="Q1737" s="48"/>
      <c r="R1737" s="11" t="s">
        <v>6847</v>
      </c>
      <c r="S1737" s="48"/>
      <c r="T1737" s="85" t="s">
        <v>8079</v>
      </c>
      <c r="U1737" s="88"/>
      <c r="V1737" s="32" t="s">
        <v>6642</v>
      </c>
      <c r="W1737" s="25" t="s">
        <v>48</v>
      </c>
      <c r="X1737" s="11"/>
      <c r="Y1737" s="50"/>
      <c r="Z1737" s="50"/>
      <c r="AA1737" s="50"/>
      <c r="AB1737" s="50"/>
      <c r="AC1737" s="50"/>
      <c r="AD1737" s="50"/>
      <c r="AE1737" s="50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65" t="s">
        <v>5822</v>
      </c>
      <c r="AP1737" s="69"/>
      <c r="AQ1737" s="62" t="s">
        <v>8079</v>
      </c>
      <c r="AR1737" s="34"/>
    </row>
    <row r="1738" spans="1:44" customFormat="1">
      <c r="A1738" s="39">
        <v>45402</v>
      </c>
      <c r="B1738" s="11" t="s">
        <v>22</v>
      </c>
      <c r="C1738" s="16" t="s">
        <v>7439</v>
      </c>
      <c r="D1738" s="16" t="s">
        <v>7440</v>
      </c>
      <c r="E1738" s="38">
        <v>21959</v>
      </c>
      <c r="F1738" s="38"/>
      <c r="G1738" s="10" t="s">
        <v>7441</v>
      </c>
      <c r="H1738" s="22" t="s">
        <v>7442</v>
      </c>
      <c r="I1738" s="13">
        <v>57.5</v>
      </c>
      <c r="J1738" s="15" t="s">
        <v>7443</v>
      </c>
      <c r="K1738" s="12"/>
      <c r="L1738" s="11" t="s">
        <v>36</v>
      </c>
      <c r="M1738" s="15" t="s">
        <v>3629</v>
      </c>
      <c r="N1738" s="17">
        <v>3300</v>
      </c>
      <c r="O1738" s="17"/>
      <c r="P1738" s="17"/>
      <c r="Q1738" s="48"/>
      <c r="R1738" s="11" t="s">
        <v>6849</v>
      </c>
      <c r="S1738" s="48"/>
      <c r="T1738" s="85"/>
      <c r="U1738" s="88"/>
      <c r="V1738" s="32" t="s">
        <v>6642</v>
      </c>
      <c r="W1738" s="25" t="s">
        <v>8</v>
      </c>
      <c r="X1738" s="11"/>
      <c r="Y1738" s="50" t="s">
        <v>7444</v>
      </c>
      <c r="Z1738" s="50"/>
      <c r="AA1738" s="50"/>
      <c r="AB1738" s="50"/>
      <c r="AC1738" s="50"/>
      <c r="AD1738" s="50"/>
      <c r="AE1738" s="50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65" t="s">
        <v>5822</v>
      </c>
      <c r="AP1738" s="69"/>
      <c r="AQ1738" s="62"/>
      <c r="AR1738" s="34"/>
    </row>
    <row r="1739" spans="1:44" customFormat="1">
      <c r="A1739" s="39">
        <v>45403</v>
      </c>
      <c r="B1739" s="11" t="s">
        <v>2171</v>
      </c>
      <c r="C1739" s="16" t="s">
        <v>3544</v>
      </c>
      <c r="D1739" s="16" t="s">
        <v>7445</v>
      </c>
      <c r="E1739" s="38">
        <v>35424</v>
      </c>
      <c r="F1739" s="38"/>
      <c r="G1739" s="10" t="s">
        <v>3545</v>
      </c>
      <c r="H1739" s="12" t="s">
        <v>3546</v>
      </c>
      <c r="I1739" s="13" t="s">
        <v>1845</v>
      </c>
      <c r="J1739" s="15" t="s">
        <v>3548</v>
      </c>
      <c r="K1739" s="14"/>
      <c r="L1739" s="11" t="s">
        <v>35</v>
      </c>
      <c r="M1739" s="15"/>
      <c r="N1739" s="17">
        <v>3300</v>
      </c>
      <c r="O1739" s="17"/>
      <c r="P1739" s="17"/>
      <c r="Q1739" s="48"/>
      <c r="R1739" s="11" t="s">
        <v>6847</v>
      </c>
      <c r="S1739" s="48"/>
      <c r="T1739" s="85"/>
      <c r="U1739" s="88"/>
      <c r="V1739" s="32"/>
      <c r="W1739" s="25" t="s">
        <v>8</v>
      </c>
      <c r="X1739" s="11"/>
      <c r="Y1739" s="50" t="s">
        <v>12</v>
      </c>
      <c r="Z1739" s="50"/>
      <c r="AA1739" s="50"/>
      <c r="AB1739" s="50"/>
      <c r="AC1739" s="50"/>
      <c r="AD1739" s="50"/>
      <c r="AE1739" s="50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65"/>
      <c r="AP1739" s="69"/>
      <c r="AQ1739" s="62"/>
      <c r="AR1739" s="34"/>
    </row>
    <row r="1740" spans="1:44" customFormat="1">
      <c r="A1740" s="39">
        <v>45404</v>
      </c>
      <c r="B1740" s="11" t="s">
        <v>22</v>
      </c>
      <c r="C1740" s="16" t="s">
        <v>7446</v>
      </c>
      <c r="D1740" s="16" t="s">
        <v>7448</v>
      </c>
      <c r="E1740" s="38">
        <v>24554</v>
      </c>
      <c r="F1740" s="38"/>
      <c r="G1740" s="10" t="s">
        <v>617</v>
      </c>
      <c r="H1740" s="12" t="s">
        <v>7447</v>
      </c>
      <c r="I1740" s="13">
        <v>3</v>
      </c>
      <c r="J1740" s="15" t="s">
        <v>7450</v>
      </c>
      <c r="K1740" s="46" t="s">
        <v>7449</v>
      </c>
      <c r="L1740" s="11" t="s">
        <v>37</v>
      </c>
      <c r="M1740" s="15" t="s">
        <v>3629</v>
      </c>
      <c r="N1740" s="17">
        <v>3300</v>
      </c>
      <c r="O1740" s="17"/>
      <c r="P1740" s="17"/>
      <c r="Q1740" s="48"/>
      <c r="R1740" s="11" t="s">
        <v>6847</v>
      </c>
      <c r="S1740" s="48"/>
      <c r="T1740" s="85" t="s">
        <v>8079</v>
      </c>
      <c r="U1740" s="88"/>
      <c r="V1740" s="32" t="s">
        <v>6642</v>
      </c>
      <c r="W1740" s="25" t="s">
        <v>8</v>
      </c>
      <c r="X1740" s="11"/>
      <c r="Y1740" s="50" t="s">
        <v>17</v>
      </c>
      <c r="Z1740" s="50"/>
      <c r="AA1740" s="50"/>
      <c r="AB1740" s="50"/>
      <c r="AC1740" s="50"/>
      <c r="AD1740" s="50"/>
      <c r="AE1740" s="50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65" t="s">
        <v>5804</v>
      </c>
      <c r="AP1740" s="69"/>
      <c r="AQ1740" s="62" t="s">
        <v>8079</v>
      </c>
      <c r="AR1740" s="34"/>
    </row>
    <row r="1741" spans="1:44" customFormat="1">
      <c r="A1741" s="39">
        <v>45404</v>
      </c>
      <c r="B1741" s="11" t="s">
        <v>49</v>
      </c>
      <c r="C1741" s="16" t="s">
        <v>6893</v>
      </c>
      <c r="D1741" s="16" t="s">
        <v>6894</v>
      </c>
      <c r="E1741" s="38" t="s">
        <v>7040</v>
      </c>
      <c r="F1741" s="38"/>
      <c r="G1741" s="10" t="s">
        <v>6415</v>
      </c>
      <c r="H1741" s="22" t="s">
        <v>6895</v>
      </c>
      <c r="I1741" s="13">
        <v>5</v>
      </c>
      <c r="J1741" s="15" t="s">
        <v>6896</v>
      </c>
      <c r="K1741" s="46" t="s">
        <v>6901</v>
      </c>
      <c r="L1741" s="11" t="s">
        <v>33</v>
      </c>
      <c r="M1741" s="15" t="s">
        <v>3599</v>
      </c>
      <c r="N1741" s="17">
        <v>11000</v>
      </c>
      <c r="O1741" s="17"/>
      <c r="P1741" s="17"/>
      <c r="Q1741" s="48"/>
      <c r="R1741" s="11" t="s">
        <v>6847</v>
      </c>
      <c r="S1741" s="48"/>
      <c r="T1741" s="85"/>
      <c r="U1741" s="88"/>
      <c r="V1741" s="32"/>
      <c r="W1741" s="25"/>
      <c r="X1741" s="11"/>
      <c r="Y1741" s="50"/>
      <c r="Z1741" s="50"/>
      <c r="AA1741" s="50"/>
      <c r="AB1741" s="50"/>
      <c r="AC1741" s="50"/>
      <c r="AD1741" s="50"/>
      <c r="AE1741" s="50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65"/>
      <c r="AP1741" s="69"/>
      <c r="AQ1741" s="62"/>
      <c r="AR1741" s="34"/>
    </row>
    <row r="1742" spans="1:44" customFormat="1">
      <c r="A1742" s="39">
        <v>45409</v>
      </c>
      <c r="B1742" s="11" t="s">
        <v>49</v>
      </c>
      <c r="C1742" s="16" t="s">
        <v>4840</v>
      </c>
      <c r="D1742" s="16" t="s">
        <v>7451</v>
      </c>
      <c r="E1742" s="38">
        <v>25788</v>
      </c>
      <c r="F1742" s="38"/>
      <c r="G1742" s="10" t="s">
        <v>2984</v>
      </c>
      <c r="H1742" s="22" t="s">
        <v>7452</v>
      </c>
      <c r="I1742" s="13">
        <v>3.8</v>
      </c>
      <c r="J1742" s="15" t="s">
        <v>7453</v>
      </c>
      <c r="K1742" s="12"/>
      <c r="L1742" s="11" t="s">
        <v>36</v>
      </c>
      <c r="M1742" s="15" t="s">
        <v>3599</v>
      </c>
      <c r="N1742" s="17">
        <v>0</v>
      </c>
      <c r="O1742" s="17"/>
      <c r="P1742" s="17"/>
      <c r="Q1742" s="48"/>
      <c r="R1742" s="11" t="s">
        <v>6849</v>
      </c>
      <c r="S1742" s="48"/>
      <c r="T1742" s="85" t="s">
        <v>8073</v>
      </c>
      <c r="U1742" s="88"/>
      <c r="V1742" s="32"/>
      <c r="W1742" s="25" t="s">
        <v>8</v>
      </c>
      <c r="X1742" s="11"/>
      <c r="Y1742" s="50" t="s">
        <v>5441</v>
      </c>
      <c r="Z1742" s="50"/>
      <c r="AA1742" s="50"/>
      <c r="AB1742" s="50"/>
      <c r="AC1742" s="50"/>
      <c r="AD1742" s="50"/>
      <c r="AE1742" s="50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65"/>
      <c r="AP1742" s="69"/>
      <c r="AQ1742" s="62"/>
      <c r="AR1742" s="34"/>
    </row>
    <row r="1743" spans="1:44" customFormat="1">
      <c r="A1743" s="39">
        <v>45409</v>
      </c>
      <c r="B1743" s="11" t="s">
        <v>49</v>
      </c>
      <c r="C1743" s="16" t="s">
        <v>7454</v>
      </c>
      <c r="D1743" s="16" t="s">
        <v>7455</v>
      </c>
      <c r="E1743" s="38">
        <v>28604</v>
      </c>
      <c r="F1743" s="38"/>
      <c r="G1743" s="10" t="s">
        <v>760</v>
      </c>
      <c r="H1743" s="12" t="s">
        <v>7456</v>
      </c>
      <c r="I1743" s="13">
        <v>12</v>
      </c>
      <c r="J1743" s="15" t="s">
        <v>7457</v>
      </c>
      <c r="K1743" s="12"/>
      <c r="L1743" s="11" t="s">
        <v>36</v>
      </c>
      <c r="M1743" s="15" t="s">
        <v>3629</v>
      </c>
      <c r="N1743" s="17">
        <v>16500</v>
      </c>
      <c r="O1743" s="17"/>
      <c r="P1743" s="17"/>
      <c r="Q1743" s="48"/>
      <c r="R1743" s="11" t="s">
        <v>6847</v>
      </c>
      <c r="S1743" s="48"/>
      <c r="T1743" s="85"/>
      <c r="U1743" s="88"/>
      <c r="V1743" s="32" t="s">
        <v>6642</v>
      </c>
      <c r="W1743" s="25" t="s">
        <v>8</v>
      </c>
      <c r="X1743" s="11"/>
      <c r="Y1743" s="50" t="s">
        <v>13</v>
      </c>
      <c r="Z1743" s="50"/>
      <c r="AA1743" s="50"/>
      <c r="AB1743" s="50"/>
      <c r="AC1743" s="50"/>
      <c r="AD1743" s="50"/>
      <c r="AE1743" s="50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65"/>
      <c r="AP1743" s="69"/>
      <c r="AQ1743" s="62"/>
      <c r="AR1743" s="34"/>
    </row>
    <row r="1744" spans="1:44" customFormat="1">
      <c r="A1744" s="39">
        <v>45410</v>
      </c>
      <c r="B1744" s="11" t="s">
        <v>49</v>
      </c>
      <c r="C1744" s="16" t="s">
        <v>7458</v>
      </c>
      <c r="D1744" s="16" t="s">
        <v>7459</v>
      </c>
      <c r="E1744" s="38">
        <v>29090</v>
      </c>
      <c r="F1744" s="38"/>
      <c r="G1744" s="10" t="s">
        <v>7460</v>
      </c>
      <c r="H1744" s="12" t="s">
        <v>7461</v>
      </c>
      <c r="I1744" s="13" t="s">
        <v>1696</v>
      </c>
      <c r="J1744" s="15" t="s">
        <v>7462</v>
      </c>
      <c r="K1744" s="12"/>
      <c r="L1744" s="11" t="s">
        <v>36</v>
      </c>
      <c r="M1744" s="15"/>
      <c r="N1744" s="17">
        <v>22000</v>
      </c>
      <c r="O1744" s="17"/>
      <c r="P1744" s="17"/>
      <c r="Q1744" s="48"/>
      <c r="R1744" s="11" t="s">
        <v>6849</v>
      </c>
      <c r="S1744" s="48"/>
      <c r="T1744" s="85" t="s">
        <v>8073</v>
      </c>
      <c r="U1744" s="88"/>
      <c r="V1744" s="32"/>
      <c r="W1744" s="25" t="s">
        <v>48</v>
      </c>
      <c r="X1744" s="11"/>
      <c r="Y1744" s="50" t="s">
        <v>12</v>
      </c>
      <c r="Z1744" s="50"/>
      <c r="AA1744" s="50"/>
      <c r="AB1744" s="50"/>
      <c r="AC1744" s="50"/>
      <c r="AD1744" s="50"/>
      <c r="AE1744" s="50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65"/>
      <c r="AP1744" s="69"/>
      <c r="AQ1744" s="62"/>
      <c r="AR1744" s="34"/>
    </row>
    <row r="1745" spans="1:44" customFormat="1">
      <c r="A1745" s="39">
        <v>45410</v>
      </c>
      <c r="B1745" s="11" t="s">
        <v>49</v>
      </c>
      <c r="C1745" s="16" t="s">
        <v>7463</v>
      </c>
      <c r="D1745" s="16" t="s">
        <v>7464</v>
      </c>
      <c r="E1745" s="38">
        <v>29160</v>
      </c>
      <c r="F1745" s="38"/>
      <c r="G1745" s="10" t="s">
        <v>7465</v>
      </c>
      <c r="H1745" s="12" t="s">
        <v>7466</v>
      </c>
      <c r="I1745" s="13" t="s">
        <v>7467</v>
      </c>
      <c r="J1745" s="15" t="s">
        <v>7468</v>
      </c>
      <c r="K1745" s="12"/>
      <c r="L1745" s="11" t="s">
        <v>36</v>
      </c>
      <c r="M1745" s="15" t="s">
        <v>3680</v>
      </c>
      <c r="N1745" s="17">
        <v>16500</v>
      </c>
      <c r="O1745" s="17"/>
      <c r="P1745" s="17"/>
      <c r="Q1745" s="48"/>
      <c r="R1745" s="11" t="s">
        <v>6849</v>
      </c>
      <c r="S1745" s="48"/>
      <c r="T1745" s="85" t="s">
        <v>8073</v>
      </c>
      <c r="U1745" s="88"/>
      <c r="V1745" s="32" t="s">
        <v>6642</v>
      </c>
      <c r="W1745" s="25"/>
      <c r="X1745" s="11"/>
      <c r="Y1745" s="50" t="s">
        <v>13</v>
      </c>
      <c r="Z1745" s="50"/>
      <c r="AA1745" s="50"/>
      <c r="AB1745" s="50"/>
      <c r="AC1745" s="50"/>
      <c r="AD1745" s="50"/>
      <c r="AE1745" s="50"/>
      <c r="AF1745" s="34" t="s">
        <v>15</v>
      </c>
      <c r="AG1745" s="34"/>
      <c r="AH1745" s="34"/>
      <c r="AI1745" s="34"/>
      <c r="AJ1745" s="34"/>
      <c r="AK1745" s="34"/>
      <c r="AL1745" s="34"/>
      <c r="AM1745" s="34"/>
      <c r="AN1745" s="34"/>
      <c r="AO1745" s="65"/>
      <c r="AP1745" s="69"/>
      <c r="AQ1745" s="62"/>
      <c r="AR1745" s="34"/>
    </row>
    <row r="1746" spans="1:44" customFormat="1">
      <c r="A1746" s="39">
        <v>45410</v>
      </c>
      <c r="B1746" s="11" t="s">
        <v>22</v>
      </c>
      <c r="C1746" s="16" t="s">
        <v>7469</v>
      </c>
      <c r="D1746" s="16" t="s">
        <v>7470</v>
      </c>
      <c r="E1746" s="38">
        <v>24916</v>
      </c>
      <c r="F1746" s="38"/>
      <c r="G1746" s="10" t="s">
        <v>682</v>
      </c>
      <c r="H1746" s="12" t="s">
        <v>7471</v>
      </c>
      <c r="I1746" s="13" t="s">
        <v>3099</v>
      </c>
      <c r="J1746" s="15" t="s">
        <v>7476</v>
      </c>
      <c r="K1746" s="46" t="s">
        <v>7472</v>
      </c>
      <c r="L1746" s="11" t="s">
        <v>36</v>
      </c>
      <c r="M1746" s="15" t="s">
        <v>3629</v>
      </c>
      <c r="N1746" s="17">
        <v>3300</v>
      </c>
      <c r="O1746" s="17"/>
      <c r="P1746" s="17"/>
      <c r="Q1746" s="48"/>
      <c r="R1746" s="11" t="s">
        <v>6847</v>
      </c>
      <c r="S1746" s="48"/>
      <c r="T1746" s="85" t="s">
        <v>8079</v>
      </c>
      <c r="U1746" s="88"/>
      <c r="V1746" s="32"/>
      <c r="W1746" s="25" t="s">
        <v>48</v>
      </c>
      <c r="X1746" s="11"/>
      <c r="Y1746" s="50"/>
      <c r="Z1746" s="50"/>
      <c r="AA1746" s="50"/>
      <c r="AB1746" s="50"/>
      <c r="AC1746" s="50"/>
      <c r="AD1746" s="50"/>
      <c r="AE1746" s="50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65"/>
      <c r="AP1746" s="69"/>
      <c r="AQ1746" s="62" t="s">
        <v>8079</v>
      </c>
      <c r="AR1746" s="34"/>
    </row>
    <row r="1747" spans="1:44" customFormat="1">
      <c r="A1747" s="39">
        <v>45411</v>
      </c>
      <c r="B1747" s="11" t="s">
        <v>49</v>
      </c>
      <c r="C1747" s="16" t="s">
        <v>7473</v>
      </c>
      <c r="D1747" s="16" t="s">
        <v>7474</v>
      </c>
      <c r="E1747" s="38">
        <v>26652</v>
      </c>
      <c r="F1747" s="38"/>
      <c r="G1747" s="10" t="s">
        <v>5555</v>
      </c>
      <c r="H1747" s="22" t="s">
        <v>7475</v>
      </c>
      <c r="I1747" s="13">
        <v>13.1</v>
      </c>
      <c r="J1747" s="15" t="s">
        <v>7477</v>
      </c>
      <c r="K1747" s="12"/>
      <c r="L1747" s="11"/>
      <c r="M1747" s="15" t="s">
        <v>3599</v>
      </c>
      <c r="N1747" s="17">
        <v>11000</v>
      </c>
      <c r="O1747" s="17"/>
      <c r="P1747" s="17"/>
      <c r="Q1747" s="48"/>
      <c r="R1747" s="11" t="s">
        <v>6847</v>
      </c>
      <c r="S1747" s="48"/>
      <c r="T1747" s="85" t="s">
        <v>8073</v>
      </c>
      <c r="U1747" s="88"/>
      <c r="V1747" s="32"/>
      <c r="W1747" s="25" t="s">
        <v>8</v>
      </c>
      <c r="X1747" s="11"/>
      <c r="Y1747" s="52" t="s">
        <v>7478</v>
      </c>
      <c r="Z1747" s="52"/>
      <c r="AA1747" s="52"/>
      <c r="AB1747" s="52"/>
      <c r="AC1747" s="52"/>
      <c r="AD1747" s="52"/>
      <c r="AE1747" s="52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65"/>
      <c r="AP1747" s="69"/>
      <c r="AQ1747" s="62"/>
      <c r="AR1747" s="34"/>
    </row>
    <row r="1748" spans="1:44" customFormat="1">
      <c r="A1748" s="39">
        <v>45411</v>
      </c>
      <c r="B1748" s="11" t="s">
        <v>49</v>
      </c>
      <c r="C1748" s="16" t="s">
        <v>7479</v>
      </c>
      <c r="D1748" s="16" t="s">
        <v>7480</v>
      </c>
      <c r="E1748" s="38">
        <v>22998</v>
      </c>
      <c r="F1748" s="38"/>
      <c r="G1748" s="10" t="s">
        <v>5555</v>
      </c>
      <c r="H1748" s="22" t="s">
        <v>7475</v>
      </c>
      <c r="I1748" s="13">
        <v>13.1</v>
      </c>
      <c r="J1748" s="15" t="s">
        <v>7482</v>
      </c>
      <c r="K1748" s="46" t="s">
        <v>7481</v>
      </c>
      <c r="L1748" s="11" t="s">
        <v>33</v>
      </c>
      <c r="M1748" s="15" t="s">
        <v>3584</v>
      </c>
      <c r="N1748" s="17">
        <v>11000</v>
      </c>
      <c r="O1748" s="17"/>
      <c r="P1748" s="17"/>
      <c r="Q1748" s="48"/>
      <c r="R1748" s="11" t="s">
        <v>6849</v>
      </c>
      <c r="S1748" s="48"/>
      <c r="T1748" s="85" t="s">
        <v>8073</v>
      </c>
      <c r="U1748" s="88"/>
      <c r="V1748" s="32"/>
      <c r="W1748" s="25" t="s">
        <v>8</v>
      </c>
      <c r="X1748" s="11"/>
      <c r="Y1748" s="52" t="s">
        <v>7478</v>
      </c>
      <c r="Z1748" s="52"/>
      <c r="AA1748" s="52"/>
      <c r="AB1748" s="52"/>
      <c r="AC1748" s="52"/>
      <c r="AD1748" s="52"/>
      <c r="AE1748" s="52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65"/>
      <c r="AP1748" s="69"/>
      <c r="AQ1748" s="62"/>
      <c r="AR1748" s="34"/>
    </row>
    <row r="1749" spans="1:44" customFormat="1">
      <c r="A1749" s="39">
        <v>45413</v>
      </c>
      <c r="B1749" s="11" t="s">
        <v>22</v>
      </c>
      <c r="C1749" s="16" t="s">
        <v>7483</v>
      </c>
      <c r="D1749" s="16" t="s">
        <v>7484</v>
      </c>
      <c r="E1749" s="38">
        <v>35473</v>
      </c>
      <c r="F1749" s="38"/>
      <c r="G1749" s="10" t="s">
        <v>328</v>
      </c>
      <c r="H1749" s="22" t="s">
        <v>7485</v>
      </c>
      <c r="I1749" s="13">
        <v>2</v>
      </c>
      <c r="J1749" s="15" t="s">
        <v>7486</v>
      </c>
      <c r="K1749" s="12"/>
      <c r="L1749" s="11" t="s">
        <v>36</v>
      </c>
      <c r="M1749" s="15" t="s">
        <v>3599</v>
      </c>
      <c r="N1749" s="17">
        <v>3300</v>
      </c>
      <c r="O1749" s="17"/>
      <c r="P1749" s="17"/>
      <c r="Q1749" s="48"/>
      <c r="R1749" s="11" t="s">
        <v>6849</v>
      </c>
      <c r="S1749" s="48"/>
      <c r="T1749" s="85" t="s">
        <v>8079</v>
      </c>
      <c r="U1749" s="88"/>
      <c r="V1749" s="32"/>
      <c r="W1749" s="25" t="s">
        <v>48</v>
      </c>
      <c r="X1749" s="11"/>
      <c r="Y1749" s="50"/>
      <c r="Z1749" s="50"/>
      <c r="AA1749" s="50"/>
      <c r="AB1749" s="50"/>
      <c r="AC1749" s="50"/>
      <c r="AD1749" s="50"/>
      <c r="AE1749" s="50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65" t="s">
        <v>5822</v>
      </c>
      <c r="AP1749" s="69"/>
      <c r="AQ1749" s="62" t="s">
        <v>8079</v>
      </c>
      <c r="AR1749" s="34"/>
    </row>
    <row r="1750" spans="1:44" customFormat="1">
      <c r="A1750" s="39">
        <v>45416</v>
      </c>
      <c r="B1750" s="11" t="s">
        <v>22</v>
      </c>
      <c r="C1750" s="16" t="s">
        <v>7487</v>
      </c>
      <c r="D1750" s="16" t="s">
        <v>7488</v>
      </c>
      <c r="E1750" s="38">
        <v>31962</v>
      </c>
      <c r="F1750" s="38"/>
      <c r="G1750" s="10" t="s">
        <v>406</v>
      </c>
      <c r="H1750" s="22" t="s">
        <v>7489</v>
      </c>
      <c r="I1750" s="13">
        <v>3.1</v>
      </c>
      <c r="J1750" s="15" t="s">
        <v>7491</v>
      </c>
      <c r="K1750" s="46" t="s">
        <v>7490</v>
      </c>
      <c r="L1750" s="11" t="s">
        <v>34</v>
      </c>
      <c r="M1750" s="15" t="s">
        <v>3599</v>
      </c>
      <c r="N1750" s="17">
        <v>3300</v>
      </c>
      <c r="O1750" s="17"/>
      <c r="P1750" s="17"/>
      <c r="Q1750" s="48"/>
      <c r="R1750" s="11" t="s">
        <v>6847</v>
      </c>
      <c r="S1750" s="48"/>
      <c r="T1750" s="85" t="s">
        <v>8079</v>
      </c>
      <c r="U1750" s="88"/>
      <c r="V1750" s="32" t="s">
        <v>6642</v>
      </c>
      <c r="W1750" s="25" t="s">
        <v>48</v>
      </c>
      <c r="X1750" s="11"/>
      <c r="Y1750" s="50"/>
      <c r="Z1750" s="50"/>
      <c r="AA1750" s="50"/>
      <c r="AB1750" s="50"/>
      <c r="AC1750" s="50"/>
      <c r="AD1750" s="50"/>
      <c r="AE1750" s="50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65" t="s">
        <v>5822</v>
      </c>
      <c r="AP1750" s="69"/>
      <c r="AQ1750" s="62" t="s">
        <v>8079</v>
      </c>
      <c r="AR1750" s="34"/>
    </row>
    <row r="1751" spans="1:44" customFormat="1">
      <c r="A1751" s="39">
        <v>45417</v>
      </c>
      <c r="B1751" s="11" t="s">
        <v>24</v>
      </c>
      <c r="C1751" s="16" t="s">
        <v>68</v>
      </c>
      <c r="D1751" s="16" t="s">
        <v>6839</v>
      </c>
      <c r="E1751" s="38">
        <v>23281</v>
      </c>
      <c r="F1751" s="38"/>
      <c r="G1751" s="10" t="s">
        <v>7492</v>
      </c>
      <c r="H1751" s="12" t="s">
        <v>70</v>
      </c>
      <c r="I1751" s="13" t="s">
        <v>7494</v>
      </c>
      <c r="J1751" s="15" t="s">
        <v>71</v>
      </c>
      <c r="K1751" s="12"/>
      <c r="L1751" s="11" t="s">
        <v>36</v>
      </c>
      <c r="M1751" s="15" t="s">
        <v>3599</v>
      </c>
      <c r="N1751" s="17">
        <v>8800</v>
      </c>
      <c r="O1751" s="17"/>
      <c r="P1751" s="17"/>
      <c r="Q1751" s="48"/>
      <c r="R1751" s="11"/>
      <c r="S1751" s="48"/>
      <c r="T1751" s="85"/>
      <c r="U1751" s="88"/>
      <c r="V1751" s="32"/>
      <c r="W1751" s="25" t="s">
        <v>48</v>
      </c>
      <c r="X1751" s="11"/>
      <c r="Y1751" s="50" t="s">
        <v>12</v>
      </c>
      <c r="Z1751" s="50"/>
      <c r="AA1751" s="50"/>
      <c r="AB1751" s="50"/>
      <c r="AC1751" s="50"/>
      <c r="AD1751" s="50"/>
      <c r="AE1751" s="50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65" t="s">
        <v>2389</v>
      </c>
      <c r="AP1751" s="69"/>
      <c r="AQ1751" s="62"/>
      <c r="AR1751" s="34"/>
    </row>
    <row r="1752" spans="1:44" customFormat="1">
      <c r="A1752" s="39">
        <v>45418</v>
      </c>
      <c r="B1752" s="11" t="s">
        <v>2170</v>
      </c>
      <c r="C1752" s="16" t="s">
        <v>7495</v>
      </c>
      <c r="D1752" s="16" t="s">
        <v>7496</v>
      </c>
      <c r="E1752" s="38"/>
      <c r="F1752" s="38"/>
      <c r="G1752" s="10"/>
      <c r="H1752" s="12"/>
      <c r="I1752" s="13"/>
      <c r="J1752" s="15" t="s">
        <v>1337</v>
      </c>
      <c r="K1752" s="12"/>
      <c r="L1752" s="11"/>
      <c r="M1752" s="15"/>
      <c r="N1752" s="17">
        <v>8250</v>
      </c>
      <c r="O1752" s="17"/>
      <c r="P1752" s="17"/>
      <c r="Q1752" s="48"/>
      <c r="R1752" s="11"/>
      <c r="S1752" s="48"/>
      <c r="T1752" s="85"/>
      <c r="U1752" s="88"/>
      <c r="V1752" s="32"/>
      <c r="W1752" s="25"/>
      <c r="X1752" s="11"/>
      <c r="Y1752" s="50"/>
      <c r="Z1752" s="50"/>
      <c r="AA1752" s="50"/>
      <c r="AB1752" s="50"/>
      <c r="AC1752" s="50"/>
      <c r="AD1752" s="50"/>
      <c r="AE1752" s="50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65" t="s">
        <v>2389</v>
      </c>
      <c r="AP1752" s="69"/>
      <c r="AQ1752" s="62"/>
      <c r="AR1752" s="34"/>
    </row>
    <row r="1753" spans="1:44" customFormat="1">
      <c r="A1753" s="39">
        <v>45421</v>
      </c>
      <c r="B1753" s="11" t="s">
        <v>22</v>
      </c>
      <c r="C1753" s="16" t="s">
        <v>7497</v>
      </c>
      <c r="D1753" s="16" t="s">
        <v>7498</v>
      </c>
      <c r="E1753" s="38">
        <v>24524</v>
      </c>
      <c r="F1753" s="38"/>
      <c r="G1753" s="10" t="s">
        <v>307</v>
      </c>
      <c r="H1753" s="12" t="s">
        <v>7499</v>
      </c>
      <c r="I1753" s="13">
        <v>4.3</v>
      </c>
      <c r="J1753" s="15" t="s">
        <v>7501</v>
      </c>
      <c r="K1753" s="46" t="s">
        <v>7500</v>
      </c>
      <c r="L1753" s="11" t="s">
        <v>36</v>
      </c>
      <c r="M1753" s="15" t="s">
        <v>3584</v>
      </c>
      <c r="N1753" s="17">
        <v>3300</v>
      </c>
      <c r="O1753" s="17"/>
      <c r="P1753" s="17"/>
      <c r="Q1753" s="48"/>
      <c r="R1753" s="11" t="s">
        <v>6848</v>
      </c>
      <c r="S1753" s="48"/>
      <c r="T1753" s="85" t="s">
        <v>8079</v>
      </c>
      <c r="U1753" s="88"/>
      <c r="V1753" s="32" t="s">
        <v>6642</v>
      </c>
      <c r="W1753" s="25" t="s">
        <v>4073</v>
      </c>
      <c r="X1753" s="11"/>
      <c r="Y1753" s="50" t="s">
        <v>14</v>
      </c>
      <c r="Z1753" s="50"/>
      <c r="AA1753" s="50"/>
      <c r="AB1753" s="50"/>
      <c r="AC1753" s="50"/>
      <c r="AD1753" s="50"/>
      <c r="AE1753" s="50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65" t="s">
        <v>5804</v>
      </c>
      <c r="AP1753" s="69"/>
      <c r="AQ1753" s="62" t="s">
        <v>8079</v>
      </c>
      <c r="AR1753" s="34"/>
    </row>
    <row r="1754" spans="1:44" customFormat="1">
      <c r="A1754" s="39">
        <v>45424</v>
      </c>
      <c r="B1754" s="11" t="s">
        <v>49</v>
      </c>
      <c r="C1754" s="16" t="s">
        <v>7502</v>
      </c>
      <c r="D1754" s="16" t="s">
        <v>7503</v>
      </c>
      <c r="E1754" s="38">
        <v>26710</v>
      </c>
      <c r="F1754" s="38"/>
      <c r="G1754" s="10" t="s">
        <v>69</v>
      </c>
      <c r="H1754" s="12" t="s">
        <v>7504</v>
      </c>
      <c r="I1754" s="13" t="s">
        <v>1687</v>
      </c>
      <c r="J1754" s="15" t="s">
        <v>7506</v>
      </c>
      <c r="K1754" s="46" t="s">
        <v>7505</v>
      </c>
      <c r="L1754" s="11" t="s">
        <v>36</v>
      </c>
      <c r="M1754" s="15" t="s">
        <v>3584</v>
      </c>
      <c r="N1754" s="17">
        <v>16500</v>
      </c>
      <c r="O1754" s="17"/>
      <c r="P1754" s="17"/>
      <c r="Q1754" s="48"/>
      <c r="R1754" s="11" t="s">
        <v>6849</v>
      </c>
      <c r="S1754" s="48"/>
      <c r="T1754" s="85"/>
      <c r="U1754" s="88"/>
      <c r="V1754" s="32" t="s">
        <v>6642</v>
      </c>
      <c r="W1754" s="25" t="s">
        <v>8</v>
      </c>
      <c r="X1754" s="11"/>
      <c r="Y1754" s="50" t="s">
        <v>13</v>
      </c>
      <c r="Z1754" s="50"/>
      <c r="AA1754" s="50"/>
      <c r="AB1754" s="50"/>
      <c r="AC1754" s="50"/>
      <c r="AD1754" s="50"/>
      <c r="AE1754" s="50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65"/>
      <c r="AP1754" s="69"/>
      <c r="AQ1754" s="62"/>
      <c r="AR1754" s="34"/>
    </row>
    <row r="1755" spans="1:44" customFormat="1">
      <c r="A1755" s="39">
        <v>45424</v>
      </c>
      <c r="B1755" s="11" t="s">
        <v>49</v>
      </c>
      <c r="C1755" s="16" t="s">
        <v>7507</v>
      </c>
      <c r="D1755" s="16" t="s">
        <v>7508</v>
      </c>
      <c r="E1755" s="38">
        <v>40213</v>
      </c>
      <c r="F1755" s="38"/>
      <c r="G1755" s="10" t="s">
        <v>7509</v>
      </c>
      <c r="H1755" s="12" t="s">
        <v>7510</v>
      </c>
      <c r="I1755" s="13"/>
      <c r="J1755" s="15" t="s">
        <v>7512</v>
      </c>
      <c r="K1755" s="46" t="s">
        <v>7511</v>
      </c>
      <c r="L1755" s="11" t="s">
        <v>33</v>
      </c>
      <c r="M1755" s="15" t="s">
        <v>3584</v>
      </c>
      <c r="N1755" s="17">
        <v>16500</v>
      </c>
      <c r="O1755" s="17"/>
      <c r="P1755" s="17"/>
      <c r="Q1755" s="48"/>
      <c r="R1755" s="11" t="s">
        <v>6847</v>
      </c>
      <c r="S1755" s="48"/>
      <c r="T1755" s="85" t="s">
        <v>8073</v>
      </c>
      <c r="U1755" s="88"/>
      <c r="V1755" s="32" t="s">
        <v>6650</v>
      </c>
      <c r="W1755" s="25" t="s">
        <v>8</v>
      </c>
      <c r="X1755" s="11"/>
      <c r="Y1755" s="50" t="s">
        <v>13</v>
      </c>
      <c r="Z1755" s="50"/>
      <c r="AA1755" s="50"/>
      <c r="AB1755" s="50"/>
      <c r="AC1755" s="50"/>
      <c r="AD1755" s="50"/>
      <c r="AE1755" s="50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65"/>
      <c r="AP1755" s="69"/>
      <c r="AQ1755" s="62"/>
      <c r="AR1755" s="34"/>
    </row>
    <row r="1756" spans="1:44" customFormat="1">
      <c r="A1756" s="39">
        <v>45427</v>
      </c>
      <c r="B1756" s="11" t="s">
        <v>49</v>
      </c>
      <c r="C1756" s="16" t="s">
        <v>7515</v>
      </c>
      <c r="D1756" s="16" t="s">
        <v>7516</v>
      </c>
      <c r="E1756" s="38" t="s">
        <v>7040</v>
      </c>
      <c r="F1756" s="38"/>
      <c r="G1756" s="10"/>
      <c r="H1756" s="12"/>
      <c r="I1756" s="13"/>
      <c r="J1756" s="15"/>
      <c r="K1756" s="46"/>
      <c r="L1756" s="11"/>
      <c r="M1756" s="15"/>
      <c r="N1756" s="17">
        <v>0</v>
      </c>
      <c r="O1756" s="17"/>
      <c r="P1756" s="17"/>
      <c r="Q1756" s="48"/>
      <c r="R1756" s="11" t="s">
        <v>6849</v>
      </c>
      <c r="S1756" s="48"/>
      <c r="T1756" s="85" t="s">
        <v>8073</v>
      </c>
      <c r="U1756" s="88"/>
      <c r="V1756" s="32"/>
      <c r="W1756" s="25"/>
      <c r="X1756" s="11"/>
      <c r="Y1756" s="50"/>
      <c r="Z1756" s="50"/>
      <c r="AA1756" s="50"/>
      <c r="AB1756" s="50"/>
      <c r="AC1756" s="50"/>
      <c r="AD1756" s="50"/>
      <c r="AE1756" s="50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66" t="s">
        <v>7517</v>
      </c>
      <c r="AP1756" s="69"/>
      <c r="AQ1756" s="62"/>
      <c r="AR1756" s="34"/>
    </row>
    <row r="1757" spans="1:44" customFormat="1">
      <c r="A1757" s="39">
        <v>45427</v>
      </c>
      <c r="B1757" s="11" t="s">
        <v>49</v>
      </c>
      <c r="C1757" s="16" t="s">
        <v>3588</v>
      </c>
      <c r="D1757" s="16" t="s">
        <v>7513</v>
      </c>
      <c r="E1757" s="38" t="s">
        <v>7040</v>
      </c>
      <c r="F1757" s="38"/>
      <c r="G1757" s="10" t="s">
        <v>999</v>
      </c>
      <c r="H1757" s="12" t="s">
        <v>3589</v>
      </c>
      <c r="I1757" s="13" t="s">
        <v>3590</v>
      </c>
      <c r="J1757" s="15" t="s">
        <v>7514</v>
      </c>
      <c r="K1757" s="14" t="s">
        <v>3591</v>
      </c>
      <c r="L1757" s="11" t="s">
        <v>33</v>
      </c>
      <c r="M1757" s="15" t="s">
        <v>3584</v>
      </c>
      <c r="N1757" s="17">
        <v>11000</v>
      </c>
      <c r="O1757" s="17"/>
      <c r="P1757" s="17"/>
      <c r="Q1757" s="48"/>
      <c r="R1757" s="11" t="s">
        <v>7518</v>
      </c>
      <c r="S1757" s="48"/>
      <c r="T1757" s="85" t="s">
        <v>8073</v>
      </c>
      <c r="U1757" s="88"/>
      <c r="V1757" s="32"/>
      <c r="W1757" s="25"/>
      <c r="X1757" s="11"/>
      <c r="Y1757" s="50"/>
      <c r="Z1757" s="50"/>
      <c r="AA1757" s="50"/>
      <c r="AB1757" s="50"/>
      <c r="AC1757" s="50"/>
      <c r="AD1757" s="50"/>
      <c r="AE1757" s="50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65"/>
      <c r="AP1757" s="69"/>
      <c r="AQ1757" s="62"/>
      <c r="AR1757" s="34"/>
    </row>
    <row r="1758" spans="1:44" customFormat="1">
      <c r="A1758" s="39">
        <v>45428</v>
      </c>
      <c r="B1758" s="11" t="s">
        <v>49</v>
      </c>
      <c r="C1758" s="16" t="s">
        <v>7519</v>
      </c>
      <c r="D1758" s="16" t="s">
        <v>7520</v>
      </c>
      <c r="E1758" s="38">
        <v>34456</v>
      </c>
      <c r="F1758" s="38"/>
      <c r="G1758" s="10" t="s">
        <v>7521</v>
      </c>
      <c r="H1758" s="22" t="s">
        <v>7522</v>
      </c>
      <c r="I1758" s="13">
        <v>3.9</v>
      </c>
      <c r="J1758" s="15" t="s">
        <v>7523</v>
      </c>
      <c r="K1758" s="12"/>
      <c r="L1758" s="11" t="s">
        <v>35</v>
      </c>
      <c r="M1758" s="15" t="s">
        <v>3599</v>
      </c>
      <c r="N1758" s="17">
        <v>16500</v>
      </c>
      <c r="O1758" s="17"/>
      <c r="P1758" s="17"/>
      <c r="Q1758" s="48"/>
      <c r="R1758" s="11" t="s">
        <v>6849</v>
      </c>
      <c r="S1758" s="48"/>
      <c r="T1758" s="85" t="s">
        <v>8073</v>
      </c>
      <c r="U1758" s="88"/>
      <c r="V1758" s="32"/>
      <c r="W1758" s="25" t="s">
        <v>7401</v>
      </c>
      <c r="X1758" s="11"/>
      <c r="Y1758" s="50" t="s">
        <v>13</v>
      </c>
      <c r="Z1758" s="50"/>
      <c r="AA1758" s="50"/>
      <c r="AB1758" s="50"/>
      <c r="AC1758" s="50"/>
      <c r="AD1758" s="50"/>
      <c r="AE1758" s="50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65"/>
      <c r="AP1758" s="69"/>
      <c r="AQ1758" s="62"/>
      <c r="AR1758" s="34"/>
    </row>
    <row r="1759" spans="1:44" customFormat="1">
      <c r="A1759" s="39">
        <v>45428</v>
      </c>
      <c r="B1759" s="11" t="s">
        <v>49</v>
      </c>
      <c r="C1759" s="16" t="s">
        <v>7524</v>
      </c>
      <c r="D1759" s="16" t="s">
        <v>7525</v>
      </c>
      <c r="E1759" s="38">
        <v>22262</v>
      </c>
      <c r="F1759" s="38"/>
      <c r="G1759" s="10" t="s">
        <v>7526</v>
      </c>
      <c r="H1759" s="22" t="s">
        <v>7527</v>
      </c>
      <c r="I1759" s="13">
        <v>15</v>
      </c>
      <c r="J1759" s="15" t="s">
        <v>7528</v>
      </c>
      <c r="K1759" s="12"/>
      <c r="L1759" s="11" t="s">
        <v>34</v>
      </c>
      <c r="M1759" s="15" t="s">
        <v>3629</v>
      </c>
      <c r="N1759" s="17">
        <v>11000</v>
      </c>
      <c r="O1759" s="17"/>
      <c r="P1759" s="17"/>
      <c r="Q1759" s="48"/>
      <c r="R1759" s="11" t="s">
        <v>6847</v>
      </c>
      <c r="S1759" s="48"/>
      <c r="T1759" s="85" t="s">
        <v>8073</v>
      </c>
      <c r="U1759" s="88"/>
      <c r="V1759" s="32"/>
      <c r="W1759" s="25" t="s">
        <v>8</v>
      </c>
      <c r="X1759" s="11"/>
      <c r="Y1759" s="50" t="s">
        <v>13</v>
      </c>
      <c r="Z1759" s="50"/>
      <c r="AA1759" s="50"/>
      <c r="AB1759" s="50"/>
      <c r="AC1759" s="50"/>
      <c r="AD1759" s="50"/>
      <c r="AE1759" s="50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65" t="s">
        <v>7529</v>
      </c>
      <c r="AP1759" s="69"/>
      <c r="AQ1759" s="62"/>
      <c r="AR1759" s="34"/>
    </row>
    <row r="1760" spans="1:44" customFormat="1">
      <c r="A1760" s="39">
        <v>45428</v>
      </c>
      <c r="B1760" s="11" t="s">
        <v>22</v>
      </c>
      <c r="C1760" s="16" t="s">
        <v>7530</v>
      </c>
      <c r="D1760" s="16" t="s">
        <v>7531</v>
      </c>
      <c r="E1760" s="38">
        <v>23436</v>
      </c>
      <c r="F1760" s="38"/>
      <c r="G1760" s="10" t="s">
        <v>610</v>
      </c>
      <c r="H1760" s="22" t="s">
        <v>7532</v>
      </c>
      <c r="I1760" s="13">
        <v>7.2</v>
      </c>
      <c r="J1760" s="15" t="s">
        <v>7534</v>
      </c>
      <c r="K1760" s="46" t="s">
        <v>7533</v>
      </c>
      <c r="L1760" s="11" t="s">
        <v>34</v>
      </c>
      <c r="M1760" s="15" t="s">
        <v>3584</v>
      </c>
      <c r="N1760" s="17">
        <v>3300</v>
      </c>
      <c r="O1760" s="17"/>
      <c r="P1760" s="17"/>
      <c r="Q1760" s="48"/>
      <c r="R1760" s="11" t="s">
        <v>6847</v>
      </c>
      <c r="S1760" s="48"/>
      <c r="T1760" s="85"/>
      <c r="U1760" s="88"/>
      <c r="V1760" s="32" t="s">
        <v>6642</v>
      </c>
      <c r="W1760" s="25" t="s">
        <v>4073</v>
      </c>
      <c r="X1760" s="11"/>
      <c r="Y1760" s="50"/>
      <c r="Z1760" s="50"/>
      <c r="AA1760" s="50"/>
      <c r="AB1760" s="50"/>
      <c r="AC1760" s="50"/>
      <c r="AD1760" s="50"/>
      <c r="AE1760" s="50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65" t="s">
        <v>5822</v>
      </c>
      <c r="AP1760" s="69"/>
      <c r="AQ1760" s="62"/>
      <c r="AR1760" s="34"/>
    </row>
    <row r="1761" spans="1:44" customFormat="1">
      <c r="A1761" s="39">
        <v>45429</v>
      </c>
      <c r="B1761" s="11" t="s">
        <v>49</v>
      </c>
      <c r="C1761" s="16" t="s">
        <v>7535</v>
      </c>
      <c r="D1761" s="16" t="s">
        <v>7536</v>
      </c>
      <c r="E1761" s="38">
        <v>23756</v>
      </c>
      <c r="F1761" s="38"/>
      <c r="G1761" s="10" t="s">
        <v>7538</v>
      </c>
      <c r="H1761" s="12" t="s">
        <v>7537</v>
      </c>
      <c r="I1761" s="13" t="s">
        <v>1630</v>
      </c>
      <c r="J1761" s="15" t="s">
        <v>7540</v>
      </c>
      <c r="K1761" s="46" t="s">
        <v>7539</v>
      </c>
      <c r="L1761" s="11" t="s">
        <v>33</v>
      </c>
      <c r="M1761" s="15" t="s">
        <v>3584</v>
      </c>
      <c r="N1761" s="17">
        <v>22000</v>
      </c>
      <c r="O1761" s="17"/>
      <c r="P1761" s="17"/>
      <c r="Q1761" s="48"/>
      <c r="R1761" s="11" t="s">
        <v>6848</v>
      </c>
      <c r="S1761" s="48"/>
      <c r="T1761" s="85" t="s">
        <v>8073</v>
      </c>
      <c r="U1761" s="88"/>
      <c r="V1761" s="32" t="s">
        <v>6642</v>
      </c>
      <c r="W1761" s="25" t="s">
        <v>48</v>
      </c>
      <c r="X1761" s="11"/>
      <c r="Y1761" s="50" t="s">
        <v>13</v>
      </c>
      <c r="Z1761" s="50"/>
      <c r="AA1761" s="50"/>
      <c r="AB1761" s="50"/>
      <c r="AC1761" s="50"/>
      <c r="AD1761" s="50"/>
      <c r="AE1761" s="50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65"/>
      <c r="AP1761" s="69"/>
      <c r="AQ1761" s="62"/>
      <c r="AR1761" s="34"/>
    </row>
    <row r="1762" spans="1:44" customFormat="1">
      <c r="A1762" s="39">
        <v>45430</v>
      </c>
      <c r="B1762" s="11" t="s">
        <v>49</v>
      </c>
      <c r="C1762" s="16" t="s">
        <v>7541</v>
      </c>
      <c r="D1762" s="16" t="s">
        <v>7542</v>
      </c>
      <c r="E1762" s="38">
        <v>25393</v>
      </c>
      <c r="F1762" s="38"/>
      <c r="G1762" s="10" t="s">
        <v>7543</v>
      </c>
      <c r="H1762" s="22" t="s">
        <v>7544</v>
      </c>
      <c r="I1762" s="13">
        <v>84.2</v>
      </c>
      <c r="J1762" s="15" t="s">
        <v>7545</v>
      </c>
      <c r="K1762" s="12"/>
      <c r="L1762" s="11" t="s">
        <v>33</v>
      </c>
      <c r="M1762" s="15" t="s">
        <v>3629</v>
      </c>
      <c r="N1762" s="17">
        <v>16500</v>
      </c>
      <c r="O1762" s="17"/>
      <c r="P1762" s="17"/>
      <c r="Q1762" s="48"/>
      <c r="R1762" s="11"/>
      <c r="S1762" s="48"/>
      <c r="T1762" s="85" t="s">
        <v>8073</v>
      </c>
      <c r="U1762" s="88"/>
      <c r="V1762" s="32"/>
      <c r="W1762" s="25" t="s">
        <v>8</v>
      </c>
      <c r="X1762" s="11"/>
      <c r="Y1762" s="50" t="s">
        <v>13</v>
      </c>
      <c r="Z1762" s="50"/>
      <c r="AA1762" s="50"/>
      <c r="AB1762" s="50"/>
      <c r="AC1762" s="50"/>
      <c r="AD1762" s="50"/>
      <c r="AE1762" s="50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65"/>
      <c r="AP1762" s="69"/>
      <c r="AQ1762" s="62"/>
      <c r="AR1762" s="34"/>
    </row>
    <row r="1763" spans="1:44" customFormat="1">
      <c r="A1763" s="39">
        <v>45432</v>
      </c>
      <c r="B1763" s="11" t="s">
        <v>22</v>
      </c>
      <c r="C1763" s="16" t="s">
        <v>7546</v>
      </c>
      <c r="D1763" s="16" t="s">
        <v>7547</v>
      </c>
      <c r="E1763" s="38">
        <v>32111</v>
      </c>
      <c r="F1763" s="38"/>
      <c r="G1763" s="10" t="s">
        <v>293</v>
      </c>
      <c r="H1763" s="12" t="s">
        <v>7548</v>
      </c>
      <c r="I1763" s="13">
        <v>4.7</v>
      </c>
      <c r="J1763" s="15" t="s">
        <v>7549</v>
      </c>
      <c r="K1763" s="12"/>
      <c r="L1763" s="11" t="s">
        <v>34</v>
      </c>
      <c r="M1763" s="15" t="s">
        <v>3599</v>
      </c>
      <c r="N1763" s="17">
        <v>3300</v>
      </c>
      <c r="O1763" s="17"/>
      <c r="P1763" s="17"/>
      <c r="Q1763" s="48"/>
      <c r="R1763" s="11" t="s">
        <v>6847</v>
      </c>
      <c r="S1763" s="48"/>
      <c r="T1763" s="85" t="s">
        <v>8079</v>
      </c>
      <c r="U1763" s="88"/>
      <c r="V1763" s="32" t="s">
        <v>6642</v>
      </c>
      <c r="W1763" s="25" t="s">
        <v>48</v>
      </c>
      <c r="X1763" s="11"/>
      <c r="Y1763" s="50" t="s">
        <v>12</v>
      </c>
      <c r="Z1763" s="50"/>
      <c r="AA1763" s="50"/>
      <c r="AB1763" s="50"/>
      <c r="AC1763" s="50"/>
      <c r="AD1763" s="50"/>
      <c r="AE1763" s="50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65" t="s">
        <v>5822</v>
      </c>
      <c r="AP1763" s="69"/>
      <c r="AQ1763" s="62" t="s">
        <v>8079</v>
      </c>
      <c r="AR1763" s="34"/>
    </row>
    <row r="1764" spans="1:44" customFormat="1">
      <c r="A1764" s="39">
        <v>45434</v>
      </c>
      <c r="B1764" s="11" t="s">
        <v>23</v>
      </c>
      <c r="C1764" s="16" t="s">
        <v>7550</v>
      </c>
      <c r="D1764" s="16" t="s">
        <v>7551</v>
      </c>
      <c r="E1764" s="38">
        <v>34463</v>
      </c>
      <c r="F1764" s="38"/>
      <c r="G1764" s="10" t="s">
        <v>4883</v>
      </c>
      <c r="H1764" s="12" t="s">
        <v>7552</v>
      </c>
      <c r="I1764" s="13" t="s">
        <v>7553</v>
      </c>
      <c r="J1764" s="15" t="s">
        <v>7554</v>
      </c>
      <c r="K1764" s="12"/>
      <c r="L1764" s="11" t="s">
        <v>36</v>
      </c>
      <c r="M1764" s="15" t="s">
        <v>7349</v>
      </c>
      <c r="N1764" s="17">
        <v>16500</v>
      </c>
      <c r="O1764" s="17"/>
      <c r="P1764" s="17"/>
      <c r="Q1764" s="48"/>
      <c r="R1764" s="11" t="s">
        <v>6848</v>
      </c>
      <c r="S1764" s="48"/>
      <c r="T1764" s="85" t="s">
        <v>8073</v>
      </c>
      <c r="U1764" s="88"/>
      <c r="V1764" s="32" t="s">
        <v>6642</v>
      </c>
      <c r="W1764" s="25" t="s">
        <v>8</v>
      </c>
      <c r="X1764" s="11"/>
      <c r="Y1764" s="50" t="s">
        <v>13</v>
      </c>
      <c r="Z1764" s="50"/>
      <c r="AA1764" s="50"/>
      <c r="AB1764" s="50"/>
      <c r="AC1764" s="50"/>
      <c r="AD1764" s="50"/>
      <c r="AE1764" s="50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65"/>
      <c r="AP1764" s="69"/>
      <c r="AQ1764" s="62"/>
      <c r="AR1764" s="34"/>
    </row>
    <row r="1765" spans="1:44" customFormat="1">
      <c r="A1765" s="39">
        <v>45439</v>
      </c>
      <c r="B1765" s="11" t="s">
        <v>49</v>
      </c>
      <c r="C1765" s="16" t="s">
        <v>7555</v>
      </c>
      <c r="D1765" s="16" t="s">
        <v>7556</v>
      </c>
      <c r="E1765" s="38">
        <v>29820</v>
      </c>
      <c r="F1765" s="38"/>
      <c r="G1765" s="10" t="s">
        <v>7557</v>
      </c>
      <c r="H1765" s="22" t="s">
        <v>7558</v>
      </c>
      <c r="I1765" s="13">
        <v>34.1</v>
      </c>
      <c r="J1765" s="15" t="s">
        <v>7560</v>
      </c>
      <c r="K1765" s="46" t="s">
        <v>7559</v>
      </c>
      <c r="L1765" s="11" t="s">
        <v>34</v>
      </c>
      <c r="M1765" s="15" t="s">
        <v>3584</v>
      </c>
      <c r="N1765" s="17">
        <v>16500</v>
      </c>
      <c r="O1765" s="17"/>
      <c r="P1765" s="17"/>
      <c r="Q1765" s="48"/>
      <c r="R1765" s="11" t="s">
        <v>6848</v>
      </c>
      <c r="S1765" s="48"/>
      <c r="T1765" s="85"/>
      <c r="U1765" s="88"/>
      <c r="V1765" s="32" t="s">
        <v>6642</v>
      </c>
      <c r="W1765" s="25" t="s">
        <v>48</v>
      </c>
      <c r="X1765" s="11"/>
      <c r="Y1765" s="50" t="s">
        <v>12</v>
      </c>
      <c r="Z1765" s="50"/>
      <c r="AA1765" s="50"/>
      <c r="AB1765" s="50"/>
      <c r="AC1765" s="50"/>
      <c r="AD1765" s="50"/>
      <c r="AE1765" s="50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65"/>
      <c r="AP1765" s="69"/>
      <c r="AQ1765" s="62"/>
      <c r="AR1765" s="34"/>
    </row>
    <row r="1766" spans="1:44" customFormat="1">
      <c r="A1766" s="39">
        <v>45441</v>
      </c>
      <c r="B1766" s="11" t="s">
        <v>22</v>
      </c>
      <c r="C1766" s="16" t="s">
        <v>7561</v>
      </c>
      <c r="D1766" s="16" t="s">
        <v>7562</v>
      </c>
      <c r="E1766" s="38">
        <v>22056</v>
      </c>
      <c r="F1766" s="38"/>
      <c r="G1766" s="10" t="s">
        <v>271</v>
      </c>
      <c r="H1766" s="12" t="s">
        <v>7563</v>
      </c>
      <c r="I1766" s="13" t="s">
        <v>2801</v>
      </c>
      <c r="J1766" s="15" t="s">
        <v>7565</v>
      </c>
      <c r="K1766" s="46" t="s">
        <v>7564</v>
      </c>
      <c r="L1766" s="11" t="s">
        <v>34</v>
      </c>
      <c r="M1766" s="15" t="s">
        <v>3584</v>
      </c>
      <c r="N1766" s="17">
        <v>3300</v>
      </c>
      <c r="O1766" s="17"/>
      <c r="P1766" s="17"/>
      <c r="Q1766" s="48"/>
      <c r="R1766" s="11" t="s">
        <v>6848</v>
      </c>
      <c r="S1766" s="48"/>
      <c r="T1766" s="85" t="s">
        <v>8079</v>
      </c>
      <c r="U1766" s="88"/>
      <c r="V1766" s="32" t="s">
        <v>6642</v>
      </c>
      <c r="W1766" s="25" t="s">
        <v>4073</v>
      </c>
      <c r="X1766" s="11"/>
      <c r="Y1766" s="50"/>
      <c r="Z1766" s="50"/>
      <c r="AA1766" s="50"/>
      <c r="AB1766" s="50"/>
      <c r="AC1766" s="50"/>
      <c r="AD1766" s="50"/>
      <c r="AE1766" s="50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65"/>
      <c r="AP1766" s="69"/>
      <c r="AQ1766" s="62" t="s">
        <v>8079</v>
      </c>
      <c r="AR1766" s="34"/>
    </row>
    <row r="1767" spans="1:44" customFormat="1">
      <c r="A1767" s="39">
        <v>45444</v>
      </c>
      <c r="B1767" s="11" t="s">
        <v>49</v>
      </c>
      <c r="C1767" s="16" t="s">
        <v>7686</v>
      </c>
      <c r="D1767" s="16" t="s">
        <v>3221</v>
      </c>
      <c r="E1767" s="38" t="s">
        <v>7040</v>
      </c>
      <c r="F1767" s="38"/>
      <c r="G1767" s="10"/>
      <c r="H1767" s="12"/>
      <c r="I1767" s="13"/>
      <c r="J1767" s="15"/>
      <c r="K1767" s="46"/>
      <c r="L1767" s="11"/>
      <c r="M1767" s="15"/>
      <c r="N1767" s="17">
        <v>11000</v>
      </c>
      <c r="O1767" s="17"/>
      <c r="P1767" s="17"/>
      <c r="Q1767" s="48"/>
      <c r="R1767" s="11" t="s">
        <v>6847</v>
      </c>
      <c r="S1767" s="48"/>
      <c r="T1767" s="85" t="s">
        <v>8073</v>
      </c>
      <c r="U1767" s="88"/>
      <c r="V1767" s="32"/>
      <c r="W1767" s="25"/>
      <c r="X1767" s="11"/>
      <c r="Y1767" s="50"/>
      <c r="Z1767" s="50"/>
      <c r="AA1767" s="50"/>
      <c r="AB1767" s="50"/>
      <c r="AC1767" s="50"/>
      <c r="AD1767" s="50"/>
      <c r="AE1767" s="50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65"/>
      <c r="AP1767" s="69"/>
      <c r="AQ1767" s="62"/>
      <c r="AR1767" s="34"/>
    </row>
    <row r="1768" spans="1:44" customFormat="1">
      <c r="A1768" s="39">
        <v>45444</v>
      </c>
      <c r="B1768" s="11" t="s">
        <v>49</v>
      </c>
      <c r="C1768" s="16" t="s">
        <v>7566</v>
      </c>
      <c r="D1768" s="16" t="s">
        <v>7567</v>
      </c>
      <c r="E1768" s="38">
        <v>23692</v>
      </c>
      <c r="F1768" s="38"/>
      <c r="G1768" s="10" t="s">
        <v>7568</v>
      </c>
      <c r="H1768" s="22" t="s">
        <v>7569</v>
      </c>
      <c r="I1768" s="12" t="s">
        <v>7570</v>
      </c>
      <c r="J1768" s="15" t="s">
        <v>7572</v>
      </c>
      <c r="K1768" s="46" t="s">
        <v>7571</v>
      </c>
      <c r="L1768" s="11" t="s">
        <v>36</v>
      </c>
      <c r="M1768" s="15" t="s">
        <v>3584</v>
      </c>
      <c r="N1768" s="17">
        <v>8250</v>
      </c>
      <c r="O1768" s="17"/>
      <c r="P1768" s="17"/>
      <c r="Q1768" s="48"/>
      <c r="R1768" s="11" t="s">
        <v>6849</v>
      </c>
      <c r="S1768" s="48"/>
      <c r="T1768" s="85"/>
      <c r="U1768" s="88"/>
      <c r="V1768" s="32"/>
      <c r="W1768" s="25" t="s">
        <v>8</v>
      </c>
      <c r="X1768" s="11"/>
      <c r="Y1768" s="50"/>
      <c r="Z1768" s="50"/>
      <c r="AA1768" s="50"/>
      <c r="AB1768" s="50"/>
      <c r="AC1768" s="50"/>
      <c r="AD1768" s="50"/>
      <c r="AE1768" s="50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65" t="s">
        <v>5194</v>
      </c>
      <c r="AP1768" s="69"/>
      <c r="AQ1768" s="62"/>
      <c r="AR1768" s="34"/>
    </row>
    <row r="1769" spans="1:44" customFormat="1">
      <c r="A1769" s="39">
        <v>45445</v>
      </c>
      <c r="B1769" s="11" t="s">
        <v>49</v>
      </c>
      <c r="C1769" s="16" t="s">
        <v>7573</v>
      </c>
      <c r="D1769" s="16" t="s">
        <v>7574</v>
      </c>
      <c r="E1769" s="38" t="s">
        <v>7575</v>
      </c>
      <c r="F1769" s="38"/>
      <c r="G1769" s="10" t="s">
        <v>7576</v>
      </c>
      <c r="H1769" s="12" t="s">
        <v>7577</v>
      </c>
      <c r="I1769" s="13">
        <v>26</v>
      </c>
      <c r="J1769" s="15" t="s">
        <v>7578</v>
      </c>
      <c r="K1769" s="12"/>
      <c r="L1769" s="11"/>
      <c r="M1769" s="15" t="s">
        <v>3599</v>
      </c>
      <c r="N1769" s="17">
        <v>11000</v>
      </c>
      <c r="O1769" s="17"/>
      <c r="P1769" s="17"/>
      <c r="Q1769" s="48"/>
      <c r="R1769" s="11" t="s">
        <v>6847</v>
      </c>
      <c r="S1769" s="48"/>
      <c r="T1769" s="85"/>
      <c r="U1769" s="88"/>
      <c r="V1769" s="32"/>
      <c r="W1769" s="25"/>
      <c r="X1769" s="11"/>
      <c r="Y1769" s="50"/>
      <c r="Z1769" s="50"/>
      <c r="AA1769" s="50"/>
      <c r="AB1769" s="50"/>
      <c r="AC1769" s="50"/>
      <c r="AD1769" s="50"/>
      <c r="AE1769" s="50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65" t="s">
        <v>7579</v>
      </c>
      <c r="AP1769" s="69"/>
      <c r="AQ1769" s="62"/>
      <c r="AR1769" s="34"/>
    </row>
    <row r="1770" spans="1:44" customFormat="1">
      <c r="A1770" s="39">
        <v>45445</v>
      </c>
      <c r="B1770" s="11" t="s">
        <v>49</v>
      </c>
      <c r="C1770" s="16" t="s">
        <v>7580</v>
      </c>
      <c r="D1770" s="16" t="s">
        <v>7581</v>
      </c>
      <c r="E1770" s="38">
        <v>28460</v>
      </c>
      <c r="F1770" s="38"/>
      <c r="G1770" s="10" t="s">
        <v>7582</v>
      </c>
      <c r="H1770" s="12" t="s">
        <v>7583</v>
      </c>
      <c r="I1770" s="13">
        <v>28</v>
      </c>
      <c r="J1770" s="15" t="s">
        <v>7585</v>
      </c>
      <c r="K1770" s="46" t="s">
        <v>7584</v>
      </c>
      <c r="L1770" s="11" t="s">
        <v>36</v>
      </c>
      <c r="M1770" s="15" t="s">
        <v>3584</v>
      </c>
      <c r="N1770" s="17">
        <v>22000</v>
      </c>
      <c r="O1770" s="17"/>
      <c r="P1770" s="17"/>
      <c r="Q1770" s="48"/>
      <c r="R1770" s="11" t="s">
        <v>6849</v>
      </c>
      <c r="S1770" s="48"/>
      <c r="T1770" s="85" t="s">
        <v>8073</v>
      </c>
      <c r="U1770" s="88"/>
      <c r="V1770" s="32" t="s">
        <v>6642</v>
      </c>
      <c r="W1770" s="25" t="s">
        <v>7401</v>
      </c>
      <c r="X1770" s="11"/>
      <c r="Y1770" s="50" t="s">
        <v>13</v>
      </c>
      <c r="Z1770" s="50"/>
      <c r="AA1770" s="50"/>
      <c r="AB1770" s="50"/>
      <c r="AC1770" s="50"/>
      <c r="AD1770" s="50"/>
      <c r="AE1770" s="50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65"/>
      <c r="AP1770" s="69"/>
      <c r="AQ1770" s="62"/>
      <c r="AR1770" s="34"/>
    </row>
    <row r="1771" spans="1:44" customFormat="1">
      <c r="A1771" s="39">
        <v>45445</v>
      </c>
      <c r="B1771" s="11" t="s">
        <v>22</v>
      </c>
      <c r="C1771" s="16" t="s">
        <v>7586</v>
      </c>
      <c r="D1771" s="16" t="s">
        <v>7587</v>
      </c>
      <c r="E1771" s="38">
        <v>28120</v>
      </c>
      <c r="F1771" s="38"/>
      <c r="G1771" s="10" t="s">
        <v>7588</v>
      </c>
      <c r="H1771" s="12" t="s">
        <v>7589</v>
      </c>
      <c r="I1771" s="13">
        <v>38</v>
      </c>
      <c r="J1771" s="15" t="s">
        <v>7590</v>
      </c>
      <c r="K1771" s="12"/>
      <c r="L1771" s="11" t="s">
        <v>36</v>
      </c>
      <c r="M1771" s="15" t="s">
        <v>3584</v>
      </c>
      <c r="N1771" s="17">
        <v>3300</v>
      </c>
      <c r="O1771" s="17"/>
      <c r="P1771" s="17"/>
      <c r="Q1771" s="48"/>
      <c r="R1771" s="11" t="s">
        <v>6847</v>
      </c>
      <c r="S1771" s="48"/>
      <c r="T1771" s="85"/>
      <c r="U1771" s="88"/>
      <c r="V1771" s="32" t="s">
        <v>6642</v>
      </c>
      <c r="W1771" s="25" t="s">
        <v>39</v>
      </c>
      <c r="X1771" s="11"/>
      <c r="Y1771" s="50" t="s">
        <v>12</v>
      </c>
      <c r="Z1771" s="50"/>
      <c r="AA1771" s="50"/>
      <c r="AB1771" s="50"/>
      <c r="AC1771" s="50"/>
      <c r="AD1771" s="50"/>
      <c r="AE1771" s="50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65"/>
      <c r="AP1771" s="69"/>
      <c r="AQ1771" s="62"/>
      <c r="AR1771" s="34"/>
    </row>
    <row r="1772" spans="1:44" customFormat="1">
      <c r="A1772" s="39">
        <v>45446</v>
      </c>
      <c r="B1772" s="11" t="s">
        <v>49</v>
      </c>
      <c r="C1772" s="16" t="s">
        <v>7591</v>
      </c>
      <c r="D1772" s="16" t="s">
        <v>7592</v>
      </c>
      <c r="E1772" s="38">
        <v>32779</v>
      </c>
      <c r="F1772" s="38"/>
      <c r="G1772" s="10" t="s">
        <v>3814</v>
      </c>
      <c r="H1772" s="12" t="s">
        <v>7593</v>
      </c>
      <c r="I1772" s="13">
        <v>4.4000000000000004</v>
      </c>
      <c r="J1772" s="15" t="s">
        <v>7594</v>
      </c>
      <c r="K1772" s="12"/>
      <c r="L1772" s="11" t="s">
        <v>34</v>
      </c>
      <c r="M1772" s="15" t="s">
        <v>3599</v>
      </c>
      <c r="N1772" s="17">
        <v>16500</v>
      </c>
      <c r="O1772" s="17"/>
      <c r="P1772" s="17"/>
      <c r="Q1772" s="48"/>
      <c r="R1772" s="11" t="s">
        <v>6848</v>
      </c>
      <c r="S1772" s="48"/>
      <c r="T1772" s="85" t="s">
        <v>8073</v>
      </c>
      <c r="U1772" s="88"/>
      <c r="V1772" s="32" t="s">
        <v>6642</v>
      </c>
      <c r="W1772" s="25" t="s">
        <v>39</v>
      </c>
      <c r="X1772" s="11"/>
      <c r="Y1772" s="50" t="s">
        <v>13</v>
      </c>
      <c r="Z1772" s="50"/>
      <c r="AA1772" s="50"/>
      <c r="AB1772" s="50"/>
      <c r="AC1772" s="50"/>
      <c r="AD1772" s="50"/>
      <c r="AE1772" s="50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65"/>
      <c r="AP1772" s="69"/>
      <c r="AQ1772" s="62"/>
      <c r="AR1772" s="34"/>
    </row>
    <row r="1773" spans="1:44" customFormat="1">
      <c r="A1773" s="39">
        <v>45448</v>
      </c>
      <c r="B1773" s="11" t="s">
        <v>22</v>
      </c>
      <c r="C1773" s="16" t="s">
        <v>7595</v>
      </c>
      <c r="D1773" s="16" t="s">
        <v>7596</v>
      </c>
      <c r="E1773" s="38">
        <v>32075</v>
      </c>
      <c r="F1773" s="38"/>
      <c r="G1773" s="10" t="s">
        <v>7597</v>
      </c>
      <c r="H1773" s="12" t="s">
        <v>7598</v>
      </c>
      <c r="I1773" s="13" t="s">
        <v>7599</v>
      </c>
      <c r="J1773" s="15" t="s">
        <v>7600</v>
      </c>
      <c r="K1773" s="12"/>
      <c r="L1773" s="11" t="s">
        <v>36</v>
      </c>
      <c r="M1773" s="15" t="s">
        <v>3599</v>
      </c>
      <c r="N1773" s="17">
        <v>3300</v>
      </c>
      <c r="O1773" s="17"/>
      <c r="P1773" s="17"/>
      <c r="Q1773" s="48"/>
      <c r="R1773" s="11" t="s">
        <v>6848</v>
      </c>
      <c r="S1773" s="48"/>
      <c r="T1773" s="85"/>
      <c r="U1773" s="88"/>
      <c r="V1773" s="32" t="s">
        <v>6642</v>
      </c>
      <c r="W1773" s="25" t="s">
        <v>48</v>
      </c>
      <c r="X1773" s="11"/>
      <c r="Y1773" s="50"/>
      <c r="Z1773" s="50"/>
      <c r="AA1773" s="50"/>
      <c r="AB1773" s="50"/>
      <c r="AC1773" s="50"/>
      <c r="AD1773" s="50"/>
      <c r="AE1773" s="50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65" t="s">
        <v>5822</v>
      </c>
      <c r="AP1773" s="69"/>
      <c r="AQ1773" s="62"/>
      <c r="AR1773" s="34"/>
    </row>
    <row r="1774" spans="1:44" customFormat="1">
      <c r="A1774" s="39">
        <v>45448</v>
      </c>
      <c r="B1774" s="11" t="s">
        <v>49</v>
      </c>
      <c r="C1774" s="16" t="s">
        <v>7519</v>
      </c>
      <c r="D1774" s="16" t="s">
        <v>7520</v>
      </c>
      <c r="E1774" s="38">
        <v>34456</v>
      </c>
      <c r="F1774" s="38"/>
      <c r="G1774" s="10" t="s">
        <v>7521</v>
      </c>
      <c r="H1774" s="22" t="s">
        <v>7522</v>
      </c>
      <c r="I1774" s="13">
        <v>3.9</v>
      </c>
      <c r="J1774" s="15" t="s">
        <v>7523</v>
      </c>
      <c r="K1774" s="12"/>
      <c r="L1774" s="11" t="s">
        <v>35</v>
      </c>
      <c r="M1774" s="15" t="s">
        <v>3599</v>
      </c>
      <c r="N1774" s="17">
        <v>16500</v>
      </c>
      <c r="O1774" s="17"/>
      <c r="P1774" s="17"/>
      <c r="Q1774" s="48"/>
      <c r="R1774" s="11" t="s">
        <v>6849</v>
      </c>
      <c r="S1774" s="48"/>
      <c r="T1774" s="85" t="s">
        <v>8073</v>
      </c>
      <c r="U1774" s="88"/>
      <c r="V1774" s="32" t="s">
        <v>7601</v>
      </c>
      <c r="W1774" s="25" t="s">
        <v>7401</v>
      </c>
      <c r="X1774" s="11"/>
      <c r="Y1774" s="50" t="s">
        <v>13</v>
      </c>
      <c r="Z1774" s="50"/>
      <c r="AA1774" s="50"/>
      <c r="AB1774" s="50"/>
      <c r="AC1774" s="50"/>
      <c r="AD1774" s="50"/>
      <c r="AE1774" s="50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65"/>
      <c r="AP1774" s="69"/>
      <c r="AQ1774" s="62"/>
      <c r="AR1774" s="34"/>
    </row>
    <row r="1775" spans="1:44" customFormat="1">
      <c r="A1775" s="39">
        <v>45449</v>
      </c>
      <c r="B1775" s="11" t="s">
        <v>22</v>
      </c>
      <c r="C1775" s="16" t="s">
        <v>7602</v>
      </c>
      <c r="D1775" s="16" t="s">
        <v>7603</v>
      </c>
      <c r="E1775" s="38">
        <v>42321</v>
      </c>
      <c r="F1775" s="38"/>
      <c r="G1775" s="10" t="s">
        <v>7604</v>
      </c>
      <c r="H1775" s="22" t="s">
        <v>7605</v>
      </c>
      <c r="I1775" s="13">
        <v>2</v>
      </c>
      <c r="J1775" s="15" t="s">
        <v>7606</v>
      </c>
      <c r="K1775" s="12"/>
      <c r="L1775" s="11" t="s">
        <v>38</v>
      </c>
      <c r="M1775" s="15" t="s">
        <v>3599</v>
      </c>
      <c r="N1775" s="17">
        <v>3300</v>
      </c>
      <c r="O1775" s="17"/>
      <c r="P1775" s="17"/>
      <c r="Q1775" s="48"/>
      <c r="R1775" s="11" t="s">
        <v>6848</v>
      </c>
      <c r="S1775" s="48"/>
      <c r="T1775" s="85" t="s">
        <v>8079</v>
      </c>
      <c r="U1775" s="88"/>
      <c r="V1775" s="32" t="s">
        <v>6642</v>
      </c>
      <c r="W1775" s="25" t="s">
        <v>48</v>
      </c>
      <c r="X1775" s="11"/>
      <c r="Y1775" s="50"/>
      <c r="Z1775" s="50"/>
      <c r="AA1775" s="50"/>
      <c r="AB1775" s="50"/>
      <c r="AC1775" s="50"/>
      <c r="AD1775" s="50"/>
      <c r="AE1775" s="50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65" t="s">
        <v>5822</v>
      </c>
      <c r="AP1775" s="69" t="s">
        <v>7607</v>
      </c>
      <c r="AQ1775" s="62" t="s">
        <v>8079</v>
      </c>
      <c r="AR1775" s="34"/>
    </row>
    <row r="1776" spans="1:44" customFormat="1">
      <c r="A1776" s="39">
        <v>45450</v>
      </c>
      <c r="B1776" s="11" t="s">
        <v>22</v>
      </c>
      <c r="C1776" s="16" t="s">
        <v>7608</v>
      </c>
      <c r="D1776" s="16" t="s">
        <v>7609</v>
      </c>
      <c r="E1776" s="38">
        <v>23795</v>
      </c>
      <c r="F1776" s="38"/>
      <c r="G1776" s="10" t="s">
        <v>7610</v>
      </c>
      <c r="H1776" s="22" t="s">
        <v>7611</v>
      </c>
      <c r="I1776" s="13">
        <v>18.5</v>
      </c>
      <c r="J1776" s="15" t="s">
        <v>7612</v>
      </c>
      <c r="K1776" s="46" t="s">
        <v>7613</v>
      </c>
      <c r="L1776" s="11" t="s">
        <v>36</v>
      </c>
      <c r="M1776" s="15" t="s">
        <v>3584</v>
      </c>
      <c r="N1776" s="17">
        <v>3300</v>
      </c>
      <c r="O1776" s="17"/>
      <c r="P1776" s="17"/>
      <c r="Q1776" s="48"/>
      <c r="R1776" s="11" t="s">
        <v>6847</v>
      </c>
      <c r="S1776" s="48"/>
      <c r="T1776" s="85" t="s">
        <v>8079</v>
      </c>
      <c r="U1776" s="88"/>
      <c r="V1776" s="32" t="s">
        <v>6642</v>
      </c>
      <c r="W1776" s="25" t="s">
        <v>8</v>
      </c>
      <c r="X1776" s="11"/>
      <c r="Y1776" s="50"/>
      <c r="Z1776" s="50"/>
      <c r="AA1776" s="50"/>
      <c r="AB1776" s="50"/>
      <c r="AC1776" s="50"/>
      <c r="AD1776" s="50"/>
      <c r="AE1776" s="50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65" t="s">
        <v>5822</v>
      </c>
      <c r="AP1776" s="69" t="s">
        <v>7614</v>
      </c>
      <c r="AQ1776" s="62" t="s">
        <v>8079</v>
      </c>
      <c r="AR1776" s="34"/>
    </row>
    <row r="1777" spans="1:44" customFormat="1">
      <c r="A1777" s="39">
        <v>45452</v>
      </c>
      <c r="B1777" s="11" t="s">
        <v>49</v>
      </c>
      <c r="C1777" s="16" t="s">
        <v>7684</v>
      </c>
      <c r="D1777" s="16" t="s">
        <v>7685</v>
      </c>
      <c r="E1777" s="38" t="s">
        <v>7040</v>
      </c>
      <c r="F1777" s="38"/>
      <c r="G1777" s="10"/>
      <c r="H1777" s="22"/>
      <c r="I1777" s="13"/>
      <c r="J1777" s="15"/>
      <c r="K1777" s="46"/>
      <c r="L1777" s="11"/>
      <c r="M1777" s="15"/>
      <c r="N1777" s="17">
        <v>11000</v>
      </c>
      <c r="O1777" s="17"/>
      <c r="P1777" s="17"/>
      <c r="Q1777" s="48"/>
      <c r="R1777" s="11" t="s">
        <v>6849</v>
      </c>
      <c r="S1777" s="48"/>
      <c r="T1777" s="85" t="s">
        <v>8073</v>
      </c>
      <c r="U1777" s="88"/>
      <c r="V1777" s="32"/>
      <c r="W1777" s="25"/>
      <c r="X1777" s="11"/>
      <c r="Y1777" s="50"/>
      <c r="Z1777" s="50"/>
      <c r="AA1777" s="50"/>
      <c r="AB1777" s="50"/>
      <c r="AC1777" s="50"/>
      <c r="AD1777" s="50"/>
      <c r="AE1777" s="50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65"/>
      <c r="AP1777" s="69"/>
      <c r="AQ1777" s="62"/>
      <c r="AR1777" s="34"/>
    </row>
    <row r="1778" spans="1:44" customFormat="1">
      <c r="A1778" s="39">
        <v>45452</v>
      </c>
      <c r="B1778" s="11" t="s">
        <v>22</v>
      </c>
      <c r="C1778" s="16" t="s">
        <v>7615</v>
      </c>
      <c r="D1778" s="16" t="s">
        <v>7618</v>
      </c>
      <c r="E1778" s="38">
        <v>34081</v>
      </c>
      <c r="F1778" s="38"/>
      <c r="G1778" s="10" t="s">
        <v>148</v>
      </c>
      <c r="H1778" s="22" t="s">
        <v>7616</v>
      </c>
      <c r="I1778" s="13">
        <v>0.2</v>
      </c>
      <c r="J1778" s="15" t="s">
        <v>7617</v>
      </c>
      <c r="K1778" s="12"/>
      <c r="L1778" s="11" t="s">
        <v>39</v>
      </c>
      <c r="M1778" s="15" t="s">
        <v>3599</v>
      </c>
      <c r="N1778" s="17">
        <v>3000</v>
      </c>
      <c r="O1778" s="17"/>
      <c r="P1778" s="17"/>
      <c r="Q1778" s="48"/>
      <c r="R1778" s="11" t="s">
        <v>6847</v>
      </c>
      <c r="S1778" s="48"/>
      <c r="T1778" s="85" t="s">
        <v>8079</v>
      </c>
      <c r="U1778" s="88"/>
      <c r="V1778" s="32" t="s">
        <v>6642</v>
      </c>
      <c r="W1778" s="25" t="s">
        <v>48</v>
      </c>
      <c r="X1778" s="11"/>
      <c r="Y1778" s="50"/>
      <c r="Z1778" s="50"/>
      <c r="AA1778" s="50"/>
      <c r="AB1778" s="50"/>
      <c r="AC1778" s="50"/>
      <c r="AD1778" s="50"/>
      <c r="AE1778" s="50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65" t="s">
        <v>5822</v>
      </c>
      <c r="AP1778" s="69"/>
      <c r="AQ1778" s="62" t="s">
        <v>8079</v>
      </c>
      <c r="AR1778" s="34"/>
    </row>
    <row r="1779" spans="1:44" customFormat="1">
      <c r="A1779" s="39">
        <v>45455</v>
      </c>
      <c r="B1779" s="11" t="s">
        <v>49</v>
      </c>
      <c r="C1779" s="16" t="s">
        <v>7619</v>
      </c>
      <c r="D1779" s="16" t="s">
        <v>7623</v>
      </c>
      <c r="E1779" s="38">
        <v>25022</v>
      </c>
      <c r="F1779" s="38"/>
      <c r="G1779" s="10" t="s">
        <v>2315</v>
      </c>
      <c r="H1779" s="12" t="s">
        <v>7620</v>
      </c>
      <c r="I1779" s="13">
        <v>29</v>
      </c>
      <c r="J1779" s="15" t="s">
        <v>7621</v>
      </c>
      <c r="K1779" s="12"/>
      <c r="L1779" s="11" t="s">
        <v>34</v>
      </c>
      <c r="M1779" s="15" t="s">
        <v>3629</v>
      </c>
      <c r="N1779" s="17">
        <v>8250</v>
      </c>
      <c r="O1779" s="17"/>
      <c r="P1779" s="17"/>
      <c r="Q1779" s="48"/>
      <c r="R1779" s="11" t="s">
        <v>6847</v>
      </c>
      <c r="S1779" s="48"/>
      <c r="T1779" s="85"/>
      <c r="U1779" s="88"/>
      <c r="V1779" s="32" t="s">
        <v>7622</v>
      </c>
      <c r="W1779" s="25" t="s">
        <v>8</v>
      </c>
      <c r="X1779" s="11"/>
      <c r="Y1779" s="50" t="s">
        <v>13</v>
      </c>
      <c r="Z1779" s="50"/>
      <c r="AA1779" s="50"/>
      <c r="AB1779" s="50"/>
      <c r="AC1779" s="50"/>
      <c r="AD1779" s="50"/>
      <c r="AE1779" s="50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65" t="s">
        <v>6229</v>
      </c>
      <c r="AP1779" s="69"/>
      <c r="AQ1779" s="62"/>
      <c r="AR1779" s="34"/>
    </row>
    <row r="1780" spans="1:44" customFormat="1">
      <c r="A1780" s="39">
        <v>45455</v>
      </c>
      <c r="B1780" s="11" t="s">
        <v>49</v>
      </c>
      <c r="C1780" s="16" t="s">
        <v>7624</v>
      </c>
      <c r="D1780" s="16" t="s">
        <v>7625</v>
      </c>
      <c r="E1780" s="38">
        <v>30142</v>
      </c>
      <c r="F1780" s="38"/>
      <c r="G1780" s="10" t="s">
        <v>7626</v>
      </c>
      <c r="H1780" s="12" t="s">
        <v>7627</v>
      </c>
      <c r="I1780" s="13">
        <v>52</v>
      </c>
      <c r="J1780" s="15" t="s">
        <v>7629</v>
      </c>
      <c r="K1780" s="46" t="s">
        <v>7628</v>
      </c>
      <c r="L1780" s="11" t="s">
        <v>33</v>
      </c>
      <c r="M1780" s="15" t="s">
        <v>3584</v>
      </c>
      <c r="N1780" s="17">
        <v>16500</v>
      </c>
      <c r="O1780" s="17"/>
      <c r="P1780" s="17"/>
      <c r="Q1780" s="48"/>
      <c r="R1780" s="11" t="s">
        <v>6847</v>
      </c>
      <c r="S1780" s="48"/>
      <c r="T1780" s="85"/>
      <c r="U1780" s="88"/>
      <c r="V1780" s="32" t="s">
        <v>6642</v>
      </c>
      <c r="W1780" s="25" t="s">
        <v>48</v>
      </c>
      <c r="X1780" s="11"/>
      <c r="Y1780" s="50" t="s">
        <v>13</v>
      </c>
      <c r="Z1780" s="50"/>
      <c r="AA1780" s="50"/>
      <c r="AB1780" s="50"/>
      <c r="AC1780" s="50"/>
      <c r="AD1780" s="50"/>
      <c r="AE1780" s="50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65"/>
      <c r="AP1780" s="69"/>
      <c r="AQ1780" s="62"/>
      <c r="AR1780" s="34"/>
    </row>
    <row r="1781" spans="1:44" customFormat="1">
      <c r="A1781" s="39">
        <v>45457</v>
      </c>
      <c r="B1781" s="11" t="s">
        <v>22</v>
      </c>
      <c r="C1781" s="16" t="s">
        <v>7630</v>
      </c>
      <c r="D1781" s="16" t="s">
        <v>7631</v>
      </c>
      <c r="E1781" s="38">
        <v>40366</v>
      </c>
      <c r="F1781" s="38"/>
      <c r="G1781" s="10" t="s">
        <v>7604</v>
      </c>
      <c r="H1781" s="12" t="s">
        <v>7605</v>
      </c>
      <c r="I1781" s="13">
        <v>2</v>
      </c>
      <c r="J1781" s="15" t="s">
        <v>7632</v>
      </c>
      <c r="K1781" s="12"/>
      <c r="L1781" s="11" t="s">
        <v>38</v>
      </c>
      <c r="M1781" s="15" t="s">
        <v>3599</v>
      </c>
      <c r="N1781" s="17">
        <v>3300</v>
      </c>
      <c r="O1781" s="17"/>
      <c r="P1781" s="17"/>
      <c r="Q1781" s="48"/>
      <c r="R1781" s="11" t="s">
        <v>6848</v>
      </c>
      <c r="S1781" s="48"/>
      <c r="T1781" s="85" t="s">
        <v>8079</v>
      </c>
      <c r="U1781" s="88"/>
      <c r="V1781" s="32" t="s">
        <v>6642</v>
      </c>
      <c r="W1781" s="25" t="s">
        <v>3847</v>
      </c>
      <c r="X1781" s="11"/>
      <c r="Y1781" s="50" t="s">
        <v>11</v>
      </c>
      <c r="Z1781" s="50"/>
      <c r="AA1781" s="50"/>
      <c r="AB1781" s="50"/>
      <c r="AC1781" s="50"/>
      <c r="AD1781" s="50"/>
      <c r="AE1781" s="50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65"/>
      <c r="AP1781" s="69"/>
      <c r="AQ1781" s="62" t="s">
        <v>8079</v>
      </c>
      <c r="AR1781" s="34"/>
    </row>
    <row r="1782" spans="1:44" customFormat="1">
      <c r="A1782" s="39">
        <v>45458</v>
      </c>
      <c r="B1782" s="11" t="s">
        <v>49</v>
      </c>
      <c r="C1782" s="16" t="s">
        <v>7640</v>
      </c>
      <c r="D1782" s="16" t="s">
        <v>7641</v>
      </c>
      <c r="E1782" s="38">
        <v>23229</v>
      </c>
      <c r="F1782" s="38"/>
      <c r="G1782" s="10" t="s">
        <v>7642</v>
      </c>
      <c r="H1782" s="22" t="s">
        <v>7643</v>
      </c>
      <c r="I1782" s="13">
        <v>16</v>
      </c>
      <c r="J1782" s="15" t="s">
        <v>7645</v>
      </c>
      <c r="K1782" s="46" t="s">
        <v>7644</v>
      </c>
      <c r="L1782" s="11" t="s">
        <v>33</v>
      </c>
      <c r="M1782" s="15" t="s">
        <v>3599</v>
      </c>
      <c r="N1782" s="17">
        <v>8250</v>
      </c>
      <c r="O1782" s="17"/>
      <c r="P1782" s="17"/>
      <c r="Q1782" s="48"/>
      <c r="R1782" s="11" t="s">
        <v>6847</v>
      </c>
      <c r="S1782" s="48"/>
      <c r="T1782" s="85"/>
      <c r="U1782" s="88"/>
      <c r="V1782" s="32"/>
      <c r="W1782" s="25" t="s">
        <v>8</v>
      </c>
      <c r="X1782" s="11"/>
      <c r="Y1782" s="50" t="s">
        <v>13</v>
      </c>
      <c r="Z1782" s="50"/>
      <c r="AA1782" s="50"/>
      <c r="AB1782" s="50"/>
      <c r="AC1782" s="50"/>
      <c r="AD1782" s="50"/>
      <c r="AE1782" s="50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65" t="s">
        <v>5822</v>
      </c>
      <c r="AP1782" s="69" t="s">
        <v>7639</v>
      </c>
      <c r="AQ1782" s="62" t="s">
        <v>8079</v>
      </c>
      <c r="AR1782" s="34"/>
    </row>
    <row r="1783" spans="1:44" customFormat="1">
      <c r="A1783" s="39">
        <v>45458</v>
      </c>
      <c r="B1783" s="11" t="s">
        <v>49</v>
      </c>
      <c r="C1783" s="16" t="s">
        <v>7502</v>
      </c>
      <c r="D1783" s="16" t="s">
        <v>7647</v>
      </c>
      <c r="E1783" s="38">
        <v>26710</v>
      </c>
      <c r="F1783" s="38"/>
      <c r="G1783" s="10" t="s">
        <v>7492</v>
      </c>
      <c r="H1783" s="12" t="s">
        <v>7504</v>
      </c>
      <c r="I1783" s="13" t="s">
        <v>7648</v>
      </c>
      <c r="J1783" s="15" t="s">
        <v>7650</v>
      </c>
      <c r="K1783" s="12" t="s">
        <v>7649</v>
      </c>
      <c r="L1783" s="11" t="s">
        <v>36</v>
      </c>
      <c r="M1783" s="15" t="s">
        <v>3584</v>
      </c>
      <c r="N1783" s="17">
        <v>22000</v>
      </c>
      <c r="O1783" s="17"/>
      <c r="P1783" s="17"/>
      <c r="Q1783" s="48"/>
      <c r="R1783" s="11" t="s">
        <v>6849</v>
      </c>
      <c r="S1783" s="48"/>
      <c r="T1783" s="85" t="s">
        <v>8073</v>
      </c>
      <c r="U1783" s="88"/>
      <c r="V1783" s="32"/>
      <c r="W1783" s="25" t="s">
        <v>8</v>
      </c>
      <c r="X1783" s="11"/>
      <c r="Y1783" s="50" t="s">
        <v>13</v>
      </c>
      <c r="Z1783" s="50"/>
      <c r="AA1783" s="50"/>
      <c r="AB1783" s="50"/>
      <c r="AC1783" s="50"/>
      <c r="AD1783" s="50"/>
      <c r="AE1783" s="50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65" t="s">
        <v>7646</v>
      </c>
      <c r="AP1783" s="69"/>
      <c r="AQ1783" s="62"/>
      <c r="AR1783" s="34"/>
    </row>
    <row r="1784" spans="1:44" customFormat="1">
      <c r="A1784" s="39">
        <v>45458</v>
      </c>
      <c r="B1784" s="11" t="s">
        <v>49</v>
      </c>
      <c r="C1784" s="16" t="s">
        <v>7651</v>
      </c>
      <c r="D1784" s="16" t="s">
        <v>7652</v>
      </c>
      <c r="E1784" s="38">
        <v>38494</v>
      </c>
      <c r="F1784" s="38"/>
      <c r="G1784" s="10" t="s">
        <v>7653</v>
      </c>
      <c r="H1784" s="22" t="s">
        <v>7654</v>
      </c>
      <c r="I1784" s="13">
        <v>83.3</v>
      </c>
      <c r="J1784" s="15" t="s">
        <v>7655</v>
      </c>
      <c r="K1784" s="12"/>
      <c r="L1784" s="11" t="s">
        <v>38</v>
      </c>
      <c r="M1784" s="15" t="s">
        <v>3599</v>
      </c>
      <c r="N1784" s="17">
        <v>22000</v>
      </c>
      <c r="O1784" s="17"/>
      <c r="P1784" s="17"/>
      <c r="Q1784" s="48"/>
      <c r="R1784" s="11" t="s">
        <v>6847</v>
      </c>
      <c r="S1784" s="48"/>
      <c r="T1784" s="85"/>
      <c r="U1784" s="88"/>
      <c r="V1784" s="32"/>
      <c r="W1784" s="25" t="s">
        <v>48</v>
      </c>
      <c r="X1784" s="11"/>
      <c r="Y1784" s="50"/>
      <c r="Z1784" s="50"/>
      <c r="AA1784" s="50"/>
      <c r="AB1784" s="50"/>
      <c r="AC1784" s="50"/>
      <c r="AD1784" s="50"/>
      <c r="AE1784" s="50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65" t="s">
        <v>2389</v>
      </c>
      <c r="AP1784" s="69"/>
      <c r="AQ1784" s="62"/>
      <c r="AR1784" s="34"/>
    </row>
    <row r="1785" spans="1:44" customFormat="1">
      <c r="A1785" s="39">
        <v>45458</v>
      </c>
      <c r="B1785" s="11" t="s">
        <v>22</v>
      </c>
      <c r="C1785" s="16" t="s">
        <v>7633</v>
      </c>
      <c r="D1785" s="16" t="s">
        <v>7634</v>
      </c>
      <c r="E1785" s="38">
        <v>21916</v>
      </c>
      <c r="F1785" s="38"/>
      <c r="G1785" s="10" t="s">
        <v>7635</v>
      </c>
      <c r="H1785" s="22" t="s">
        <v>7636</v>
      </c>
      <c r="I1785" s="13">
        <v>8</v>
      </c>
      <c r="J1785" s="15" t="s">
        <v>7638</v>
      </c>
      <c r="K1785" s="46" t="s">
        <v>7637</v>
      </c>
      <c r="L1785" s="11" t="s">
        <v>36</v>
      </c>
      <c r="M1785" s="15" t="s">
        <v>3584</v>
      </c>
      <c r="N1785" s="17">
        <v>3300</v>
      </c>
      <c r="O1785" s="17"/>
      <c r="P1785" s="17"/>
      <c r="Q1785" s="48"/>
      <c r="R1785" s="11" t="s">
        <v>6849</v>
      </c>
      <c r="S1785" s="48"/>
      <c r="T1785" s="85" t="s">
        <v>8079</v>
      </c>
      <c r="U1785" s="88"/>
      <c r="V1785" s="32" t="s">
        <v>6642</v>
      </c>
      <c r="W1785" s="25" t="s">
        <v>48</v>
      </c>
      <c r="X1785" s="11"/>
      <c r="Y1785" s="50"/>
      <c r="Z1785" s="50"/>
      <c r="AA1785" s="50"/>
      <c r="AB1785" s="50"/>
      <c r="AC1785" s="50"/>
      <c r="AD1785" s="50"/>
      <c r="AE1785" s="50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65"/>
      <c r="AP1785" s="69"/>
      <c r="AQ1785" s="62"/>
      <c r="AR1785" s="34"/>
    </row>
    <row r="1786" spans="1:44" customFormat="1">
      <c r="A1786" s="39">
        <v>45459</v>
      </c>
      <c r="B1786" s="11" t="s">
        <v>22</v>
      </c>
      <c r="C1786" s="16" t="s">
        <v>7221</v>
      </c>
      <c r="D1786" s="16" t="s">
        <v>7222</v>
      </c>
      <c r="E1786" s="38">
        <v>37220</v>
      </c>
      <c r="F1786" s="38"/>
      <c r="G1786" s="10" t="s">
        <v>7656</v>
      </c>
      <c r="H1786" s="22" t="s">
        <v>7657</v>
      </c>
      <c r="I1786" s="13">
        <v>5</v>
      </c>
      <c r="J1786" s="15" t="s">
        <v>7225</v>
      </c>
      <c r="K1786" s="46" t="s">
        <v>7658</v>
      </c>
      <c r="L1786" s="11" t="s">
        <v>36</v>
      </c>
      <c r="M1786" s="15" t="s">
        <v>3584</v>
      </c>
      <c r="N1786" s="17">
        <v>3300</v>
      </c>
      <c r="O1786" s="17"/>
      <c r="P1786" s="17"/>
      <c r="Q1786" s="48"/>
      <c r="R1786" s="11" t="s">
        <v>6847</v>
      </c>
      <c r="S1786" s="48"/>
      <c r="T1786" s="85" t="s">
        <v>8079</v>
      </c>
      <c r="U1786" s="88"/>
      <c r="V1786" s="32" t="s">
        <v>6642</v>
      </c>
      <c r="W1786" s="25" t="s">
        <v>48</v>
      </c>
      <c r="X1786" s="11"/>
      <c r="Y1786" s="50" t="s">
        <v>12</v>
      </c>
      <c r="Z1786" s="50"/>
      <c r="AA1786" s="50"/>
      <c r="AB1786" s="50"/>
      <c r="AC1786" s="50"/>
      <c r="AD1786" s="50"/>
      <c r="AE1786" s="50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65" t="s">
        <v>5822</v>
      </c>
      <c r="AP1786" s="69"/>
      <c r="AQ1786" s="62" t="s">
        <v>8079</v>
      </c>
      <c r="AR1786" s="34"/>
    </row>
    <row r="1787" spans="1:44" customFormat="1">
      <c r="A1787" s="39">
        <v>45460</v>
      </c>
      <c r="B1787" s="11" t="s">
        <v>22</v>
      </c>
      <c r="C1787" s="16" t="s">
        <v>7659</v>
      </c>
      <c r="D1787" s="16" t="s">
        <v>7660</v>
      </c>
      <c r="E1787" s="38">
        <v>25711</v>
      </c>
      <c r="F1787" s="38"/>
      <c r="G1787" s="10" t="s">
        <v>5296</v>
      </c>
      <c r="H1787" s="22" t="s">
        <v>7661</v>
      </c>
      <c r="I1787" s="13">
        <v>9.5</v>
      </c>
      <c r="J1787" s="15" t="s">
        <v>7663</v>
      </c>
      <c r="K1787" s="46" t="s">
        <v>7662</v>
      </c>
      <c r="L1787" s="11" t="s">
        <v>34</v>
      </c>
      <c r="M1787" s="15" t="s">
        <v>3584</v>
      </c>
      <c r="N1787" s="17">
        <v>3300</v>
      </c>
      <c r="O1787" s="17"/>
      <c r="P1787" s="17"/>
      <c r="Q1787" s="48"/>
      <c r="R1787" s="11" t="s">
        <v>6849</v>
      </c>
      <c r="S1787" s="48"/>
      <c r="T1787" s="85" t="s">
        <v>8079</v>
      </c>
      <c r="U1787" s="88"/>
      <c r="V1787" s="32" t="s">
        <v>6642</v>
      </c>
      <c r="W1787" s="25" t="s">
        <v>48</v>
      </c>
      <c r="X1787" s="11"/>
      <c r="Y1787" s="50"/>
      <c r="Z1787" s="50"/>
      <c r="AA1787" s="50"/>
      <c r="AB1787" s="50"/>
      <c r="AC1787" s="50"/>
      <c r="AD1787" s="50"/>
      <c r="AE1787" s="50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65" t="s">
        <v>5822</v>
      </c>
      <c r="AP1787" s="69"/>
      <c r="AQ1787" s="62" t="s">
        <v>8079</v>
      </c>
      <c r="AR1787" s="34"/>
    </row>
    <row r="1788" spans="1:44" customFormat="1">
      <c r="A1788" s="39">
        <v>45464</v>
      </c>
      <c r="B1788" s="11" t="s">
        <v>49</v>
      </c>
      <c r="C1788" s="16" t="s">
        <v>7664</v>
      </c>
      <c r="D1788" s="16" t="s">
        <v>7665</v>
      </c>
      <c r="E1788" s="38">
        <v>28608</v>
      </c>
      <c r="F1788" s="38"/>
      <c r="G1788" s="10" t="s">
        <v>7666</v>
      </c>
      <c r="H1788" s="22" t="s">
        <v>7667</v>
      </c>
      <c r="I1788" s="13">
        <v>10.6</v>
      </c>
      <c r="J1788" s="15" t="s">
        <v>7669</v>
      </c>
      <c r="K1788" s="46" t="s">
        <v>7668</v>
      </c>
      <c r="L1788" s="11"/>
      <c r="M1788" s="15" t="s">
        <v>3584</v>
      </c>
      <c r="N1788" s="17">
        <v>11000</v>
      </c>
      <c r="O1788" s="17"/>
      <c r="P1788" s="17"/>
      <c r="Q1788" s="48"/>
      <c r="R1788" s="11" t="s">
        <v>6849</v>
      </c>
      <c r="S1788" s="48"/>
      <c r="T1788" s="85" t="s">
        <v>8073</v>
      </c>
      <c r="U1788" s="88"/>
      <c r="V1788" s="32"/>
      <c r="W1788" s="25" t="s">
        <v>8</v>
      </c>
      <c r="X1788" s="11"/>
      <c r="Y1788" s="50" t="s">
        <v>12</v>
      </c>
      <c r="Z1788" s="50"/>
      <c r="AA1788" s="50"/>
      <c r="AB1788" s="50"/>
      <c r="AC1788" s="50"/>
      <c r="AD1788" s="50"/>
      <c r="AE1788" s="50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65"/>
      <c r="AP1788" s="69"/>
      <c r="AQ1788" s="62"/>
      <c r="AR1788" s="34"/>
    </row>
    <row r="1789" spans="1:44" customFormat="1">
      <c r="A1789" s="39">
        <v>45464</v>
      </c>
      <c r="B1789" s="11" t="s">
        <v>49</v>
      </c>
      <c r="C1789" s="16" t="s">
        <v>7535</v>
      </c>
      <c r="D1789" s="16" t="s">
        <v>7536</v>
      </c>
      <c r="E1789" s="38">
        <v>23756</v>
      </c>
      <c r="F1789" s="38"/>
      <c r="G1789" s="10" t="s">
        <v>7670</v>
      </c>
      <c r="H1789" s="12" t="s">
        <v>7537</v>
      </c>
      <c r="I1789" s="13" t="s">
        <v>7671</v>
      </c>
      <c r="J1789" s="15" t="s">
        <v>7673</v>
      </c>
      <c r="K1789" s="12" t="s">
        <v>7672</v>
      </c>
      <c r="L1789" s="11" t="s">
        <v>33</v>
      </c>
      <c r="M1789" s="15" t="s">
        <v>3584</v>
      </c>
      <c r="N1789" s="17">
        <v>16500</v>
      </c>
      <c r="O1789" s="17"/>
      <c r="P1789" s="17"/>
      <c r="Q1789" s="48"/>
      <c r="R1789" s="11" t="s">
        <v>6848</v>
      </c>
      <c r="S1789" s="48"/>
      <c r="T1789" s="85" t="s">
        <v>8073</v>
      </c>
      <c r="U1789" s="88"/>
      <c r="V1789" s="32" t="s">
        <v>7674</v>
      </c>
      <c r="W1789" s="25" t="s">
        <v>48</v>
      </c>
      <c r="X1789" s="11"/>
      <c r="Y1789" s="50" t="s">
        <v>13</v>
      </c>
      <c r="Z1789" s="50"/>
      <c r="AA1789" s="50"/>
      <c r="AB1789" s="50"/>
      <c r="AC1789" s="50"/>
      <c r="AD1789" s="50"/>
      <c r="AE1789" s="50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65"/>
      <c r="AP1789" s="69"/>
      <c r="AQ1789" s="62"/>
      <c r="AR1789" s="34"/>
    </row>
    <row r="1790" spans="1:44" customFormat="1">
      <c r="A1790" s="39">
        <v>45464</v>
      </c>
      <c r="B1790" s="11" t="s">
        <v>22</v>
      </c>
      <c r="C1790" s="16" t="s">
        <v>7675</v>
      </c>
      <c r="D1790" s="16" t="s">
        <v>7676</v>
      </c>
      <c r="E1790" s="38">
        <v>25885</v>
      </c>
      <c r="F1790" s="38"/>
      <c r="G1790" s="10" t="s">
        <v>617</v>
      </c>
      <c r="H1790" s="22" t="s">
        <v>7677</v>
      </c>
      <c r="I1790" s="13">
        <v>3.5</v>
      </c>
      <c r="J1790" s="15" t="s">
        <v>7678</v>
      </c>
      <c r="K1790" s="12"/>
      <c r="L1790" s="11"/>
      <c r="M1790" s="15" t="s">
        <v>3629</v>
      </c>
      <c r="N1790" s="17">
        <v>3300</v>
      </c>
      <c r="O1790" s="17"/>
      <c r="P1790" s="17"/>
      <c r="Q1790" s="48"/>
      <c r="R1790" s="11" t="s">
        <v>6848</v>
      </c>
      <c r="S1790" s="48"/>
      <c r="T1790" s="85" t="s">
        <v>8079</v>
      </c>
      <c r="U1790" s="88"/>
      <c r="V1790" s="32" t="s">
        <v>6642</v>
      </c>
      <c r="W1790" s="25" t="s">
        <v>8</v>
      </c>
      <c r="X1790" s="11"/>
      <c r="Y1790" s="50"/>
      <c r="Z1790" s="50"/>
      <c r="AA1790" s="50"/>
      <c r="AB1790" s="50"/>
      <c r="AC1790" s="50"/>
      <c r="AD1790" s="50"/>
      <c r="AE1790" s="50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65" t="s">
        <v>5822</v>
      </c>
      <c r="AP1790" s="69"/>
      <c r="AQ1790" s="62" t="s">
        <v>8079</v>
      </c>
      <c r="AR1790" s="34"/>
    </row>
    <row r="1791" spans="1:44" customFormat="1">
      <c r="A1791" s="39">
        <v>45466</v>
      </c>
      <c r="B1791" s="11" t="s">
        <v>22</v>
      </c>
      <c r="C1791" s="16" t="s">
        <v>7679</v>
      </c>
      <c r="D1791" s="16" t="s">
        <v>7680</v>
      </c>
      <c r="E1791" s="38">
        <v>31702</v>
      </c>
      <c r="F1791" s="38"/>
      <c r="G1791" s="10" t="s">
        <v>617</v>
      </c>
      <c r="H1791" s="12" t="s">
        <v>7681</v>
      </c>
      <c r="I1791" s="13" t="s">
        <v>1844</v>
      </c>
      <c r="J1791" s="15" t="s">
        <v>7683</v>
      </c>
      <c r="K1791" s="46" t="s">
        <v>7682</v>
      </c>
      <c r="L1791" s="11" t="s">
        <v>33</v>
      </c>
      <c r="M1791" s="15" t="s">
        <v>3584</v>
      </c>
      <c r="N1791" s="17">
        <v>3300</v>
      </c>
      <c r="O1791" s="17"/>
      <c r="P1791" s="17"/>
      <c r="Q1791" s="48"/>
      <c r="R1791" s="11" t="s">
        <v>6847</v>
      </c>
      <c r="S1791" s="48"/>
      <c r="T1791" s="85" t="s">
        <v>8079</v>
      </c>
      <c r="U1791" s="88"/>
      <c r="V1791" s="32" t="s">
        <v>6642</v>
      </c>
      <c r="W1791" s="25" t="s">
        <v>4073</v>
      </c>
      <c r="X1791" s="11"/>
      <c r="Y1791" s="50"/>
      <c r="Z1791" s="50"/>
      <c r="AA1791" s="50"/>
      <c r="AB1791" s="50"/>
      <c r="AC1791" s="50"/>
      <c r="AD1791" s="50"/>
      <c r="AE1791" s="50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65" t="s">
        <v>5822</v>
      </c>
      <c r="AP1791" s="69"/>
      <c r="AQ1791" s="62" t="s">
        <v>8079</v>
      </c>
      <c r="AR1791" s="34"/>
    </row>
    <row r="1792" spans="1:44" customFormat="1">
      <c r="A1792" s="39">
        <v>45469</v>
      </c>
      <c r="B1792" s="11" t="s">
        <v>49</v>
      </c>
      <c r="C1792" s="16" t="s">
        <v>7687</v>
      </c>
      <c r="D1792" s="16" t="s">
        <v>7688</v>
      </c>
      <c r="E1792" s="38">
        <v>23203</v>
      </c>
      <c r="F1792" s="38"/>
      <c r="G1792" s="10" t="s">
        <v>5879</v>
      </c>
      <c r="H1792" s="12" t="s">
        <v>7158</v>
      </c>
      <c r="I1792" s="13">
        <v>2.9</v>
      </c>
      <c r="J1792" s="15" t="s">
        <v>7690</v>
      </c>
      <c r="K1792" s="46" t="s">
        <v>7689</v>
      </c>
      <c r="L1792" s="11" t="s">
        <v>37</v>
      </c>
      <c r="M1792" s="15" t="s">
        <v>3584</v>
      </c>
      <c r="N1792" s="17">
        <v>8250</v>
      </c>
      <c r="O1792" s="17"/>
      <c r="P1792" s="17"/>
      <c r="Q1792" s="48"/>
      <c r="R1792" s="11" t="s">
        <v>6849</v>
      </c>
      <c r="S1792" s="48"/>
      <c r="T1792" s="85" t="s">
        <v>8073</v>
      </c>
      <c r="U1792" s="88"/>
      <c r="V1792" s="32"/>
      <c r="W1792" s="25" t="s">
        <v>8</v>
      </c>
      <c r="X1792" s="11"/>
      <c r="Y1792" s="50" t="s">
        <v>14</v>
      </c>
      <c r="Z1792" s="50"/>
      <c r="AA1792" s="50"/>
      <c r="AB1792" s="50"/>
      <c r="AC1792" s="50"/>
      <c r="AD1792" s="50"/>
      <c r="AE1792" s="50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65"/>
      <c r="AP1792" s="69"/>
      <c r="AQ1792" s="62"/>
      <c r="AR1792" s="34"/>
    </row>
    <row r="1793" spans="1:44" customFormat="1">
      <c r="A1793" s="39">
        <v>45470</v>
      </c>
      <c r="B1793" s="11" t="s">
        <v>22</v>
      </c>
      <c r="C1793" s="16" t="s">
        <v>7691</v>
      </c>
      <c r="D1793" s="16" t="s">
        <v>7692</v>
      </c>
      <c r="E1793" s="38">
        <v>30796</v>
      </c>
      <c r="F1793" s="38"/>
      <c r="G1793" s="10" t="s">
        <v>7693</v>
      </c>
      <c r="H1793" s="22" t="s">
        <v>7694</v>
      </c>
      <c r="I1793" s="13">
        <v>136</v>
      </c>
      <c r="J1793" s="15" t="s">
        <v>7695</v>
      </c>
      <c r="K1793" s="12"/>
      <c r="L1793" s="11" t="s">
        <v>34</v>
      </c>
      <c r="M1793" s="15" t="s">
        <v>3599</v>
      </c>
      <c r="N1793" s="17">
        <v>3300</v>
      </c>
      <c r="O1793" s="17"/>
      <c r="P1793" s="17"/>
      <c r="Q1793" s="48"/>
      <c r="R1793" s="11" t="s">
        <v>6847</v>
      </c>
      <c r="S1793" s="48"/>
      <c r="T1793" s="85"/>
      <c r="U1793" s="88"/>
      <c r="V1793" s="32"/>
      <c r="W1793" s="25" t="s">
        <v>48</v>
      </c>
      <c r="X1793" s="11"/>
      <c r="Y1793" s="50"/>
      <c r="Z1793" s="50"/>
      <c r="AA1793" s="50"/>
      <c r="AB1793" s="50"/>
      <c r="AC1793" s="50"/>
      <c r="AD1793" s="50"/>
      <c r="AE1793" s="50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65" t="s">
        <v>5822</v>
      </c>
      <c r="AP1793" s="69"/>
      <c r="AQ1793" s="62"/>
      <c r="AR1793" s="34"/>
    </row>
    <row r="1794" spans="1:44" customFormat="1">
      <c r="A1794" s="39">
        <v>45472</v>
      </c>
      <c r="B1794" s="11" t="s">
        <v>49</v>
      </c>
      <c r="C1794" s="16" t="s">
        <v>7696</v>
      </c>
      <c r="D1794" s="16" t="s">
        <v>7697</v>
      </c>
      <c r="E1794" s="38">
        <v>26621</v>
      </c>
      <c r="F1794" s="38"/>
      <c r="G1794" s="59">
        <v>5600002</v>
      </c>
      <c r="H1794" s="12" t="s">
        <v>7698</v>
      </c>
      <c r="I1794" s="13" t="s">
        <v>6222</v>
      </c>
      <c r="J1794" s="15" t="s">
        <v>7700</v>
      </c>
      <c r="K1794" s="46" t="s">
        <v>7699</v>
      </c>
      <c r="L1794" s="11" t="s">
        <v>33</v>
      </c>
      <c r="M1794" s="15" t="s">
        <v>3629</v>
      </c>
      <c r="N1794" s="17">
        <v>16500</v>
      </c>
      <c r="O1794" s="17"/>
      <c r="P1794" s="17"/>
      <c r="Q1794" s="48"/>
      <c r="R1794" s="11" t="s">
        <v>6847</v>
      </c>
      <c r="S1794" s="48"/>
      <c r="T1794" s="85" t="s">
        <v>8073</v>
      </c>
      <c r="U1794" s="88"/>
      <c r="V1794" s="32" t="s">
        <v>6642</v>
      </c>
      <c r="W1794" s="25" t="s">
        <v>8</v>
      </c>
      <c r="X1794" s="11"/>
      <c r="Y1794" s="50" t="s">
        <v>13</v>
      </c>
      <c r="Z1794" s="50"/>
      <c r="AA1794" s="50"/>
      <c r="AB1794" s="50"/>
      <c r="AC1794" s="50"/>
      <c r="AD1794" s="50"/>
      <c r="AE1794" s="50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65"/>
      <c r="AP1794" s="69" t="s">
        <v>7701</v>
      </c>
      <c r="AQ1794" s="62"/>
      <c r="AR1794" s="34"/>
    </row>
    <row r="1795" spans="1:44" customFormat="1">
      <c r="A1795" s="39">
        <v>45474</v>
      </c>
      <c r="B1795" s="11" t="s">
        <v>49</v>
      </c>
      <c r="C1795" s="16" t="s">
        <v>6885</v>
      </c>
      <c r="D1795" s="16" t="s">
        <v>6886</v>
      </c>
      <c r="E1795" s="38">
        <v>37924</v>
      </c>
      <c r="F1795" s="38"/>
      <c r="G1795" s="10" t="s">
        <v>3129</v>
      </c>
      <c r="H1795" s="22" t="s">
        <v>6889</v>
      </c>
      <c r="I1795" s="13">
        <v>21.4</v>
      </c>
      <c r="J1795" s="15" t="s">
        <v>6888</v>
      </c>
      <c r="K1795" s="46" t="s">
        <v>6887</v>
      </c>
      <c r="L1795" s="11" t="s">
        <v>39</v>
      </c>
      <c r="M1795" s="15" t="s">
        <v>3584</v>
      </c>
      <c r="N1795" s="17">
        <v>16500</v>
      </c>
      <c r="O1795" s="17"/>
      <c r="P1795" s="17"/>
      <c r="Q1795" s="48"/>
      <c r="R1795" s="11" t="s">
        <v>7518</v>
      </c>
      <c r="S1795" s="48"/>
      <c r="T1795" s="85"/>
      <c r="U1795" s="88"/>
      <c r="V1795" s="32"/>
      <c r="W1795" s="25" t="s">
        <v>8</v>
      </c>
      <c r="X1795" s="11"/>
      <c r="Y1795" s="50" t="s">
        <v>11</v>
      </c>
      <c r="Z1795" s="50"/>
      <c r="AA1795" s="50"/>
      <c r="AB1795" s="50"/>
      <c r="AC1795" s="50"/>
      <c r="AD1795" s="50"/>
      <c r="AE1795" s="50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65" t="s">
        <v>5822</v>
      </c>
      <c r="AP1795" s="69"/>
      <c r="AQ1795" s="62" t="s">
        <v>8079</v>
      </c>
      <c r="AR1795" s="34"/>
    </row>
    <row r="1796" spans="1:44" customFormat="1">
      <c r="A1796" s="39">
        <v>45474</v>
      </c>
      <c r="B1796" s="11" t="s">
        <v>22</v>
      </c>
      <c r="C1796" s="16" t="s">
        <v>7702</v>
      </c>
      <c r="D1796" s="16" t="s">
        <v>7703</v>
      </c>
      <c r="E1796" s="38">
        <v>25287</v>
      </c>
      <c r="F1796" s="38"/>
      <c r="G1796" s="59" t="s">
        <v>396</v>
      </c>
      <c r="H1796" s="60" t="s">
        <v>7704</v>
      </c>
      <c r="I1796" s="13">
        <v>5.9</v>
      </c>
      <c r="J1796" s="15" t="s">
        <v>7706</v>
      </c>
      <c r="K1796" s="46" t="s">
        <v>7705</v>
      </c>
      <c r="L1796" s="11" t="s">
        <v>34</v>
      </c>
      <c r="M1796" s="15" t="s">
        <v>3584</v>
      </c>
      <c r="N1796" s="17">
        <v>3300</v>
      </c>
      <c r="O1796" s="17"/>
      <c r="P1796" s="17"/>
      <c r="Q1796" s="48"/>
      <c r="R1796" s="11" t="s">
        <v>6848</v>
      </c>
      <c r="S1796" s="48"/>
      <c r="T1796" s="85" t="s">
        <v>8079</v>
      </c>
      <c r="U1796" s="88"/>
      <c r="V1796" s="32" t="s">
        <v>6642</v>
      </c>
      <c r="W1796" s="25" t="s">
        <v>48</v>
      </c>
      <c r="X1796" s="11"/>
      <c r="Y1796" s="50"/>
      <c r="Z1796" s="50"/>
      <c r="AA1796" s="50"/>
      <c r="AB1796" s="50"/>
      <c r="AC1796" s="50"/>
      <c r="AD1796" s="50"/>
      <c r="AE1796" s="50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65" t="s">
        <v>2389</v>
      </c>
      <c r="AP1796" s="69"/>
      <c r="AQ1796" s="62"/>
      <c r="AR1796" s="34"/>
    </row>
    <row r="1797" spans="1:44" customFormat="1">
      <c r="A1797" s="39">
        <v>45476</v>
      </c>
      <c r="B1797" s="11" t="s">
        <v>49</v>
      </c>
      <c r="C1797" s="16" t="s">
        <v>2941</v>
      </c>
      <c r="D1797" s="16" t="s">
        <v>6320</v>
      </c>
      <c r="E1797" s="38">
        <v>26501</v>
      </c>
      <c r="F1797" s="38"/>
      <c r="G1797" s="10" t="s">
        <v>2942</v>
      </c>
      <c r="H1797" s="22" t="s">
        <v>2943</v>
      </c>
      <c r="I1797" s="13">
        <v>233</v>
      </c>
      <c r="J1797" s="15" t="s">
        <v>4748</v>
      </c>
      <c r="K1797" s="46"/>
      <c r="L1797" s="11" t="s">
        <v>33</v>
      </c>
      <c r="M1797" s="15" t="s">
        <v>3599</v>
      </c>
      <c r="N1797" s="17">
        <v>16500</v>
      </c>
      <c r="O1797" s="17"/>
      <c r="P1797" s="17"/>
      <c r="Q1797" s="48"/>
      <c r="R1797" s="11" t="s">
        <v>6849</v>
      </c>
      <c r="S1797" s="48"/>
      <c r="T1797" s="85" t="s">
        <v>8073</v>
      </c>
      <c r="U1797" s="88"/>
      <c r="V1797" s="32"/>
      <c r="W1797" s="25"/>
      <c r="X1797" s="11"/>
      <c r="Y1797" s="50"/>
      <c r="Z1797" s="50"/>
      <c r="AA1797" s="50"/>
      <c r="AB1797" s="50"/>
      <c r="AC1797" s="50"/>
      <c r="AD1797" s="50"/>
      <c r="AE1797" s="50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65" t="s">
        <v>2389</v>
      </c>
      <c r="AP1797" s="69"/>
      <c r="AQ1797" s="62"/>
      <c r="AR1797" s="34"/>
    </row>
    <row r="1798" spans="1:44" customFormat="1">
      <c r="A1798" s="39">
        <v>45476</v>
      </c>
      <c r="B1798" s="11" t="s">
        <v>49</v>
      </c>
      <c r="C1798" s="16" t="s">
        <v>7707</v>
      </c>
      <c r="D1798" s="16" t="s">
        <v>7708</v>
      </c>
      <c r="E1798" s="38">
        <v>25150</v>
      </c>
      <c r="F1798" s="38"/>
      <c r="G1798" s="59" t="s">
        <v>7709</v>
      </c>
      <c r="H1798" s="60" t="s">
        <v>7710</v>
      </c>
      <c r="I1798" s="13">
        <v>211</v>
      </c>
      <c r="J1798" s="15" t="s">
        <v>7712</v>
      </c>
      <c r="K1798" s="46" t="s">
        <v>7711</v>
      </c>
      <c r="L1798" s="11" t="s">
        <v>33</v>
      </c>
      <c r="M1798" s="15" t="s">
        <v>3584</v>
      </c>
      <c r="N1798" s="17">
        <v>16500</v>
      </c>
      <c r="O1798" s="17"/>
      <c r="P1798" s="17"/>
      <c r="Q1798" s="48"/>
      <c r="R1798" s="11" t="s">
        <v>6848</v>
      </c>
      <c r="S1798" s="48"/>
      <c r="T1798" s="85"/>
      <c r="U1798" s="88"/>
      <c r="V1798" s="32"/>
      <c r="W1798" s="25" t="s">
        <v>8</v>
      </c>
      <c r="X1798" s="11"/>
      <c r="Y1798" s="50"/>
      <c r="Z1798" s="50"/>
      <c r="AA1798" s="50"/>
      <c r="AB1798" s="50"/>
      <c r="AC1798" s="50"/>
      <c r="AD1798" s="50"/>
      <c r="AE1798" s="50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65" t="s">
        <v>7713</v>
      </c>
      <c r="AP1798" s="69"/>
      <c r="AQ1798" s="62"/>
      <c r="AR1798" s="34"/>
    </row>
    <row r="1799" spans="1:44" customFormat="1">
      <c r="A1799" s="39">
        <v>45476</v>
      </c>
      <c r="B1799" s="11" t="s">
        <v>49</v>
      </c>
      <c r="C1799" s="16" t="s">
        <v>7714</v>
      </c>
      <c r="D1799" s="16" t="s">
        <v>7715</v>
      </c>
      <c r="E1799" s="38" t="s">
        <v>7040</v>
      </c>
      <c r="F1799" s="38"/>
      <c r="G1799" s="59"/>
      <c r="H1799" s="12"/>
      <c r="I1799" s="13"/>
      <c r="J1799" s="15"/>
      <c r="K1799" s="12"/>
      <c r="L1799" s="11"/>
      <c r="M1799" s="15"/>
      <c r="N1799" s="17">
        <v>11000</v>
      </c>
      <c r="O1799" s="17"/>
      <c r="P1799" s="17"/>
      <c r="Q1799" s="48"/>
      <c r="R1799" s="11" t="s">
        <v>6849</v>
      </c>
      <c r="S1799" s="48"/>
      <c r="T1799" s="85" t="s">
        <v>8073</v>
      </c>
      <c r="U1799" s="88"/>
      <c r="V1799" s="32"/>
      <c r="W1799" s="25"/>
      <c r="X1799" s="11"/>
      <c r="Y1799" s="50"/>
      <c r="Z1799" s="50"/>
      <c r="AA1799" s="50"/>
      <c r="AB1799" s="50"/>
      <c r="AC1799" s="50"/>
      <c r="AD1799" s="50"/>
      <c r="AE1799" s="50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65"/>
      <c r="AP1799" s="69"/>
      <c r="AQ1799" s="62"/>
      <c r="AR1799" s="34"/>
    </row>
    <row r="1800" spans="1:44" customFormat="1">
      <c r="A1800" s="39">
        <v>45477</v>
      </c>
      <c r="B1800" s="11" t="s">
        <v>49</v>
      </c>
      <c r="C1800" s="16" t="s">
        <v>7389</v>
      </c>
      <c r="D1800" s="16" t="s">
        <v>7390</v>
      </c>
      <c r="E1800" s="38" t="s">
        <v>7040</v>
      </c>
      <c r="F1800" s="38"/>
      <c r="G1800" s="59"/>
      <c r="H1800" s="12"/>
      <c r="I1800" s="13"/>
      <c r="J1800" s="15"/>
      <c r="K1800" s="12"/>
      <c r="L1800" s="11"/>
      <c r="M1800" s="15"/>
      <c r="N1800" s="17">
        <v>11000</v>
      </c>
      <c r="O1800" s="17"/>
      <c r="P1800" s="17"/>
      <c r="Q1800" s="48"/>
      <c r="R1800" s="11" t="s">
        <v>6847</v>
      </c>
      <c r="S1800" s="48"/>
      <c r="T1800" s="85" t="s">
        <v>8073</v>
      </c>
      <c r="U1800" s="88"/>
      <c r="V1800" s="32"/>
      <c r="W1800" s="25"/>
      <c r="X1800" s="11"/>
      <c r="Y1800" s="50"/>
      <c r="Z1800" s="50"/>
      <c r="AA1800" s="50"/>
      <c r="AB1800" s="50"/>
      <c r="AC1800" s="50"/>
      <c r="AD1800" s="50"/>
      <c r="AE1800" s="50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65" t="s">
        <v>2389</v>
      </c>
      <c r="AP1800" s="69"/>
      <c r="AQ1800" s="62"/>
      <c r="AR1800" s="34"/>
    </row>
    <row r="1801" spans="1:44" customFormat="1">
      <c r="A1801" s="39">
        <v>45477</v>
      </c>
      <c r="B1801" s="11" t="s">
        <v>49</v>
      </c>
      <c r="C1801" s="16" t="s">
        <v>7356</v>
      </c>
      <c r="D1801" s="16" t="s">
        <v>7357</v>
      </c>
      <c r="E1801" s="38" t="s">
        <v>7040</v>
      </c>
      <c r="F1801" s="38"/>
      <c r="G1801" s="59"/>
      <c r="H1801" s="12"/>
      <c r="I1801" s="13"/>
      <c r="J1801" s="15"/>
      <c r="K1801" s="12"/>
      <c r="L1801" s="11"/>
      <c r="M1801" s="15"/>
      <c r="N1801" s="17">
        <v>11000</v>
      </c>
      <c r="O1801" s="17"/>
      <c r="P1801" s="17"/>
      <c r="Q1801" s="48"/>
      <c r="R1801" s="11" t="s">
        <v>6849</v>
      </c>
      <c r="S1801" s="48"/>
      <c r="T1801" s="85" t="s">
        <v>8073</v>
      </c>
      <c r="U1801" s="88"/>
      <c r="V1801" s="32"/>
      <c r="W1801" s="25"/>
      <c r="X1801" s="11"/>
      <c r="Y1801" s="50"/>
      <c r="Z1801" s="50"/>
      <c r="AA1801" s="50"/>
      <c r="AB1801" s="50"/>
      <c r="AC1801" s="50"/>
      <c r="AD1801" s="50"/>
      <c r="AE1801" s="50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65"/>
      <c r="AP1801" s="69"/>
      <c r="AQ1801" s="62"/>
      <c r="AR1801" s="34"/>
    </row>
    <row r="1802" spans="1:44" customFormat="1">
      <c r="A1802" s="39">
        <v>45478</v>
      </c>
      <c r="B1802" s="11" t="s">
        <v>49</v>
      </c>
      <c r="C1802" s="16" t="s">
        <v>7716</v>
      </c>
      <c r="D1802" s="16" t="s">
        <v>7717</v>
      </c>
      <c r="E1802" s="38">
        <v>36467</v>
      </c>
      <c r="F1802" s="38"/>
      <c r="G1802" s="59" t="s">
        <v>1524</v>
      </c>
      <c r="H1802" s="12" t="s">
        <v>7718</v>
      </c>
      <c r="I1802" s="13">
        <v>16</v>
      </c>
      <c r="J1802" s="15" t="s">
        <v>7719</v>
      </c>
      <c r="K1802" s="12"/>
      <c r="L1802" s="11" t="s">
        <v>36</v>
      </c>
      <c r="M1802" s="15" t="s">
        <v>3599</v>
      </c>
      <c r="N1802" s="17">
        <v>8250</v>
      </c>
      <c r="O1802" s="17"/>
      <c r="P1802" s="17"/>
      <c r="Q1802" s="48"/>
      <c r="R1802" s="11" t="s">
        <v>6847</v>
      </c>
      <c r="S1802" s="48"/>
      <c r="T1802" s="85" t="s">
        <v>8073</v>
      </c>
      <c r="U1802" s="88"/>
      <c r="V1802" s="32" t="s">
        <v>7720</v>
      </c>
      <c r="W1802" s="25" t="s">
        <v>8</v>
      </c>
      <c r="X1802" s="11"/>
      <c r="Y1802" s="50"/>
      <c r="Z1802" s="50"/>
      <c r="AA1802" s="50"/>
      <c r="AB1802" s="50"/>
      <c r="AC1802" s="50"/>
      <c r="AD1802" s="50"/>
      <c r="AE1802" s="50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65"/>
      <c r="AP1802" s="69"/>
      <c r="AQ1802" s="62"/>
      <c r="AR1802" s="34"/>
    </row>
    <row r="1803" spans="1:44" customFormat="1">
      <c r="A1803" s="39">
        <v>45484</v>
      </c>
      <c r="B1803" s="11" t="s">
        <v>49</v>
      </c>
      <c r="C1803" s="16" t="s">
        <v>7721</v>
      </c>
      <c r="D1803" s="16" t="s">
        <v>7722</v>
      </c>
      <c r="E1803" s="38" t="s">
        <v>7040</v>
      </c>
      <c r="F1803" s="38"/>
      <c r="G1803" s="59"/>
      <c r="H1803" s="12"/>
      <c r="I1803" s="13"/>
      <c r="J1803" s="15"/>
      <c r="K1803" s="12"/>
      <c r="L1803" s="11"/>
      <c r="M1803" s="15"/>
      <c r="N1803" s="4">
        <v>11000</v>
      </c>
      <c r="O1803" s="4"/>
      <c r="P1803" s="4"/>
      <c r="Q1803" s="47"/>
      <c r="R1803" s="11" t="s">
        <v>6847</v>
      </c>
      <c r="S1803" s="47"/>
      <c r="T1803" s="85" t="s">
        <v>8073</v>
      </c>
      <c r="U1803" s="88"/>
      <c r="V1803" s="32"/>
      <c r="W1803" s="25"/>
      <c r="X1803" s="11"/>
      <c r="Y1803" s="50"/>
      <c r="Z1803" s="50"/>
      <c r="AA1803" s="50"/>
      <c r="AB1803" s="50"/>
      <c r="AC1803" s="50"/>
      <c r="AD1803" s="50"/>
      <c r="AE1803" s="50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65"/>
      <c r="AP1803" s="69"/>
      <c r="AQ1803" s="62"/>
      <c r="AR1803" s="34"/>
    </row>
    <row r="1804" spans="1:44" customFormat="1">
      <c r="A1804" s="39">
        <v>45485</v>
      </c>
      <c r="B1804" s="11" t="s">
        <v>49</v>
      </c>
      <c r="C1804" s="16" t="s">
        <v>5131</v>
      </c>
      <c r="D1804" s="16" t="s">
        <v>7723</v>
      </c>
      <c r="E1804" s="38" t="s">
        <v>7724</v>
      </c>
      <c r="F1804" s="38"/>
      <c r="G1804" s="59" t="s">
        <v>7725</v>
      </c>
      <c r="H1804" s="12" t="s">
        <v>2322</v>
      </c>
      <c r="I1804" s="13" t="s">
        <v>7726</v>
      </c>
      <c r="J1804" s="15" t="s">
        <v>2324</v>
      </c>
      <c r="K1804" s="12"/>
      <c r="L1804" s="11"/>
      <c r="M1804" s="15"/>
      <c r="N1804" s="17">
        <v>22000</v>
      </c>
      <c r="O1804" s="17"/>
      <c r="P1804" s="17"/>
      <c r="Q1804" s="48"/>
      <c r="R1804" s="11" t="s">
        <v>6848</v>
      </c>
      <c r="S1804" s="48"/>
      <c r="T1804" s="85" t="s">
        <v>8073</v>
      </c>
      <c r="U1804" s="88"/>
      <c r="V1804" s="32"/>
      <c r="W1804" s="25"/>
      <c r="X1804" s="11"/>
      <c r="Y1804" s="50"/>
      <c r="Z1804" s="50"/>
      <c r="AA1804" s="50"/>
      <c r="AB1804" s="50"/>
      <c r="AC1804" s="50"/>
      <c r="AD1804" s="50"/>
      <c r="AE1804" s="50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65" t="s">
        <v>2389</v>
      </c>
      <c r="AP1804" s="69"/>
      <c r="AQ1804" s="62"/>
      <c r="AR1804" s="34"/>
    </row>
    <row r="1805" spans="1:44" customFormat="1">
      <c r="A1805" s="39">
        <v>45487</v>
      </c>
      <c r="B1805" s="11" t="s">
        <v>49</v>
      </c>
      <c r="C1805" s="16" t="s">
        <v>7727</v>
      </c>
      <c r="D1805" s="16" t="s">
        <v>7728</v>
      </c>
      <c r="E1805" s="38">
        <v>27673</v>
      </c>
      <c r="F1805" s="38"/>
      <c r="G1805" s="59" t="s">
        <v>7729</v>
      </c>
      <c r="H1805" s="60" t="s">
        <v>7730</v>
      </c>
      <c r="I1805" s="13">
        <v>50.1</v>
      </c>
      <c r="J1805" s="15" t="s">
        <v>7732</v>
      </c>
      <c r="K1805" s="46" t="s">
        <v>7731</v>
      </c>
      <c r="L1805" s="11" t="s">
        <v>34</v>
      </c>
      <c r="M1805" s="15" t="s">
        <v>3584</v>
      </c>
      <c r="N1805" s="17">
        <v>16500</v>
      </c>
      <c r="O1805" s="17"/>
      <c r="P1805" s="17"/>
      <c r="Q1805" s="48"/>
      <c r="R1805" s="11" t="s">
        <v>6847</v>
      </c>
      <c r="S1805" s="48"/>
      <c r="T1805" s="85" t="s">
        <v>8073</v>
      </c>
      <c r="U1805" s="88"/>
      <c r="V1805" s="32"/>
      <c r="W1805" s="25" t="s">
        <v>3847</v>
      </c>
      <c r="X1805" s="11"/>
      <c r="Y1805" s="50" t="s">
        <v>17</v>
      </c>
      <c r="Z1805" s="50"/>
      <c r="AA1805" s="50"/>
      <c r="AB1805" s="50"/>
      <c r="AC1805" s="50"/>
      <c r="AD1805" s="50"/>
      <c r="AE1805" s="50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65"/>
      <c r="AP1805" s="69"/>
      <c r="AQ1805" s="62"/>
      <c r="AR1805" s="34"/>
    </row>
    <row r="1806" spans="1:44" customFormat="1">
      <c r="A1806" s="39">
        <v>45488</v>
      </c>
      <c r="B1806" s="11" t="s">
        <v>22</v>
      </c>
      <c r="C1806" s="16" t="s">
        <v>7733</v>
      </c>
      <c r="D1806" s="16" t="s">
        <v>7734</v>
      </c>
      <c r="E1806" s="38">
        <v>27845</v>
      </c>
      <c r="F1806" s="38"/>
      <c r="G1806" s="59" t="s">
        <v>3014</v>
      </c>
      <c r="H1806" s="12" t="s">
        <v>7735</v>
      </c>
      <c r="I1806" s="13" t="s">
        <v>1643</v>
      </c>
      <c r="J1806" s="15" t="s">
        <v>7737</v>
      </c>
      <c r="K1806" s="46" t="s">
        <v>7736</v>
      </c>
      <c r="L1806" s="11" t="s">
        <v>36</v>
      </c>
      <c r="M1806" s="15"/>
      <c r="N1806" s="17">
        <v>3300</v>
      </c>
      <c r="O1806" s="17"/>
      <c r="P1806" s="17"/>
      <c r="Q1806" s="48"/>
      <c r="R1806" s="11" t="s">
        <v>6847</v>
      </c>
      <c r="S1806" s="48"/>
      <c r="T1806" s="85" t="s">
        <v>8079</v>
      </c>
      <c r="U1806" s="88"/>
      <c r="V1806" s="32" t="s">
        <v>6642</v>
      </c>
      <c r="W1806" s="25" t="s">
        <v>48</v>
      </c>
      <c r="X1806" s="11"/>
      <c r="Y1806" s="50" t="s">
        <v>12</v>
      </c>
      <c r="Z1806" s="50"/>
      <c r="AA1806" s="50"/>
      <c r="AB1806" s="50"/>
      <c r="AC1806" s="50"/>
      <c r="AD1806" s="50"/>
      <c r="AE1806" s="50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65" t="s">
        <v>5804</v>
      </c>
      <c r="AP1806" s="69"/>
      <c r="AQ1806" s="62" t="s">
        <v>8079</v>
      </c>
      <c r="AR1806" s="34"/>
    </row>
    <row r="1807" spans="1:44" customFormat="1">
      <c r="A1807" s="39">
        <v>45488</v>
      </c>
      <c r="B1807" s="11" t="s">
        <v>49</v>
      </c>
      <c r="C1807" s="16" t="s">
        <v>4637</v>
      </c>
      <c r="D1807" s="16" t="s">
        <v>7738</v>
      </c>
      <c r="E1807" s="38">
        <v>22957</v>
      </c>
      <c r="F1807" s="38"/>
      <c r="G1807" s="10" t="s">
        <v>307</v>
      </c>
      <c r="H1807" s="12" t="s">
        <v>4639</v>
      </c>
      <c r="I1807" s="13" t="s">
        <v>2175</v>
      </c>
      <c r="J1807" s="15" t="s">
        <v>4638</v>
      </c>
      <c r="K1807" s="14" t="s">
        <v>4640</v>
      </c>
      <c r="L1807" s="11" t="s">
        <v>39</v>
      </c>
      <c r="M1807" s="15" t="s">
        <v>3584</v>
      </c>
      <c r="N1807" s="17">
        <v>16500</v>
      </c>
      <c r="O1807" s="17"/>
      <c r="P1807" s="17"/>
      <c r="Q1807" s="48"/>
      <c r="R1807" s="11" t="s">
        <v>7023</v>
      </c>
      <c r="S1807" s="48"/>
      <c r="T1807" s="85"/>
      <c r="U1807" s="88"/>
      <c r="V1807" s="32"/>
      <c r="W1807" s="25" t="s">
        <v>3847</v>
      </c>
      <c r="X1807" s="11"/>
      <c r="Y1807" s="50" t="s">
        <v>13</v>
      </c>
      <c r="Z1807" s="50"/>
      <c r="AA1807" s="50"/>
      <c r="AB1807" s="50"/>
      <c r="AC1807" s="50"/>
      <c r="AD1807" s="50"/>
      <c r="AE1807" s="50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65" t="s">
        <v>2389</v>
      </c>
      <c r="AP1807" s="69"/>
      <c r="AQ1807" s="62"/>
      <c r="AR1807" s="34"/>
    </row>
    <row r="1808" spans="1:44" customFormat="1">
      <c r="A1808" s="39">
        <v>45488</v>
      </c>
      <c r="B1808" s="11" t="s">
        <v>4266</v>
      </c>
      <c r="C1808" s="16" t="s">
        <v>7775</v>
      </c>
      <c r="D1808" s="16" t="s">
        <v>7776</v>
      </c>
      <c r="E1808" s="38" t="s">
        <v>7777</v>
      </c>
      <c r="F1808" s="38"/>
      <c r="G1808" s="10"/>
      <c r="H1808" s="12"/>
      <c r="I1808" s="13"/>
      <c r="J1808" s="15"/>
      <c r="K1808" s="14"/>
      <c r="L1808" s="11"/>
      <c r="M1808" s="15"/>
      <c r="N1808" s="17">
        <v>4950</v>
      </c>
      <c r="O1808" s="17"/>
      <c r="P1808" s="17"/>
      <c r="Q1808" s="48"/>
      <c r="R1808" s="11" t="s">
        <v>7778</v>
      </c>
      <c r="S1808" s="48"/>
      <c r="T1808" s="85"/>
      <c r="U1808" s="88"/>
      <c r="V1808" s="32"/>
      <c r="W1808" s="25"/>
      <c r="X1808" s="11"/>
      <c r="Y1808" s="50"/>
      <c r="Z1808" s="50"/>
      <c r="AA1808" s="50"/>
      <c r="AB1808" s="50"/>
      <c r="AC1808" s="50"/>
      <c r="AD1808" s="50"/>
      <c r="AE1808" s="50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65"/>
      <c r="AP1808" s="69"/>
      <c r="AQ1808" s="62"/>
      <c r="AR1808" s="34"/>
    </row>
    <row r="1809" spans="1:44" customFormat="1">
      <c r="A1809" s="39">
        <v>45491</v>
      </c>
      <c r="B1809" s="11" t="s">
        <v>49</v>
      </c>
      <c r="C1809" s="16" t="s">
        <v>7502</v>
      </c>
      <c r="D1809" s="16" t="s">
        <v>7647</v>
      </c>
      <c r="E1809" s="38">
        <v>26710</v>
      </c>
      <c r="F1809" s="38"/>
      <c r="G1809" s="59" t="s">
        <v>7492</v>
      </c>
      <c r="H1809" s="12" t="s">
        <v>7504</v>
      </c>
      <c r="I1809" s="13" t="s">
        <v>7648</v>
      </c>
      <c r="J1809" s="15" t="s">
        <v>7650</v>
      </c>
      <c r="K1809" s="12" t="s">
        <v>7649</v>
      </c>
      <c r="L1809" s="11" t="s">
        <v>36</v>
      </c>
      <c r="M1809" s="15" t="s">
        <v>3584</v>
      </c>
      <c r="N1809" s="17">
        <v>16500</v>
      </c>
      <c r="O1809" s="17"/>
      <c r="P1809" s="17"/>
      <c r="Q1809" s="48"/>
      <c r="R1809" s="11" t="s">
        <v>6849</v>
      </c>
      <c r="S1809" s="48"/>
      <c r="T1809" s="85" t="s">
        <v>8073</v>
      </c>
      <c r="U1809" s="88"/>
      <c r="V1809" s="32"/>
      <c r="W1809" s="25" t="s">
        <v>8</v>
      </c>
      <c r="X1809" s="11"/>
      <c r="Y1809" s="50" t="s">
        <v>13</v>
      </c>
      <c r="Z1809" s="50"/>
      <c r="AA1809" s="50"/>
      <c r="AB1809" s="50"/>
      <c r="AC1809" s="50"/>
      <c r="AD1809" s="50"/>
      <c r="AE1809" s="50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65" t="s">
        <v>2389</v>
      </c>
      <c r="AP1809" s="69"/>
      <c r="AQ1809" s="62"/>
      <c r="AR1809" s="34"/>
    </row>
    <row r="1810" spans="1:44" customFormat="1">
      <c r="A1810" s="39">
        <v>45491</v>
      </c>
      <c r="B1810" s="11" t="s">
        <v>49</v>
      </c>
      <c r="C1810" s="16" t="s">
        <v>7739</v>
      </c>
      <c r="D1810" s="16" t="s">
        <v>7740</v>
      </c>
      <c r="E1810" s="38">
        <v>31739</v>
      </c>
      <c r="F1810" s="38"/>
      <c r="G1810" s="59" t="s">
        <v>7742</v>
      </c>
      <c r="H1810" s="12" t="s">
        <v>7741</v>
      </c>
      <c r="I1810" s="13">
        <v>23</v>
      </c>
      <c r="J1810" s="15" t="s">
        <v>7744</v>
      </c>
      <c r="K1810" s="46" t="s">
        <v>7743</v>
      </c>
      <c r="L1810" s="11" t="s">
        <v>34</v>
      </c>
      <c r="M1810" s="15" t="s">
        <v>3584</v>
      </c>
      <c r="N1810" s="17">
        <v>16500</v>
      </c>
      <c r="O1810" s="17"/>
      <c r="P1810" s="17"/>
      <c r="Q1810" s="48"/>
      <c r="R1810" s="11" t="s">
        <v>6849</v>
      </c>
      <c r="S1810" s="48"/>
      <c r="T1810" s="85" t="s">
        <v>8073</v>
      </c>
      <c r="U1810" s="88"/>
      <c r="V1810" s="32" t="s">
        <v>6642</v>
      </c>
      <c r="W1810" s="25" t="s">
        <v>8</v>
      </c>
      <c r="X1810" s="11"/>
      <c r="Y1810" s="50" t="s">
        <v>13</v>
      </c>
      <c r="Z1810" s="50"/>
      <c r="AA1810" s="50"/>
      <c r="AB1810" s="50"/>
      <c r="AC1810" s="50"/>
      <c r="AD1810" s="50"/>
      <c r="AE1810" s="50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65" t="s">
        <v>7745</v>
      </c>
      <c r="AP1810" s="69"/>
      <c r="AQ1810" s="62"/>
      <c r="AR1810" s="34"/>
    </row>
    <row r="1811" spans="1:44" customFormat="1">
      <c r="A1811" s="39">
        <v>45491</v>
      </c>
      <c r="B1811" s="11" t="s">
        <v>49</v>
      </c>
      <c r="C1811" s="16" t="s">
        <v>7746</v>
      </c>
      <c r="D1811" s="16" t="s">
        <v>7747</v>
      </c>
      <c r="E1811" s="38">
        <v>25766</v>
      </c>
      <c r="F1811" s="38"/>
      <c r="G1811" s="59" t="s">
        <v>4633</v>
      </c>
      <c r="H1811" s="60" t="s">
        <v>7748</v>
      </c>
      <c r="I1811" s="13">
        <v>2.2000000000000002</v>
      </c>
      <c r="J1811" s="15" t="s">
        <v>7750</v>
      </c>
      <c r="K1811" s="46" t="s">
        <v>7749</v>
      </c>
      <c r="L1811" s="11" t="s">
        <v>36</v>
      </c>
      <c r="M1811" s="15" t="s">
        <v>3584</v>
      </c>
      <c r="N1811" s="17">
        <v>16500</v>
      </c>
      <c r="O1811" s="17"/>
      <c r="P1811" s="17"/>
      <c r="Q1811" s="48"/>
      <c r="R1811" s="11" t="s">
        <v>6849</v>
      </c>
      <c r="S1811" s="48"/>
      <c r="T1811" s="85" t="s">
        <v>8073</v>
      </c>
      <c r="U1811" s="88"/>
      <c r="V1811" s="32" t="s">
        <v>6642</v>
      </c>
      <c r="W1811" s="25" t="s">
        <v>48</v>
      </c>
      <c r="X1811" s="11"/>
      <c r="Y1811" s="50" t="s">
        <v>12</v>
      </c>
      <c r="Z1811" s="50"/>
      <c r="AA1811" s="50"/>
      <c r="AB1811" s="50"/>
      <c r="AC1811" s="50"/>
      <c r="AD1811" s="50"/>
      <c r="AE1811" s="50"/>
      <c r="AF1811" s="34" t="s">
        <v>18</v>
      </c>
      <c r="AG1811" s="34"/>
      <c r="AH1811" s="34"/>
      <c r="AI1811" s="34"/>
      <c r="AJ1811" s="34"/>
      <c r="AK1811" s="34"/>
      <c r="AL1811" s="34"/>
      <c r="AM1811" s="34"/>
      <c r="AN1811" s="34"/>
      <c r="AO1811" s="65"/>
      <c r="AP1811" s="69"/>
      <c r="AQ1811" s="62"/>
      <c r="AR1811" s="34"/>
    </row>
    <row r="1812" spans="1:44" customFormat="1">
      <c r="A1812" s="39">
        <v>45493</v>
      </c>
      <c r="B1812" s="11" t="s">
        <v>49</v>
      </c>
      <c r="C1812" s="16" t="s">
        <v>7115</v>
      </c>
      <c r="D1812" s="16" t="s">
        <v>7751</v>
      </c>
      <c r="E1812" s="38">
        <v>26163</v>
      </c>
      <c r="F1812" s="38"/>
      <c r="G1812" s="59" t="s">
        <v>991</v>
      </c>
      <c r="H1812" s="12" t="s">
        <v>7117</v>
      </c>
      <c r="I1812" s="13">
        <v>25</v>
      </c>
      <c r="J1812" s="15" t="s">
        <v>993</v>
      </c>
      <c r="K1812" s="12"/>
      <c r="L1812" s="11" t="s">
        <v>33</v>
      </c>
      <c r="M1812" s="15" t="s">
        <v>3599</v>
      </c>
      <c r="N1812" s="17">
        <v>16500</v>
      </c>
      <c r="O1812" s="17"/>
      <c r="P1812" s="17"/>
      <c r="Q1812" s="48"/>
      <c r="R1812" s="11" t="s">
        <v>6848</v>
      </c>
      <c r="S1812" s="48"/>
      <c r="T1812" s="85" t="s">
        <v>8073</v>
      </c>
      <c r="U1812" s="88"/>
      <c r="V1812" s="32"/>
      <c r="W1812" s="25"/>
      <c r="X1812" s="11"/>
      <c r="Y1812" s="50" t="s">
        <v>12</v>
      </c>
      <c r="Z1812" s="50"/>
      <c r="AA1812" s="50"/>
      <c r="AB1812" s="50"/>
      <c r="AC1812" s="50"/>
      <c r="AD1812" s="50"/>
      <c r="AE1812" s="50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65" t="s">
        <v>2389</v>
      </c>
      <c r="AP1812" s="69"/>
      <c r="AQ1812" s="62"/>
      <c r="AR1812" s="34"/>
    </row>
    <row r="1813" spans="1:44" customFormat="1">
      <c r="A1813" s="39">
        <v>45493</v>
      </c>
      <c r="B1813" s="11" t="s">
        <v>49</v>
      </c>
      <c r="C1813" s="16" t="s">
        <v>7752</v>
      </c>
      <c r="D1813" s="16" t="s">
        <v>7753</v>
      </c>
      <c r="E1813" s="38">
        <v>26265</v>
      </c>
      <c r="F1813" s="38"/>
      <c r="G1813" s="59" t="s">
        <v>7754</v>
      </c>
      <c r="H1813" s="60" t="s">
        <v>7755</v>
      </c>
      <c r="I1813" s="13">
        <v>34.299999999999997</v>
      </c>
      <c r="J1813" s="15" t="s">
        <v>7756</v>
      </c>
      <c r="K1813" s="12"/>
      <c r="L1813" s="11" t="s">
        <v>36</v>
      </c>
      <c r="M1813" s="15" t="s">
        <v>3599</v>
      </c>
      <c r="N1813" s="17">
        <v>16500</v>
      </c>
      <c r="O1813" s="17"/>
      <c r="P1813" s="17"/>
      <c r="Q1813" s="48"/>
      <c r="R1813" s="11" t="s">
        <v>6847</v>
      </c>
      <c r="S1813" s="48"/>
      <c r="T1813" s="85"/>
      <c r="U1813" s="88"/>
      <c r="V1813" s="32"/>
      <c r="W1813" s="25" t="s">
        <v>8</v>
      </c>
      <c r="X1813" s="11"/>
      <c r="Y1813" s="50" t="s">
        <v>12</v>
      </c>
      <c r="Z1813" s="50"/>
      <c r="AA1813" s="50"/>
      <c r="AB1813" s="50"/>
      <c r="AC1813" s="50"/>
      <c r="AD1813" s="50"/>
      <c r="AE1813" s="50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65"/>
      <c r="AP1813" s="69"/>
      <c r="AQ1813" s="62"/>
      <c r="AR1813" s="34"/>
    </row>
    <row r="1814" spans="1:44" customFormat="1">
      <c r="A1814" s="39">
        <v>45498</v>
      </c>
      <c r="B1814" s="11" t="s">
        <v>49</v>
      </c>
      <c r="C1814" s="16" t="s">
        <v>5727</v>
      </c>
      <c r="D1814" s="16" t="s">
        <v>5728</v>
      </c>
      <c r="E1814" s="38" t="s">
        <v>7040</v>
      </c>
      <c r="F1814" s="38"/>
      <c r="G1814" s="59"/>
      <c r="H1814" s="12"/>
      <c r="I1814" s="13"/>
      <c r="J1814" s="15"/>
      <c r="K1814" s="12"/>
      <c r="L1814" s="11"/>
      <c r="M1814" s="15"/>
      <c r="N1814" s="17">
        <v>11000</v>
      </c>
      <c r="O1814" s="17"/>
      <c r="P1814" s="17"/>
      <c r="Q1814" s="48"/>
      <c r="R1814" s="11" t="s">
        <v>6847</v>
      </c>
      <c r="S1814" s="48"/>
      <c r="T1814" s="85" t="s">
        <v>8073</v>
      </c>
      <c r="U1814" s="88"/>
      <c r="V1814" s="32"/>
      <c r="W1814" s="25"/>
      <c r="X1814" s="11"/>
      <c r="Y1814" s="50"/>
      <c r="Z1814" s="50"/>
      <c r="AA1814" s="50"/>
      <c r="AB1814" s="50"/>
      <c r="AC1814" s="50"/>
      <c r="AD1814" s="50"/>
      <c r="AE1814" s="50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65"/>
      <c r="AP1814" s="69"/>
      <c r="AQ1814" s="62"/>
      <c r="AR1814" s="34"/>
    </row>
    <row r="1815" spans="1:44" customFormat="1">
      <c r="A1815" s="39">
        <v>45498</v>
      </c>
      <c r="B1815" s="11" t="s">
        <v>49</v>
      </c>
      <c r="C1815" s="16" t="s">
        <v>7757</v>
      </c>
      <c r="D1815" s="16" t="s">
        <v>7758</v>
      </c>
      <c r="E1815" s="38">
        <v>26844</v>
      </c>
      <c r="F1815" s="38"/>
      <c r="G1815" s="59" t="s">
        <v>2321</v>
      </c>
      <c r="H1815" s="60" t="s">
        <v>7759</v>
      </c>
      <c r="I1815" s="13">
        <v>24.4</v>
      </c>
      <c r="J1815" s="15" t="s">
        <v>7760</v>
      </c>
      <c r="K1815" s="12"/>
      <c r="L1815" s="11" t="s">
        <v>37</v>
      </c>
      <c r="M1815" s="15" t="s">
        <v>3599</v>
      </c>
      <c r="N1815" s="17">
        <v>16500</v>
      </c>
      <c r="O1815" s="17"/>
      <c r="P1815" s="17"/>
      <c r="Q1815" s="48"/>
      <c r="R1815" s="11" t="s">
        <v>6849</v>
      </c>
      <c r="S1815" s="48"/>
      <c r="T1815" s="85"/>
      <c r="U1815" s="88"/>
      <c r="V1815" s="32" t="s">
        <v>6642</v>
      </c>
      <c r="W1815" s="25" t="s">
        <v>48</v>
      </c>
      <c r="X1815" s="11"/>
      <c r="Y1815" s="50"/>
      <c r="Z1815" s="50"/>
      <c r="AA1815" s="50"/>
      <c r="AB1815" s="50"/>
      <c r="AC1815" s="50"/>
      <c r="AD1815" s="50"/>
      <c r="AE1815" s="50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65"/>
      <c r="AP1815" s="69"/>
      <c r="AQ1815" s="62"/>
      <c r="AR1815" s="34"/>
    </row>
    <row r="1816" spans="1:44" customFormat="1">
      <c r="A1816" s="39">
        <v>45500</v>
      </c>
      <c r="B1816" s="11" t="s">
        <v>49</v>
      </c>
      <c r="C1816" s="16" t="s">
        <v>7761</v>
      </c>
      <c r="D1816" s="16" t="s">
        <v>7762</v>
      </c>
      <c r="E1816" s="38">
        <v>40948</v>
      </c>
      <c r="F1816" s="38"/>
      <c r="G1816" s="59" t="s">
        <v>4294</v>
      </c>
      <c r="H1816" s="60" t="s">
        <v>7763</v>
      </c>
      <c r="I1816" s="13">
        <v>11.7</v>
      </c>
      <c r="J1816" s="15" t="s">
        <v>7765</v>
      </c>
      <c r="K1816" s="46" t="s">
        <v>7764</v>
      </c>
      <c r="L1816" s="11" t="s">
        <v>38</v>
      </c>
      <c r="M1816" s="15" t="s">
        <v>3584</v>
      </c>
      <c r="N1816" s="17">
        <v>22000</v>
      </c>
      <c r="O1816" s="17"/>
      <c r="P1816" s="17"/>
      <c r="Q1816" s="48"/>
      <c r="R1816" s="11" t="s">
        <v>6849</v>
      </c>
      <c r="S1816" s="48"/>
      <c r="T1816" s="85"/>
      <c r="U1816" s="88"/>
      <c r="V1816" s="32" t="s">
        <v>6642</v>
      </c>
      <c r="W1816" s="25" t="s">
        <v>8</v>
      </c>
      <c r="X1816" s="11"/>
      <c r="Y1816" s="50" t="s">
        <v>12</v>
      </c>
      <c r="Z1816" s="50"/>
      <c r="AA1816" s="50"/>
      <c r="AB1816" s="50"/>
      <c r="AC1816" s="50"/>
      <c r="AD1816" s="50"/>
      <c r="AE1816" s="50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65"/>
      <c r="AP1816" s="69"/>
      <c r="AQ1816" s="62"/>
      <c r="AR1816" s="34"/>
    </row>
    <row r="1817" spans="1:44" customFormat="1">
      <c r="A1817" s="39">
        <v>45500</v>
      </c>
      <c r="B1817" s="11" t="s">
        <v>22</v>
      </c>
      <c r="C1817" s="16" t="s">
        <v>7766</v>
      </c>
      <c r="D1817" s="16" t="s">
        <v>7767</v>
      </c>
      <c r="E1817" s="38">
        <v>30971</v>
      </c>
      <c r="F1817" s="38"/>
      <c r="G1817" s="59" t="s">
        <v>7768</v>
      </c>
      <c r="H1817" s="60" t="s">
        <v>7769</v>
      </c>
      <c r="I1817" s="13">
        <v>8.1999999999999993</v>
      </c>
      <c r="J1817" s="15" t="s">
        <v>7770</v>
      </c>
      <c r="K1817" s="12"/>
      <c r="L1817" s="11" t="s">
        <v>36</v>
      </c>
      <c r="M1817" s="15" t="s">
        <v>3599</v>
      </c>
      <c r="N1817" s="17">
        <v>3300</v>
      </c>
      <c r="O1817" s="17"/>
      <c r="P1817" s="17"/>
      <c r="Q1817" s="48"/>
      <c r="R1817" s="11" t="s">
        <v>6847</v>
      </c>
      <c r="S1817" s="48"/>
      <c r="T1817" s="85" t="s">
        <v>8079</v>
      </c>
      <c r="U1817" s="89">
        <v>45507</v>
      </c>
      <c r="V1817" s="32" t="s">
        <v>6642</v>
      </c>
      <c r="W1817" s="25" t="s">
        <v>48</v>
      </c>
      <c r="X1817" s="11"/>
      <c r="Y1817" s="50"/>
      <c r="Z1817" s="50"/>
      <c r="AA1817" s="50"/>
      <c r="AB1817" s="50"/>
      <c r="AC1817" s="50"/>
      <c r="AD1817" s="50"/>
      <c r="AE1817" s="50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65"/>
      <c r="AP1817" s="69"/>
      <c r="AQ1817" s="62" t="s">
        <v>8079</v>
      </c>
      <c r="AR1817" s="78">
        <v>45507</v>
      </c>
    </row>
    <row r="1818" spans="1:44" customFormat="1">
      <c r="A1818" s="39">
        <v>45502</v>
      </c>
      <c r="B1818" s="11" t="s">
        <v>22</v>
      </c>
      <c r="C1818" s="16" t="s">
        <v>7771</v>
      </c>
      <c r="D1818" s="16" t="s">
        <v>7772</v>
      </c>
      <c r="E1818" s="38">
        <v>35859</v>
      </c>
      <c r="F1818" s="38"/>
      <c r="G1818" s="59" t="s">
        <v>207</v>
      </c>
      <c r="H1818" s="60" t="s">
        <v>7773</v>
      </c>
      <c r="I1818" s="13">
        <v>1.5</v>
      </c>
      <c r="J1818" s="15" t="s">
        <v>7774</v>
      </c>
      <c r="K1818" s="12"/>
      <c r="L1818" s="11" t="s">
        <v>35</v>
      </c>
      <c r="M1818" s="15" t="s">
        <v>3599</v>
      </c>
      <c r="N1818" s="17">
        <v>3300</v>
      </c>
      <c r="O1818" s="17"/>
      <c r="P1818" s="17"/>
      <c r="Q1818" s="48"/>
      <c r="R1818" s="11" t="s">
        <v>6848</v>
      </c>
      <c r="S1818" s="48"/>
      <c r="T1818" s="85"/>
      <c r="U1818" s="88"/>
      <c r="V1818" s="32" t="s">
        <v>6642</v>
      </c>
      <c r="W1818" s="25" t="s">
        <v>4073</v>
      </c>
      <c r="X1818" s="11"/>
      <c r="Y1818" s="50"/>
      <c r="Z1818" s="50"/>
      <c r="AA1818" s="50"/>
      <c r="AB1818" s="50"/>
      <c r="AC1818" s="50"/>
      <c r="AD1818" s="50"/>
      <c r="AE1818" s="50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65" t="s">
        <v>6585</v>
      </c>
      <c r="AP1818" s="69"/>
      <c r="AQ1818" s="62"/>
      <c r="AR1818" s="34"/>
    </row>
    <row r="1819" spans="1:44" customFormat="1">
      <c r="A1819" s="39">
        <v>45504</v>
      </c>
      <c r="B1819" s="11" t="s">
        <v>49</v>
      </c>
      <c r="C1819" s="16" t="s">
        <v>7779</v>
      </c>
      <c r="D1819" s="16" t="s">
        <v>7780</v>
      </c>
      <c r="E1819" s="38">
        <v>21966</v>
      </c>
      <c r="F1819" s="38"/>
      <c r="G1819" s="59" t="s">
        <v>7781</v>
      </c>
      <c r="H1819" s="60" t="s">
        <v>7782</v>
      </c>
      <c r="I1819" s="13">
        <v>25.3</v>
      </c>
      <c r="J1819" s="15" t="s">
        <v>7783</v>
      </c>
      <c r="K1819" s="12"/>
      <c r="L1819" s="11" t="s">
        <v>34</v>
      </c>
      <c r="M1819" s="15" t="s">
        <v>3599</v>
      </c>
      <c r="N1819" s="17">
        <v>22000</v>
      </c>
      <c r="O1819" s="17"/>
      <c r="P1819" s="17"/>
      <c r="Q1819" s="48"/>
      <c r="R1819" s="11" t="s">
        <v>6848</v>
      </c>
      <c r="S1819" s="48"/>
      <c r="T1819" s="85" t="s">
        <v>8073</v>
      </c>
      <c r="U1819" s="88"/>
      <c r="V1819" s="32" t="s">
        <v>6642</v>
      </c>
      <c r="W1819" s="25" t="s">
        <v>8</v>
      </c>
      <c r="X1819" s="11"/>
      <c r="Y1819" s="50" t="s">
        <v>12</v>
      </c>
      <c r="Z1819" s="50"/>
      <c r="AA1819" s="50"/>
      <c r="AB1819" s="50"/>
      <c r="AC1819" s="50"/>
      <c r="AD1819" s="50"/>
      <c r="AE1819" s="50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65"/>
      <c r="AP1819" s="69"/>
      <c r="AQ1819" s="62"/>
      <c r="AR1819" s="34"/>
    </row>
    <row r="1820" spans="1:44" customFormat="1">
      <c r="A1820" s="39">
        <v>45504</v>
      </c>
      <c r="B1820" s="11" t="s">
        <v>22</v>
      </c>
      <c r="C1820" s="16" t="s">
        <v>7784</v>
      </c>
      <c r="D1820" s="16" t="s">
        <v>7785</v>
      </c>
      <c r="E1820" s="38">
        <v>22210</v>
      </c>
      <c r="F1820" s="38"/>
      <c r="G1820" s="59" t="s">
        <v>339</v>
      </c>
      <c r="H1820" s="12" t="s">
        <v>7786</v>
      </c>
      <c r="I1820" s="13">
        <v>6.6</v>
      </c>
      <c r="J1820" s="15" t="s">
        <v>7787</v>
      </c>
      <c r="K1820" s="12"/>
      <c r="L1820" s="11" t="s">
        <v>39</v>
      </c>
      <c r="M1820" s="15" t="s">
        <v>3599</v>
      </c>
      <c r="N1820" s="17">
        <v>3300</v>
      </c>
      <c r="O1820" s="17"/>
      <c r="P1820" s="17"/>
      <c r="Q1820" s="48"/>
      <c r="R1820" s="11" t="s">
        <v>6848</v>
      </c>
      <c r="S1820" s="48"/>
      <c r="T1820" s="85" t="s">
        <v>8079</v>
      </c>
      <c r="U1820" s="88"/>
      <c r="V1820" s="32"/>
      <c r="W1820" s="25" t="s">
        <v>39</v>
      </c>
      <c r="X1820" s="11"/>
      <c r="Y1820" s="50"/>
      <c r="Z1820" s="50"/>
      <c r="AA1820" s="50"/>
      <c r="AB1820" s="50"/>
      <c r="AC1820" s="50"/>
      <c r="AD1820" s="50"/>
      <c r="AE1820" s="50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65" t="s">
        <v>6585</v>
      </c>
      <c r="AP1820" s="69"/>
      <c r="AQ1820" s="62" t="s">
        <v>8079</v>
      </c>
      <c r="AR1820" s="34"/>
    </row>
    <row r="1821" spans="1:44" customFormat="1">
      <c r="A1821" s="39">
        <v>45505</v>
      </c>
      <c r="B1821" s="11" t="s">
        <v>49</v>
      </c>
      <c r="C1821" s="16" t="s">
        <v>7757</v>
      </c>
      <c r="D1821" s="16" t="s">
        <v>7758</v>
      </c>
      <c r="E1821" s="38">
        <v>26844</v>
      </c>
      <c r="F1821" s="38"/>
      <c r="G1821" s="59" t="s">
        <v>2321</v>
      </c>
      <c r="H1821" s="60" t="s">
        <v>7759</v>
      </c>
      <c r="I1821" s="13">
        <v>24.4</v>
      </c>
      <c r="J1821" s="15" t="s">
        <v>7760</v>
      </c>
      <c r="K1821" s="12"/>
      <c r="L1821" s="11" t="s">
        <v>37</v>
      </c>
      <c r="M1821" s="15" t="s">
        <v>3599</v>
      </c>
      <c r="N1821" s="17">
        <v>16500</v>
      </c>
      <c r="O1821" s="17"/>
      <c r="P1821" s="17"/>
      <c r="Q1821" s="48"/>
      <c r="R1821" s="11" t="s">
        <v>6849</v>
      </c>
      <c r="S1821" s="48"/>
      <c r="T1821" s="85"/>
      <c r="U1821" s="88"/>
      <c r="V1821" s="32" t="s">
        <v>2389</v>
      </c>
      <c r="W1821" s="25" t="s">
        <v>48</v>
      </c>
      <c r="X1821" s="11"/>
      <c r="Y1821" s="50"/>
      <c r="Z1821" s="50"/>
      <c r="AA1821" s="50"/>
      <c r="AB1821" s="50"/>
      <c r="AC1821" s="50"/>
      <c r="AD1821" s="50"/>
      <c r="AE1821" s="50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65" t="s">
        <v>2389</v>
      </c>
      <c r="AP1821" s="69"/>
      <c r="AQ1821" s="62"/>
      <c r="AR1821" s="34"/>
    </row>
    <row r="1822" spans="1:44" customFormat="1">
      <c r="A1822" s="39">
        <v>45506</v>
      </c>
      <c r="B1822" s="11" t="s">
        <v>22</v>
      </c>
      <c r="C1822" s="16" t="s">
        <v>7798</v>
      </c>
      <c r="D1822" s="16" t="s">
        <v>7799</v>
      </c>
      <c r="E1822" s="38">
        <v>25444</v>
      </c>
      <c r="F1822" s="38"/>
      <c r="G1822" s="59" t="s">
        <v>636</v>
      </c>
      <c r="H1822" s="60" t="s">
        <v>7800</v>
      </c>
      <c r="I1822" s="13">
        <v>3.8</v>
      </c>
      <c r="J1822" s="15" t="s">
        <v>7802</v>
      </c>
      <c r="K1822" s="46" t="s">
        <v>7801</v>
      </c>
      <c r="L1822" s="11" t="s">
        <v>36</v>
      </c>
      <c r="M1822" s="15" t="s">
        <v>3599</v>
      </c>
      <c r="N1822" s="17">
        <v>3300</v>
      </c>
      <c r="O1822" s="17"/>
      <c r="P1822" s="17"/>
      <c r="Q1822" s="48"/>
      <c r="R1822" s="11" t="s">
        <v>6848</v>
      </c>
      <c r="S1822" s="48"/>
      <c r="T1822" s="85" t="s">
        <v>8079</v>
      </c>
      <c r="U1822" s="88"/>
      <c r="V1822" s="32" t="s">
        <v>6642</v>
      </c>
      <c r="W1822" s="25" t="s">
        <v>48</v>
      </c>
      <c r="X1822" s="11"/>
      <c r="Y1822" s="50"/>
      <c r="Z1822" s="50"/>
      <c r="AA1822" s="50"/>
      <c r="AB1822" s="50"/>
      <c r="AC1822" s="50"/>
      <c r="AD1822" s="50"/>
      <c r="AE1822" s="50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65" t="s">
        <v>5822</v>
      </c>
      <c r="AP1822" s="69"/>
      <c r="AQ1822" s="62" t="s">
        <v>8079</v>
      </c>
      <c r="AR1822" s="34"/>
    </row>
    <row r="1823" spans="1:44" customFormat="1">
      <c r="A1823" s="39">
        <v>45507</v>
      </c>
      <c r="B1823" s="11" t="s">
        <v>22</v>
      </c>
      <c r="C1823" s="16" t="s">
        <v>7788</v>
      </c>
      <c r="D1823" s="16" t="s">
        <v>7789</v>
      </c>
      <c r="E1823" s="38">
        <v>27969</v>
      </c>
      <c r="F1823" s="38"/>
      <c r="G1823" s="59" t="s">
        <v>3014</v>
      </c>
      <c r="H1823" s="60" t="s">
        <v>7790</v>
      </c>
      <c r="I1823" s="13">
        <v>1.7</v>
      </c>
      <c r="J1823" s="15" t="s">
        <v>7792</v>
      </c>
      <c r="K1823" s="46" t="s">
        <v>7791</v>
      </c>
      <c r="L1823" s="11" t="s">
        <v>36</v>
      </c>
      <c r="M1823" s="15" t="s">
        <v>3629</v>
      </c>
      <c r="N1823" s="17">
        <v>3300</v>
      </c>
      <c r="O1823" s="17"/>
      <c r="P1823" s="17"/>
      <c r="Q1823" s="48"/>
      <c r="R1823" s="11" t="s">
        <v>6848</v>
      </c>
      <c r="S1823" s="48"/>
      <c r="T1823" s="85"/>
      <c r="U1823" s="88"/>
      <c r="V1823" s="32" t="s">
        <v>6642</v>
      </c>
      <c r="W1823" s="25" t="s">
        <v>4073</v>
      </c>
      <c r="X1823" s="11"/>
      <c r="Y1823" s="50"/>
      <c r="Z1823" s="50"/>
      <c r="AA1823" s="50"/>
      <c r="AB1823" s="50"/>
      <c r="AC1823" s="50"/>
      <c r="AD1823" s="50"/>
      <c r="AE1823" s="50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65" t="s">
        <v>5822</v>
      </c>
      <c r="AP1823" s="69"/>
      <c r="AQ1823" s="62"/>
      <c r="AR1823" s="34"/>
    </row>
    <row r="1824" spans="1:44" customFormat="1">
      <c r="A1824" s="39">
        <v>45507</v>
      </c>
      <c r="B1824" s="11" t="s">
        <v>22</v>
      </c>
      <c r="C1824" s="16" t="s">
        <v>7793</v>
      </c>
      <c r="D1824" s="16" t="s">
        <v>7794</v>
      </c>
      <c r="E1824" s="38">
        <v>28524</v>
      </c>
      <c r="F1824" s="38"/>
      <c r="G1824" s="59" t="s">
        <v>7795</v>
      </c>
      <c r="H1824" s="60" t="s">
        <v>7796</v>
      </c>
      <c r="I1824" s="13">
        <v>6.1</v>
      </c>
      <c r="J1824" s="15" t="s">
        <v>7797</v>
      </c>
      <c r="K1824" s="12"/>
      <c r="L1824" s="11" t="s">
        <v>36</v>
      </c>
      <c r="M1824" s="15" t="s">
        <v>3599</v>
      </c>
      <c r="N1824" s="17">
        <v>3300</v>
      </c>
      <c r="O1824" s="17"/>
      <c r="P1824" s="17"/>
      <c r="Q1824" s="48"/>
      <c r="R1824" s="11" t="s">
        <v>6848</v>
      </c>
      <c r="S1824" s="48"/>
      <c r="T1824" s="85" t="s">
        <v>8079</v>
      </c>
      <c r="U1824" s="88"/>
      <c r="V1824" s="32" t="s">
        <v>6642</v>
      </c>
      <c r="W1824" s="25" t="s">
        <v>3847</v>
      </c>
      <c r="X1824" s="11"/>
      <c r="Y1824" s="50"/>
      <c r="Z1824" s="50"/>
      <c r="AA1824" s="50"/>
      <c r="AB1824" s="50"/>
      <c r="AC1824" s="50"/>
      <c r="AD1824" s="50"/>
      <c r="AE1824" s="50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65" t="s">
        <v>5822</v>
      </c>
      <c r="AP1824" s="69"/>
      <c r="AQ1824" s="62" t="s">
        <v>8079</v>
      </c>
      <c r="AR1824" s="34"/>
    </row>
    <row r="1825" spans="1:44" customFormat="1">
      <c r="A1825" s="39">
        <v>45515</v>
      </c>
      <c r="B1825" s="11" t="s">
        <v>49</v>
      </c>
      <c r="C1825" s="16" t="s">
        <v>7803</v>
      </c>
      <c r="D1825" s="16" t="s">
        <v>7805</v>
      </c>
      <c r="E1825" s="38">
        <v>24137</v>
      </c>
      <c r="F1825" s="38"/>
      <c r="G1825" s="59" t="s">
        <v>3789</v>
      </c>
      <c r="H1825" s="12" t="s">
        <v>7804</v>
      </c>
      <c r="I1825" s="13">
        <v>15</v>
      </c>
      <c r="J1825" s="15" t="s">
        <v>7807</v>
      </c>
      <c r="K1825" s="46" t="s">
        <v>7806</v>
      </c>
      <c r="L1825" s="11" t="s">
        <v>33</v>
      </c>
      <c r="M1825" s="15" t="s">
        <v>3584</v>
      </c>
      <c r="N1825" s="17">
        <v>8250</v>
      </c>
      <c r="O1825" s="17"/>
      <c r="P1825" s="17"/>
      <c r="Q1825" s="48"/>
      <c r="R1825" s="11" t="s">
        <v>6847</v>
      </c>
      <c r="S1825" s="48"/>
      <c r="T1825" s="85" t="s">
        <v>8073</v>
      </c>
      <c r="U1825" s="88"/>
      <c r="V1825" s="32" t="s">
        <v>7250</v>
      </c>
      <c r="W1825" s="25" t="s">
        <v>8</v>
      </c>
      <c r="X1825" s="11"/>
      <c r="Y1825" s="50" t="s">
        <v>13</v>
      </c>
      <c r="Z1825" s="50"/>
      <c r="AA1825" s="50"/>
      <c r="AB1825" s="50"/>
      <c r="AC1825" s="50"/>
      <c r="AD1825" s="50"/>
      <c r="AE1825" s="50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65"/>
      <c r="AP1825" s="69"/>
      <c r="AQ1825" s="62"/>
      <c r="AR1825" s="34"/>
    </row>
    <row r="1826" spans="1:44" customFormat="1">
      <c r="A1826" s="39">
        <v>45515</v>
      </c>
      <c r="B1826" s="11" t="s">
        <v>22</v>
      </c>
      <c r="C1826" s="16" t="s">
        <v>7808</v>
      </c>
      <c r="D1826" s="16" t="s">
        <v>7809</v>
      </c>
      <c r="E1826" s="38">
        <v>34055</v>
      </c>
      <c r="F1826" s="38"/>
      <c r="G1826" s="59" t="s">
        <v>617</v>
      </c>
      <c r="H1826" s="12" t="s">
        <v>7810</v>
      </c>
      <c r="I1826" s="13">
        <v>4</v>
      </c>
      <c r="J1826" s="15" t="s">
        <v>7812</v>
      </c>
      <c r="K1826" s="46" t="s">
        <v>7811</v>
      </c>
      <c r="L1826" s="11" t="s">
        <v>33</v>
      </c>
      <c r="M1826" s="15" t="s">
        <v>3584</v>
      </c>
      <c r="N1826" s="17">
        <v>3300</v>
      </c>
      <c r="O1826" s="17"/>
      <c r="P1826" s="17"/>
      <c r="Q1826" s="48"/>
      <c r="R1826" s="11" t="s">
        <v>6848</v>
      </c>
      <c r="S1826" s="48"/>
      <c r="T1826" s="85" t="s">
        <v>8079</v>
      </c>
      <c r="U1826" s="88"/>
      <c r="V1826" s="32" t="s">
        <v>6642</v>
      </c>
      <c r="W1826" s="25" t="s">
        <v>48</v>
      </c>
      <c r="X1826" s="11"/>
      <c r="Y1826" s="50"/>
      <c r="Z1826" s="50"/>
      <c r="AA1826" s="50"/>
      <c r="AB1826" s="50"/>
      <c r="AC1826" s="50"/>
      <c r="AD1826" s="50"/>
      <c r="AE1826" s="50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65" t="s">
        <v>5804</v>
      </c>
      <c r="AP1826" s="69"/>
      <c r="AQ1826" s="62" t="s">
        <v>8079</v>
      </c>
      <c r="AR1826" s="34"/>
    </row>
    <row r="1827" spans="1:44" customFormat="1">
      <c r="A1827" s="39">
        <v>45518</v>
      </c>
      <c r="B1827" s="11" t="s">
        <v>22</v>
      </c>
      <c r="C1827" s="16" t="s">
        <v>7813</v>
      </c>
      <c r="D1827" s="16" t="s">
        <v>7814</v>
      </c>
      <c r="E1827" s="38">
        <v>21210</v>
      </c>
      <c r="F1827" s="38"/>
      <c r="G1827" s="59" t="s">
        <v>1413</v>
      </c>
      <c r="H1827" s="12" t="s">
        <v>7815</v>
      </c>
      <c r="I1827" s="13">
        <v>5.5</v>
      </c>
      <c r="J1827" s="15" t="s">
        <v>7816</v>
      </c>
      <c r="K1827" s="12"/>
      <c r="L1827" s="11" t="s">
        <v>37</v>
      </c>
      <c r="M1827" s="15" t="s">
        <v>3629</v>
      </c>
      <c r="N1827" s="17">
        <v>3300</v>
      </c>
      <c r="O1827" s="17"/>
      <c r="P1827" s="17"/>
      <c r="Q1827" s="48"/>
      <c r="R1827" s="11" t="s">
        <v>6848</v>
      </c>
      <c r="S1827" s="48"/>
      <c r="T1827" s="85"/>
      <c r="U1827" s="88"/>
      <c r="V1827" s="32" t="s">
        <v>6650</v>
      </c>
      <c r="W1827" s="25" t="s">
        <v>8</v>
      </c>
      <c r="X1827" s="11"/>
      <c r="Y1827" s="50" t="s">
        <v>17</v>
      </c>
      <c r="Z1827" s="50"/>
      <c r="AA1827" s="50"/>
      <c r="AB1827" s="50"/>
      <c r="AC1827" s="50"/>
      <c r="AD1827" s="50"/>
      <c r="AE1827" s="50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65" t="s">
        <v>5804</v>
      </c>
      <c r="AP1827" s="69"/>
      <c r="AQ1827" s="62"/>
      <c r="AR1827" s="34"/>
    </row>
    <row r="1828" spans="1:44" customFormat="1">
      <c r="A1828" s="39">
        <v>45519</v>
      </c>
      <c r="B1828" s="11" t="s">
        <v>49</v>
      </c>
      <c r="C1828" s="16" t="s">
        <v>5495</v>
      </c>
      <c r="D1828" s="16" t="s">
        <v>6153</v>
      </c>
      <c r="E1828" s="38">
        <v>28989</v>
      </c>
      <c r="F1828" s="38"/>
      <c r="G1828" s="59" t="s">
        <v>7817</v>
      </c>
      <c r="H1828" s="12" t="s">
        <v>5496</v>
      </c>
      <c r="I1828" s="13">
        <v>10.199999999999999</v>
      </c>
      <c r="J1828" s="15" t="s">
        <v>5497</v>
      </c>
      <c r="K1828" s="12"/>
      <c r="L1828" s="11" t="s">
        <v>33</v>
      </c>
      <c r="M1828" s="15" t="s">
        <v>3629</v>
      </c>
      <c r="N1828" s="17">
        <v>16500</v>
      </c>
      <c r="O1828" s="17"/>
      <c r="P1828" s="17"/>
      <c r="Q1828" s="48"/>
      <c r="R1828" s="11" t="s">
        <v>6848</v>
      </c>
      <c r="S1828" s="48"/>
      <c r="T1828" s="85" t="s">
        <v>8073</v>
      </c>
      <c r="U1828" s="88"/>
      <c r="V1828" s="32" t="s">
        <v>7818</v>
      </c>
      <c r="W1828" s="25" t="s">
        <v>48</v>
      </c>
      <c r="X1828" s="11"/>
      <c r="Y1828" s="50"/>
      <c r="Z1828" s="50"/>
      <c r="AA1828" s="50"/>
      <c r="AB1828" s="50"/>
      <c r="AC1828" s="50"/>
      <c r="AD1828" s="50"/>
      <c r="AE1828" s="50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65"/>
      <c r="AP1828" s="69"/>
      <c r="AQ1828" s="62"/>
      <c r="AR1828" s="34"/>
    </row>
    <row r="1829" spans="1:44" customFormat="1">
      <c r="A1829" s="39">
        <v>45520</v>
      </c>
      <c r="B1829" s="11" t="s">
        <v>22</v>
      </c>
      <c r="C1829" s="16" t="s">
        <v>7824</v>
      </c>
      <c r="D1829" s="16" t="s">
        <v>7825</v>
      </c>
      <c r="E1829" s="38">
        <v>33077</v>
      </c>
      <c r="F1829" s="38"/>
      <c r="G1829" s="59" t="s">
        <v>3719</v>
      </c>
      <c r="H1829" s="60" t="s">
        <v>7826</v>
      </c>
      <c r="I1829" s="13">
        <v>12.5</v>
      </c>
      <c r="J1829" s="15" t="s">
        <v>7828</v>
      </c>
      <c r="K1829" s="46" t="s">
        <v>7827</v>
      </c>
      <c r="L1829" s="11" t="s">
        <v>36</v>
      </c>
      <c r="M1829" s="15" t="s">
        <v>3584</v>
      </c>
      <c r="N1829" s="17">
        <v>3300</v>
      </c>
      <c r="O1829" s="17"/>
      <c r="P1829" s="17"/>
      <c r="Q1829" s="48"/>
      <c r="R1829" s="11" t="s">
        <v>6848</v>
      </c>
      <c r="S1829" s="48"/>
      <c r="T1829" s="85" t="s">
        <v>8079</v>
      </c>
      <c r="U1829" s="88"/>
      <c r="V1829" s="32" t="s">
        <v>6642</v>
      </c>
      <c r="W1829" s="25" t="s">
        <v>48</v>
      </c>
      <c r="X1829" s="11"/>
      <c r="Y1829" s="50" t="s">
        <v>20</v>
      </c>
      <c r="Z1829" s="50"/>
      <c r="AA1829" s="50"/>
      <c r="AB1829" s="50"/>
      <c r="AC1829" s="50"/>
      <c r="AD1829" s="50"/>
      <c r="AE1829" s="50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65"/>
      <c r="AP1829" s="69"/>
      <c r="AQ1829" s="62"/>
      <c r="AR1829" s="34"/>
    </row>
    <row r="1830" spans="1:44" customFormat="1">
      <c r="A1830" s="39">
        <v>45520</v>
      </c>
      <c r="B1830" s="11" t="s">
        <v>2171</v>
      </c>
      <c r="C1830" s="16" t="s">
        <v>7819</v>
      </c>
      <c r="D1830" s="16" t="s">
        <v>7820</v>
      </c>
      <c r="E1830" s="38">
        <v>35934</v>
      </c>
      <c r="F1830" s="38"/>
      <c r="G1830" s="59" t="s">
        <v>7821</v>
      </c>
      <c r="H1830" s="60" t="s">
        <v>7822</v>
      </c>
      <c r="I1830" s="13">
        <v>4.3</v>
      </c>
      <c r="J1830" s="15" t="s">
        <v>7823</v>
      </c>
      <c r="K1830" s="12"/>
      <c r="L1830" s="11" t="s">
        <v>36</v>
      </c>
      <c r="M1830" s="15" t="s">
        <v>3599</v>
      </c>
      <c r="N1830" s="17">
        <v>3300</v>
      </c>
      <c r="O1830" s="17"/>
      <c r="P1830" s="17"/>
      <c r="Q1830" s="48"/>
      <c r="R1830" s="11"/>
      <c r="S1830" s="48"/>
      <c r="T1830" s="85"/>
      <c r="U1830" s="88"/>
      <c r="V1830" s="32"/>
      <c r="W1830" s="25" t="s">
        <v>8</v>
      </c>
      <c r="X1830" s="11"/>
      <c r="Y1830" s="50"/>
      <c r="Z1830" s="50"/>
      <c r="AA1830" s="50"/>
      <c r="AB1830" s="50"/>
      <c r="AC1830" s="50"/>
      <c r="AD1830" s="50"/>
      <c r="AE1830" s="50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65" t="s">
        <v>5822</v>
      </c>
      <c r="AP1830" s="69"/>
      <c r="AQ1830" s="62" t="s">
        <v>8079</v>
      </c>
      <c r="AR1830" s="34"/>
    </row>
    <row r="1831" spans="1:44" customFormat="1">
      <c r="A1831" s="39">
        <v>45520</v>
      </c>
      <c r="B1831" s="11" t="s">
        <v>22</v>
      </c>
      <c r="C1831" s="16" t="s">
        <v>7829</v>
      </c>
      <c r="D1831" s="16" t="s">
        <v>7830</v>
      </c>
      <c r="E1831" s="38">
        <v>25361</v>
      </c>
      <c r="F1831" s="38"/>
      <c r="G1831" s="59" t="s">
        <v>7073</v>
      </c>
      <c r="H1831" s="60" t="s">
        <v>7831</v>
      </c>
      <c r="I1831" s="13">
        <v>2.1</v>
      </c>
      <c r="J1831" s="15" t="s">
        <v>7832</v>
      </c>
      <c r="K1831" s="12"/>
      <c r="L1831" s="11" t="s">
        <v>36</v>
      </c>
      <c r="M1831" s="15" t="s">
        <v>3629</v>
      </c>
      <c r="N1831" s="17">
        <v>3300</v>
      </c>
      <c r="O1831" s="17"/>
      <c r="P1831" s="17"/>
      <c r="Q1831" s="48"/>
      <c r="R1831" s="11" t="s">
        <v>6848</v>
      </c>
      <c r="S1831" s="48"/>
      <c r="T1831" s="85"/>
      <c r="U1831" s="88"/>
      <c r="V1831" s="32" t="s">
        <v>6642</v>
      </c>
      <c r="W1831" s="25" t="s">
        <v>4073</v>
      </c>
      <c r="X1831" s="11"/>
      <c r="Y1831" s="50"/>
      <c r="Z1831" s="50"/>
      <c r="AA1831" s="50"/>
      <c r="AB1831" s="50"/>
      <c r="AC1831" s="50"/>
      <c r="AD1831" s="50"/>
      <c r="AE1831" s="50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65" t="s">
        <v>5822</v>
      </c>
      <c r="AP1831" s="69"/>
      <c r="AQ1831" s="62"/>
      <c r="AR1831" s="34"/>
    </row>
    <row r="1832" spans="1:44" customFormat="1">
      <c r="A1832" s="39">
        <v>45525</v>
      </c>
      <c r="B1832" s="11" t="s">
        <v>49</v>
      </c>
      <c r="C1832" s="16" t="s">
        <v>7833</v>
      </c>
      <c r="D1832" s="16" t="s">
        <v>7834</v>
      </c>
      <c r="E1832" s="38">
        <v>20699</v>
      </c>
      <c r="F1832" s="38"/>
      <c r="G1832" s="59" t="s">
        <v>7835</v>
      </c>
      <c r="H1832" s="60" t="s">
        <v>7836</v>
      </c>
      <c r="I1832" s="13">
        <v>72</v>
      </c>
      <c r="J1832" s="15" t="s">
        <v>7838</v>
      </c>
      <c r="K1832" s="46" t="s">
        <v>7837</v>
      </c>
      <c r="L1832" s="11" t="s">
        <v>39</v>
      </c>
      <c r="M1832" s="15" t="s">
        <v>3584</v>
      </c>
      <c r="N1832" s="17">
        <v>16500</v>
      </c>
      <c r="O1832" s="17"/>
      <c r="P1832" s="17"/>
      <c r="Q1832" s="48"/>
      <c r="R1832" s="11" t="s">
        <v>6847</v>
      </c>
      <c r="S1832" s="48"/>
      <c r="T1832" s="85"/>
      <c r="U1832" s="88"/>
      <c r="V1832" s="32"/>
      <c r="W1832" s="25" t="s">
        <v>48</v>
      </c>
      <c r="X1832" s="11"/>
      <c r="Y1832" s="50" t="s">
        <v>14</v>
      </c>
      <c r="Z1832" s="50"/>
      <c r="AA1832" s="50"/>
      <c r="AB1832" s="50"/>
      <c r="AC1832" s="50"/>
      <c r="AD1832" s="50"/>
      <c r="AE1832" s="50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65"/>
      <c r="AP1832" s="69"/>
      <c r="AQ1832" s="62"/>
      <c r="AR1832" s="34"/>
    </row>
    <row r="1833" spans="1:44" customFormat="1">
      <c r="A1833" s="39">
        <v>45528</v>
      </c>
      <c r="B1833" s="11" t="s">
        <v>22</v>
      </c>
      <c r="C1833" s="16" t="s">
        <v>7845</v>
      </c>
      <c r="D1833" s="16" t="s">
        <v>7846</v>
      </c>
      <c r="E1833" s="38">
        <v>24888</v>
      </c>
      <c r="F1833" s="38"/>
      <c r="G1833" s="59" t="s">
        <v>617</v>
      </c>
      <c r="H1833" s="60" t="s">
        <v>7847</v>
      </c>
      <c r="I1833" s="13" t="s">
        <v>1611</v>
      </c>
      <c r="J1833" s="15" t="s">
        <v>7848</v>
      </c>
      <c r="K1833" s="46" t="s">
        <v>7849</v>
      </c>
      <c r="L1833" s="11" t="s">
        <v>36</v>
      </c>
      <c r="M1833" s="15" t="s">
        <v>3584</v>
      </c>
      <c r="N1833" s="17">
        <v>3300</v>
      </c>
      <c r="O1833" s="17"/>
      <c r="P1833" s="17"/>
      <c r="Q1833" s="48"/>
      <c r="R1833" s="11" t="s">
        <v>6848</v>
      </c>
      <c r="S1833" s="48"/>
      <c r="T1833" s="85" t="s">
        <v>8079</v>
      </c>
      <c r="U1833" s="88"/>
      <c r="V1833" s="32" t="s">
        <v>6642</v>
      </c>
      <c r="W1833" s="25" t="s">
        <v>48</v>
      </c>
      <c r="X1833" s="11"/>
      <c r="Y1833" s="50"/>
      <c r="Z1833" s="50"/>
      <c r="AA1833" s="50"/>
      <c r="AB1833" s="50"/>
      <c r="AC1833" s="50"/>
      <c r="AD1833" s="50"/>
      <c r="AE1833" s="50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65" t="s">
        <v>6585</v>
      </c>
      <c r="AP1833" s="69"/>
      <c r="AQ1833" s="62" t="s">
        <v>8079</v>
      </c>
      <c r="AR1833" s="34"/>
    </row>
    <row r="1834" spans="1:44" customFormat="1">
      <c r="A1834" s="39">
        <v>45529</v>
      </c>
      <c r="B1834" s="11" t="s">
        <v>22</v>
      </c>
      <c r="C1834" s="16" t="s">
        <v>7839</v>
      </c>
      <c r="D1834" s="16" t="s">
        <v>7840</v>
      </c>
      <c r="E1834" s="38">
        <v>31955</v>
      </c>
      <c r="F1834" s="38"/>
      <c r="G1834" s="59" t="s">
        <v>2910</v>
      </c>
      <c r="H1834" s="12" t="s">
        <v>7841</v>
      </c>
      <c r="I1834" s="13" t="s">
        <v>5302</v>
      </c>
      <c r="J1834" s="15" t="s">
        <v>7842</v>
      </c>
      <c r="K1834" s="12"/>
      <c r="L1834" s="11" t="s">
        <v>36</v>
      </c>
      <c r="M1834" s="15" t="s">
        <v>3599</v>
      </c>
      <c r="N1834" s="17">
        <v>3300</v>
      </c>
      <c r="O1834" s="17"/>
      <c r="P1834" s="17"/>
      <c r="Q1834" s="48"/>
      <c r="R1834" s="11" t="s">
        <v>6848</v>
      </c>
      <c r="S1834" s="48"/>
      <c r="T1834" s="85"/>
      <c r="U1834" s="88"/>
      <c r="V1834" s="32" t="s">
        <v>6642</v>
      </c>
      <c r="W1834" s="25" t="s">
        <v>8</v>
      </c>
      <c r="X1834" s="11"/>
      <c r="Y1834" s="50"/>
      <c r="Z1834" s="50"/>
      <c r="AA1834" s="50"/>
      <c r="AB1834" s="50"/>
      <c r="AC1834" s="50"/>
      <c r="AD1834" s="50"/>
      <c r="AE1834" s="50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65" t="s">
        <v>5804</v>
      </c>
      <c r="AP1834" s="69"/>
      <c r="AQ1834" s="62"/>
      <c r="AR1834" s="34"/>
    </row>
    <row r="1835" spans="1:44" customFormat="1">
      <c r="A1835" s="39">
        <v>45529</v>
      </c>
      <c r="B1835" s="11" t="s">
        <v>49</v>
      </c>
      <c r="C1835" s="16" t="s">
        <v>3510</v>
      </c>
      <c r="D1835" s="16" t="s">
        <v>7850</v>
      </c>
      <c r="E1835" s="38">
        <v>29462</v>
      </c>
      <c r="F1835" s="38"/>
      <c r="G1835" s="59">
        <v>5691037</v>
      </c>
      <c r="H1835" s="12" t="s">
        <v>7851</v>
      </c>
      <c r="I1835" s="13" t="s">
        <v>7852</v>
      </c>
      <c r="J1835" s="15" t="s">
        <v>3513</v>
      </c>
      <c r="K1835" s="12"/>
      <c r="L1835" s="11" t="s">
        <v>33</v>
      </c>
      <c r="M1835" s="15" t="s">
        <v>3599</v>
      </c>
      <c r="N1835" s="17">
        <v>22000</v>
      </c>
      <c r="O1835" s="17"/>
      <c r="P1835" s="17"/>
      <c r="Q1835" s="48"/>
      <c r="R1835" s="11" t="s">
        <v>6849</v>
      </c>
      <c r="S1835" s="48"/>
      <c r="T1835" s="85" t="s">
        <v>8073</v>
      </c>
      <c r="U1835" s="88"/>
      <c r="V1835" s="32" t="s">
        <v>7853</v>
      </c>
      <c r="W1835" s="25" t="s">
        <v>48</v>
      </c>
      <c r="X1835" s="11"/>
      <c r="Y1835" s="50" t="s">
        <v>13</v>
      </c>
      <c r="Z1835" s="50"/>
      <c r="AA1835" s="50"/>
      <c r="AB1835" s="50"/>
      <c r="AC1835" s="50"/>
      <c r="AD1835" s="50"/>
      <c r="AE1835" s="50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65" t="s">
        <v>5804</v>
      </c>
      <c r="AP1835" s="69"/>
      <c r="AQ1835" s="62" t="s">
        <v>8079</v>
      </c>
      <c r="AR1835" s="34"/>
    </row>
    <row r="1836" spans="1:44" customFormat="1">
      <c r="A1836" s="39">
        <v>45529</v>
      </c>
      <c r="B1836" s="11" t="s">
        <v>22</v>
      </c>
      <c r="C1836" s="16" t="s">
        <v>7843</v>
      </c>
      <c r="D1836" s="16" t="s">
        <v>7844</v>
      </c>
      <c r="E1836" s="38">
        <v>42451</v>
      </c>
      <c r="F1836" s="38"/>
      <c r="G1836" s="59" t="s">
        <v>2910</v>
      </c>
      <c r="H1836" s="12" t="s">
        <v>7841</v>
      </c>
      <c r="I1836" s="13" t="s">
        <v>5302</v>
      </c>
      <c r="J1836" s="15" t="s">
        <v>7842</v>
      </c>
      <c r="K1836" s="12"/>
      <c r="L1836" s="11" t="s">
        <v>36</v>
      </c>
      <c r="M1836" s="15" t="s">
        <v>3599</v>
      </c>
      <c r="N1836" s="17">
        <v>3300</v>
      </c>
      <c r="O1836" s="17"/>
      <c r="P1836" s="17"/>
      <c r="Q1836" s="48"/>
      <c r="R1836" s="11" t="s">
        <v>6848</v>
      </c>
      <c r="S1836" s="48"/>
      <c r="T1836" s="85" t="s">
        <v>8079</v>
      </c>
      <c r="U1836" s="88"/>
      <c r="V1836" s="32" t="s">
        <v>6650</v>
      </c>
      <c r="W1836" s="25" t="s">
        <v>8</v>
      </c>
      <c r="X1836" s="11"/>
      <c r="Y1836" s="50"/>
      <c r="Z1836" s="50"/>
      <c r="AA1836" s="50"/>
      <c r="AB1836" s="50"/>
      <c r="AC1836" s="50"/>
      <c r="AD1836" s="50"/>
      <c r="AE1836" s="50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65" t="s">
        <v>2389</v>
      </c>
      <c r="AP1836" s="69"/>
      <c r="AQ1836" s="62"/>
      <c r="AR1836" s="34"/>
    </row>
    <row r="1837" spans="1:44" customFormat="1">
      <c r="A1837" s="39">
        <v>45535</v>
      </c>
      <c r="B1837" s="11" t="s">
        <v>49</v>
      </c>
      <c r="C1837" s="16" t="s">
        <v>7858</v>
      </c>
      <c r="D1837" s="16" t="s">
        <v>7859</v>
      </c>
      <c r="E1837" s="38">
        <v>24702</v>
      </c>
      <c r="F1837" s="38"/>
      <c r="G1837" s="59" t="s">
        <v>2274</v>
      </c>
      <c r="H1837" s="60" t="s">
        <v>7860</v>
      </c>
      <c r="I1837" s="13">
        <v>30</v>
      </c>
      <c r="J1837" s="15" t="s">
        <v>7862</v>
      </c>
      <c r="K1837" s="46" t="s">
        <v>7861</v>
      </c>
      <c r="L1837" s="11" t="s">
        <v>33</v>
      </c>
      <c r="M1837" s="15" t="s">
        <v>3584</v>
      </c>
      <c r="N1837" s="17">
        <v>16500</v>
      </c>
      <c r="O1837" s="17"/>
      <c r="P1837" s="17"/>
      <c r="Q1837" s="48"/>
      <c r="R1837" s="11" t="s">
        <v>6849</v>
      </c>
      <c r="S1837" s="48"/>
      <c r="T1837" s="85" t="s">
        <v>8073</v>
      </c>
      <c r="U1837" s="88"/>
      <c r="V1837" s="2" t="s">
        <v>6642</v>
      </c>
      <c r="W1837" s="25" t="s">
        <v>48</v>
      </c>
      <c r="X1837" s="11"/>
      <c r="Y1837" s="50" t="s">
        <v>13</v>
      </c>
      <c r="Z1837" s="50"/>
      <c r="AA1837" s="50"/>
      <c r="AB1837" s="50"/>
      <c r="AC1837" s="50"/>
      <c r="AD1837" s="50"/>
      <c r="AE1837" s="50"/>
      <c r="AF1837" s="34"/>
      <c r="AG1837" s="34"/>
      <c r="AH1837" s="34"/>
      <c r="AI1837" s="34"/>
      <c r="AJ1837" s="34"/>
      <c r="AK1837" s="34"/>
      <c r="AL1837" s="105"/>
      <c r="AM1837" s="105"/>
      <c r="AN1837" s="105"/>
      <c r="AO1837" s="64" t="s">
        <v>5822</v>
      </c>
      <c r="AP1837" s="69"/>
      <c r="AQ1837" s="62" t="s">
        <v>8079</v>
      </c>
      <c r="AR1837" s="34"/>
    </row>
    <row r="1838" spans="1:44" customFormat="1">
      <c r="A1838" s="39">
        <v>45535</v>
      </c>
      <c r="B1838" s="11" t="s">
        <v>22</v>
      </c>
      <c r="C1838" s="16" t="s">
        <v>7854</v>
      </c>
      <c r="D1838" s="16" t="s">
        <v>7855</v>
      </c>
      <c r="E1838" s="38">
        <v>22786</v>
      </c>
      <c r="F1838" s="38"/>
      <c r="G1838" s="59" t="s">
        <v>7781</v>
      </c>
      <c r="H1838" s="60" t="s">
        <v>7782</v>
      </c>
      <c r="I1838" s="13">
        <v>25.3</v>
      </c>
      <c r="J1838" s="15" t="s">
        <v>7856</v>
      </c>
      <c r="K1838" s="12"/>
      <c r="L1838" s="11" t="s">
        <v>37</v>
      </c>
      <c r="M1838" s="15" t="s">
        <v>7857</v>
      </c>
      <c r="N1838" s="17">
        <v>3300</v>
      </c>
      <c r="O1838" s="17"/>
      <c r="P1838" s="17"/>
      <c r="Q1838" s="48"/>
      <c r="R1838" s="11" t="s">
        <v>6847</v>
      </c>
      <c r="S1838" s="48"/>
      <c r="T1838" s="85" t="s">
        <v>8079</v>
      </c>
      <c r="U1838" s="88"/>
      <c r="V1838" s="32" t="s">
        <v>6642</v>
      </c>
      <c r="W1838" s="25" t="s">
        <v>39</v>
      </c>
      <c r="X1838" s="11"/>
      <c r="Y1838" s="50"/>
      <c r="Z1838" s="50"/>
      <c r="AA1838" s="50"/>
      <c r="AB1838" s="50"/>
      <c r="AC1838" s="50"/>
      <c r="AD1838" s="50"/>
      <c r="AE1838" s="50"/>
      <c r="AF1838" s="34" t="s">
        <v>14</v>
      </c>
      <c r="AG1838" s="34"/>
      <c r="AH1838" s="34"/>
      <c r="AI1838" s="34"/>
      <c r="AJ1838" s="34"/>
      <c r="AK1838" s="34"/>
      <c r="AL1838" s="34"/>
      <c r="AM1838" s="34"/>
      <c r="AN1838" s="34"/>
      <c r="AO1838" s="65"/>
      <c r="AP1838" s="69"/>
      <c r="AQ1838" s="62"/>
      <c r="AR1838" s="34"/>
    </row>
    <row r="1839" spans="1:44" customFormat="1">
      <c r="A1839" s="39">
        <v>45539</v>
      </c>
      <c r="B1839" s="11" t="s">
        <v>49</v>
      </c>
      <c r="C1839" s="16" t="s">
        <v>7912</v>
      </c>
      <c r="D1839" s="16" t="s">
        <v>7913</v>
      </c>
      <c r="E1839" s="38">
        <v>40364</v>
      </c>
      <c r="F1839" s="38"/>
      <c r="G1839" s="59" t="s">
        <v>7914</v>
      </c>
      <c r="H1839" s="60" t="s">
        <v>7915</v>
      </c>
      <c r="I1839" s="13">
        <v>53.3</v>
      </c>
      <c r="J1839" s="15" t="s">
        <v>7917</v>
      </c>
      <c r="K1839" s="46" t="s">
        <v>7916</v>
      </c>
      <c r="L1839" s="11" t="s">
        <v>38</v>
      </c>
      <c r="M1839" s="15" t="s">
        <v>3599</v>
      </c>
      <c r="N1839" s="17">
        <v>22000</v>
      </c>
      <c r="O1839" s="17"/>
      <c r="P1839" s="17"/>
      <c r="Q1839" s="48"/>
      <c r="R1839" s="11"/>
      <c r="S1839" s="48"/>
      <c r="T1839" s="85" t="s">
        <v>8073</v>
      </c>
      <c r="U1839" s="88"/>
      <c r="V1839" s="32"/>
      <c r="W1839" s="25" t="s">
        <v>8</v>
      </c>
      <c r="X1839" s="11"/>
      <c r="Y1839" s="50" t="s">
        <v>13</v>
      </c>
      <c r="Z1839" s="50"/>
      <c r="AA1839" s="50"/>
      <c r="AB1839" s="50"/>
      <c r="AC1839" s="50"/>
      <c r="AD1839" s="50"/>
      <c r="AE1839" s="50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65" t="s">
        <v>7918</v>
      </c>
      <c r="AP1839" s="69"/>
      <c r="AQ1839" s="62"/>
      <c r="AR1839" s="34"/>
    </row>
    <row r="1840" spans="1:44" customFormat="1">
      <c r="A1840" s="39">
        <v>45540</v>
      </c>
      <c r="B1840" s="11" t="s">
        <v>49</v>
      </c>
      <c r="C1840" s="16" t="s">
        <v>1078</v>
      </c>
      <c r="D1840" s="16" t="s">
        <v>6297</v>
      </c>
      <c r="E1840" s="38">
        <v>23727</v>
      </c>
      <c r="F1840" s="38"/>
      <c r="G1840" s="10" t="s">
        <v>6298</v>
      </c>
      <c r="H1840" s="12" t="s">
        <v>6299</v>
      </c>
      <c r="I1840" s="13" t="s">
        <v>6071</v>
      </c>
      <c r="J1840" s="15" t="s">
        <v>1080</v>
      </c>
      <c r="K1840" s="46" t="s">
        <v>1081</v>
      </c>
      <c r="L1840" s="11" t="s">
        <v>33</v>
      </c>
      <c r="M1840" s="15"/>
      <c r="N1840" s="17">
        <v>0</v>
      </c>
      <c r="O1840" s="17"/>
      <c r="P1840" s="17"/>
      <c r="Q1840" s="48"/>
      <c r="R1840" s="11" t="s">
        <v>6847</v>
      </c>
      <c r="S1840" s="48"/>
      <c r="T1840" s="85" t="s">
        <v>8073</v>
      </c>
      <c r="U1840" s="88"/>
      <c r="V1840" s="32" t="s">
        <v>6300</v>
      </c>
      <c r="W1840" s="25" t="s">
        <v>8</v>
      </c>
      <c r="X1840" s="11"/>
      <c r="Y1840" s="50"/>
      <c r="Z1840" s="50"/>
      <c r="AA1840" s="50"/>
      <c r="AB1840" s="50"/>
      <c r="AC1840" s="50"/>
      <c r="AD1840" s="50"/>
      <c r="AE1840" s="50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65" t="s">
        <v>2389</v>
      </c>
      <c r="AP1840" s="69"/>
      <c r="AQ1840" s="62"/>
      <c r="AR1840" s="34"/>
    </row>
    <row r="1841" spans="1:50">
      <c r="A1841" s="39">
        <v>45542</v>
      </c>
      <c r="B1841" s="11" t="s">
        <v>49</v>
      </c>
      <c r="C1841" s="16" t="s">
        <v>68</v>
      </c>
      <c r="D1841" s="16" t="s">
        <v>6839</v>
      </c>
      <c r="E1841" s="38">
        <v>23281</v>
      </c>
      <c r="F1841" s="38"/>
      <c r="G1841" s="59" t="s">
        <v>7492</v>
      </c>
      <c r="H1841" s="12" t="s">
        <v>70</v>
      </c>
      <c r="I1841" s="13" t="s">
        <v>7863</v>
      </c>
      <c r="J1841" s="15" t="s">
        <v>7493</v>
      </c>
      <c r="K1841" s="12"/>
      <c r="L1841" s="11" t="s">
        <v>36</v>
      </c>
      <c r="M1841" s="15"/>
      <c r="N1841" s="17">
        <v>16500</v>
      </c>
      <c r="O1841" s="17"/>
      <c r="P1841" s="17"/>
      <c r="Q1841" s="48"/>
      <c r="R1841" s="11" t="s">
        <v>6847</v>
      </c>
      <c r="S1841" s="48"/>
      <c r="T1841" s="85" t="s">
        <v>8073</v>
      </c>
      <c r="U1841" s="88"/>
      <c r="V1841" s="32"/>
      <c r="W1841" s="25" t="s">
        <v>48</v>
      </c>
      <c r="X1841" s="11"/>
      <c r="Y1841" s="50" t="s">
        <v>18</v>
      </c>
      <c r="Z1841" s="50"/>
      <c r="AA1841" s="50"/>
      <c r="AB1841" s="50"/>
      <c r="AC1841" s="50"/>
      <c r="AD1841" s="50"/>
      <c r="AE1841" s="50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65" t="s">
        <v>2389</v>
      </c>
      <c r="AP1841" s="69"/>
      <c r="AQ1841" s="62"/>
      <c r="AR1841" s="34"/>
      <c r="AX1841" s="5" t="s">
        <v>19</v>
      </c>
    </row>
    <row r="1842" spans="1:50">
      <c r="A1842" s="39">
        <v>45542</v>
      </c>
      <c r="B1842" s="11" t="s">
        <v>49</v>
      </c>
      <c r="C1842" s="16" t="s">
        <v>7864</v>
      </c>
      <c r="D1842" s="16" t="s">
        <v>7865</v>
      </c>
      <c r="E1842" s="38" t="s">
        <v>7040</v>
      </c>
      <c r="F1842" s="38"/>
      <c r="G1842" s="59"/>
      <c r="H1842" s="12"/>
      <c r="I1842" s="13"/>
      <c r="J1842" s="15"/>
      <c r="K1842" s="12"/>
      <c r="L1842" s="11"/>
      <c r="M1842" s="15"/>
      <c r="N1842" s="17">
        <v>11000</v>
      </c>
      <c r="O1842" s="17"/>
      <c r="P1842" s="17"/>
      <c r="Q1842" s="48"/>
      <c r="R1842" s="11" t="s">
        <v>6848</v>
      </c>
      <c r="S1842" s="48"/>
      <c r="T1842" s="85" t="s">
        <v>8073</v>
      </c>
      <c r="U1842" s="88"/>
      <c r="V1842" s="32"/>
      <c r="W1842" s="25"/>
      <c r="X1842" s="11"/>
      <c r="Y1842" s="50"/>
      <c r="Z1842" s="50"/>
      <c r="AA1842" s="50"/>
      <c r="AB1842" s="50"/>
      <c r="AC1842" s="50"/>
      <c r="AD1842" s="50"/>
      <c r="AE1842" s="50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65"/>
      <c r="AP1842" s="69"/>
      <c r="AQ1842" s="62"/>
      <c r="AR1842" s="34"/>
    </row>
    <row r="1843" spans="1:50">
      <c r="A1843" s="39">
        <v>45542</v>
      </c>
      <c r="B1843" s="11" t="s">
        <v>49</v>
      </c>
      <c r="C1843" s="16" t="s">
        <v>5817</v>
      </c>
      <c r="D1843" s="16" t="s">
        <v>5818</v>
      </c>
      <c r="E1843" s="38" t="s">
        <v>7040</v>
      </c>
      <c r="F1843" s="38"/>
      <c r="G1843" s="59"/>
      <c r="H1843" s="12"/>
      <c r="I1843" s="13"/>
      <c r="J1843" s="15"/>
      <c r="K1843" s="12"/>
      <c r="L1843" s="11"/>
      <c r="M1843" s="15"/>
      <c r="N1843" s="17">
        <v>11000</v>
      </c>
      <c r="O1843" s="17"/>
      <c r="P1843" s="17"/>
      <c r="Q1843" s="48"/>
      <c r="R1843" s="11" t="s">
        <v>6847</v>
      </c>
      <c r="S1843" s="48"/>
      <c r="T1843" s="85" t="s">
        <v>8073</v>
      </c>
      <c r="U1843" s="88"/>
      <c r="V1843" s="32"/>
      <c r="W1843" s="25"/>
      <c r="X1843" s="11"/>
      <c r="Y1843" s="50"/>
      <c r="Z1843" s="50"/>
      <c r="AA1843" s="50"/>
      <c r="AB1843" s="50"/>
      <c r="AC1843" s="50"/>
      <c r="AD1843" s="50"/>
      <c r="AE1843" s="50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65"/>
      <c r="AP1843" s="69"/>
      <c r="AQ1843" s="62"/>
      <c r="AR1843" s="34"/>
    </row>
    <row r="1844" spans="1:50">
      <c r="A1844" s="39">
        <v>45543</v>
      </c>
      <c r="B1844" s="11" t="s">
        <v>22</v>
      </c>
      <c r="C1844" s="16" t="s">
        <v>7866</v>
      </c>
      <c r="D1844" s="16" t="s">
        <v>7867</v>
      </c>
      <c r="E1844" s="38">
        <v>36243</v>
      </c>
      <c r="F1844" s="38"/>
      <c r="G1844" s="59" t="s">
        <v>252</v>
      </c>
      <c r="H1844" s="60" t="s">
        <v>7868</v>
      </c>
      <c r="I1844" s="13">
        <v>2.9</v>
      </c>
      <c r="J1844" s="15" t="s">
        <v>7870</v>
      </c>
      <c r="K1844" s="46" t="s">
        <v>7869</v>
      </c>
      <c r="L1844" s="11" t="s">
        <v>36</v>
      </c>
      <c r="M1844" s="15" t="s">
        <v>3629</v>
      </c>
      <c r="N1844" s="17">
        <v>3300</v>
      </c>
      <c r="O1844" s="17"/>
      <c r="P1844" s="17"/>
      <c r="Q1844" s="48"/>
      <c r="R1844" s="11" t="s">
        <v>6847</v>
      </c>
      <c r="S1844" s="48"/>
      <c r="T1844" s="85"/>
      <c r="U1844" s="88"/>
      <c r="V1844" s="32" t="s">
        <v>6642</v>
      </c>
      <c r="W1844" s="25" t="s">
        <v>48</v>
      </c>
      <c r="X1844" s="11"/>
      <c r="Y1844" s="50"/>
      <c r="Z1844" s="50"/>
      <c r="AA1844" s="50"/>
      <c r="AB1844" s="50"/>
      <c r="AC1844" s="50"/>
      <c r="AD1844" s="50"/>
      <c r="AE1844" s="50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65" t="s">
        <v>5822</v>
      </c>
      <c r="AP1844" s="69" t="s">
        <v>7639</v>
      </c>
      <c r="AQ1844" s="62"/>
      <c r="AR1844" s="34"/>
    </row>
    <row r="1845" spans="1:50">
      <c r="A1845" s="39">
        <v>45543</v>
      </c>
      <c r="B1845" s="11" t="s">
        <v>49</v>
      </c>
      <c r="C1845" s="16" t="s">
        <v>7871</v>
      </c>
      <c r="D1845" s="16" t="s">
        <v>7872</v>
      </c>
      <c r="E1845" s="38">
        <v>34500</v>
      </c>
      <c r="F1845" s="38"/>
      <c r="G1845" s="59" t="s">
        <v>7873</v>
      </c>
      <c r="H1845" s="60" t="s">
        <v>7874</v>
      </c>
      <c r="I1845" s="13">
        <v>41.7</v>
      </c>
      <c r="J1845" s="15" t="s">
        <v>7875</v>
      </c>
      <c r="K1845" s="12"/>
      <c r="L1845" s="11" t="s">
        <v>36</v>
      </c>
      <c r="M1845" s="15" t="s">
        <v>3629</v>
      </c>
      <c r="N1845" s="17">
        <v>16500</v>
      </c>
      <c r="O1845" s="17"/>
      <c r="P1845" s="17"/>
      <c r="Q1845" s="48"/>
      <c r="R1845" s="11" t="s">
        <v>6849</v>
      </c>
      <c r="S1845" s="48"/>
      <c r="T1845" s="85" t="s">
        <v>8073</v>
      </c>
      <c r="U1845" s="88"/>
      <c r="V1845" s="32" t="s">
        <v>6642</v>
      </c>
      <c r="W1845" s="25" t="s">
        <v>8</v>
      </c>
      <c r="X1845" s="11"/>
      <c r="Y1845" s="50" t="s">
        <v>14</v>
      </c>
      <c r="Z1845" s="50"/>
      <c r="AA1845" s="50"/>
      <c r="AB1845" s="50"/>
      <c r="AC1845" s="50"/>
      <c r="AD1845" s="50"/>
      <c r="AE1845" s="50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65"/>
      <c r="AP1845" s="69"/>
      <c r="AQ1845" s="62"/>
      <c r="AR1845" s="34"/>
    </row>
    <row r="1846" spans="1:50">
      <c r="A1846" s="39">
        <v>45547</v>
      </c>
      <c r="B1846" s="11" t="s">
        <v>22</v>
      </c>
      <c r="C1846" s="16" t="s">
        <v>7876</v>
      </c>
      <c r="D1846" s="16" t="s">
        <v>7877</v>
      </c>
      <c r="E1846" s="38">
        <v>33892</v>
      </c>
      <c r="F1846" s="38"/>
      <c r="G1846" s="59" t="s">
        <v>328</v>
      </c>
      <c r="H1846" s="12" t="s">
        <v>7878</v>
      </c>
      <c r="I1846" s="13" t="s">
        <v>1697</v>
      </c>
      <c r="J1846" s="15" t="s">
        <v>7880</v>
      </c>
      <c r="K1846" s="46" t="s">
        <v>7879</v>
      </c>
      <c r="L1846" s="11" t="s">
        <v>36</v>
      </c>
      <c r="M1846" s="15" t="s">
        <v>3584</v>
      </c>
      <c r="N1846" s="17">
        <v>3300</v>
      </c>
      <c r="O1846" s="17"/>
      <c r="P1846" s="17"/>
      <c r="Q1846" s="48"/>
      <c r="R1846" s="11" t="s">
        <v>6848</v>
      </c>
      <c r="S1846" s="48"/>
      <c r="T1846" s="85"/>
      <c r="U1846" s="88"/>
      <c r="V1846" s="32" t="s">
        <v>6642</v>
      </c>
      <c r="W1846" s="25" t="s">
        <v>4073</v>
      </c>
      <c r="X1846" s="11"/>
      <c r="Y1846" s="50"/>
      <c r="Z1846" s="50"/>
      <c r="AA1846" s="50"/>
      <c r="AB1846" s="50"/>
      <c r="AC1846" s="50"/>
      <c r="AD1846" s="50"/>
      <c r="AE1846" s="50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65" t="s">
        <v>5822</v>
      </c>
      <c r="AP1846" s="69"/>
      <c r="AQ1846" s="62"/>
      <c r="AR1846" s="34"/>
    </row>
    <row r="1847" spans="1:50">
      <c r="A1847" s="39">
        <v>45549</v>
      </c>
      <c r="B1847" s="11" t="s">
        <v>4266</v>
      </c>
      <c r="C1847" s="16" t="s">
        <v>5968</v>
      </c>
      <c r="D1847" s="16" t="s">
        <v>5969</v>
      </c>
      <c r="E1847" s="38" t="s">
        <v>7777</v>
      </c>
      <c r="F1847" s="38"/>
      <c r="G1847" s="59"/>
      <c r="H1847" s="12"/>
      <c r="I1847" s="13"/>
      <c r="J1847" s="15"/>
      <c r="K1847" s="12"/>
      <c r="L1847" s="11"/>
      <c r="M1847" s="15"/>
      <c r="N1847" s="17">
        <v>4950</v>
      </c>
      <c r="O1847" s="17"/>
      <c r="P1847" s="17"/>
      <c r="Q1847" s="48"/>
      <c r="R1847" s="11" t="s">
        <v>6847</v>
      </c>
      <c r="S1847" s="48"/>
      <c r="T1847" s="85"/>
      <c r="U1847" s="88"/>
      <c r="V1847" s="32"/>
      <c r="W1847" s="25"/>
      <c r="X1847" s="11"/>
      <c r="Y1847" s="50"/>
      <c r="Z1847" s="50"/>
      <c r="AA1847" s="50"/>
      <c r="AB1847" s="50"/>
      <c r="AC1847" s="50"/>
      <c r="AD1847" s="50"/>
      <c r="AE1847" s="50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65"/>
      <c r="AP1847" s="69"/>
      <c r="AQ1847" s="62"/>
      <c r="AR1847" s="34"/>
    </row>
    <row r="1848" spans="1:50">
      <c r="A1848" s="39">
        <v>45549</v>
      </c>
      <c r="B1848" s="11" t="s">
        <v>49</v>
      </c>
      <c r="C1848" s="16" t="s">
        <v>7881</v>
      </c>
      <c r="D1848" s="16" t="s">
        <v>7882</v>
      </c>
      <c r="E1848" s="38">
        <v>40635</v>
      </c>
      <c r="F1848" s="38"/>
      <c r="G1848" s="59" t="s">
        <v>4431</v>
      </c>
      <c r="H1848" s="60" t="s">
        <v>7883</v>
      </c>
      <c r="I1848" s="13">
        <v>6</v>
      </c>
      <c r="J1848" s="15" t="s">
        <v>7884</v>
      </c>
      <c r="K1848" s="12"/>
      <c r="L1848" s="11" t="s">
        <v>38</v>
      </c>
      <c r="M1848" s="15" t="s">
        <v>3680</v>
      </c>
      <c r="N1848" s="17">
        <v>16500</v>
      </c>
      <c r="O1848" s="17"/>
      <c r="P1848" s="17"/>
      <c r="Q1848" s="48"/>
      <c r="R1848" s="11" t="s">
        <v>6847</v>
      </c>
      <c r="S1848" s="48"/>
      <c r="T1848" s="85"/>
      <c r="U1848" s="88"/>
      <c r="V1848" s="32" t="s">
        <v>6642</v>
      </c>
      <c r="W1848" s="25" t="s">
        <v>8</v>
      </c>
      <c r="X1848" s="11"/>
      <c r="Y1848" s="52" t="s">
        <v>7885</v>
      </c>
      <c r="Z1848" s="52"/>
      <c r="AA1848" s="52"/>
      <c r="AB1848" s="52"/>
      <c r="AC1848" s="52"/>
      <c r="AD1848" s="52"/>
      <c r="AE1848" s="52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65"/>
      <c r="AP1848" s="69"/>
      <c r="AQ1848" s="62"/>
      <c r="AR1848" s="34"/>
    </row>
    <row r="1849" spans="1:50">
      <c r="A1849" s="39">
        <v>45551</v>
      </c>
      <c r="B1849" s="11" t="s">
        <v>22</v>
      </c>
      <c r="C1849" s="16" t="s">
        <v>7886</v>
      </c>
      <c r="D1849" s="16" t="s">
        <v>7887</v>
      </c>
      <c r="E1849" s="38">
        <v>22262</v>
      </c>
      <c r="F1849" s="38"/>
      <c r="G1849" s="59" t="s">
        <v>650</v>
      </c>
      <c r="H1849" s="60" t="s">
        <v>7888</v>
      </c>
      <c r="I1849" s="13">
        <v>1.2</v>
      </c>
      <c r="J1849" s="15" t="s">
        <v>7890</v>
      </c>
      <c r="K1849" s="46" t="s">
        <v>7889</v>
      </c>
      <c r="L1849" s="11" t="s">
        <v>36</v>
      </c>
      <c r="M1849" s="15" t="s">
        <v>3584</v>
      </c>
      <c r="N1849" s="17">
        <v>3300</v>
      </c>
      <c r="O1849" s="17"/>
      <c r="P1849" s="17"/>
      <c r="Q1849" s="48"/>
      <c r="R1849" s="11" t="s">
        <v>6849</v>
      </c>
      <c r="S1849" s="48"/>
      <c r="T1849" s="85" t="s">
        <v>8079</v>
      </c>
      <c r="U1849" s="88"/>
      <c r="V1849" s="32" t="s">
        <v>6642</v>
      </c>
      <c r="W1849" s="25" t="s">
        <v>4073</v>
      </c>
      <c r="X1849" s="11"/>
      <c r="Y1849" s="50"/>
      <c r="Z1849" s="50"/>
      <c r="AA1849" s="50"/>
      <c r="AB1849" s="50"/>
      <c r="AC1849" s="50"/>
      <c r="AD1849" s="50"/>
      <c r="AE1849" s="50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65" t="s">
        <v>5822</v>
      </c>
      <c r="AP1849" s="69" t="s">
        <v>7134</v>
      </c>
      <c r="AQ1849" s="62" t="s">
        <v>8079</v>
      </c>
      <c r="AR1849" s="34"/>
    </row>
    <row r="1850" spans="1:50">
      <c r="A1850" s="39">
        <v>45556</v>
      </c>
      <c r="B1850" s="11" t="s">
        <v>49</v>
      </c>
      <c r="C1850" s="16" t="s">
        <v>7891</v>
      </c>
      <c r="D1850" s="16" t="s">
        <v>7892</v>
      </c>
      <c r="E1850" s="38">
        <v>27663</v>
      </c>
      <c r="F1850" s="38"/>
      <c r="G1850" s="59" t="s">
        <v>7893</v>
      </c>
      <c r="H1850" s="12" t="s">
        <v>7894</v>
      </c>
      <c r="I1850" s="13">
        <v>46</v>
      </c>
      <c r="J1850" s="15" t="s">
        <v>7895</v>
      </c>
      <c r="K1850" s="46" t="s">
        <v>7896</v>
      </c>
      <c r="L1850" s="11" t="s">
        <v>36</v>
      </c>
      <c r="M1850" s="15" t="s">
        <v>3584</v>
      </c>
      <c r="N1850" s="17">
        <v>16500</v>
      </c>
      <c r="O1850" s="17"/>
      <c r="P1850" s="17"/>
      <c r="Q1850" s="48"/>
      <c r="R1850" s="11" t="s">
        <v>6849</v>
      </c>
      <c r="S1850" s="48"/>
      <c r="T1850" s="85"/>
      <c r="U1850" s="88"/>
      <c r="V1850" s="32"/>
      <c r="W1850" s="25" t="s">
        <v>48</v>
      </c>
      <c r="X1850" s="11"/>
      <c r="Y1850" s="50" t="s">
        <v>12</v>
      </c>
      <c r="Z1850" s="50"/>
      <c r="AA1850" s="50"/>
      <c r="AB1850" s="50"/>
      <c r="AC1850" s="50"/>
      <c r="AD1850" s="50"/>
      <c r="AE1850" s="50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65"/>
      <c r="AP1850" s="69"/>
      <c r="AQ1850" s="62"/>
      <c r="AR1850" s="34"/>
    </row>
    <row r="1851" spans="1:50">
      <c r="A1851" s="39">
        <v>45556</v>
      </c>
      <c r="B1851" s="11" t="s">
        <v>49</v>
      </c>
      <c r="C1851" s="16" t="s">
        <v>5968</v>
      </c>
      <c r="D1851" s="16" t="s">
        <v>5969</v>
      </c>
      <c r="E1851" s="39" t="s">
        <v>7040</v>
      </c>
      <c r="F1851" s="39"/>
      <c r="G1851" s="11" t="s">
        <v>3915</v>
      </c>
      <c r="H1851" s="12" t="s">
        <v>5972</v>
      </c>
      <c r="I1851" s="13" t="s">
        <v>5973</v>
      </c>
      <c r="J1851" s="12" t="s">
        <v>5977</v>
      </c>
      <c r="K1851" s="46" t="s">
        <v>5976</v>
      </c>
      <c r="L1851" s="11" t="s">
        <v>33</v>
      </c>
      <c r="M1851" s="15" t="s">
        <v>3584</v>
      </c>
      <c r="N1851" s="17">
        <v>11000</v>
      </c>
      <c r="O1851" s="17"/>
      <c r="P1851" s="17"/>
      <c r="Q1851" s="48"/>
      <c r="R1851" s="11" t="s">
        <v>6847</v>
      </c>
      <c r="S1851" s="48"/>
      <c r="T1851" s="85" t="s">
        <v>8073</v>
      </c>
      <c r="U1851" s="88"/>
      <c r="V1851" s="32"/>
      <c r="W1851" s="25"/>
      <c r="X1851" s="11"/>
      <c r="Y1851" s="50"/>
      <c r="Z1851" s="50"/>
      <c r="AA1851" s="50"/>
      <c r="AB1851" s="50"/>
      <c r="AC1851" s="50"/>
      <c r="AD1851" s="50"/>
      <c r="AE1851" s="50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65"/>
      <c r="AP1851" s="69"/>
      <c r="AQ1851" s="62"/>
      <c r="AR1851" s="34"/>
    </row>
    <row r="1852" spans="1:50">
      <c r="A1852" s="39">
        <v>45558</v>
      </c>
      <c r="B1852" s="11" t="s">
        <v>22</v>
      </c>
      <c r="C1852" s="16" t="s">
        <v>7897</v>
      </c>
      <c r="D1852" s="16" t="s">
        <v>7898</v>
      </c>
      <c r="E1852" s="38">
        <v>22917</v>
      </c>
      <c r="F1852" s="38"/>
      <c r="G1852" s="59" t="s">
        <v>2497</v>
      </c>
      <c r="H1852" s="12" t="s">
        <v>7899</v>
      </c>
      <c r="I1852" s="13">
        <v>3</v>
      </c>
      <c r="J1852" s="15" t="s">
        <v>7901</v>
      </c>
      <c r="K1852" s="46" t="s">
        <v>7900</v>
      </c>
      <c r="L1852" s="11" t="s">
        <v>33</v>
      </c>
      <c r="M1852" s="15" t="s">
        <v>3629</v>
      </c>
      <c r="N1852" s="17">
        <v>3300</v>
      </c>
      <c r="O1852" s="17"/>
      <c r="P1852" s="17"/>
      <c r="Q1852" s="48"/>
      <c r="R1852" s="11" t="s">
        <v>6849</v>
      </c>
      <c r="S1852" s="48"/>
      <c r="T1852" s="85" t="s">
        <v>8079</v>
      </c>
      <c r="U1852" s="88"/>
      <c r="V1852" s="32"/>
      <c r="W1852" s="25" t="s">
        <v>48</v>
      </c>
      <c r="X1852" s="11"/>
      <c r="Y1852" s="50" t="s">
        <v>12</v>
      </c>
      <c r="Z1852" s="50"/>
      <c r="AA1852" s="50"/>
      <c r="AB1852" s="50"/>
      <c r="AC1852" s="50"/>
      <c r="AD1852" s="50"/>
      <c r="AE1852" s="50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65" t="s">
        <v>5822</v>
      </c>
      <c r="AP1852" s="69" t="s">
        <v>7919</v>
      </c>
      <c r="AQ1852" s="62" t="s">
        <v>8079</v>
      </c>
      <c r="AR1852" s="34"/>
    </row>
    <row r="1853" spans="1:50">
      <c r="A1853" s="39">
        <v>45559</v>
      </c>
      <c r="B1853" s="11" t="s">
        <v>49</v>
      </c>
      <c r="C1853" s="16" t="s">
        <v>7902</v>
      </c>
      <c r="D1853" s="16" t="s">
        <v>7903</v>
      </c>
      <c r="E1853" s="38">
        <v>38163</v>
      </c>
      <c r="F1853" s="38"/>
      <c r="G1853" s="59" t="s">
        <v>7904</v>
      </c>
      <c r="H1853" s="60" t="s">
        <v>7905</v>
      </c>
      <c r="I1853" s="13">
        <v>208</v>
      </c>
      <c r="J1853" s="15" t="s">
        <v>7906</v>
      </c>
      <c r="K1853" s="12"/>
      <c r="L1853" s="11" t="s">
        <v>39</v>
      </c>
      <c r="M1853" s="15" t="s">
        <v>3599</v>
      </c>
      <c r="N1853" s="17">
        <v>8250</v>
      </c>
      <c r="O1853" s="17"/>
      <c r="P1853" s="17"/>
      <c r="Q1853" s="48"/>
      <c r="R1853" s="11" t="s">
        <v>6847</v>
      </c>
      <c r="S1853" s="48"/>
      <c r="T1853" s="85"/>
      <c r="U1853" s="88"/>
      <c r="V1853" s="32"/>
      <c r="W1853" s="25" t="s">
        <v>8</v>
      </c>
      <c r="X1853" s="11"/>
      <c r="Y1853" s="50" t="s">
        <v>13</v>
      </c>
      <c r="Z1853" s="50"/>
      <c r="AA1853" s="50"/>
      <c r="AB1853" s="50"/>
      <c r="AC1853" s="50"/>
      <c r="AD1853" s="50"/>
      <c r="AE1853" s="50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65" t="s">
        <v>2191</v>
      </c>
      <c r="AP1853" s="69"/>
      <c r="AQ1853" s="62"/>
      <c r="AR1853" s="34"/>
    </row>
    <row r="1854" spans="1:50">
      <c r="A1854" s="39">
        <v>45564</v>
      </c>
      <c r="B1854" s="11" t="s">
        <v>22</v>
      </c>
      <c r="C1854" s="16" t="s">
        <v>7907</v>
      </c>
      <c r="D1854" s="16" t="s">
        <v>7908</v>
      </c>
      <c r="E1854" s="38">
        <v>30109</v>
      </c>
      <c r="F1854" s="38"/>
      <c r="G1854" s="59" t="s">
        <v>389</v>
      </c>
      <c r="H1854" s="12" t="s">
        <v>7909</v>
      </c>
      <c r="I1854" s="13" t="s">
        <v>6151</v>
      </c>
      <c r="J1854" s="15" t="s">
        <v>7911</v>
      </c>
      <c r="K1854" s="46" t="s">
        <v>7910</v>
      </c>
      <c r="L1854" s="11" t="s">
        <v>36</v>
      </c>
      <c r="M1854" s="15" t="s">
        <v>3629</v>
      </c>
      <c r="N1854" s="17">
        <v>3300</v>
      </c>
      <c r="O1854" s="17"/>
      <c r="P1854" s="17"/>
      <c r="Q1854" s="48"/>
      <c r="R1854" s="11" t="s">
        <v>7778</v>
      </c>
      <c r="S1854" s="48"/>
      <c r="T1854" s="85" t="s">
        <v>8079</v>
      </c>
      <c r="U1854" s="88"/>
      <c r="V1854" s="32" t="s">
        <v>6642</v>
      </c>
      <c r="W1854" s="25" t="s">
        <v>48</v>
      </c>
      <c r="X1854" s="11"/>
      <c r="Y1854" s="50" t="s">
        <v>12</v>
      </c>
      <c r="Z1854" s="50"/>
      <c r="AA1854" s="50"/>
      <c r="AB1854" s="50"/>
      <c r="AC1854" s="50"/>
      <c r="AD1854" s="50"/>
      <c r="AE1854" s="50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65" t="s">
        <v>5822</v>
      </c>
      <c r="AP1854" s="69" t="s">
        <v>7919</v>
      </c>
      <c r="AQ1854" s="62" t="s">
        <v>8079</v>
      </c>
      <c r="AR1854" s="34"/>
    </row>
    <row r="1855" spans="1:50">
      <c r="A1855" s="39">
        <v>45565</v>
      </c>
      <c r="B1855" s="11" t="s">
        <v>49</v>
      </c>
      <c r="C1855" s="16" t="s">
        <v>6850</v>
      </c>
      <c r="D1855" s="16" t="s">
        <v>6851</v>
      </c>
      <c r="E1855" s="38">
        <v>33618</v>
      </c>
      <c r="F1855" s="38"/>
      <c r="G1855" s="10" t="s">
        <v>196</v>
      </c>
      <c r="H1855" s="12" t="s">
        <v>6852</v>
      </c>
      <c r="I1855" s="13" t="s">
        <v>1844</v>
      </c>
      <c r="J1855" s="15" t="s">
        <v>6853</v>
      </c>
      <c r="K1855" s="12"/>
      <c r="L1855" s="11" t="s">
        <v>33</v>
      </c>
      <c r="M1855" s="15" t="s">
        <v>3584</v>
      </c>
      <c r="N1855" s="17">
        <v>22000</v>
      </c>
      <c r="O1855" s="17"/>
      <c r="P1855" s="17"/>
      <c r="Q1855" s="48"/>
      <c r="R1855" s="11" t="s">
        <v>6847</v>
      </c>
      <c r="S1855" s="48"/>
      <c r="T1855" s="85" t="s">
        <v>8073</v>
      </c>
      <c r="U1855" s="88"/>
      <c r="V1855" s="32"/>
      <c r="W1855" s="25" t="s">
        <v>39</v>
      </c>
      <c r="X1855" s="11"/>
      <c r="Y1855" s="50" t="s">
        <v>12</v>
      </c>
      <c r="Z1855" s="50"/>
      <c r="AA1855" s="50"/>
      <c r="AB1855" s="50"/>
      <c r="AC1855" s="50"/>
      <c r="AD1855" s="50"/>
      <c r="AE1855" s="50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65"/>
      <c r="AP1855" s="69"/>
      <c r="AQ1855" s="62"/>
      <c r="AR1855" s="34"/>
    </row>
    <row r="1856" spans="1:50">
      <c r="A1856" s="39">
        <v>45567</v>
      </c>
      <c r="B1856" s="11" t="s">
        <v>49</v>
      </c>
      <c r="C1856" s="16" t="s">
        <v>7920</v>
      </c>
      <c r="D1856" s="16" t="s">
        <v>7357</v>
      </c>
      <c r="E1856" s="38" t="s">
        <v>7040</v>
      </c>
      <c r="F1856" s="38"/>
      <c r="G1856" s="59"/>
      <c r="H1856" s="12"/>
      <c r="I1856" s="13"/>
      <c r="J1856" s="15"/>
      <c r="K1856" s="12"/>
      <c r="L1856" s="11"/>
      <c r="M1856" s="15"/>
      <c r="N1856" s="17">
        <v>11000</v>
      </c>
      <c r="O1856" s="17"/>
      <c r="P1856" s="17"/>
      <c r="Q1856" s="48"/>
      <c r="R1856" s="11" t="s">
        <v>6848</v>
      </c>
      <c r="S1856" s="48"/>
      <c r="T1856" s="85" t="s">
        <v>8073</v>
      </c>
      <c r="U1856" s="88"/>
      <c r="V1856" s="32"/>
      <c r="W1856" s="25"/>
      <c r="X1856" s="11"/>
      <c r="Y1856" s="50"/>
      <c r="Z1856" s="50"/>
      <c r="AA1856" s="50"/>
      <c r="AB1856" s="50"/>
      <c r="AC1856" s="50"/>
      <c r="AD1856" s="50"/>
      <c r="AE1856" s="50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65" t="s">
        <v>2389</v>
      </c>
      <c r="AP1856" s="69"/>
      <c r="AQ1856" s="62"/>
      <c r="AR1856" s="34"/>
    </row>
    <row r="1857" spans="1:44" customFormat="1">
      <c r="A1857" s="39">
        <v>45571</v>
      </c>
      <c r="B1857" s="11" t="s">
        <v>49</v>
      </c>
      <c r="C1857" s="16" t="s">
        <v>5773</v>
      </c>
      <c r="D1857" s="16" t="s">
        <v>5774</v>
      </c>
      <c r="E1857" s="39">
        <v>30723</v>
      </c>
      <c r="F1857" s="39"/>
      <c r="G1857" s="11" t="s">
        <v>769</v>
      </c>
      <c r="H1857" s="12" t="s">
        <v>5775</v>
      </c>
      <c r="I1857" s="13">
        <v>13.4</v>
      </c>
      <c r="J1857" s="12" t="s">
        <v>5777</v>
      </c>
      <c r="K1857" s="46" t="s">
        <v>5776</v>
      </c>
      <c r="L1857" s="11" t="s">
        <v>36</v>
      </c>
      <c r="M1857" s="15" t="s">
        <v>3584</v>
      </c>
      <c r="N1857" s="17">
        <v>16500</v>
      </c>
      <c r="O1857" s="17"/>
      <c r="P1857" s="17"/>
      <c r="Q1857" s="48"/>
      <c r="R1857" s="11" t="s">
        <v>7023</v>
      </c>
      <c r="S1857" s="48"/>
      <c r="T1857" s="85" t="s">
        <v>8073</v>
      </c>
      <c r="U1857" s="85"/>
      <c r="V1857" s="32" t="s">
        <v>5749</v>
      </c>
      <c r="W1857" s="25" t="s">
        <v>10</v>
      </c>
      <c r="X1857" s="11"/>
      <c r="Y1857" s="50" t="s">
        <v>12</v>
      </c>
      <c r="Z1857" s="50"/>
      <c r="AA1857" s="50"/>
      <c r="AB1857" s="50"/>
      <c r="AC1857" s="50"/>
      <c r="AD1857" s="50"/>
      <c r="AE1857" s="50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65" t="s">
        <v>5822</v>
      </c>
      <c r="AP1857" s="69" t="s">
        <v>7925</v>
      </c>
      <c r="AQ1857" s="62" t="s">
        <v>8079</v>
      </c>
      <c r="AR1857" s="34"/>
    </row>
    <row r="1858" spans="1:44" customFormat="1">
      <c r="A1858" s="39">
        <v>45571</v>
      </c>
      <c r="B1858" s="11" t="s">
        <v>22</v>
      </c>
      <c r="C1858" s="16" t="s">
        <v>7928</v>
      </c>
      <c r="D1858" s="16" t="s">
        <v>7921</v>
      </c>
      <c r="E1858" s="38">
        <v>34425</v>
      </c>
      <c r="F1858" s="38"/>
      <c r="G1858" s="59" t="s">
        <v>613</v>
      </c>
      <c r="H1858" s="12" t="s">
        <v>7922</v>
      </c>
      <c r="I1858" s="13" t="s">
        <v>1682</v>
      </c>
      <c r="J1858" s="15" t="s">
        <v>7923</v>
      </c>
      <c r="K1858" s="46" t="s">
        <v>7924</v>
      </c>
      <c r="L1858" s="11" t="s">
        <v>36</v>
      </c>
      <c r="M1858" s="15" t="s">
        <v>3584</v>
      </c>
      <c r="N1858" s="17">
        <v>3300</v>
      </c>
      <c r="O1858" s="17"/>
      <c r="P1858" s="17"/>
      <c r="Q1858" s="48"/>
      <c r="R1858" s="11" t="s">
        <v>7778</v>
      </c>
      <c r="S1858" s="48"/>
      <c r="T1858" s="85" t="s">
        <v>8079</v>
      </c>
      <c r="U1858" s="88"/>
      <c r="V1858" s="32" t="s">
        <v>6642</v>
      </c>
      <c r="W1858" s="25" t="s">
        <v>48</v>
      </c>
      <c r="X1858" s="11"/>
      <c r="Y1858" s="50"/>
      <c r="Z1858" s="50"/>
      <c r="AA1858" s="50"/>
      <c r="AB1858" s="50"/>
      <c r="AC1858" s="50"/>
      <c r="AD1858" s="50"/>
      <c r="AE1858" s="50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65" t="s">
        <v>5822</v>
      </c>
      <c r="AP1858" s="69" t="s">
        <v>7926</v>
      </c>
      <c r="AQ1858" s="62" t="s">
        <v>8079</v>
      </c>
      <c r="AR1858" s="34"/>
    </row>
    <row r="1859" spans="1:44" customFormat="1">
      <c r="A1859" s="39">
        <v>45571</v>
      </c>
      <c r="B1859" s="11" t="s">
        <v>22</v>
      </c>
      <c r="C1859" s="16" t="s">
        <v>7927</v>
      </c>
      <c r="D1859" s="16" t="s">
        <v>7929</v>
      </c>
      <c r="E1859" s="38">
        <v>13455</v>
      </c>
      <c r="F1859" s="38"/>
      <c r="G1859" s="59" t="s">
        <v>2237</v>
      </c>
      <c r="H1859" s="12" t="s">
        <v>7930</v>
      </c>
      <c r="I1859" s="13" t="s">
        <v>1687</v>
      </c>
      <c r="J1859" s="15" t="s">
        <v>7932</v>
      </c>
      <c r="K1859" s="46" t="s">
        <v>7931</v>
      </c>
      <c r="L1859" s="11" t="s">
        <v>39</v>
      </c>
      <c r="M1859" s="15" t="s">
        <v>3584</v>
      </c>
      <c r="N1859" s="17">
        <v>3300</v>
      </c>
      <c r="O1859" s="17"/>
      <c r="P1859" s="17"/>
      <c r="Q1859" s="48"/>
      <c r="R1859" s="11" t="s">
        <v>7778</v>
      </c>
      <c r="S1859" s="48"/>
      <c r="T1859" s="85" t="s">
        <v>8079</v>
      </c>
      <c r="U1859" s="88"/>
      <c r="V1859" s="32" t="s">
        <v>6642</v>
      </c>
      <c r="W1859" s="25" t="s">
        <v>48</v>
      </c>
      <c r="X1859" s="11"/>
      <c r="Y1859" s="50"/>
      <c r="Z1859" s="50"/>
      <c r="AA1859" s="50"/>
      <c r="AB1859" s="50"/>
      <c r="AC1859" s="50"/>
      <c r="AD1859" s="50"/>
      <c r="AE1859" s="50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65"/>
      <c r="AP1859" s="69" t="s">
        <v>7933</v>
      </c>
      <c r="AQ1859" s="62"/>
      <c r="AR1859" s="62"/>
    </row>
    <row r="1860" spans="1:44" customFormat="1">
      <c r="A1860" s="39">
        <v>45574</v>
      </c>
      <c r="B1860" s="11" t="s">
        <v>49</v>
      </c>
      <c r="C1860" s="16" t="s">
        <v>5817</v>
      </c>
      <c r="D1860" s="16" t="s">
        <v>5818</v>
      </c>
      <c r="E1860" s="39" t="s">
        <v>7040</v>
      </c>
      <c r="F1860" s="39"/>
      <c r="G1860" s="11"/>
      <c r="H1860" s="12"/>
      <c r="I1860" s="13"/>
      <c r="J1860" s="12"/>
      <c r="K1860" s="46"/>
      <c r="L1860" s="11"/>
      <c r="M1860" s="15"/>
      <c r="N1860" s="17">
        <v>11000</v>
      </c>
      <c r="O1860" s="17"/>
      <c r="P1860" s="17"/>
      <c r="Q1860" s="48"/>
      <c r="R1860" s="11" t="s">
        <v>6847</v>
      </c>
      <c r="S1860" s="48"/>
      <c r="T1860" s="85" t="s">
        <v>8073</v>
      </c>
      <c r="U1860" s="85"/>
      <c r="V1860" s="32"/>
      <c r="W1860" s="25"/>
      <c r="X1860" s="11"/>
      <c r="Y1860" s="50"/>
      <c r="Z1860" s="50"/>
      <c r="AA1860" s="50"/>
      <c r="AB1860" s="50"/>
      <c r="AC1860" s="50"/>
      <c r="AD1860" s="50"/>
      <c r="AE1860" s="50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65"/>
      <c r="AP1860" s="69"/>
      <c r="AQ1860" s="62"/>
      <c r="AR1860" s="62"/>
    </row>
    <row r="1861" spans="1:44" customFormat="1">
      <c r="A1861" s="39">
        <v>45576</v>
      </c>
      <c r="B1861" s="11" t="s">
        <v>49</v>
      </c>
      <c r="C1861" s="16" t="s">
        <v>7389</v>
      </c>
      <c r="D1861" s="16" t="s">
        <v>7390</v>
      </c>
      <c r="E1861" s="38" t="s">
        <v>7040</v>
      </c>
      <c r="F1861" s="38"/>
      <c r="G1861" s="59"/>
      <c r="H1861" s="12"/>
      <c r="I1861" s="13"/>
      <c r="J1861" s="15"/>
      <c r="K1861" s="12"/>
      <c r="L1861" s="11"/>
      <c r="M1861" s="15"/>
      <c r="N1861" s="17">
        <v>11000</v>
      </c>
      <c r="O1861" s="17"/>
      <c r="P1861" s="17"/>
      <c r="Q1861" s="48"/>
      <c r="R1861" s="11" t="s">
        <v>6849</v>
      </c>
      <c r="S1861" s="48"/>
      <c r="T1861" s="85" t="s">
        <v>8073</v>
      </c>
      <c r="U1861" s="88"/>
      <c r="V1861" s="32"/>
      <c r="W1861" s="25"/>
      <c r="X1861" s="11"/>
      <c r="Y1861" s="50"/>
      <c r="Z1861" s="50"/>
      <c r="AA1861" s="50"/>
      <c r="AB1861" s="50"/>
      <c r="AC1861" s="50"/>
      <c r="AD1861" s="50"/>
      <c r="AE1861" s="50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65" t="s">
        <v>2389</v>
      </c>
      <c r="AP1861" s="69"/>
      <c r="AQ1861" s="62"/>
      <c r="AR1861" s="34"/>
    </row>
    <row r="1862" spans="1:44" customFormat="1">
      <c r="A1862" s="39">
        <v>45578</v>
      </c>
      <c r="B1862" s="11" t="s">
        <v>2170</v>
      </c>
      <c r="C1862" s="16" t="s">
        <v>7950</v>
      </c>
      <c r="D1862" s="16" t="s">
        <v>7951</v>
      </c>
      <c r="E1862" s="38">
        <v>21820</v>
      </c>
      <c r="F1862" s="38"/>
      <c r="G1862" s="59" t="s">
        <v>7952</v>
      </c>
      <c r="H1862" s="60" t="s">
        <v>7953</v>
      </c>
      <c r="I1862" s="13">
        <v>29.4</v>
      </c>
      <c r="J1862" s="15" t="s">
        <v>7955</v>
      </c>
      <c r="K1862" s="46" t="s">
        <v>7954</v>
      </c>
      <c r="L1862" s="11"/>
      <c r="M1862" s="15" t="s">
        <v>3584</v>
      </c>
      <c r="N1862" s="17">
        <v>0</v>
      </c>
      <c r="O1862" s="17"/>
      <c r="P1862" s="17"/>
      <c r="Q1862" s="48"/>
      <c r="R1862" s="11"/>
      <c r="S1862" s="48"/>
      <c r="T1862" s="85"/>
      <c r="U1862" s="88"/>
      <c r="V1862" s="32"/>
      <c r="W1862" s="25" t="s">
        <v>8</v>
      </c>
      <c r="X1862" s="11"/>
      <c r="Y1862" s="50"/>
      <c r="Z1862" s="50"/>
      <c r="AA1862" s="50"/>
      <c r="AB1862" s="50"/>
      <c r="AC1862" s="50"/>
      <c r="AD1862" s="50"/>
      <c r="AE1862" s="50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65" t="s">
        <v>403</v>
      </c>
      <c r="AP1862" s="69"/>
      <c r="AQ1862" s="62"/>
      <c r="AR1862" s="34"/>
    </row>
    <row r="1863" spans="1:44" customFormat="1">
      <c r="A1863" s="39">
        <v>45586</v>
      </c>
      <c r="B1863" s="11" t="s">
        <v>49</v>
      </c>
      <c r="C1863" s="16" t="s">
        <v>1078</v>
      </c>
      <c r="D1863" s="16" t="s">
        <v>6297</v>
      </c>
      <c r="E1863" s="38">
        <v>23727</v>
      </c>
      <c r="F1863" s="38"/>
      <c r="G1863" s="59" t="s">
        <v>7941</v>
      </c>
      <c r="H1863" s="12" t="s">
        <v>6299</v>
      </c>
      <c r="I1863" s="13" t="s">
        <v>7942</v>
      </c>
      <c r="J1863" s="15" t="s">
        <v>7944</v>
      </c>
      <c r="K1863" s="12" t="s">
        <v>7943</v>
      </c>
      <c r="L1863" s="11" t="s">
        <v>33</v>
      </c>
      <c r="M1863" s="15"/>
      <c r="N1863" s="17">
        <v>8250</v>
      </c>
      <c r="O1863" s="17"/>
      <c r="P1863" s="17"/>
      <c r="Q1863" s="48"/>
      <c r="R1863" s="11" t="s">
        <v>6849</v>
      </c>
      <c r="S1863" s="48"/>
      <c r="T1863" s="85" t="s">
        <v>8073</v>
      </c>
      <c r="U1863" s="88"/>
      <c r="V1863" s="32"/>
      <c r="W1863" s="25" t="s">
        <v>8</v>
      </c>
      <c r="X1863" s="11"/>
      <c r="Y1863" s="50"/>
      <c r="Z1863" s="50"/>
      <c r="AA1863" s="50"/>
      <c r="AB1863" s="50"/>
      <c r="AC1863" s="50"/>
      <c r="AD1863" s="50"/>
      <c r="AE1863" s="50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65" t="s">
        <v>2389</v>
      </c>
      <c r="AP1863" s="69"/>
      <c r="AQ1863" s="62"/>
      <c r="AR1863" s="34"/>
    </row>
    <row r="1864" spans="1:44" customFormat="1">
      <c r="A1864" s="39">
        <v>45588</v>
      </c>
      <c r="B1864" s="11" t="s">
        <v>49</v>
      </c>
      <c r="C1864" s="16" t="s">
        <v>7939</v>
      </c>
      <c r="D1864" s="16" t="s">
        <v>7940</v>
      </c>
      <c r="E1864" s="38" t="s">
        <v>7040</v>
      </c>
      <c r="F1864" s="38"/>
      <c r="G1864" s="59"/>
      <c r="H1864" s="12"/>
      <c r="I1864" s="13"/>
      <c r="J1864" s="15"/>
      <c r="K1864" s="12"/>
      <c r="L1864" s="11"/>
      <c r="M1864" s="15"/>
      <c r="N1864" s="17">
        <v>11000</v>
      </c>
      <c r="O1864" s="17"/>
      <c r="P1864" s="17"/>
      <c r="Q1864" s="48"/>
      <c r="R1864" s="11" t="s">
        <v>6849</v>
      </c>
      <c r="S1864" s="48"/>
      <c r="T1864" s="85" t="s">
        <v>8073</v>
      </c>
      <c r="U1864" s="88"/>
      <c r="V1864" s="32"/>
      <c r="W1864" s="25"/>
      <c r="X1864" s="11"/>
      <c r="Y1864" s="50"/>
      <c r="Z1864" s="50"/>
      <c r="AA1864" s="50"/>
      <c r="AB1864" s="50"/>
      <c r="AC1864" s="50"/>
      <c r="AD1864" s="50"/>
      <c r="AE1864" s="50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65"/>
      <c r="AP1864" s="69"/>
      <c r="AQ1864" s="62"/>
      <c r="AR1864" s="34"/>
    </row>
    <row r="1865" spans="1:44" customFormat="1">
      <c r="A1865" s="39">
        <v>45589</v>
      </c>
      <c r="B1865" s="11" t="s">
        <v>49</v>
      </c>
      <c r="C1865" s="16" t="s">
        <v>7934</v>
      </c>
      <c r="D1865" s="16" t="s">
        <v>7935</v>
      </c>
      <c r="E1865" s="38">
        <v>40086</v>
      </c>
      <c r="F1865" s="38"/>
      <c r="G1865" s="59" t="s">
        <v>7937</v>
      </c>
      <c r="H1865" s="60" t="s">
        <v>7936</v>
      </c>
      <c r="I1865" s="13">
        <v>109</v>
      </c>
      <c r="J1865" s="15" t="s">
        <v>7938</v>
      </c>
      <c r="K1865" s="12"/>
      <c r="L1865" s="11" t="s">
        <v>38</v>
      </c>
      <c r="M1865" s="15" t="s">
        <v>3599</v>
      </c>
      <c r="N1865" s="17">
        <v>16500</v>
      </c>
      <c r="O1865" s="17"/>
      <c r="P1865" s="17"/>
      <c r="Q1865" s="48"/>
      <c r="R1865" s="11" t="s">
        <v>6847</v>
      </c>
      <c r="S1865" s="48"/>
      <c r="T1865" s="85"/>
      <c r="U1865" s="88"/>
      <c r="V1865" s="32"/>
      <c r="W1865" s="25" t="s">
        <v>8</v>
      </c>
      <c r="X1865" s="11"/>
      <c r="Y1865" s="50" t="s">
        <v>12</v>
      </c>
      <c r="Z1865" s="50"/>
      <c r="AA1865" s="50"/>
      <c r="AB1865" s="50"/>
      <c r="AC1865" s="50"/>
      <c r="AD1865" s="50"/>
      <c r="AE1865" s="50"/>
      <c r="AF1865" s="34" t="s">
        <v>14</v>
      </c>
      <c r="AG1865" s="34"/>
      <c r="AH1865" s="34"/>
      <c r="AI1865" s="34"/>
      <c r="AJ1865" s="34"/>
      <c r="AK1865" s="34"/>
      <c r="AL1865" s="34"/>
      <c r="AM1865" s="34"/>
      <c r="AN1865" s="34"/>
      <c r="AO1865" s="65"/>
      <c r="AP1865" s="69"/>
      <c r="AQ1865" s="62"/>
      <c r="AR1865" s="34"/>
    </row>
    <row r="1866" spans="1:44" customFormat="1">
      <c r="A1866" s="39">
        <v>45589</v>
      </c>
      <c r="B1866" s="11" t="s">
        <v>49</v>
      </c>
      <c r="C1866" s="16" t="s">
        <v>7824</v>
      </c>
      <c r="D1866" s="16" t="s">
        <v>7825</v>
      </c>
      <c r="E1866" s="38" t="s">
        <v>7040</v>
      </c>
      <c r="F1866" s="38"/>
      <c r="G1866" s="59"/>
      <c r="H1866" s="12"/>
      <c r="I1866" s="13"/>
      <c r="J1866" s="15"/>
      <c r="K1866" s="12"/>
      <c r="L1866" s="11"/>
      <c r="M1866" s="15"/>
      <c r="N1866" s="17">
        <v>11000</v>
      </c>
      <c r="O1866" s="17"/>
      <c r="P1866" s="17"/>
      <c r="Q1866" s="48"/>
      <c r="R1866" s="11" t="s">
        <v>6847</v>
      </c>
      <c r="S1866" s="48"/>
      <c r="T1866" s="85"/>
      <c r="U1866" s="88"/>
      <c r="V1866" s="32"/>
      <c r="W1866" s="25"/>
      <c r="X1866" s="11"/>
      <c r="Y1866" s="50"/>
      <c r="Z1866" s="50"/>
      <c r="AA1866" s="50"/>
      <c r="AB1866" s="50"/>
      <c r="AC1866" s="50"/>
      <c r="AD1866" s="50"/>
      <c r="AE1866" s="50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65"/>
      <c r="AP1866" s="69"/>
      <c r="AQ1866" s="62"/>
      <c r="AR1866" s="34"/>
    </row>
    <row r="1867" spans="1:44" customFormat="1">
      <c r="A1867" s="39">
        <v>45595</v>
      </c>
      <c r="B1867" s="11" t="s">
        <v>49</v>
      </c>
      <c r="C1867" s="16" t="s">
        <v>7945</v>
      </c>
      <c r="D1867" s="16" t="s">
        <v>7946</v>
      </c>
      <c r="E1867" s="38">
        <v>29317</v>
      </c>
      <c r="F1867" s="38"/>
      <c r="G1867" s="59" t="s">
        <v>7947</v>
      </c>
      <c r="H1867" s="60" t="s">
        <v>7948</v>
      </c>
      <c r="I1867" s="13">
        <v>562</v>
      </c>
      <c r="J1867" s="15" t="s">
        <v>7949</v>
      </c>
      <c r="K1867" s="12"/>
      <c r="L1867" s="11" t="s">
        <v>33</v>
      </c>
      <c r="M1867" s="15" t="s">
        <v>3599</v>
      </c>
      <c r="N1867" s="17">
        <v>0</v>
      </c>
      <c r="O1867" s="17"/>
      <c r="P1867" s="17"/>
      <c r="Q1867" s="48"/>
      <c r="R1867" s="11" t="s">
        <v>6847</v>
      </c>
      <c r="S1867" s="48"/>
      <c r="T1867" s="85" t="s">
        <v>8073</v>
      </c>
      <c r="U1867" s="88"/>
      <c r="V1867" s="32"/>
      <c r="W1867" s="25" t="s">
        <v>8</v>
      </c>
      <c r="X1867" s="11"/>
      <c r="Y1867" s="50" t="s">
        <v>13</v>
      </c>
      <c r="Z1867" s="50"/>
      <c r="AA1867" s="50"/>
      <c r="AB1867" s="50"/>
      <c r="AC1867" s="50"/>
      <c r="AD1867" s="50"/>
      <c r="AE1867" s="50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65" t="s">
        <v>403</v>
      </c>
      <c r="AP1867" s="69"/>
      <c r="AQ1867" s="62"/>
      <c r="AR1867" s="34"/>
    </row>
    <row r="1868" spans="1:44" customFormat="1">
      <c r="A1868" s="39">
        <v>45595</v>
      </c>
      <c r="B1868" s="11" t="s">
        <v>49</v>
      </c>
      <c r="C1868" s="16" t="s">
        <v>6716</v>
      </c>
      <c r="D1868" s="16" t="s">
        <v>6717</v>
      </c>
      <c r="E1868" s="38" t="s">
        <v>7040</v>
      </c>
      <c r="F1868" s="38"/>
      <c r="G1868" s="59"/>
      <c r="H1868" s="60"/>
      <c r="I1868" s="13"/>
      <c r="J1868" s="15"/>
      <c r="K1868" s="12"/>
      <c r="L1868" s="11"/>
      <c r="M1868" s="15"/>
      <c r="N1868" s="17">
        <v>11000</v>
      </c>
      <c r="O1868" s="17"/>
      <c r="P1868" s="17"/>
      <c r="Q1868" s="48"/>
      <c r="R1868" s="11" t="s">
        <v>6849</v>
      </c>
      <c r="S1868" s="48"/>
      <c r="T1868" s="85" t="s">
        <v>8073</v>
      </c>
      <c r="U1868" s="88"/>
      <c r="V1868" s="32"/>
      <c r="W1868" s="25"/>
      <c r="X1868" s="11"/>
      <c r="Y1868" s="50"/>
      <c r="Z1868" s="50"/>
      <c r="AA1868" s="50"/>
      <c r="AB1868" s="50"/>
      <c r="AC1868" s="50"/>
      <c r="AD1868" s="50"/>
      <c r="AE1868" s="50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65"/>
      <c r="AP1868" s="69"/>
      <c r="AQ1868" s="62"/>
      <c r="AR1868" s="34"/>
    </row>
    <row r="1869" spans="1:44" customFormat="1">
      <c r="A1869" s="39">
        <v>45595</v>
      </c>
      <c r="B1869" s="11" t="s">
        <v>49</v>
      </c>
      <c r="C1869" s="16" t="s">
        <v>7956</v>
      </c>
      <c r="D1869" s="16" t="s">
        <v>7957</v>
      </c>
      <c r="E1869" s="38">
        <v>22931</v>
      </c>
      <c r="F1869" s="38"/>
      <c r="G1869" s="59" t="s">
        <v>7958</v>
      </c>
      <c r="H1869" s="60" t="s">
        <v>7959</v>
      </c>
      <c r="I1869" s="13">
        <v>12.1</v>
      </c>
      <c r="J1869" s="15" t="s">
        <v>7960</v>
      </c>
      <c r="K1869" s="12"/>
      <c r="L1869" s="11" t="s">
        <v>36</v>
      </c>
      <c r="M1869" s="15" t="s">
        <v>3599</v>
      </c>
      <c r="N1869" s="17">
        <v>11000</v>
      </c>
      <c r="O1869" s="17"/>
      <c r="P1869" s="17"/>
      <c r="Q1869" s="48"/>
      <c r="R1869" s="11" t="s">
        <v>6849</v>
      </c>
      <c r="S1869" s="48"/>
      <c r="T1869" s="85"/>
      <c r="U1869" s="88"/>
      <c r="V1869" s="32"/>
      <c r="W1869" s="25" t="s">
        <v>8</v>
      </c>
      <c r="X1869" s="11"/>
      <c r="Y1869" s="50" t="s">
        <v>13</v>
      </c>
      <c r="Z1869" s="50"/>
      <c r="AA1869" s="50"/>
      <c r="AB1869" s="50"/>
      <c r="AC1869" s="50"/>
      <c r="AD1869" s="50"/>
      <c r="AE1869" s="50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65"/>
      <c r="AP1869" s="69"/>
      <c r="AQ1869" s="62"/>
      <c r="AR1869" s="34"/>
    </row>
    <row r="1870" spans="1:44" customFormat="1">
      <c r="A1870" s="39">
        <v>45597</v>
      </c>
      <c r="B1870" s="11" t="s">
        <v>22</v>
      </c>
      <c r="C1870" s="16" t="s">
        <v>7962</v>
      </c>
      <c r="D1870" s="16" t="s">
        <v>7961</v>
      </c>
      <c r="E1870" s="38">
        <v>30817</v>
      </c>
      <c r="F1870" s="38"/>
      <c r="G1870" s="59" t="s">
        <v>307</v>
      </c>
      <c r="H1870" s="12" t="s">
        <v>7963</v>
      </c>
      <c r="I1870" s="13" t="s">
        <v>5089</v>
      </c>
      <c r="J1870" s="15" t="s">
        <v>7965</v>
      </c>
      <c r="K1870" s="46" t="s">
        <v>7964</v>
      </c>
      <c r="L1870" s="11" t="s">
        <v>37</v>
      </c>
      <c r="M1870" s="15" t="s">
        <v>3584</v>
      </c>
      <c r="N1870" s="17">
        <v>3300</v>
      </c>
      <c r="O1870" s="17"/>
      <c r="P1870" s="17"/>
      <c r="Q1870" s="48"/>
      <c r="R1870" s="11" t="s">
        <v>7778</v>
      </c>
      <c r="S1870" s="48"/>
      <c r="T1870" s="85"/>
      <c r="U1870" s="88"/>
      <c r="V1870" s="32" t="s">
        <v>6642</v>
      </c>
      <c r="W1870" s="25" t="s">
        <v>48</v>
      </c>
      <c r="X1870" s="11"/>
      <c r="Y1870" s="50"/>
      <c r="Z1870" s="50"/>
      <c r="AA1870" s="50"/>
      <c r="AB1870" s="50"/>
      <c r="AC1870" s="50"/>
      <c r="AD1870" s="50"/>
      <c r="AE1870" s="50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65" t="s">
        <v>5822</v>
      </c>
      <c r="AP1870" s="69" t="s">
        <v>7966</v>
      </c>
      <c r="AQ1870" s="62"/>
      <c r="AR1870" s="34"/>
    </row>
    <row r="1871" spans="1:44" customFormat="1">
      <c r="A1871" s="39">
        <v>45598</v>
      </c>
      <c r="B1871" s="11" t="s">
        <v>22</v>
      </c>
      <c r="C1871" s="16" t="s">
        <v>7967</v>
      </c>
      <c r="D1871" s="16" t="s">
        <v>7968</v>
      </c>
      <c r="E1871" s="38">
        <v>32109</v>
      </c>
      <c r="F1871" s="38"/>
      <c r="G1871" s="59" t="s">
        <v>7656</v>
      </c>
      <c r="H1871" s="60" t="s">
        <v>7969</v>
      </c>
      <c r="I1871" s="13">
        <v>5.4</v>
      </c>
      <c r="J1871" s="15" t="s">
        <v>7971</v>
      </c>
      <c r="K1871" s="46" t="s">
        <v>7970</v>
      </c>
      <c r="L1871" s="11" t="s">
        <v>36</v>
      </c>
      <c r="M1871" s="15" t="s">
        <v>3599</v>
      </c>
      <c r="N1871" s="17">
        <v>3300</v>
      </c>
      <c r="O1871" s="17"/>
      <c r="P1871" s="17"/>
      <c r="Q1871" s="48"/>
      <c r="R1871" s="11" t="s">
        <v>6848</v>
      </c>
      <c r="S1871" s="48"/>
      <c r="T1871" s="85" t="s">
        <v>8079</v>
      </c>
      <c r="U1871" s="88"/>
      <c r="V1871" s="32"/>
      <c r="W1871" s="25" t="s">
        <v>48</v>
      </c>
      <c r="X1871" s="11"/>
      <c r="Y1871" s="50" t="s">
        <v>20</v>
      </c>
      <c r="Z1871" s="50"/>
      <c r="AA1871" s="50"/>
      <c r="AB1871" s="50"/>
      <c r="AC1871" s="50"/>
      <c r="AD1871" s="50"/>
      <c r="AE1871" s="50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65" t="s">
        <v>5822</v>
      </c>
      <c r="AP1871" s="69" t="s">
        <v>7972</v>
      </c>
      <c r="AQ1871" s="62" t="s">
        <v>8079</v>
      </c>
      <c r="AR1871" s="34"/>
    </row>
    <row r="1872" spans="1:44" customFormat="1">
      <c r="A1872" s="39">
        <v>45598</v>
      </c>
      <c r="B1872" s="11" t="s">
        <v>49</v>
      </c>
      <c r="C1872" s="16" t="s">
        <v>7973</v>
      </c>
      <c r="D1872" s="16" t="s">
        <v>7974</v>
      </c>
      <c r="E1872" s="38">
        <v>22657</v>
      </c>
      <c r="F1872" s="38"/>
      <c r="G1872" s="59" t="s">
        <v>207</v>
      </c>
      <c r="H1872" s="12" t="s">
        <v>7975</v>
      </c>
      <c r="I1872" s="13">
        <v>1.2</v>
      </c>
      <c r="J1872" s="15" t="s">
        <v>7977</v>
      </c>
      <c r="K1872" s="46" t="s">
        <v>7976</v>
      </c>
      <c r="L1872" s="11" t="s">
        <v>33</v>
      </c>
      <c r="M1872" s="15" t="s">
        <v>3584</v>
      </c>
      <c r="N1872" s="17">
        <v>16500</v>
      </c>
      <c r="O1872" s="17"/>
      <c r="P1872" s="17"/>
      <c r="Q1872" s="48"/>
      <c r="R1872" s="11" t="s">
        <v>6847</v>
      </c>
      <c r="S1872" s="48"/>
      <c r="T1872" s="85" t="s">
        <v>8073</v>
      </c>
      <c r="U1872" s="88"/>
      <c r="V1872" s="32" t="s">
        <v>6642</v>
      </c>
      <c r="W1872" s="25" t="s">
        <v>4073</v>
      </c>
      <c r="X1872" s="11"/>
      <c r="Y1872" s="50" t="s">
        <v>12</v>
      </c>
      <c r="Z1872" s="50"/>
      <c r="AA1872" s="50"/>
      <c r="AB1872" s="50"/>
      <c r="AC1872" s="50"/>
      <c r="AD1872" s="50"/>
      <c r="AE1872" s="50"/>
      <c r="AF1872" s="34" t="s">
        <v>14</v>
      </c>
      <c r="AG1872" s="34"/>
      <c r="AH1872" s="34"/>
      <c r="AI1872" s="34"/>
      <c r="AJ1872" s="34"/>
      <c r="AK1872" s="34"/>
      <c r="AL1872" s="34"/>
      <c r="AM1872" s="34"/>
      <c r="AN1872" s="34"/>
      <c r="AO1872" s="65"/>
      <c r="AP1872" s="69"/>
      <c r="AQ1872" s="62"/>
      <c r="AR1872" s="34"/>
    </row>
    <row r="1873" spans="1:44" customFormat="1">
      <c r="A1873" s="39">
        <v>45600</v>
      </c>
      <c r="B1873" s="11" t="s">
        <v>24</v>
      </c>
      <c r="C1873" s="16" t="s">
        <v>7978</v>
      </c>
      <c r="D1873" s="16" t="s">
        <v>7979</v>
      </c>
      <c r="E1873" s="38">
        <v>31621</v>
      </c>
      <c r="F1873" s="38"/>
      <c r="G1873" s="59" t="s">
        <v>7980</v>
      </c>
      <c r="H1873" s="12" t="s">
        <v>7981</v>
      </c>
      <c r="I1873" s="13" t="s">
        <v>7982</v>
      </c>
      <c r="J1873" s="15" t="s">
        <v>7984</v>
      </c>
      <c r="K1873" s="46" t="s">
        <v>7983</v>
      </c>
      <c r="L1873" s="11" t="s">
        <v>36</v>
      </c>
      <c r="M1873" s="15" t="s">
        <v>3584</v>
      </c>
      <c r="N1873" s="17">
        <v>8800</v>
      </c>
      <c r="O1873" s="17"/>
      <c r="P1873" s="17"/>
      <c r="Q1873" s="48"/>
      <c r="R1873" s="11" t="s">
        <v>6847</v>
      </c>
      <c r="S1873" s="48"/>
      <c r="T1873" s="85"/>
      <c r="U1873" s="88"/>
      <c r="V1873" s="32" t="s">
        <v>6642</v>
      </c>
      <c r="W1873" s="25" t="s">
        <v>48</v>
      </c>
      <c r="X1873" s="11"/>
      <c r="Y1873" s="50"/>
      <c r="Z1873" s="50"/>
      <c r="AA1873" s="50"/>
      <c r="AB1873" s="50"/>
      <c r="AC1873" s="50"/>
      <c r="AD1873" s="50"/>
      <c r="AE1873" s="50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65"/>
      <c r="AP1873" s="69"/>
      <c r="AQ1873" s="62"/>
      <c r="AR1873" s="34"/>
    </row>
    <row r="1874" spans="1:44" customFormat="1">
      <c r="A1874" s="39">
        <v>45602</v>
      </c>
      <c r="B1874" s="11" t="s">
        <v>49</v>
      </c>
      <c r="C1874" s="16" t="s">
        <v>5389</v>
      </c>
      <c r="D1874" s="16" t="s">
        <v>7985</v>
      </c>
      <c r="E1874" s="38" t="s">
        <v>7040</v>
      </c>
      <c r="F1874" s="38"/>
      <c r="G1874" s="59"/>
      <c r="H1874" s="12"/>
      <c r="I1874" s="13"/>
      <c r="J1874" s="15"/>
      <c r="K1874" s="12"/>
      <c r="L1874" s="11"/>
      <c r="M1874" s="15"/>
      <c r="N1874" s="17">
        <v>11000</v>
      </c>
      <c r="O1874" s="17"/>
      <c r="P1874" s="17"/>
      <c r="Q1874" s="48"/>
      <c r="R1874" s="11" t="s">
        <v>6847</v>
      </c>
      <c r="S1874" s="48"/>
      <c r="T1874" s="85" t="s">
        <v>8073</v>
      </c>
      <c r="U1874" s="88"/>
      <c r="V1874" s="32"/>
      <c r="W1874" s="25"/>
      <c r="X1874" s="11"/>
      <c r="Y1874" s="50"/>
      <c r="Z1874" s="50"/>
      <c r="AA1874" s="50"/>
      <c r="AB1874" s="50"/>
      <c r="AC1874" s="50"/>
      <c r="AD1874" s="50"/>
      <c r="AE1874" s="50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65" t="s">
        <v>2389</v>
      </c>
      <c r="AP1874" s="69"/>
      <c r="AQ1874" s="62"/>
      <c r="AR1874" s="34"/>
    </row>
    <row r="1875" spans="1:44" customFormat="1">
      <c r="A1875" s="39">
        <v>45602</v>
      </c>
      <c r="B1875" s="11" t="s">
        <v>49</v>
      </c>
      <c r="C1875" s="16" t="s">
        <v>7356</v>
      </c>
      <c r="D1875" s="16" t="s">
        <v>7357</v>
      </c>
      <c r="E1875" s="38" t="s">
        <v>7040</v>
      </c>
      <c r="F1875" s="38"/>
      <c r="G1875" s="59"/>
      <c r="H1875" s="12"/>
      <c r="I1875" s="13"/>
      <c r="J1875" s="15"/>
      <c r="K1875" s="12"/>
      <c r="L1875" s="11"/>
      <c r="M1875" s="15"/>
      <c r="N1875" s="17">
        <v>11000</v>
      </c>
      <c r="O1875" s="17"/>
      <c r="P1875" s="17"/>
      <c r="Q1875" s="48"/>
      <c r="R1875" s="11" t="s">
        <v>6849</v>
      </c>
      <c r="S1875" s="48"/>
      <c r="T1875" s="85" t="s">
        <v>8073</v>
      </c>
      <c r="U1875" s="88"/>
      <c r="V1875" s="32"/>
      <c r="W1875" s="25"/>
      <c r="X1875" s="11"/>
      <c r="Y1875" s="50"/>
      <c r="Z1875" s="50"/>
      <c r="AA1875" s="50"/>
      <c r="AB1875" s="50"/>
      <c r="AC1875" s="50"/>
      <c r="AD1875" s="50"/>
      <c r="AE1875" s="50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65" t="s">
        <v>2389</v>
      </c>
      <c r="AP1875" s="69"/>
      <c r="AQ1875" s="62"/>
      <c r="AR1875" s="34"/>
    </row>
    <row r="1876" spans="1:44" customFormat="1">
      <c r="A1876" s="39">
        <v>45607</v>
      </c>
      <c r="B1876" s="11" t="s">
        <v>49</v>
      </c>
      <c r="C1876" s="16" t="s">
        <v>7986</v>
      </c>
      <c r="D1876" s="16" t="s">
        <v>7987</v>
      </c>
      <c r="E1876" s="38">
        <v>22508</v>
      </c>
      <c r="F1876" s="38"/>
      <c r="G1876" s="59" t="s">
        <v>3026</v>
      </c>
      <c r="H1876" s="12" t="s">
        <v>7988</v>
      </c>
      <c r="I1876" s="13" t="s">
        <v>5963</v>
      </c>
      <c r="J1876" s="15" t="s">
        <v>7989</v>
      </c>
      <c r="K1876" s="12"/>
      <c r="L1876" s="11" t="s">
        <v>34</v>
      </c>
      <c r="M1876" s="15" t="s">
        <v>3599</v>
      </c>
      <c r="N1876" s="17">
        <v>16500</v>
      </c>
      <c r="O1876" s="17"/>
      <c r="P1876" s="17"/>
      <c r="Q1876" s="48"/>
      <c r="R1876" s="11" t="s">
        <v>6847</v>
      </c>
      <c r="S1876" s="48"/>
      <c r="T1876" s="85" t="s">
        <v>8073</v>
      </c>
      <c r="U1876" s="88"/>
      <c r="V1876" s="32" t="s">
        <v>6642</v>
      </c>
      <c r="W1876" s="25" t="s">
        <v>8</v>
      </c>
      <c r="X1876" s="11"/>
      <c r="Y1876" s="50"/>
      <c r="Z1876" s="50"/>
      <c r="AA1876" s="50"/>
      <c r="AB1876" s="50"/>
      <c r="AC1876" s="50"/>
      <c r="AD1876" s="50"/>
      <c r="AE1876" s="50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65"/>
      <c r="AP1876" s="69" t="s">
        <v>7990</v>
      </c>
      <c r="AQ1876" s="62"/>
      <c r="AR1876" s="34"/>
    </row>
    <row r="1877" spans="1:44" customFormat="1">
      <c r="A1877" s="39">
        <v>45609</v>
      </c>
      <c r="B1877" s="11" t="s">
        <v>49</v>
      </c>
      <c r="C1877" s="16" t="s">
        <v>2941</v>
      </c>
      <c r="D1877" s="16" t="s">
        <v>6320</v>
      </c>
      <c r="E1877" s="38">
        <v>26501</v>
      </c>
      <c r="F1877" s="38"/>
      <c r="G1877" s="10" t="s">
        <v>2942</v>
      </c>
      <c r="H1877" s="12" t="s">
        <v>2943</v>
      </c>
      <c r="I1877" s="13" t="s">
        <v>2944</v>
      </c>
      <c r="J1877" s="15" t="s">
        <v>4748</v>
      </c>
      <c r="K1877" s="12"/>
      <c r="L1877" s="11" t="s">
        <v>34</v>
      </c>
      <c r="M1877" s="15"/>
      <c r="N1877" s="17">
        <v>16500</v>
      </c>
      <c r="O1877" s="17"/>
      <c r="P1877" s="17"/>
      <c r="Q1877" s="48"/>
      <c r="R1877" s="11" t="s">
        <v>6849</v>
      </c>
      <c r="S1877" s="48"/>
      <c r="T1877" s="85" t="s">
        <v>8073</v>
      </c>
      <c r="U1877" s="88"/>
      <c r="V1877" s="32"/>
      <c r="W1877" s="25" t="s">
        <v>8</v>
      </c>
      <c r="X1877" s="11"/>
      <c r="Y1877" s="50" t="s">
        <v>13</v>
      </c>
      <c r="Z1877" s="50"/>
      <c r="AA1877" s="50"/>
      <c r="AB1877" s="50"/>
      <c r="AC1877" s="50"/>
      <c r="AD1877" s="50"/>
      <c r="AE1877" s="50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65" t="s">
        <v>2389</v>
      </c>
      <c r="AP1877" s="69"/>
      <c r="AQ1877" s="62"/>
      <c r="AR1877" s="34"/>
    </row>
    <row r="1878" spans="1:44" customFormat="1">
      <c r="A1878" s="39">
        <v>45612</v>
      </c>
      <c r="B1878" s="11" t="s">
        <v>49</v>
      </c>
      <c r="C1878" s="16" t="s">
        <v>7156</v>
      </c>
      <c r="D1878" s="16" t="s">
        <v>7157</v>
      </c>
      <c r="E1878" s="38" t="s">
        <v>7040</v>
      </c>
      <c r="F1878" s="38"/>
      <c r="G1878" s="59"/>
      <c r="H1878" s="12"/>
      <c r="I1878" s="13"/>
      <c r="J1878" s="15"/>
      <c r="K1878" s="12"/>
      <c r="L1878" s="11"/>
      <c r="M1878" s="15"/>
      <c r="N1878" s="17">
        <v>11000</v>
      </c>
      <c r="O1878" s="17"/>
      <c r="P1878" s="17"/>
      <c r="Q1878" s="48"/>
      <c r="R1878" s="11" t="s">
        <v>6849</v>
      </c>
      <c r="S1878" s="48"/>
      <c r="T1878" s="85" t="s">
        <v>8073</v>
      </c>
      <c r="U1878" s="88"/>
      <c r="V1878" s="32"/>
      <c r="W1878" s="25"/>
      <c r="X1878" s="11"/>
      <c r="Y1878" s="50"/>
      <c r="Z1878" s="50"/>
      <c r="AA1878" s="50"/>
      <c r="AB1878" s="50"/>
      <c r="AC1878" s="50"/>
      <c r="AD1878" s="50"/>
      <c r="AE1878" s="50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65" t="s">
        <v>2389</v>
      </c>
      <c r="AP1878" s="69"/>
      <c r="AQ1878" s="62"/>
      <c r="AR1878" s="34"/>
    </row>
    <row r="1879" spans="1:44" customFormat="1">
      <c r="A1879" s="39">
        <v>45614</v>
      </c>
      <c r="B1879" s="11" t="s">
        <v>22</v>
      </c>
      <c r="C1879" s="16" t="s">
        <v>7991</v>
      </c>
      <c r="D1879" s="16" t="s">
        <v>7992</v>
      </c>
      <c r="E1879" s="38">
        <v>34835</v>
      </c>
      <c r="F1879" s="38"/>
      <c r="G1879" s="59" t="s">
        <v>148</v>
      </c>
      <c r="H1879" s="12" t="s">
        <v>7993</v>
      </c>
      <c r="I1879" s="13">
        <v>1.3</v>
      </c>
      <c r="J1879" s="15" t="s">
        <v>7994</v>
      </c>
      <c r="K1879" s="12"/>
      <c r="L1879" s="11" t="s">
        <v>33</v>
      </c>
      <c r="M1879" s="15"/>
      <c r="N1879" s="17">
        <v>3300</v>
      </c>
      <c r="O1879" s="17"/>
      <c r="P1879" s="17"/>
      <c r="Q1879" s="48"/>
      <c r="R1879" s="11" t="s">
        <v>6847</v>
      </c>
      <c r="S1879" s="48"/>
      <c r="T1879" s="85"/>
      <c r="U1879" s="88"/>
      <c r="V1879" s="32" t="s">
        <v>6642</v>
      </c>
      <c r="W1879" s="25" t="s">
        <v>4073</v>
      </c>
      <c r="X1879" s="11"/>
      <c r="Y1879" s="50" t="s">
        <v>14</v>
      </c>
      <c r="Z1879" s="50"/>
      <c r="AA1879" s="50"/>
      <c r="AB1879" s="50"/>
      <c r="AC1879" s="50"/>
      <c r="AD1879" s="50"/>
      <c r="AE1879" s="50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65"/>
      <c r="AP1879" s="69"/>
      <c r="AQ1879" s="62"/>
      <c r="AR1879" s="34"/>
    </row>
    <row r="1880" spans="1:44" customFormat="1">
      <c r="A1880" s="39">
        <v>45616</v>
      </c>
      <c r="B1880" s="11" t="s">
        <v>49</v>
      </c>
      <c r="C1880" s="16" t="s">
        <v>7995</v>
      </c>
      <c r="D1880" s="16" t="s">
        <v>7996</v>
      </c>
      <c r="E1880" s="38">
        <v>21844</v>
      </c>
      <c r="F1880" s="38"/>
      <c r="G1880" s="59" t="s">
        <v>612</v>
      </c>
      <c r="H1880" s="60" t="s">
        <v>7997</v>
      </c>
      <c r="I1880" s="13">
        <v>26.8</v>
      </c>
      <c r="J1880" s="15" t="s">
        <v>7998</v>
      </c>
      <c r="K1880" s="12"/>
      <c r="L1880" s="11" t="s">
        <v>39</v>
      </c>
      <c r="M1880" s="15" t="s">
        <v>3629</v>
      </c>
      <c r="N1880" s="17">
        <v>0</v>
      </c>
      <c r="O1880" s="17"/>
      <c r="P1880" s="17"/>
      <c r="Q1880" s="48"/>
      <c r="R1880" s="11" t="s">
        <v>6847</v>
      </c>
      <c r="S1880" s="48"/>
      <c r="T1880" s="85" t="s">
        <v>8073</v>
      </c>
      <c r="U1880" s="88"/>
      <c r="V1880" s="32"/>
      <c r="W1880" s="25" t="s">
        <v>8</v>
      </c>
      <c r="X1880" s="11"/>
      <c r="Y1880" s="50"/>
      <c r="Z1880" s="50"/>
      <c r="AA1880" s="50"/>
      <c r="AB1880" s="50"/>
      <c r="AC1880" s="50"/>
      <c r="AD1880" s="50"/>
      <c r="AE1880" s="50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65" t="s">
        <v>7999</v>
      </c>
      <c r="AP1880" s="69"/>
      <c r="AQ1880" s="62"/>
      <c r="AR1880" s="34"/>
    </row>
    <row r="1881" spans="1:44" customFormat="1">
      <c r="A1881" s="39">
        <v>45619</v>
      </c>
      <c r="B1881" s="11" t="s">
        <v>49</v>
      </c>
      <c r="C1881" s="16" t="s">
        <v>8000</v>
      </c>
      <c r="D1881" s="16" t="s">
        <v>8001</v>
      </c>
      <c r="E1881" s="38">
        <v>26064</v>
      </c>
      <c r="F1881" s="38"/>
      <c r="G1881" s="59" t="s">
        <v>8002</v>
      </c>
      <c r="H1881" s="60" t="s">
        <v>8003</v>
      </c>
      <c r="I1881" s="13">
        <v>13.1</v>
      </c>
      <c r="J1881" s="15" t="s">
        <v>8005</v>
      </c>
      <c r="K1881" s="46" t="s">
        <v>8004</v>
      </c>
      <c r="L1881" s="11" t="s">
        <v>36</v>
      </c>
      <c r="M1881" s="15" t="s">
        <v>3584</v>
      </c>
      <c r="N1881" s="17">
        <v>16500</v>
      </c>
      <c r="O1881" s="17"/>
      <c r="P1881" s="17"/>
      <c r="Q1881" s="48"/>
      <c r="R1881" s="11" t="s">
        <v>6849</v>
      </c>
      <c r="S1881" s="48"/>
      <c r="T1881" s="85"/>
      <c r="U1881" s="88"/>
      <c r="V1881" s="32" t="s">
        <v>6642</v>
      </c>
      <c r="W1881" s="25" t="s">
        <v>8</v>
      </c>
      <c r="X1881" s="11"/>
      <c r="Y1881" s="50" t="s">
        <v>13</v>
      </c>
      <c r="Z1881" s="50"/>
      <c r="AA1881" s="50"/>
      <c r="AB1881" s="50"/>
      <c r="AC1881" s="50"/>
      <c r="AD1881" s="50"/>
      <c r="AE1881" s="50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65" t="s">
        <v>8006</v>
      </c>
      <c r="AP1881" s="69"/>
      <c r="AQ1881" s="62"/>
      <c r="AR1881" s="34"/>
    </row>
    <row r="1882" spans="1:44" customFormat="1">
      <c r="A1882" s="39">
        <v>45619</v>
      </c>
      <c r="B1882" s="11" t="s">
        <v>49</v>
      </c>
      <c r="C1882" s="16" t="s">
        <v>8007</v>
      </c>
      <c r="D1882" s="16" t="s">
        <v>8008</v>
      </c>
      <c r="E1882" s="38">
        <v>25465</v>
      </c>
      <c r="F1882" s="38"/>
      <c r="G1882" s="59" t="s">
        <v>8009</v>
      </c>
      <c r="H1882" s="60" t="s">
        <v>8010</v>
      </c>
      <c r="I1882" s="13">
        <v>46.6</v>
      </c>
      <c r="J1882" s="15" t="s">
        <v>8012</v>
      </c>
      <c r="K1882" s="46" t="s">
        <v>8011</v>
      </c>
      <c r="L1882" s="11" t="s">
        <v>33</v>
      </c>
      <c r="M1882" s="15" t="s">
        <v>3584</v>
      </c>
      <c r="N1882" s="17">
        <v>11000</v>
      </c>
      <c r="O1882" s="17"/>
      <c r="P1882" s="17"/>
      <c r="Q1882" s="48"/>
      <c r="R1882" s="11" t="s">
        <v>6849</v>
      </c>
      <c r="S1882" s="48"/>
      <c r="T1882" s="85" t="s">
        <v>8073</v>
      </c>
      <c r="U1882" s="88"/>
      <c r="V1882" s="32"/>
      <c r="W1882" s="25" t="s">
        <v>8</v>
      </c>
      <c r="X1882" s="11"/>
      <c r="Y1882" s="50"/>
      <c r="Z1882" s="50"/>
      <c r="AA1882" s="50"/>
      <c r="AB1882" s="50"/>
      <c r="AC1882" s="50"/>
      <c r="AD1882" s="50"/>
      <c r="AE1882" s="50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65" t="s">
        <v>8013</v>
      </c>
      <c r="AP1882" s="69"/>
      <c r="AQ1882" s="62"/>
      <c r="AR1882" s="34"/>
    </row>
    <row r="1883" spans="1:44" customFormat="1">
      <c r="A1883" s="39">
        <v>45619</v>
      </c>
      <c r="B1883" s="11" t="s">
        <v>49</v>
      </c>
      <c r="C1883" s="16" t="s">
        <v>7927</v>
      </c>
      <c r="D1883" s="16" t="s">
        <v>7929</v>
      </c>
      <c r="E1883" s="38" t="s">
        <v>7040</v>
      </c>
      <c r="F1883" s="38"/>
      <c r="G1883" s="59"/>
      <c r="H1883" s="12"/>
      <c r="I1883" s="13"/>
      <c r="J1883" s="15"/>
      <c r="K1883" s="12"/>
      <c r="L1883" s="11"/>
      <c r="M1883" s="15"/>
      <c r="N1883" s="17">
        <v>11000</v>
      </c>
      <c r="O1883" s="17"/>
      <c r="P1883" s="17"/>
      <c r="Q1883" s="48"/>
      <c r="R1883" s="11" t="s">
        <v>6848</v>
      </c>
      <c r="S1883" s="48"/>
      <c r="T1883" s="85" t="s">
        <v>8073</v>
      </c>
      <c r="U1883" s="88"/>
      <c r="V1883" s="32"/>
      <c r="W1883" s="25"/>
      <c r="X1883" s="11"/>
      <c r="Y1883" s="50"/>
      <c r="Z1883" s="50"/>
      <c r="AA1883" s="50"/>
      <c r="AB1883" s="50"/>
      <c r="AC1883" s="50"/>
      <c r="AD1883" s="50"/>
      <c r="AE1883" s="50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65"/>
      <c r="AP1883" s="69"/>
      <c r="AQ1883" s="62"/>
      <c r="AR1883" s="34"/>
    </row>
    <row r="1884" spans="1:44" customFormat="1">
      <c r="A1884" s="39">
        <v>45619</v>
      </c>
      <c r="B1884" s="11" t="s">
        <v>49</v>
      </c>
      <c r="C1884" s="16" t="s">
        <v>2897</v>
      </c>
      <c r="D1884" s="16" t="s">
        <v>8014</v>
      </c>
      <c r="E1884" s="38">
        <v>24778</v>
      </c>
      <c r="F1884" s="38"/>
      <c r="G1884" s="59" t="s">
        <v>8015</v>
      </c>
      <c r="H1884" s="12" t="s">
        <v>2898</v>
      </c>
      <c r="I1884" s="13" t="s">
        <v>8016</v>
      </c>
      <c r="J1884" s="15" t="s">
        <v>8018</v>
      </c>
      <c r="K1884" s="12" t="s">
        <v>8017</v>
      </c>
      <c r="L1884" s="11" t="s">
        <v>36</v>
      </c>
      <c r="M1884" s="15"/>
      <c r="N1884" s="17">
        <v>22000</v>
      </c>
      <c r="O1884" s="17"/>
      <c r="P1884" s="17"/>
      <c r="Q1884" s="48"/>
      <c r="R1884" s="11" t="s">
        <v>6849</v>
      </c>
      <c r="S1884" s="48"/>
      <c r="T1884" s="85" t="s">
        <v>8073</v>
      </c>
      <c r="U1884" s="88"/>
      <c r="V1884" s="32"/>
      <c r="W1884" s="25"/>
      <c r="X1884" s="11"/>
      <c r="Y1884" s="50"/>
      <c r="Z1884" s="50"/>
      <c r="AA1884" s="50"/>
      <c r="AB1884" s="50"/>
      <c r="AC1884" s="50"/>
      <c r="AD1884" s="50"/>
      <c r="AE1884" s="50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65" t="s">
        <v>7321</v>
      </c>
      <c r="AP1884" s="69"/>
      <c r="AQ1884" s="62"/>
      <c r="AR1884" s="34"/>
    </row>
    <row r="1885" spans="1:44" customFormat="1">
      <c r="A1885" s="39">
        <v>45621</v>
      </c>
      <c r="B1885" s="11" t="s">
        <v>49</v>
      </c>
      <c r="C1885" s="16" t="s">
        <v>292</v>
      </c>
      <c r="D1885" s="16" t="s">
        <v>8019</v>
      </c>
      <c r="E1885" s="38" t="s">
        <v>7040</v>
      </c>
      <c r="F1885" s="38"/>
      <c r="G1885" s="10"/>
      <c r="H1885" s="12"/>
      <c r="I1885" s="13"/>
      <c r="J1885" s="15"/>
      <c r="K1885" s="12"/>
      <c r="L1885" s="11"/>
      <c r="M1885" s="15"/>
      <c r="N1885" s="17">
        <v>11000</v>
      </c>
      <c r="O1885" s="17"/>
      <c r="P1885" s="17"/>
      <c r="Q1885" s="48"/>
      <c r="R1885" s="11" t="s">
        <v>6848</v>
      </c>
      <c r="S1885" s="48"/>
      <c r="T1885" s="85"/>
      <c r="U1885" s="88"/>
      <c r="V1885" s="32" t="s">
        <v>8020</v>
      </c>
      <c r="W1885" s="25"/>
      <c r="X1885" s="11"/>
      <c r="Y1885" s="50"/>
      <c r="Z1885" s="50"/>
      <c r="AA1885" s="50"/>
      <c r="AB1885" s="50"/>
      <c r="AC1885" s="50"/>
      <c r="AD1885" s="50"/>
      <c r="AE1885" s="50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65"/>
      <c r="AP1885" s="69"/>
      <c r="AQ1885" s="62"/>
      <c r="AR1885" s="34"/>
    </row>
    <row r="1886" spans="1:44" customFormat="1">
      <c r="A1886" s="39">
        <v>45624</v>
      </c>
      <c r="B1886" s="11" t="s">
        <v>49</v>
      </c>
      <c r="C1886" s="16" t="s">
        <v>8021</v>
      </c>
      <c r="D1886" s="16" t="s">
        <v>8022</v>
      </c>
      <c r="E1886" s="38">
        <v>21165</v>
      </c>
      <c r="F1886" s="38"/>
      <c r="G1886" s="59" t="s">
        <v>8023</v>
      </c>
      <c r="H1886" s="60" t="s">
        <v>8024</v>
      </c>
      <c r="I1886" s="13">
        <v>330</v>
      </c>
      <c r="J1886" s="15" t="s">
        <v>8026</v>
      </c>
      <c r="K1886" s="46" t="s">
        <v>8025</v>
      </c>
      <c r="L1886" s="11" t="s">
        <v>34</v>
      </c>
      <c r="M1886" s="15" t="s">
        <v>3599</v>
      </c>
      <c r="N1886" s="17">
        <v>16500</v>
      </c>
      <c r="O1886" s="17"/>
      <c r="P1886" s="17"/>
      <c r="Q1886" s="48"/>
      <c r="R1886" s="11" t="s">
        <v>6849</v>
      </c>
      <c r="S1886" s="48"/>
      <c r="T1886" s="85" t="s">
        <v>8073</v>
      </c>
      <c r="U1886" s="88"/>
      <c r="V1886" s="32" t="s">
        <v>6642</v>
      </c>
      <c r="W1886" s="25" t="s">
        <v>48</v>
      </c>
      <c r="X1886" s="11"/>
      <c r="Y1886" s="50" t="s">
        <v>13</v>
      </c>
      <c r="Z1886" s="50"/>
      <c r="AA1886" s="50"/>
      <c r="AB1886" s="50"/>
      <c r="AC1886" s="50"/>
      <c r="AD1886" s="50"/>
      <c r="AE1886" s="50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65"/>
      <c r="AP1886" s="69"/>
      <c r="AQ1886" s="62"/>
      <c r="AR1886" s="34"/>
    </row>
    <row r="1887" spans="1:44" customFormat="1">
      <c r="A1887" s="39">
        <v>45624</v>
      </c>
      <c r="B1887" s="11" t="s">
        <v>49</v>
      </c>
      <c r="C1887" s="16" t="s">
        <v>8027</v>
      </c>
      <c r="D1887" s="16" t="s">
        <v>8029</v>
      </c>
      <c r="E1887" s="38">
        <v>22101</v>
      </c>
      <c r="F1887" s="38"/>
      <c r="G1887" s="10" t="s">
        <v>8031</v>
      </c>
      <c r="H1887" s="12" t="s">
        <v>8033</v>
      </c>
      <c r="I1887" s="13" t="s">
        <v>8037</v>
      </c>
      <c r="J1887" s="15" t="s">
        <v>8035</v>
      </c>
      <c r="K1887" s="12"/>
      <c r="L1887" s="11" t="s">
        <v>33</v>
      </c>
      <c r="M1887" s="15"/>
      <c r="N1887" s="17">
        <v>0</v>
      </c>
      <c r="O1887" s="17"/>
      <c r="P1887" s="17"/>
      <c r="Q1887" s="48"/>
      <c r="R1887" s="11" t="s">
        <v>6847</v>
      </c>
      <c r="S1887" s="48"/>
      <c r="T1887" s="85"/>
      <c r="U1887" s="88"/>
      <c r="V1887" s="32" t="s">
        <v>2191</v>
      </c>
      <c r="W1887" s="25"/>
      <c r="X1887" s="11"/>
      <c r="Y1887" s="50"/>
      <c r="Z1887" s="50"/>
      <c r="AA1887" s="50"/>
      <c r="AB1887" s="50"/>
      <c r="AC1887" s="50"/>
      <c r="AD1887" s="50"/>
      <c r="AE1887" s="50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65"/>
      <c r="AP1887" s="69"/>
      <c r="AQ1887" s="62"/>
      <c r="AR1887" s="34"/>
    </row>
    <row r="1888" spans="1:44" customFormat="1">
      <c r="A1888" s="39">
        <v>45624</v>
      </c>
      <c r="B1888" s="11" t="s">
        <v>49</v>
      </c>
      <c r="C1888" s="16" t="s">
        <v>8028</v>
      </c>
      <c r="D1888" s="16" t="s">
        <v>8030</v>
      </c>
      <c r="E1888" s="38">
        <v>35683</v>
      </c>
      <c r="F1888" s="38"/>
      <c r="G1888" s="10" t="s">
        <v>8032</v>
      </c>
      <c r="H1888" s="12" t="s">
        <v>8034</v>
      </c>
      <c r="I1888" s="13" t="s">
        <v>5073</v>
      </c>
      <c r="J1888" s="15" t="s">
        <v>8036</v>
      </c>
      <c r="K1888" s="12"/>
      <c r="L1888" s="11"/>
      <c r="M1888" s="15"/>
      <c r="N1888" s="17">
        <v>0</v>
      </c>
      <c r="O1888" s="17"/>
      <c r="P1888" s="17"/>
      <c r="Q1888" s="48"/>
      <c r="R1888" s="11" t="s">
        <v>6847</v>
      </c>
      <c r="S1888" s="48"/>
      <c r="T1888" s="85"/>
      <c r="U1888" s="88"/>
      <c r="V1888" s="32" t="s">
        <v>2191</v>
      </c>
      <c r="W1888" s="25"/>
      <c r="X1888" s="11"/>
      <c r="Y1888" s="50"/>
      <c r="Z1888" s="50"/>
      <c r="AA1888" s="50"/>
      <c r="AB1888" s="50"/>
      <c r="AC1888" s="50"/>
      <c r="AD1888" s="50"/>
      <c r="AE1888" s="50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65"/>
      <c r="AP1888" s="69"/>
      <c r="AQ1888" s="62"/>
      <c r="AR1888" s="34"/>
    </row>
    <row r="1889" spans="1:44" customFormat="1">
      <c r="A1889" s="39">
        <v>45625</v>
      </c>
      <c r="B1889" s="11" t="s">
        <v>49</v>
      </c>
      <c r="C1889" s="16" t="s">
        <v>7417</v>
      </c>
      <c r="D1889" s="16" t="s">
        <v>8038</v>
      </c>
      <c r="E1889" s="38" t="s">
        <v>7040</v>
      </c>
      <c r="F1889" s="38"/>
      <c r="G1889" s="10"/>
      <c r="H1889" s="12"/>
      <c r="I1889" s="13"/>
      <c r="J1889" s="15"/>
      <c r="K1889" s="12"/>
      <c r="L1889" s="11"/>
      <c r="M1889" s="15"/>
      <c r="N1889" s="17">
        <v>11000</v>
      </c>
      <c r="O1889" s="17"/>
      <c r="P1889" s="17"/>
      <c r="Q1889" s="48"/>
      <c r="R1889" s="11" t="s">
        <v>6849</v>
      </c>
      <c r="S1889" s="48"/>
      <c r="T1889" s="85" t="s">
        <v>8073</v>
      </c>
      <c r="U1889" s="88"/>
      <c r="V1889" s="32"/>
      <c r="W1889" s="25"/>
      <c r="X1889" s="11"/>
      <c r="Y1889" s="50"/>
      <c r="Z1889" s="50"/>
      <c r="AA1889" s="50"/>
      <c r="AB1889" s="50"/>
      <c r="AC1889" s="50"/>
      <c r="AD1889" s="50"/>
      <c r="AE1889" s="50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65"/>
      <c r="AP1889" s="69"/>
      <c r="AQ1889" s="62"/>
      <c r="AR1889" s="34"/>
    </row>
    <row r="1890" spans="1:44" customFormat="1">
      <c r="A1890" s="39">
        <v>45626</v>
      </c>
      <c r="B1890" s="11" t="s">
        <v>49</v>
      </c>
      <c r="C1890" s="16" t="s">
        <v>3427</v>
      </c>
      <c r="D1890" s="16"/>
      <c r="E1890" s="38">
        <v>33258</v>
      </c>
      <c r="F1890" s="38"/>
      <c r="G1890" s="10" t="s">
        <v>8040</v>
      </c>
      <c r="H1890" s="12" t="s">
        <v>8039</v>
      </c>
      <c r="I1890" s="13" t="s">
        <v>3426</v>
      </c>
      <c r="J1890" s="15" t="s">
        <v>3277</v>
      </c>
      <c r="K1890" s="12"/>
      <c r="L1890" s="11" t="s">
        <v>10</v>
      </c>
      <c r="M1890" s="15"/>
      <c r="N1890" s="17">
        <v>16500</v>
      </c>
      <c r="O1890" s="17"/>
      <c r="P1890" s="17"/>
      <c r="Q1890" s="48"/>
      <c r="R1890" s="11" t="s">
        <v>6849</v>
      </c>
      <c r="S1890" s="48"/>
      <c r="T1890" s="85"/>
      <c r="U1890" s="88"/>
      <c r="V1890" s="32"/>
      <c r="W1890" s="25" t="s">
        <v>48</v>
      </c>
      <c r="X1890" s="11"/>
      <c r="Y1890" s="50" t="s">
        <v>13</v>
      </c>
      <c r="Z1890" s="50"/>
      <c r="AA1890" s="50"/>
      <c r="AB1890" s="50"/>
      <c r="AC1890" s="50"/>
      <c r="AD1890" s="50"/>
      <c r="AE1890" s="50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65" t="s">
        <v>2389</v>
      </c>
      <c r="AP1890" s="69"/>
      <c r="AQ1890" s="62"/>
      <c r="AR1890" s="34"/>
    </row>
    <row r="1891" spans="1:44" customFormat="1">
      <c r="A1891" s="39">
        <v>45627</v>
      </c>
      <c r="B1891" s="11" t="s">
        <v>22</v>
      </c>
      <c r="C1891" s="16" t="s">
        <v>8041</v>
      </c>
      <c r="D1891" s="16" t="s">
        <v>8042</v>
      </c>
      <c r="E1891" s="38">
        <v>24406</v>
      </c>
      <c r="F1891" s="38"/>
      <c r="G1891" s="10" t="s">
        <v>7073</v>
      </c>
      <c r="H1891" s="12" t="s">
        <v>8043</v>
      </c>
      <c r="I1891" s="13">
        <v>2.2999999999999998</v>
      </c>
      <c r="J1891" s="15" t="s">
        <v>8045</v>
      </c>
      <c r="K1891" s="46" t="s">
        <v>8044</v>
      </c>
      <c r="L1891" s="11" t="s">
        <v>36</v>
      </c>
      <c r="M1891" s="15" t="s">
        <v>3584</v>
      </c>
      <c r="N1891" s="17">
        <v>3300</v>
      </c>
      <c r="O1891" s="17"/>
      <c r="P1891" s="17"/>
      <c r="Q1891" s="48"/>
      <c r="R1891" s="11" t="s">
        <v>6847</v>
      </c>
      <c r="S1891" s="48"/>
      <c r="T1891" s="85" t="s">
        <v>8079</v>
      </c>
      <c r="U1891" s="88"/>
      <c r="V1891" s="32"/>
      <c r="W1891" s="25" t="s">
        <v>48</v>
      </c>
      <c r="X1891" s="11"/>
      <c r="Y1891" s="50" t="s">
        <v>12</v>
      </c>
      <c r="Z1891" s="50"/>
      <c r="AA1891" s="50"/>
      <c r="AB1891" s="50"/>
      <c r="AC1891" s="50"/>
      <c r="AD1891" s="50"/>
      <c r="AE1891" s="50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65" t="s">
        <v>5822</v>
      </c>
      <c r="AP1891" s="69"/>
      <c r="AQ1891" s="62"/>
      <c r="AR1891" s="34"/>
    </row>
    <row r="1892" spans="1:44" customFormat="1">
      <c r="A1892" s="39">
        <v>45631</v>
      </c>
      <c r="B1892" s="11" t="s">
        <v>22</v>
      </c>
      <c r="C1892" s="16" t="s">
        <v>8046</v>
      </c>
      <c r="D1892" s="16" t="s">
        <v>8047</v>
      </c>
      <c r="E1892" s="38">
        <v>24438</v>
      </c>
      <c r="F1892" s="38"/>
      <c r="G1892" s="10" t="s">
        <v>358</v>
      </c>
      <c r="H1892" s="22" t="s">
        <v>8048</v>
      </c>
      <c r="I1892" s="13">
        <v>3.4</v>
      </c>
      <c r="J1892" s="15" t="s">
        <v>8050</v>
      </c>
      <c r="K1892" s="46" t="s">
        <v>8049</v>
      </c>
      <c r="L1892" s="11" t="s">
        <v>36</v>
      </c>
      <c r="M1892" s="15" t="s">
        <v>3584</v>
      </c>
      <c r="N1892" s="17">
        <v>3300</v>
      </c>
      <c r="O1892" s="17"/>
      <c r="P1892" s="17"/>
      <c r="Q1892" s="48"/>
      <c r="R1892" s="11" t="s">
        <v>6848</v>
      </c>
      <c r="S1892" s="48"/>
      <c r="T1892" s="85" t="s">
        <v>8079</v>
      </c>
      <c r="U1892" s="88"/>
      <c r="V1892" s="32"/>
      <c r="W1892" s="25" t="s">
        <v>48</v>
      </c>
      <c r="X1892" s="11"/>
      <c r="Y1892" s="50"/>
      <c r="Z1892" s="50"/>
      <c r="AA1892" s="50"/>
      <c r="AB1892" s="50"/>
      <c r="AC1892" s="50"/>
      <c r="AD1892" s="50"/>
      <c r="AE1892" s="50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65" t="s">
        <v>5822</v>
      </c>
      <c r="AP1892" s="69" t="s">
        <v>7919</v>
      </c>
      <c r="AQ1892" s="62" t="s">
        <v>8079</v>
      </c>
      <c r="AR1892" s="34"/>
    </row>
    <row r="1893" spans="1:44" customFormat="1">
      <c r="A1893" s="39">
        <v>45634</v>
      </c>
      <c r="B1893" s="11" t="s">
        <v>49</v>
      </c>
      <c r="C1893" s="16" t="s">
        <v>8051</v>
      </c>
      <c r="D1893" s="16" t="s">
        <v>8052</v>
      </c>
      <c r="E1893" s="38">
        <v>34618</v>
      </c>
      <c r="F1893" s="38"/>
      <c r="G1893" s="10" t="s">
        <v>8053</v>
      </c>
      <c r="H1893" s="12" t="s">
        <v>8054</v>
      </c>
      <c r="I1893" s="13">
        <v>8.4</v>
      </c>
      <c r="J1893" s="15" t="s">
        <v>8056</v>
      </c>
      <c r="K1893" s="46" t="s">
        <v>8055</v>
      </c>
      <c r="L1893" s="11" t="s">
        <v>36</v>
      </c>
      <c r="M1893" s="15" t="s">
        <v>3584</v>
      </c>
      <c r="N1893" s="17">
        <v>16500</v>
      </c>
      <c r="O1893" s="17"/>
      <c r="P1893" s="17"/>
      <c r="Q1893" s="48"/>
      <c r="R1893" s="11" t="s">
        <v>6848</v>
      </c>
      <c r="S1893" s="48"/>
      <c r="T1893" s="85" t="s">
        <v>8073</v>
      </c>
      <c r="U1893" s="88"/>
      <c r="V1893" s="32"/>
      <c r="W1893" s="25" t="s">
        <v>48</v>
      </c>
      <c r="X1893" s="11"/>
      <c r="Y1893" s="50" t="s">
        <v>13</v>
      </c>
      <c r="Z1893" s="50"/>
      <c r="AA1893" s="50"/>
      <c r="AB1893" s="50"/>
      <c r="AC1893" s="50"/>
      <c r="AD1893" s="50"/>
      <c r="AE1893" s="50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65"/>
      <c r="AP1893" s="69"/>
      <c r="AQ1893" s="62"/>
      <c r="AR1893" s="34"/>
    </row>
    <row r="1894" spans="1:44" customFormat="1">
      <c r="A1894" s="39">
        <v>45634</v>
      </c>
      <c r="B1894" s="11" t="s">
        <v>49</v>
      </c>
      <c r="C1894" s="16" t="s">
        <v>8057</v>
      </c>
      <c r="D1894" s="16" t="s">
        <v>8058</v>
      </c>
      <c r="E1894" s="38">
        <v>38160</v>
      </c>
      <c r="F1894" s="38"/>
      <c r="G1894" s="10" t="s">
        <v>8059</v>
      </c>
      <c r="H1894" s="12" t="s">
        <v>8060</v>
      </c>
      <c r="I1894" s="13">
        <v>8.5</v>
      </c>
      <c r="J1894" s="15" t="s">
        <v>8062</v>
      </c>
      <c r="K1894" s="46" t="s">
        <v>8061</v>
      </c>
      <c r="L1894" s="11" t="s">
        <v>36</v>
      </c>
      <c r="M1894" s="15" t="s">
        <v>3599</v>
      </c>
      <c r="N1894" s="17">
        <v>16500</v>
      </c>
      <c r="O1894" s="17"/>
      <c r="P1894" s="17"/>
      <c r="Q1894" s="48"/>
      <c r="R1894" s="11" t="s">
        <v>6848</v>
      </c>
      <c r="S1894" s="48"/>
      <c r="T1894" s="85" t="s">
        <v>8073</v>
      </c>
      <c r="U1894" s="88"/>
      <c r="V1894" s="32"/>
      <c r="W1894" s="25" t="s">
        <v>48</v>
      </c>
      <c r="X1894" s="11"/>
      <c r="Y1894" s="50" t="s">
        <v>13</v>
      </c>
      <c r="Z1894" s="50"/>
      <c r="AA1894" s="50"/>
      <c r="AB1894" s="50"/>
      <c r="AC1894" s="50"/>
      <c r="AD1894" s="50"/>
      <c r="AE1894" s="50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65"/>
      <c r="AP1894" s="69"/>
      <c r="AQ1894" s="62"/>
      <c r="AR1894" s="34"/>
    </row>
    <row r="1895" spans="1:44" customFormat="1">
      <c r="A1895" s="39">
        <v>45641</v>
      </c>
      <c r="B1895" s="11" t="s">
        <v>22</v>
      </c>
      <c r="C1895" s="16" t="s">
        <v>8068</v>
      </c>
      <c r="D1895" s="16" t="s">
        <v>8069</v>
      </c>
      <c r="E1895" s="38">
        <v>21719</v>
      </c>
      <c r="F1895" s="38"/>
      <c r="G1895" s="10" t="s">
        <v>3772</v>
      </c>
      <c r="H1895" s="12" t="s">
        <v>8070</v>
      </c>
      <c r="I1895" s="13">
        <v>4</v>
      </c>
      <c r="J1895" s="15" t="s">
        <v>8071</v>
      </c>
      <c r="K1895" s="12"/>
      <c r="L1895" s="11" t="s">
        <v>36</v>
      </c>
      <c r="M1895" s="15" t="s">
        <v>3599</v>
      </c>
      <c r="N1895" s="17">
        <v>3300</v>
      </c>
      <c r="O1895" s="17"/>
      <c r="P1895" s="17"/>
      <c r="Q1895" s="48"/>
      <c r="R1895" s="11" t="s">
        <v>6943</v>
      </c>
      <c r="S1895" s="48"/>
      <c r="T1895" s="85" t="s">
        <v>8079</v>
      </c>
      <c r="U1895" s="88"/>
      <c r="V1895" s="32"/>
      <c r="W1895" s="25" t="s">
        <v>8</v>
      </c>
      <c r="X1895" s="11"/>
      <c r="Y1895" s="50" t="s">
        <v>13</v>
      </c>
      <c r="Z1895" s="50"/>
      <c r="AA1895" s="50"/>
      <c r="AB1895" s="50"/>
      <c r="AC1895" s="50"/>
      <c r="AD1895" s="50"/>
      <c r="AE1895" s="50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65"/>
      <c r="AP1895" s="69"/>
      <c r="AQ1895" s="62"/>
      <c r="AR1895" s="34"/>
    </row>
    <row r="1896" spans="1:44" customFormat="1">
      <c r="A1896" s="39">
        <v>45641</v>
      </c>
      <c r="B1896" s="11" t="s">
        <v>49</v>
      </c>
      <c r="C1896" s="16" t="s">
        <v>8063</v>
      </c>
      <c r="D1896" s="16" t="s">
        <v>8064</v>
      </c>
      <c r="E1896" s="38">
        <v>29129</v>
      </c>
      <c r="F1896" s="38"/>
      <c r="G1896" s="10" t="s">
        <v>280</v>
      </c>
      <c r="H1896" s="12" t="s">
        <v>8065</v>
      </c>
      <c r="I1896" s="13">
        <v>0.7</v>
      </c>
      <c r="J1896" s="15" t="s">
        <v>8067</v>
      </c>
      <c r="K1896" s="46" t="s">
        <v>8066</v>
      </c>
      <c r="L1896" s="11" t="s">
        <v>36</v>
      </c>
      <c r="M1896" s="15" t="s">
        <v>3599</v>
      </c>
      <c r="N1896" s="17">
        <v>16500</v>
      </c>
      <c r="O1896" s="17"/>
      <c r="P1896" s="17"/>
      <c r="Q1896" s="48"/>
      <c r="R1896" s="11" t="s">
        <v>6849</v>
      </c>
      <c r="S1896" s="48"/>
      <c r="T1896" s="85" t="s">
        <v>8073</v>
      </c>
      <c r="U1896" s="88"/>
      <c r="V1896" s="32"/>
      <c r="W1896" s="25" t="s">
        <v>39</v>
      </c>
      <c r="X1896" s="11"/>
      <c r="Y1896" s="50" t="s">
        <v>13</v>
      </c>
      <c r="Z1896" s="50"/>
      <c r="AA1896" s="50"/>
      <c r="AB1896" s="50"/>
      <c r="AC1896" s="50"/>
      <c r="AD1896" s="50"/>
      <c r="AE1896" s="50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65"/>
      <c r="AP1896" s="69" t="s">
        <v>7919</v>
      </c>
      <c r="AQ1896" s="62" t="s">
        <v>8073</v>
      </c>
      <c r="AR1896" s="34"/>
    </row>
    <row r="1897" spans="1:44" customFormat="1">
      <c r="A1897" s="39">
        <v>45669</v>
      </c>
      <c r="B1897" s="11" t="s">
        <v>22</v>
      </c>
      <c r="C1897" s="16" t="s">
        <v>8108</v>
      </c>
      <c r="D1897" s="16" t="s">
        <v>8109</v>
      </c>
      <c r="E1897" s="38">
        <v>25875</v>
      </c>
      <c r="F1897" s="38"/>
      <c r="G1897" s="10" t="s">
        <v>4633</v>
      </c>
      <c r="H1897" s="12" t="s">
        <v>8110</v>
      </c>
      <c r="I1897" s="13">
        <v>2.2000000000000002</v>
      </c>
      <c r="J1897" s="15" t="s">
        <v>8111</v>
      </c>
      <c r="K1897" s="46" t="s">
        <v>8112</v>
      </c>
      <c r="L1897" s="11" t="s">
        <v>33</v>
      </c>
      <c r="M1897" s="15" t="s">
        <v>8113</v>
      </c>
      <c r="N1897" s="17">
        <v>3300</v>
      </c>
      <c r="O1897" s="17"/>
      <c r="P1897" s="17"/>
      <c r="Q1897" s="48" t="s">
        <v>8096</v>
      </c>
      <c r="R1897" s="11" t="s">
        <v>6943</v>
      </c>
      <c r="S1897" s="48" t="s">
        <v>8102</v>
      </c>
      <c r="T1897" s="85"/>
      <c r="U1897" s="88"/>
      <c r="V1897" s="32"/>
      <c r="W1897" s="25" t="s">
        <v>8113</v>
      </c>
      <c r="X1897" s="11"/>
      <c r="Y1897" s="50"/>
      <c r="Z1897" s="50"/>
      <c r="AA1897" s="50"/>
      <c r="AB1897" s="50"/>
      <c r="AC1897" s="50"/>
      <c r="AD1897" s="51"/>
      <c r="AE1897" s="51"/>
      <c r="AF1897" s="34" t="s">
        <v>8114</v>
      </c>
      <c r="AG1897" s="34" t="s">
        <v>8117</v>
      </c>
      <c r="AH1897" s="34"/>
      <c r="AI1897" s="34"/>
      <c r="AJ1897" s="34"/>
      <c r="AK1897" s="34"/>
      <c r="AL1897" s="34" t="s">
        <v>8130</v>
      </c>
      <c r="AM1897" s="34"/>
      <c r="AN1897" s="34"/>
      <c r="AO1897" s="65" t="s">
        <v>5804</v>
      </c>
      <c r="AP1897" s="69"/>
      <c r="AQ1897" s="62"/>
      <c r="AR1897" s="34"/>
    </row>
    <row r="1898" spans="1:44" customFormat="1">
      <c r="A1898" s="39">
        <v>45669</v>
      </c>
      <c r="B1898" s="11" t="s">
        <v>49</v>
      </c>
      <c r="C1898" s="16" t="s">
        <v>8091</v>
      </c>
      <c r="D1898" s="16" t="s">
        <v>8092</v>
      </c>
      <c r="E1898" s="38">
        <v>25393</v>
      </c>
      <c r="F1898" s="38" t="s">
        <v>1909</v>
      </c>
      <c r="G1898" s="10" t="s">
        <v>4870</v>
      </c>
      <c r="H1898" s="12" t="s">
        <v>8093</v>
      </c>
      <c r="I1898" s="13">
        <v>13</v>
      </c>
      <c r="J1898" s="15" t="s">
        <v>8094</v>
      </c>
      <c r="K1898" s="46" t="s">
        <v>8095</v>
      </c>
      <c r="L1898" s="11" t="s">
        <v>34</v>
      </c>
      <c r="M1898" s="15" t="s">
        <v>3599</v>
      </c>
      <c r="N1898" s="17">
        <v>22000</v>
      </c>
      <c r="O1898" s="17"/>
      <c r="P1898" s="17"/>
      <c r="Q1898" s="48" t="s">
        <v>8098</v>
      </c>
      <c r="R1898" s="11" t="s">
        <v>6848</v>
      </c>
      <c r="S1898" s="48" t="s">
        <v>8102</v>
      </c>
      <c r="T1898" s="85" t="s">
        <v>8073</v>
      </c>
      <c r="U1898" s="88"/>
      <c r="V1898" s="32"/>
      <c r="W1898" s="25" t="s">
        <v>6747</v>
      </c>
      <c r="X1898" s="11"/>
      <c r="Y1898" s="50" t="s">
        <v>13</v>
      </c>
      <c r="Z1898" s="50"/>
      <c r="AA1898" s="50"/>
      <c r="AB1898" s="50"/>
      <c r="AC1898" s="50"/>
      <c r="AD1898" s="51"/>
      <c r="AE1898" s="51"/>
      <c r="AF1898" s="34"/>
      <c r="AG1898" s="34"/>
      <c r="AH1898" s="34"/>
      <c r="AI1898" s="34"/>
      <c r="AJ1898" s="34"/>
      <c r="AK1898" s="34"/>
      <c r="AL1898" s="34"/>
      <c r="AM1898" s="34"/>
      <c r="AN1898" s="105"/>
      <c r="AO1898" s="64"/>
      <c r="AP1898" s="69"/>
      <c r="AQ1898" s="62"/>
      <c r="AR1898" s="34"/>
    </row>
    <row r="1899" spans="1:44" customFormat="1">
      <c r="A1899" s="39">
        <v>45651</v>
      </c>
      <c r="B1899" s="11" t="s">
        <v>22</v>
      </c>
      <c r="C1899" s="16" t="s">
        <v>8135</v>
      </c>
      <c r="D1899" s="16"/>
      <c r="E1899" s="38"/>
      <c r="F1899" s="38" t="s">
        <v>1910</v>
      </c>
      <c r="G1899" s="10"/>
      <c r="H1899" s="12"/>
      <c r="I1899" s="13"/>
      <c r="J1899" s="15"/>
      <c r="K1899" s="12"/>
      <c r="L1899" s="11" t="s">
        <v>37</v>
      </c>
      <c r="M1899" s="15"/>
      <c r="N1899" s="17">
        <v>3300</v>
      </c>
      <c r="O1899" s="12" t="s">
        <v>8161</v>
      </c>
      <c r="P1899" s="17"/>
      <c r="Q1899" s="48"/>
      <c r="R1899" s="11" t="s">
        <v>6847</v>
      </c>
      <c r="S1899" s="48"/>
      <c r="T1899" s="107" t="s">
        <v>8085</v>
      </c>
      <c r="U1899" s="88"/>
      <c r="V1899" s="32"/>
      <c r="W1899" s="11" t="s">
        <v>8162</v>
      </c>
      <c r="X1899" s="11" t="s">
        <v>8163</v>
      </c>
      <c r="Y1899" s="50"/>
      <c r="Z1899" s="50"/>
      <c r="AA1899" s="50"/>
      <c r="AB1899" s="50"/>
      <c r="AC1899" s="50"/>
      <c r="AD1899" s="51"/>
      <c r="AE1899" s="51"/>
      <c r="AF1899" s="34" t="s">
        <v>8164</v>
      </c>
      <c r="AG1899" s="34"/>
      <c r="AH1899" s="34"/>
      <c r="AI1899" s="34"/>
      <c r="AJ1899" s="34"/>
      <c r="AK1899" s="69"/>
      <c r="AL1899" s="34"/>
      <c r="AM1899" s="34"/>
      <c r="AN1899" s="34"/>
      <c r="AO1899" s="65"/>
      <c r="AP1899" s="69"/>
      <c r="AQ1899" s="62"/>
      <c r="AR1899" s="34"/>
    </row>
    <row r="1900" spans="1:44" customFormat="1">
      <c r="A1900" s="39">
        <v>45652</v>
      </c>
      <c r="B1900" s="11" t="s">
        <v>22</v>
      </c>
      <c r="C1900" s="16" t="s">
        <v>8136</v>
      </c>
      <c r="D1900" s="16" t="s">
        <v>8141</v>
      </c>
      <c r="E1900" s="38">
        <v>39648</v>
      </c>
      <c r="F1900" s="38"/>
      <c r="G1900" s="10" t="s">
        <v>8146</v>
      </c>
      <c r="H1900" s="22" t="s">
        <v>8147</v>
      </c>
      <c r="I1900" s="13">
        <v>12.6</v>
      </c>
      <c r="J1900" s="15" t="s">
        <v>8156</v>
      </c>
      <c r="K1900" s="46" t="s">
        <v>8154</v>
      </c>
      <c r="L1900" s="11" t="s">
        <v>38</v>
      </c>
      <c r="M1900" s="15" t="s">
        <v>3584</v>
      </c>
      <c r="N1900" s="17">
        <v>3300</v>
      </c>
      <c r="O1900" s="12"/>
      <c r="P1900" s="17"/>
      <c r="Q1900" s="48"/>
      <c r="R1900" s="11" t="s">
        <v>6848</v>
      </c>
      <c r="S1900" s="48"/>
      <c r="T1900" s="85"/>
      <c r="U1900" s="88"/>
      <c r="V1900" s="32"/>
      <c r="W1900" s="11" t="s">
        <v>3847</v>
      </c>
      <c r="X1900" s="11"/>
      <c r="Y1900" s="50"/>
      <c r="Z1900" s="50"/>
      <c r="AA1900" s="50"/>
      <c r="AB1900" s="50"/>
      <c r="AC1900" s="50"/>
      <c r="AD1900" s="51"/>
      <c r="AE1900" s="51"/>
      <c r="AF1900" s="34"/>
      <c r="AG1900" s="34"/>
      <c r="AH1900" s="34"/>
      <c r="AI1900" s="34"/>
      <c r="AJ1900" s="34"/>
      <c r="AK1900" s="69"/>
      <c r="AL1900" s="34"/>
      <c r="AM1900" s="34"/>
      <c r="AN1900" s="34"/>
      <c r="AO1900" s="65"/>
      <c r="AP1900" s="69"/>
      <c r="AQ1900" s="62"/>
      <c r="AR1900" s="34"/>
    </row>
    <row r="1901" spans="1:44" customFormat="1">
      <c r="A1901" s="39">
        <v>45654</v>
      </c>
      <c r="B1901" s="11" t="s">
        <v>49</v>
      </c>
      <c r="C1901" s="16" t="s">
        <v>8137</v>
      </c>
      <c r="D1901" s="16" t="s">
        <v>8142</v>
      </c>
      <c r="E1901" s="38">
        <v>25022</v>
      </c>
      <c r="F1901" s="38" t="s">
        <v>1909</v>
      </c>
      <c r="G1901" s="10" t="s">
        <v>8148</v>
      </c>
      <c r="H1901" s="12" t="s">
        <v>8149</v>
      </c>
      <c r="I1901" s="13">
        <v>87</v>
      </c>
      <c r="J1901" s="15" t="s">
        <v>8157</v>
      </c>
      <c r="K1901" s="12"/>
      <c r="L1901" s="11" t="s">
        <v>35</v>
      </c>
      <c r="M1901" s="15" t="s">
        <v>3599</v>
      </c>
      <c r="N1901" s="17">
        <v>16500</v>
      </c>
      <c r="O1901" s="12"/>
      <c r="P1901" s="17"/>
      <c r="Q1901" s="48"/>
      <c r="R1901" s="11" t="s">
        <v>6848</v>
      </c>
      <c r="S1901" s="48"/>
      <c r="T1901" s="85"/>
      <c r="U1901" s="88"/>
      <c r="V1901" s="32"/>
      <c r="W1901" s="11" t="s">
        <v>48</v>
      </c>
      <c r="X1901" s="11"/>
      <c r="Y1901" s="50" t="s">
        <v>13</v>
      </c>
      <c r="Z1901" s="50"/>
      <c r="AA1901" s="50"/>
      <c r="AB1901" s="50"/>
      <c r="AC1901" s="50"/>
      <c r="AD1901" s="51"/>
      <c r="AE1901" s="51"/>
      <c r="AF1901" s="34"/>
      <c r="AG1901" s="34"/>
      <c r="AH1901" s="34"/>
      <c r="AI1901" s="34"/>
      <c r="AJ1901" s="34"/>
      <c r="AK1901" s="69"/>
      <c r="AL1901" s="34"/>
      <c r="AM1901" s="34"/>
      <c r="AN1901" s="34"/>
      <c r="AO1901" s="65"/>
      <c r="AP1901" s="69"/>
      <c r="AQ1901" s="62"/>
      <c r="AR1901" s="34"/>
    </row>
    <row r="1902" spans="1:44" customFormat="1">
      <c r="A1902" s="39">
        <v>45661</v>
      </c>
      <c r="B1902" s="11" t="s">
        <v>22</v>
      </c>
      <c r="C1902" s="16" t="s">
        <v>8138</v>
      </c>
      <c r="D1902" s="16" t="s">
        <v>8143</v>
      </c>
      <c r="E1902" s="38">
        <v>19297</v>
      </c>
      <c r="F1902" s="38" t="s">
        <v>1909</v>
      </c>
      <c r="G1902" s="10" t="s">
        <v>1384</v>
      </c>
      <c r="H1902" s="22" t="s">
        <v>8150</v>
      </c>
      <c r="I1902" s="13">
        <v>6.4</v>
      </c>
      <c r="J1902" s="15" t="s">
        <v>8158</v>
      </c>
      <c r="K1902" s="46" t="s">
        <v>8155</v>
      </c>
      <c r="L1902" s="11" t="s">
        <v>39</v>
      </c>
      <c r="M1902" s="15" t="s">
        <v>3584</v>
      </c>
      <c r="N1902" s="17">
        <v>3300</v>
      </c>
      <c r="O1902" s="12" t="s">
        <v>8161</v>
      </c>
      <c r="P1902" s="17"/>
      <c r="Q1902" s="48"/>
      <c r="R1902" s="11" t="s">
        <v>6848</v>
      </c>
      <c r="S1902" s="48"/>
      <c r="T1902" s="85" t="s">
        <v>8167</v>
      </c>
      <c r="U1902" s="88"/>
      <c r="V1902" s="32"/>
      <c r="W1902" s="11" t="s">
        <v>8113</v>
      </c>
      <c r="X1902" s="11"/>
      <c r="Y1902" s="50"/>
      <c r="Z1902" s="50"/>
      <c r="AA1902" s="50"/>
      <c r="AB1902" s="50"/>
      <c r="AC1902" s="50"/>
      <c r="AD1902" s="51"/>
      <c r="AE1902" s="51"/>
      <c r="AF1902" s="34"/>
      <c r="AG1902" s="34"/>
      <c r="AH1902" s="34"/>
      <c r="AI1902" s="34"/>
      <c r="AJ1902" s="34"/>
      <c r="AK1902" s="69"/>
      <c r="AL1902" s="34"/>
      <c r="AM1902" s="34"/>
      <c r="AN1902" s="34"/>
      <c r="AO1902" s="65" t="s">
        <v>5822</v>
      </c>
      <c r="AP1902" s="69" t="s">
        <v>7919</v>
      </c>
      <c r="AQ1902" s="63"/>
      <c r="AR1902" s="34"/>
    </row>
    <row r="1903" spans="1:44" customFormat="1">
      <c r="A1903" s="39">
        <v>45661</v>
      </c>
      <c r="B1903" s="11" t="s">
        <v>22</v>
      </c>
      <c r="C1903" s="16" t="s">
        <v>7973</v>
      </c>
      <c r="D1903" s="16" t="s">
        <v>7974</v>
      </c>
      <c r="E1903" s="38">
        <v>22657</v>
      </c>
      <c r="F1903" s="38" t="s">
        <v>1909</v>
      </c>
      <c r="G1903" s="10" t="s">
        <v>207</v>
      </c>
      <c r="H1903" s="22" t="s">
        <v>8151</v>
      </c>
      <c r="I1903" s="13">
        <v>1.2</v>
      </c>
      <c r="J1903" s="15" t="s">
        <v>7977</v>
      </c>
      <c r="K1903" s="46" t="s">
        <v>7976</v>
      </c>
      <c r="L1903" s="11" t="s">
        <v>33</v>
      </c>
      <c r="M1903" s="15" t="s">
        <v>3584</v>
      </c>
      <c r="N1903" s="17">
        <v>3300</v>
      </c>
      <c r="O1903" s="12"/>
      <c r="P1903" s="17"/>
      <c r="Q1903" s="48"/>
      <c r="R1903" s="11" t="s">
        <v>6848</v>
      </c>
      <c r="S1903" s="48"/>
      <c r="T1903" s="85" t="s">
        <v>8167</v>
      </c>
      <c r="U1903" s="88"/>
      <c r="V1903" s="32"/>
      <c r="W1903" s="11" t="s">
        <v>48</v>
      </c>
      <c r="X1903" s="11"/>
      <c r="Y1903" s="50"/>
      <c r="Z1903" s="50"/>
      <c r="AA1903" s="50"/>
      <c r="AB1903" s="50"/>
      <c r="AC1903" s="50"/>
      <c r="AD1903" s="51"/>
      <c r="AE1903" s="51"/>
      <c r="AF1903" s="34"/>
      <c r="AG1903" s="34"/>
      <c r="AH1903" s="34"/>
      <c r="AI1903" s="34"/>
      <c r="AJ1903" s="34"/>
      <c r="AK1903" s="69"/>
      <c r="AL1903" s="34"/>
      <c r="AM1903" s="34"/>
      <c r="AN1903" s="34"/>
      <c r="AO1903" s="65" t="s">
        <v>5822</v>
      </c>
      <c r="AP1903" s="69" t="s">
        <v>7919</v>
      </c>
      <c r="AQ1903" s="62"/>
      <c r="AR1903" s="34"/>
    </row>
    <row r="1904" spans="1:44" customFormat="1">
      <c r="A1904" s="39">
        <v>45668</v>
      </c>
      <c r="B1904" s="11" t="s">
        <v>22</v>
      </c>
      <c r="C1904" s="16" t="s">
        <v>8139</v>
      </c>
      <c r="D1904" s="16" t="s">
        <v>8144</v>
      </c>
      <c r="E1904" s="38">
        <v>29333</v>
      </c>
      <c r="F1904" s="38" t="s">
        <v>1909</v>
      </c>
      <c r="G1904" s="10" t="s">
        <v>617</v>
      </c>
      <c r="H1904" s="22" t="s">
        <v>8152</v>
      </c>
      <c r="I1904" s="13">
        <v>4.5</v>
      </c>
      <c r="J1904" s="15" t="s">
        <v>8159</v>
      </c>
      <c r="K1904" s="12"/>
      <c r="L1904" s="11" t="s">
        <v>33</v>
      </c>
      <c r="M1904" s="15" t="s">
        <v>3599</v>
      </c>
      <c r="N1904" s="17">
        <v>3300</v>
      </c>
      <c r="O1904" s="12" t="s">
        <v>8161</v>
      </c>
      <c r="P1904" s="17"/>
      <c r="Q1904" s="48"/>
      <c r="R1904" s="11" t="s">
        <v>6847</v>
      </c>
      <c r="S1904" s="48"/>
      <c r="T1904" s="85" t="s">
        <v>8167</v>
      </c>
      <c r="U1904" s="88"/>
      <c r="V1904" s="32"/>
      <c r="W1904" s="11" t="s">
        <v>3847</v>
      </c>
      <c r="X1904" s="11"/>
      <c r="Y1904" s="50"/>
      <c r="Z1904" s="50"/>
      <c r="AA1904" s="50"/>
      <c r="AB1904" s="50"/>
      <c r="AC1904" s="50"/>
      <c r="AD1904" s="51"/>
      <c r="AE1904" s="51"/>
      <c r="AF1904" s="34"/>
      <c r="AG1904" s="34"/>
      <c r="AH1904" s="34"/>
      <c r="AI1904" s="34"/>
      <c r="AJ1904" s="34"/>
      <c r="AK1904" s="69"/>
      <c r="AL1904" s="34"/>
      <c r="AM1904" s="34"/>
      <c r="AN1904" s="34"/>
      <c r="AO1904" s="65" t="s">
        <v>5822</v>
      </c>
      <c r="AP1904" s="69"/>
      <c r="AQ1904" s="62"/>
      <c r="AR1904" s="34"/>
    </row>
    <row r="1905" spans="1:44" customFormat="1">
      <c r="A1905" s="39">
        <v>45668</v>
      </c>
      <c r="B1905" s="11" t="s">
        <v>22</v>
      </c>
      <c r="C1905" s="16" t="s">
        <v>8140</v>
      </c>
      <c r="D1905" s="16" t="s">
        <v>8145</v>
      </c>
      <c r="E1905" s="38">
        <v>31429</v>
      </c>
      <c r="F1905" s="38" t="s">
        <v>1910</v>
      </c>
      <c r="G1905" s="10" t="s">
        <v>78</v>
      </c>
      <c r="H1905" s="22" t="s">
        <v>8153</v>
      </c>
      <c r="I1905" s="13">
        <v>1.3</v>
      </c>
      <c r="J1905" s="15" t="s">
        <v>8160</v>
      </c>
      <c r="K1905" s="12"/>
      <c r="L1905" s="11" t="s">
        <v>39</v>
      </c>
      <c r="M1905" s="15" t="s">
        <v>3599</v>
      </c>
      <c r="N1905" s="17">
        <v>3300</v>
      </c>
      <c r="O1905" s="12"/>
      <c r="P1905" s="17"/>
      <c r="Q1905" s="48"/>
      <c r="R1905" s="11" t="s">
        <v>6847</v>
      </c>
      <c r="S1905" s="48"/>
      <c r="T1905" s="85"/>
      <c r="U1905" s="88"/>
      <c r="V1905" s="32" t="s">
        <v>8221</v>
      </c>
      <c r="W1905" s="11" t="s">
        <v>8113</v>
      </c>
      <c r="X1905" s="11"/>
      <c r="Y1905" s="50"/>
      <c r="Z1905" s="50"/>
      <c r="AA1905" s="50"/>
      <c r="AB1905" s="50"/>
      <c r="AC1905" s="50"/>
      <c r="AD1905" s="51"/>
      <c r="AE1905" s="51"/>
      <c r="AF1905" s="34"/>
      <c r="AG1905" s="34"/>
      <c r="AH1905" s="34"/>
      <c r="AI1905" s="34"/>
      <c r="AJ1905" s="34"/>
      <c r="AK1905" s="69" t="s">
        <v>8166</v>
      </c>
      <c r="AL1905" s="34"/>
      <c r="AM1905" s="34"/>
      <c r="AN1905" s="34"/>
      <c r="AO1905" s="65" t="s">
        <v>5822</v>
      </c>
      <c r="AP1905" s="69"/>
      <c r="AQ1905" s="62"/>
      <c r="AR1905" s="34"/>
    </row>
    <row r="1906" spans="1:44" customFormat="1">
      <c r="A1906" s="39">
        <v>45670</v>
      </c>
      <c r="B1906" s="11" t="s">
        <v>22</v>
      </c>
      <c r="C1906" s="16" t="s">
        <v>8168</v>
      </c>
      <c r="D1906" s="16" t="s">
        <v>8169</v>
      </c>
      <c r="E1906" s="38">
        <v>29647</v>
      </c>
      <c r="F1906" s="38" t="s">
        <v>1909</v>
      </c>
      <c r="G1906" s="10" t="s">
        <v>207</v>
      </c>
      <c r="H1906" s="12" t="s">
        <v>8170</v>
      </c>
      <c r="I1906" s="13">
        <v>1.2</v>
      </c>
      <c r="J1906" s="15" t="s">
        <v>8171</v>
      </c>
      <c r="K1906" s="46" t="s">
        <v>8172</v>
      </c>
      <c r="L1906" s="11" t="s">
        <v>36</v>
      </c>
      <c r="M1906" s="15" t="s">
        <v>3599</v>
      </c>
      <c r="N1906" s="17">
        <v>3300</v>
      </c>
      <c r="O1906" s="17"/>
      <c r="P1906" s="17"/>
      <c r="Q1906" s="48" t="s">
        <v>8097</v>
      </c>
      <c r="R1906" s="11" t="s">
        <v>6848</v>
      </c>
      <c r="S1906" s="48" t="s">
        <v>8102</v>
      </c>
      <c r="T1906" s="85"/>
      <c r="U1906" s="88"/>
      <c r="V1906" s="108"/>
      <c r="W1906" s="25" t="s">
        <v>48</v>
      </c>
      <c r="X1906" s="11"/>
      <c r="Y1906" s="50"/>
      <c r="Z1906" s="50"/>
      <c r="AA1906" s="50"/>
      <c r="AB1906" s="50"/>
      <c r="AC1906" s="50"/>
      <c r="AD1906" s="50"/>
      <c r="AE1906" s="50"/>
      <c r="AF1906" s="34" t="s">
        <v>8114</v>
      </c>
      <c r="AG1906" s="34"/>
      <c r="AH1906" s="34"/>
      <c r="AI1906" s="34"/>
      <c r="AJ1906" s="34"/>
      <c r="AK1906" s="69"/>
      <c r="AL1906" s="34" t="s">
        <v>8130</v>
      </c>
      <c r="AM1906" s="34" t="s">
        <v>8173</v>
      </c>
      <c r="AN1906" s="34" t="s">
        <v>8175</v>
      </c>
      <c r="AO1906" s="65" t="s">
        <v>5822</v>
      </c>
      <c r="AP1906" s="69" t="s">
        <v>8176</v>
      </c>
      <c r="AQ1906" s="62"/>
      <c r="AR1906" s="34"/>
    </row>
    <row r="1907" spans="1:44" customFormat="1">
      <c r="A1907" s="39">
        <v>45672</v>
      </c>
      <c r="B1907" s="11" t="s">
        <v>49</v>
      </c>
      <c r="C1907" s="16" t="s">
        <v>8177</v>
      </c>
      <c r="D1907" s="16" t="s">
        <v>8178</v>
      </c>
      <c r="E1907" s="38">
        <v>26170</v>
      </c>
      <c r="F1907" s="38" t="s">
        <v>1909</v>
      </c>
      <c r="G1907" s="10" t="s">
        <v>8179</v>
      </c>
      <c r="H1907" s="12" t="s">
        <v>8180</v>
      </c>
      <c r="I1907" s="13">
        <v>32.299999999999997</v>
      </c>
      <c r="J1907" s="15" t="s">
        <v>8181</v>
      </c>
      <c r="K1907" s="12"/>
      <c r="L1907" s="11" t="s">
        <v>34</v>
      </c>
      <c r="M1907" s="15" t="s">
        <v>3629</v>
      </c>
      <c r="N1907" s="17">
        <v>22000</v>
      </c>
      <c r="O1907" s="49" t="s">
        <v>8161</v>
      </c>
      <c r="P1907" s="17"/>
      <c r="Q1907" s="48" t="s">
        <v>8098</v>
      </c>
      <c r="R1907" s="11" t="s">
        <v>6847</v>
      </c>
      <c r="S1907" s="48" t="s">
        <v>8099</v>
      </c>
      <c r="T1907" s="85"/>
      <c r="U1907" s="88"/>
      <c r="V1907" s="32"/>
      <c r="W1907" s="25" t="s">
        <v>48</v>
      </c>
      <c r="X1907" s="11"/>
      <c r="Y1907" s="50" t="s">
        <v>13</v>
      </c>
      <c r="Z1907" s="50"/>
      <c r="AA1907" s="50"/>
      <c r="AB1907" s="50"/>
      <c r="AC1907" s="50"/>
      <c r="AD1907" s="50"/>
      <c r="AE1907" s="50"/>
      <c r="AF1907" s="34" t="s">
        <v>8187</v>
      </c>
      <c r="AG1907" s="34" t="s">
        <v>8164</v>
      </c>
      <c r="AH1907" s="34"/>
      <c r="AI1907" s="34"/>
      <c r="AJ1907" s="34"/>
      <c r="AK1907" s="34"/>
      <c r="AL1907" s="34" t="s">
        <v>8173</v>
      </c>
      <c r="AM1907" s="34" t="s">
        <v>8130</v>
      </c>
      <c r="AN1907" s="34" t="s">
        <v>8188</v>
      </c>
      <c r="AO1907" s="65" t="s">
        <v>5822</v>
      </c>
      <c r="AP1907" s="69"/>
      <c r="AQ1907" s="62"/>
      <c r="AR1907" s="34"/>
    </row>
    <row r="1908" spans="1:44" customFormat="1">
      <c r="A1908" s="39">
        <v>45675</v>
      </c>
      <c r="B1908" s="11" t="s">
        <v>22</v>
      </c>
      <c r="C1908" s="16" t="s">
        <v>8182</v>
      </c>
      <c r="D1908" s="16" t="s">
        <v>8183</v>
      </c>
      <c r="E1908" s="38">
        <v>27184</v>
      </c>
      <c r="F1908" s="38" t="s">
        <v>1909</v>
      </c>
      <c r="G1908" s="10" t="s">
        <v>1269</v>
      </c>
      <c r="H1908" s="22" t="s">
        <v>8184</v>
      </c>
      <c r="I1908" s="13">
        <v>27.2</v>
      </c>
      <c r="J1908" s="15" t="s">
        <v>8185</v>
      </c>
      <c r="K1908" s="12"/>
      <c r="L1908" s="11" t="s">
        <v>36</v>
      </c>
      <c r="M1908" s="15" t="s">
        <v>3629</v>
      </c>
      <c r="N1908" s="17">
        <v>3300</v>
      </c>
      <c r="O1908" s="49" t="s">
        <v>8186</v>
      </c>
      <c r="P1908" s="17"/>
      <c r="Q1908" s="48" t="s">
        <v>8098</v>
      </c>
      <c r="R1908" s="11" t="s">
        <v>6848</v>
      </c>
      <c r="S1908" s="48" t="s">
        <v>8099</v>
      </c>
      <c r="T1908" s="85"/>
      <c r="U1908" s="88"/>
      <c r="V1908" s="32"/>
      <c r="W1908" s="25" t="s">
        <v>3847</v>
      </c>
      <c r="X1908" s="11"/>
      <c r="Y1908" s="50"/>
      <c r="Z1908" s="50"/>
      <c r="AA1908" s="50"/>
      <c r="AB1908" s="50"/>
      <c r="AC1908" s="50"/>
      <c r="AD1908" s="50"/>
      <c r="AE1908" s="50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65"/>
      <c r="AP1908" s="69"/>
      <c r="AQ1908" s="62"/>
      <c r="AR1908" s="34"/>
    </row>
    <row r="1909" spans="1:44" customFormat="1">
      <c r="A1909" s="39">
        <v>45676</v>
      </c>
      <c r="B1909" s="11" t="s">
        <v>49</v>
      </c>
      <c r="C1909" s="16" t="s">
        <v>8189</v>
      </c>
      <c r="D1909" s="16" t="s">
        <v>8190</v>
      </c>
      <c r="E1909" s="38">
        <v>34435</v>
      </c>
      <c r="F1909" s="38" t="s">
        <v>1909</v>
      </c>
      <c r="G1909" s="10" t="s">
        <v>8191</v>
      </c>
      <c r="H1909" s="22" t="s">
        <v>8192</v>
      </c>
      <c r="I1909" s="13">
        <v>69.2</v>
      </c>
      <c r="J1909" s="15" t="s">
        <v>8193</v>
      </c>
      <c r="K1909" s="12"/>
      <c r="L1909" s="11" t="s">
        <v>36</v>
      </c>
      <c r="M1909" s="15" t="s">
        <v>3599</v>
      </c>
      <c r="N1909" s="17">
        <v>16500</v>
      </c>
      <c r="O1909" s="49" t="s">
        <v>8186</v>
      </c>
      <c r="P1909" s="17"/>
      <c r="Q1909" s="48" t="s">
        <v>8098</v>
      </c>
      <c r="R1909" s="11" t="s">
        <v>6849</v>
      </c>
      <c r="S1909" s="48" t="s">
        <v>8099</v>
      </c>
      <c r="T1909" s="85"/>
      <c r="U1909" s="88"/>
      <c r="V1909" s="32"/>
      <c r="W1909" s="25" t="s">
        <v>48</v>
      </c>
      <c r="X1909" s="11"/>
      <c r="Y1909" s="50" t="s">
        <v>14</v>
      </c>
      <c r="Z1909" s="50"/>
      <c r="AA1909" s="50"/>
      <c r="AB1909" s="50"/>
      <c r="AC1909" s="50"/>
      <c r="AD1909" s="50"/>
      <c r="AE1909" s="50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65"/>
      <c r="AP1909" s="69"/>
      <c r="AQ1909" s="62"/>
      <c r="AR1909" s="34"/>
    </row>
    <row r="1910" spans="1:44" customFormat="1">
      <c r="A1910" s="39">
        <v>45676</v>
      </c>
      <c r="B1910" s="11" t="s">
        <v>22</v>
      </c>
      <c r="C1910" s="16" t="s">
        <v>8195</v>
      </c>
      <c r="D1910" s="16" t="s">
        <v>8194</v>
      </c>
      <c r="E1910" s="38">
        <v>36494</v>
      </c>
      <c r="F1910" s="38" t="s">
        <v>1909</v>
      </c>
      <c r="G1910" s="10" t="s">
        <v>6501</v>
      </c>
      <c r="H1910" s="12" t="s">
        <v>8196</v>
      </c>
      <c r="I1910" s="13">
        <v>3.3</v>
      </c>
      <c r="J1910" s="15" t="s">
        <v>8197</v>
      </c>
      <c r="K1910" s="46" t="s">
        <v>8198</v>
      </c>
      <c r="L1910" s="11" t="s">
        <v>36</v>
      </c>
      <c r="M1910" s="15" t="s">
        <v>3584</v>
      </c>
      <c r="N1910" s="17">
        <v>3300</v>
      </c>
      <c r="O1910" s="17"/>
      <c r="P1910" s="17"/>
      <c r="Q1910" s="48" t="s">
        <v>8097</v>
      </c>
      <c r="R1910" s="11" t="s">
        <v>6847</v>
      </c>
      <c r="S1910" s="48" t="s">
        <v>8102</v>
      </c>
      <c r="T1910" s="85" t="s">
        <v>8167</v>
      </c>
      <c r="U1910" s="88"/>
      <c r="V1910" s="32" t="s">
        <v>8220</v>
      </c>
      <c r="W1910" s="25" t="s">
        <v>48</v>
      </c>
      <c r="X1910" s="11"/>
      <c r="Y1910" s="50"/>
      <c r="Z1910" s="50"/>
      <c r="AA1910" s="50"/>
      <c r="AB1910" s="50"/>
      <c r="AC1910" s="50"/>
      <c r="AD1910" s="50"/>
      <c r="AE1910" s="50"/>
      <c r="AF1910" s="34" t="s">
        <v>8164</v>
      </c>
      <c r="AG1910" s="34"/>
      <c r="AH1910" s="34"/>
      <c r="AI1910" s="34"/>
      <c r="AJ1910" s="34"/>
      <c r="AK1910" s="34"/>
      <c r="AL1910" s="34" t="s">
        <v>8173</v>
      </c>
      <c r="AM1910" s="34"/>
      <c r="AN1910" s="34"/>
      <c r="AO1910" s="65" t="s">
        <v>6585</v>
      </c>
      <c r="AP1910" s="69"/>
      <c r="AQ1910" s="62"/>
      <c r="AR1910" s="34"/>
    </row>
    <row r="1911" spans="1:44" customFormat="1">
      <c r="A1911" s="39">
        <v>45679</v>
      </c>
      <c r="B1911" s="11" t="s">
        <v>49</v>
      </c>
      <c r="C1911" s="16" t="s">
        <v>8199</v>
      </c>
      <c r="D1911" s="16" t="s">
        <v>8200</v>
      </c>
      <c r="E1911" s="38">
        <v>25074</v>
      </c>
      <c r="F1911" s="38" t="s">
        <v>1909</v>
      </c>
      <c r="G1911" s="10" t="s">
        <v>5568</v>
      </c>
      <c r="H1911" s="22" t="s">
        <v>8201</v>
      </c>
      <c r="I1911" s="13">
        <v>7.7</v>
      </c>
      <c r="J1911" s="15" t="s">
        <v>8202</v>
      </c>
      <c r="K1911" s="12"/>
      <c r="L1911" s="11" t="s">
        <v>36</v>
      </c>
      <c r="M1911" s="15" t="s">
        <v>3599</v>
      </c>
      <c r="N1911" s="17">
        <v>16500</v>
      </c>
      <c r="O1911" s="17" t="s">
        <v>8203</v>
      </c>
      <c r="P1911" s="17"/>
      <c r="Q1911" s="48" t="s">
        <v>8098</v>
      </c>
      <c r="R1911" s="11" t="s">
        <v>6847</v>
      </c>
      <c r="S1911" s="48" t="s">
        <v>8099</v>
      </c>
      <c r="T1911" s="85" t="s">
        <v>8073</v>
      </c>
      <c r="U1911" s="88"/>
      <c r="V1911" s="32"/>
      <c r="W1911" s="25"/>
      <c r="X1911" s="11"/>
      <c r="Y1911" s="50"/>
      <c r="Z1911" s="50"/>
      <c r="AA1911" s="50"/>
      <c r="AB1911" s="50"/>
      <c r="AC1911" s="50"/>
      <c r="AD1911" s="50"/>
      <c r="AE1911" s="50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65"/>
      <c r="AP1911" s="69"/>
      <c r="AQ1911" s="62"/>
      <c r="AR1911" s="34"/>
    </row>
    <row r="1912" spans="1:44" customFormat="1">
      <c r="A1912" s="39">
        <v>45680</v>
      </c>
      <c r="B1912" s="11" t="s">
        <v>49</v>
      </c>
      <c r="C1912" s="16" t="s">
        <v>778</v>
      </c>
      <c r="D1912" s="16" t="s">
        <v>8204</v>
      </c>
      <c r="E1912" s="38">
        <v>29594</v>
      </c>
      <c r="F1912" s="38" t="s">
        <v>1909</v>
      </c>
      <c r="G1912" s="10" t="s">
        <v>8205</v>
      </c>
      <c r="H1912" s="12" t="s">
        <v>8206</v>
      </c>
      <c r="I1912" s="13" t="s">
        <v>8208</v>
      </c>
      <c r="J1912" s="15" t="s">
        <v>781</v>
      </c>
      <c r="K1912" s="46" t="s">
        <v>8207</v>
      </c>
      <c r="L1912" s="11" t="s">
        <v>34</v>
      </c>
      <c r="M1912" s="15" t="s">
        <v>3584</v>
      </c>
      <c r="N1912" s="17">
        <v>0</v>
      </c>
      <c r="O1912" s="17"/>
      <c r="P1912" s="17"/>
      <c r="Q1912" s="48"/>
      <c r="R1912" s="11" t="s">
        <v>6847</v>
      </c>
      <c r="S1912" s="48" t="s">
        <v>8101</v>
      </c>
      <c r="T1912" s="85" t="s">
        <v>8073</v>
      </c>
      <c r="U1912" s="88"/>
      <c r="V1912" s="32"/>
      <c r="W1912" s="25"/>
      <c r="X1912" s="11" t="s">
        <v>7250</v>
      </c>
      <c r="Y1912" s="50" t="s">
        <v>13</v>
      </c>
      <c r="Z1912" s="50"/>
      <c r="AA1912" s="50"/>
      <c r="AB1912" s="50"/>
      <c r="AC1912" s="50"/>
      <c r="AD1912" s="50"/>
      <c r="AE1912" s="50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65"/>
      <c r="AP1912" s="69"/>
      <c r="AQ1912" s="62"/>
      <c r="AR1912" s="34"/>
    </row>
    <row r="1913" spans="1:44" customFormat="1">
      <c r="A1913" s="39">
        <v>45682</v>
      </c>
      <c r="B1913" s="11" t="s">
        <v>49</v>
      </c>
      <c r="C1913" s="16" t="s">
        <v>8209</v>
      </c>
      <c r="D1913" s="16" t="s">
        <v>8210</v>
      </c>
      <c r="E1913" s="38">
        <v>25004</v>
      </c>
      <c r="F1913" s="38" t="s">
        <v>1909</v>
      </c>
      <c r="G1913" s="10" t="s">
        <v>8211</v>
      </c>
      <c r="H1913" s="22" t="s">
        <v>8212</v>
      </c>
      <c r="I1913" s="13">
        <v>17.3</v>
      </c>
      <c r="J1913" s="15" t="s">
        <v>8213</v>
      </c>
      <c r="K1913" s="12"/>
      <c r="L1913" s="11" t="s">
        <v>33</v>
      </c>
      <c r="M1913" s="15" t="s">
        <v>3599</v>
      </c>
      <c r="N1913" s="17">
        <v>0</v>
      </c>
      <c r="O1913" s="17"/>
      <c r="P1913" s="17"/>
      <c r="Q1913" s="48" t="s">
        <v>8098</v>
      </c>
      <c r="R1913" s="11" t="s">
        <v>6849</v>
      </c>
      <c r="S1913" s="48" t="s">
        <v>8099</v>
      </c>
      <c r="T1913" s="85" t="s">
        <v>8073</v>
      </c>
      <c r="U1913" s="88"/>
      <c r="V1913" s="32"/>
      <c r="W1913" s="25"/>
      <c r="X1913" s="11" t="s">
        <v>7250</v>
      </c>
      <c r="Y1913" s="50" t="s">
        <v>13</v>
      </c>
      <c r="Z1913" s="50"/>
      <c r="AA1913" s="50"/>
      <c r="AB1913" s="50"/>
      <c r="AC1913" s="50"/>
      <c r="AD1913" s="50"/>
      <c r="AE1913" s="50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65"/>
      <c r="AP1913" s="69"/>
      <c r="AQ1913" s="62"/>
      <c r="AR1913" s="34"/>
    </row>
    <row r="1914" spans="1:44" customFormat="1">
      <c r="A1914" s="39">
        <v>45686</v>
      </c>
      <c r="B1914" s="11" t="s">
        <v>22</v>
      </c>
      <c r="C1914" s="16" t="s">
        <v>8214</v>
      </c>
      <c r="D1914" s="16" t="s">
        <v>8215</v>
      </c>
      <c r="E1914" s="38">
        <v>34056</v>
      </c>
      <c r="F1914" s="38" t="s">
        <v>1909</v>
      </c>
      <c r="G1914" s="10" t="s">
        <v>8216</v>
      </c>
      <c r="H1914" s="12" t="s">
        <v>8217</v>
      </c>
      <c r="I1914" s="13">
        <v>7.2</v>
      </c>
      <c r="J1914" s="15" t="s">
        <v>8218</v>
      </c>
      <c r="K1914" s="46" t="s">
        <v>8219</v>
      </c>
      <c r="L1914" s="11" t="s">
        <v>33</v>
      </c>
      <c r="M1914" s="15" t="s">
        <v>3584</v>
      </c>
      <c r="N1914" s="17">
        <v>3300</v>
      </c>
      <c r="O1914" s="17"/>
      <c r="P1914" s="17"/>
      <c r="Q1914" s="48" t="s">
        <v>8097</v>
      </c>
      <c r="R1914" s="11" t="s">
        <v>6849</v>
      </c>
      <c r="S1914" s="48" t="s">
        <v>8100</v>
      </c>
      <c r="T1914" s="85" t="s">
        <v>8085</v>
      </c>
      <c r="U1914" s="88"/>
      <c r="V1914" s="32"/>
      <c r="W1914" s="25"/>
      <c r="X1914" s="11"/>
      <c r="Y1914" s="50"/>
      <c r="Z1914" s="50"/>
      <c r="AA1914" s="50"/>
      <c r="AB1914" s="50"/>
      <c r="AC1914" s="50"/>
      <c r="AD1914" s="50"/>
      <c r="AE1914" s="50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65"/>
      <c r="AP1914" s="69"/>
      <c r="AQ1914" s="62"/>
      <c r="AR1914" s="34"/>
    </row>
    <row r="1915" spans="1:44" customFormat="1">
      <c r="A1915" s="39">
        <v>45690</v>
      </c>
      <c r="B1915" s="11" t="s">
        <v>49</v>
      </c>
      <c r="C1915" s="16" t="s">
        <v>8222</v>
      </c>
      <c r="D1915" s="16" t="s">
        <v>8223</v>
      </c>
      <c r="E1915" s="38">
        <v>28600</v>
      </c>
      <c r="F1915" s="38" t="s">
        <v>1909</v>
      </c>
      <c r="G1915" s="10" t="s">
        <v>8224</v>
      </c>
      <c r="H1915" s="22" t="s">
        <v>8225</v>
      </c>
      <c r="I1915" s="13">
        <v>14.1</v>
      </c>
      <c r="J1915" s="15" t="s">
        <v>8226</v>
      </c>
      <c r="K1915" s="46" t="s">
        <v>8227</v>
      </c>
      <c r="L1915" s="11" t="s">
        <v>36</v>
      </c>
      <c r="M1915" s="15" t="s">
        <v>3584</v>
      </c>
      <c r="N1915" s="17">
        <v>16500</v>
      </c>
      <c r="O1915" s="49" t="s">
        <v>8186</v>
      </c>
      <c r="P1915" s="17"/>
      <c r="Q1915" s="48" t="s">
        <v>8098</v>
      </c>
      <c r="R1915" s="11" t="s">
        <v>6849</v>
      </c>
      <c r="S1915" s="48" t="s">
        <v>8099</v>
      </c>
      <c r="T1915" s="85" t="s">
        <v>8073</v>
      </c>
      <c r="U1915" s="88"/>
      <c r="V1915" s="32"/>
      <c r="W1915" s="25" t="s">
        <v>48</v>
      </c>
      <c r="X1915" s="11"/>
      <c r="Y1915" s="50" t="s">
        <v>13</v>
      </c>
      <c r="Z1915" s="50"/>
      <c r="AA1915" s="50"/>
      <c r="AB1915" s="50"/>
      <c r="AC1915" s="50"/>
      <c r="AD1915" s="50"/>
      <c r="AE1915" s="50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65"/>
      <c r="AP1915" s="69"/>
      <c r="AQ1915" s="62"/>
      <c r="AR1915" s="34"/>
    </row>
    <row r="1916" spans="1:44" customFormat="1">
      <c r="A1916" s="39">
        <v>45695</v>
      </c>
      <c r="B1916" s="11" t="s">
        <v>49</v>
      </c>
      <c r="C1916" s="16" t="s">
        <v>7561</v>
      </c>
      <c r="D1916" s="16" t="s">
        <v>7562</v>
      </c>
      <c r="E1916" s="38" t="s">
        <v>7040</v>
      </c>
      <c r="F1916" s="38"/>
      <c r="G1916" s="10"/>
      <c r="H1916" s="12"/>
      <c r="I1916" s="13"/>
      <c r="J1916" s="15"/>
      <c r="K1916" s="12"/>
      <c r="L1916" s="11"/>
      <c r="M1916" s="15"/>
      <c r="N1916" s="17"/>
      <c r="O1916" s="17"/>
      <c r="P1916" s="17"/>
      <c r="Q1916" s="48"/>
      <c r="R1916" s="11" t="s">
        <v>6848</v>
      </c>
      <c r="S1916" s="48" t="s">
        <v>8099</v>
      </c>
      <c r="T1916" s="85" t="s">
        <v>8073</v>
      </c>
      <c r="U1916" s="88"/>
      <c r="V1916" s="32"/>
      <c r="W1916" s="25"/>
      <c r="X1916" s="11"/>
      <c r="Y1916" s="50"/>
      <c r="Z1916" s="50"/>
      <c r="AA1916" s="50"/>
      <c r="AB1916" s="50"/>
      <c r="AC1916" s="50"/>
      <c r="AD1916" s="50"/>
      <c r="AE1916" s="50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65"/>
      <c r="AP1916" s="69"/>
      <c r="AQ1916" s="62"/>
      <c r="AR1916" s="34"/>
    </row>
    <row r="1917" spans="1:44" customFormat="1">
      <c r="A1917" s="39">
        <v>45697</v>
      </c>
      <c r="B1917" s="11" t="s">
        <v>49</v>
      </c>
      <c r="C1917" s="16" t="s">
        <v>8228</v>
      </c>
      <c r="D1917" s="16" t="s">
        <v>8229</v>
      </c>
      <c r="E1917" s="38">
        <v>27340</v>
      </c>
      <c r="F1917" s="38" t="s">
        <v>1909</v>
      </c>
      <c r="G1917" s="10" t="s">
        <v>8230</v>
      </c>
      <c r="H1917" s="22" t="s">
        <v>8231</v>
      </c>
      <c r="I1917" s="13">
        <v>19.2</v>
      </c>
      <c r="J1917" s="15" t="s">
        <v>8232</v>
      </c>
      <c r="K1917" s="46" t="s">
        <v>8233</v>
      </c>
      <c r="L1917" s="11" t="s">
        <v>33</v>
      </c>
      <c r="M1917" s="15" t="s">
        <v>3599</v>
      </c>
      <c r="N1917" s="17">
        <v>16500</v>
      </c>
      <c r="O1917" s="17" t="s">
        <v>8234</v>
      </c>
      <c r="P1917" s="17"/>
      <c r="Q1917" s="48" t="s">
        <v>8098</v>
      </c>
      <c r="R1917" s="11" t="s">
        <v>6847</v>
      </c>
      <c r="S1917" s="48" t="s">
        <v>8099</v>
      </c>
      <c r="T1917" s="85" t="s">
        <v>8073</v>
      </c>
      <c r="U1917" s="88"/>
      <c r="V1917" s="32"/>
      <c r="W1917" s="25" t="s">
        <v>8162</v>
      </c>
      <c r="X1917" s="11" t="s">
        <v>7250</v>
      </c>
      <c r="Y1917" s="50" t="s">
        <v>12</v>
      </c>
      <c r="Z1917" s="50" t="s">
        <v>13</v>
      </c>
      <c r="AA1917" s="50" t="s">
        <v>15</v>
      </c>
      <c r="AB1917" s="50"/>
      <c r="AC1917" s="50"/>
      <c r="AD1917" s="50"/>
      <c r="AE1917" s="50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65"/>
      <c r="AP1917" s="69"/>
      <c r="AQ1917" s="62"/>
      <c r="AR1917" s="34"/>
    </row>
    <row r="1918" spans="1:44" customFormat="1">
      <c r="A1918" s="39">
        <v>45697</v>
      </c>
      <c r="B1918" s="11" t="s">
        <v>49</v>
      </c>
      <c r="C1918" s="16" t="s">
        <v>8235</v>
      </c>
      <c r="D1918" s="16" t="s">
        <v>8236</v>
      </c>
      <c r="E1918" s="38">
        <v>31232</v>
      </c>
      <c r="F1918" s="38" t="s">
        <v>1909</v>
      </c>
      <c r="G1918" s="10" t="s">
        <v>8230</v>
      </c>
      <c r="H1918" s="22" t="s">
        <v>8237</v>
      </c>
      <c r="I1918" s="13">
        <v>19.399999999999999</v>
      </c>
      <c r="J1918" s="15" t="s">
        <v>8238</v>
      </c>
      <c r="K1918" s="12"/>
      <c r="L1918" s="11" t="s">
        <v>36</v>
      </c>
      <c r="M1918" s="15" t="s">
        <v>3629</v>
      </c>
      <c r="N1918" s="17">
        <v>16500</v>
      </c>
      <c r="O1918" s="17" t="s">
        <v>8234</v>
      </c>
      <c r="P1918" s="17"/>
      <c r="Q1918" s="48" t="s">
        <v>8098</v>
      </c>
      <c r="R1918" s="11" t="s">
        <v>6848</v>
      </c>
      <c r="S1918" s="48" t="s">
        <v>8099</v>
      </c>
      <c r="T1918" s="85" t="s">
        <v>8073</v>
      </c>
      <c r="U1918" s="88"/>
      <c r="V1918" s="32"/>
      <c r="W1918" s="25" t="s">
        <v>8162</v>
      </c>
      <c r="X1918" s="11" t="s">
        <v>7250</v>
      </c>
      <c r="Y1918" s="50" t="s">
        <v>13</v>
      </c>
      <c r="Z1918" s="50"/>
      <c r="AA1918" s="50"/>
      <c r="AB1918" s="50"/>
      <c r="AC1918" s="50"/>
      <c r="AD1918" s="50"/>
      <c r="AE1918" s="50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65"/>
      <c r="AP1918" s="69"/>
      <c r="AQ1918" s="62"/>
      <c r="AR1918" s="34"/>
    </row>
    <row r="1919" spans="1:44" customFormat="1">
      <c r="A1919" s="39">
        <v>45697</v>
      </c>
      <c r="B1919" s="11" t="s">
        <v>49</v>
      </c>
      <c r="C1919" s="16" t="s">
        <v>8239</v>
      </c>
      <c r="D1919" s="16" t="s">
        <v>8240</v>
      </c>
      <c r="E1919" s="38">
        <v>35681</v>
      </c>
      <c r="F1919" s="38" t="s">
        <v>1909</v>
      </c>
      <c r="G1919" s="10" t="s">
        <v>8241</v>
      </c>
      <c r="H1919" s="22" t="s">
        <v>8242</v>
      </c>
      <c r="I1919" s="13">
        <v>16</v>
      </c>
      <c r="J1919" s="15" t="s">
        <v>8243</v>
      </c>
      <c r="K1919" s="12"/>
      <c r="L1919" s="11" t="s">
        <v>36</v>
      </c>
      <c r="M1919" s="15" t="s">
        <v>3599</v>
      </c>
      <c r="N1919" s="17">
        <v>16500</v>
      </c>
      <c r="O1919" s="17" t="s">
        <v>8234</v>
      </c>
      <c r="P1919" s="17"/>
      <c r="Q1919" s="48" t="s">
        <v>8098</v>
      </c>
      <c r="R1919" s="11" t="s">
        <v>6847</v>
      </c>
      <c r="S1919" s="48" t="s">
        <v>8099</v>
      </c>
      <c r="T1919" s="85" t="s">
        <v>8073</v>
      </c>
      <c r="U1919" s="88"/>
      <c r="V1919" s="32"/>
      <c r="W1919" s="25" t="s">
        <v>8162</v>
      </c>
      <c r="X1919" s="11" t="s">
        <v>7250</v>
      </c>
      <c r="Y1919" s="50" t="s">
        <v>14</v>
      </c>
      <c r="Z1919" s="50" t="s">
        <v>15</v>
      </c>
      <c r="AA1919" s="50"/>
      <c r="AB1919" s="50"/>
      <c r="AC1919" s="50"/>
      <c r="AD1919" s="50"/>
      <c r="AE1919" s="50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65"/>
      <c r="AP1919" s="69"/>
      <c r="AQ1919" s="62"/>
      <c r="AR1919" s="34"/>
    </row>
    <row r="1920" spans="1:44" customFormat="1">
      <c r="A1920" s="39">
        <v>45700</v>
      </c>
      <c r="B1920" s="11" t="s">
        <v>49</v>
      </c>
      <c r="C1920" s="16" t="s">
        <v>7561</v>
      </c>
      <c r="D1920" s="16" t="s">
        <v>7562</v>
      </c>
      <c r="E1920" s="38"/>
      <c r="F1920" s="38"/>
      <c r="G1920" s="10"/>
      <c r="H1920" s="22"/>
      <c r="I1920" s="13"/>
      <c r="J1920" s="15"/>
      <c r="K1920" s="12"/>
      <c r="L1920" s="11"/>
      <c r="M1920" s="15"/>
      <c r="N1920" s="17"/>
      <c r="O1920" s="17"/>
      <c r="P1920" s="17"/>
      <c r="Q1920" s="48"/>
      <c r="R1920" s="11"/>
      <c r="S1920" s="48"/>
      <c r="T1920" s="85"/>
      <c r="U1920" s="88"/>
      <c r="V1920" s="32"/>
      <c r="W1920" s="25"/>
      <c r="X1920" s="11"/>
      <c r="Y1920" s="50"/>
      <c r="Z1920" s="50"/>
      <c r="AA1920" s="50"/>
      <c r="AB1920" s="50"/>
      <c r="AC1920" s="50"/>
      <c r="AD1920" s="50"/>
      <c r="AE1920" s="50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65"/>
      <c r="AP1920" s="69"/>
      <c r="AQ1920" s="62"/>
      <c r="AR1920" s="34"/>
    </row>
    <row r="1921" spans="1:45" customFormat="1">
      <c r="A1921" s="39">
        <v>45701</v>
      </c>
      <c r="B1921" s="11" t="s">
        <v>49</v>
      </c>
      <c r="C1921" s="16" t="s">
        <v>8244</v>
      </c>
      <c r="D1921" s="16" t="s">
        <v>8245</v>
      </c>
      <c r="E1921" s="38" t="s">
        <v>7040</v>
      </c>
      <c r="F1921" s="38"/>
      <c r="G1921" s="10"/>
      <c r="H1921" s="12"/>
      <c r="I1921" s="13"/>
      <c r="J1921" s="15"/>
      <c r="K1921" s="12"/>
      <c r="L1921" s="11"/>
      <c r="M1921" s="15"/>
      <c r="N1921" s="17">
        <v>11000</v>
      </c>
      <c r="O1921" s="17"/>
      <c r="P1921" s="17"/>
      <c r="Q1921" s="48"/>
      <c r="R1921" s="11" t="s">
        <v>6848</v>
      </c>
      <c r="S1921" s="48" t="s">
        <v>8101</v>
      </c>
      <c r="T1921" s="85" t="s">
        <v>8073</v>
      </c>
      <c r="U1921" s="88"/>
      <c r="V1921" s="32"/>
      <c r="W1921" s="25"/>
      <c r="X1921" s="11"/>
      <c r="Y1921" s="50"/>
      <c r="Z1921" s="50"/>
      <c r="AA1921" s="50"/>
      <c r="AB1921" s="50"/>
      <c r="AC1921" s="50"/>
      <c r="AD1921" s="50"/>
      <c r="AE1921" s="50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65"/>
      <c r="AP1921" s="69"/>
      <c r="AQ1921" s="62"/>
      <c r="AR1921" s="34"/>
    </row>
    <row r="1922" spans="1:45" customFormat="1">
      <c r="A1922" s="39">
        <v>45704</v>
      </c>
      <c r="B1922" s="11" t="s">
        <v>49</v>
      </c>
      <c r="C1922" s="16" t="s">
        <v>7973</v>
      </c>
      <c r="D1922" s="16" t="s">
        <v>7974</v>
      </c>
      <c r="E1922" s="38" t="s">
        <v>7040</v>
      </c>
      <c r="F1922" s="38"/>
      <c r="G1922" s="10"/>
      <c r="H1922" s="12"/>
      <c r="I1922" s="13"/>
      <c r="J1922" s="15"/>
      <c r="K1922" s="12"/>
      <c r="L1922" s="11"/>
      <c r="M1922" s="15"/>
      <c r="N1922" s="17"/>
      <c r="O1922" s="17"/>
      <c r="P1922" s="17"/>
      <c r="Q1922" s="48"/>
      <c r="R1922" s="11" t="s">
        <v>6847</v>
      </c>
      <c r="S1922" s="48" t="s">
        <v>8099</v>
      </c>
      <c r="T1922" s="85" t="s">
        <v>8073</v>
      </c>
      <c r="U1922" s="88"/>
      <c r="V1922" s="32"/>
      <c r="W1922" s="25"/>
      <c r="X1922" s="11"/>
      <c r="Y1922" s="50"/>
      <c r="Z1922" s="50"/>
      <c r="AA1922" s="50"/>
      <c r="AB1922" s="50"/>
      <c r="AC1922" s="50"/>
      <c r="AD1922" s="50"/>
      <c r="AE1922" s="50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65"/>
      <c r="AP1922" s="69"/>
      <c r="AQ1922" s="62"/>
      <c r="AR1922" s="34"/>
    </row>
    <row r="1923" spans="1:45" customFormat="1">
      <c r="A1923" s="39">
        <v>45709</v>
      </c>
      <c r="B1923" s="11" t="s">
        <v>22</v>
      </c>
      <c r="C1923" s="16" t="s">
        <v>8246</v>
      </c>
      <c r="D1923" s="16" t="s">
        <v>8247</v>
      </c>
      <c r="E1923" s="38">
        <v>26034</v>
      </c>
      <c r="F1923" s="38" t="s">
        <v>1909</v>
      </c>
      <c r="G1923" s="10" t="s">
        <v>1367</v>
      </c>
      <c r="H1923" s="22" t="s">
        <v>8248</v>
      </c>
      <c r="I1923" s="13">
        <v>14</v>
      </c>
      <c r="J1923" s="15" t="s">
        <v>8249</v>
      </c>
      <c r="K1923" s="12"/>
      <c r="L1923" s="11" t="s">
        <v>36</v>
      </c>
      <c r="M1923" s="15" t="s">
        <v>3599</v>
      </c>
      <c r="N1923" s="17">
        <v>3300</v>
      </c>
      <c r="O1923" s="17"/>
      <c r="P1923" s="17"/>
      <c r="Q1923" s="48" t="s">
        <v>8098</v>
      </c>
      <c r="R1923" s="11" t="s">
        <v>6847</v>
      </c>
      <c r="S1923" s="48" t="s">
        <v>8099</v>
      </c>
      <c r="T1923" s="85" t="s">
        <v>81</v>
      </c>
      <c r="U1923" s="88"/>
      <c r="V1923" s="32"/>
      <c r="W1923" s="25"/>
      <c r="X1923" s="11"/>
      <c r="Y1923" s="50"/>
      <c r="Z1923" s="50"/>
      <c r="AA1923" s="50"/>
      <c r="AB1923" s="50"/>
      <c r="AC1923" s="50"/>
      <c r="AD1923" s="50"/>
      <c r="AE1923" s="50"/>
      <c r="AF1923" s="34" t="s">
        <v>8114</v>
      </c>
      <c r="AG1923" s="34" t="s">
        <v>8164</v>
      </c>
      <c r="AH1923" s="34" t="s">
        <v>8250</v>
      </c>
      <c r="AI1923" s="34"/>
      <c r="AJ1923" s="34"/>
      <c r="AK1923" s="34"/>
      <c r="AL1923" s="34" t="s">
        <v>8173</v>
      </c>
      <c r="AM1923" s="34" t="s">
        <v>8130</v>
      </c>
      <c r="AN1923" s="34"/>
      <c r="AO1923" s="65" t="s">
        <v>5822</v>
      </c>
      <c r="AP1923" s="69"/>
      <c r="AQ1923" s="62"/>
      <c r="AR1923" s="34"/>
    </row>
    <row r="1924" spans="1:45" customFormat="1">
      <c r="A1924" s="39">
        <v>45712</v>
      </c>
      <c r="B1924" s="11" t="s">
        <v>22</v>
      </c>
      <c r="C1924" s="16" t="s">
        <v>8251</v>
      </c>
      <c r="D1924" s="16" t="s">
        <v>8252</v>
      </c>
      <c r="E1924" s="38">
        <v>29159</v>
      </c>
      <c r="F1924" s="38" t="s">
        <v>1909</v>
      </c>
      <c r="G1924" s="10" t="s">
        <v>78</v>
      </c>
      <c r="H1924" s="12" t="s">
        <v>8253</v>
      </c>
      <c r="I1924" s="13" t="s">
        <v>4394</v>
      </c>
      <c r="J1924" s="15" t="s">
        <v>8254</v>
      </c>
      <c r="K1924" s="12"/>
      <c r="L1924" s="11" t="s">
        <v>36</v>
      </c>
      <c r="M1924" s="15" t="s">
        <v>3680</v>
      </c>
      <c r="N1924" s="17">
        <v>0</v>
      </c>
      <c r="O1924" s="17" t="s">
        <v>3282</v>
      </c>
      <c r="P1924" s="17"/>
      <c r="Q1924" s="48"/>
      <c r="R1924" s="11" t="s">
        <v>6848</v>
      </c>
      <c r="S1924" s="48" t="s">
        <v>8100</v>
      </c>
      <c r="T1924" s="85"/>
      <c r="U1924" s="89">
        <v>45721</v>
      </c>
      <c r="V1924" s="32"/>
      <c r="W1924" s="11" t="s">
        <v>3282</v>
      </c>
      <c r="X1924" s="11"/>
      <c r="Y1924" s="50"/>
      <c r="Z1924" s="50"/>
      <c r="AA1924" s="50"/>
      <c r="AB1924" s="50"/>
      <c r="AC1924" s="50"/>
      <c r="AD1924" s="50"/>
      <c r="AE1924" s="50"/>
      <c r="AF1924" s="34" t="s">
        <v>8114</v>
      </c>
      <c r="AG1924" s="34" t="s">
        <v>8164</v>
      </c>
      <c r="AH1924" s="34"/>
      <c r="AI1924" s="34"/>
      <c r="AJ1924" s="34"/>
      <c r="AK1924" s="34"/>
      <c r="AL1924" s="34" t="s">
        <v>8175</v>
      </c>
      <c r="AM1924" s="34"/>
      <c r="AN1924" s="34"/>
      <c r="AO1924" s="65" t="s">
        <v>5822</v>
      </c>
      <c r="AP1924" s="69"/>
      <c r="AQ1924" s="62"/>
      <c r="AR1924" s="78">
        <v>45721</v>
      </c>
      <c r="AS1924" t="s">
        <v>8292</v>
      </c>
    </row>
    <row r="1925" spans="1:45" customFormat="1">
      <c r="A1925" s="39">
        <v>45712</v>
      </c>
      <c r="B1925" s="11" t="s">
        <v>49</v>
      </c>
      <c r="C1925" s="16" t="s">
        <v>8256</v>
      </c>
      <c r="D1925" s="16" t="s">
        <v>8257</v>
      </c>
      <c r="E1925" s="38">
        <v>22379</v>
      </c>
      <c r="F1925" s="38" t="s">
        <v>1909</v>
      </c>
      <c r="G1925" s="10" t="s">
        <v>2079</v>
      </c>
      <c r="H1925" s="12" t="s">
        <v>8258</v>
      </c>
      <c r="I1925" s="13" t="s">
        <v>8259</v>
      </c>
      <c r="J1925" s="15" t="s">
        <v>8260</v>
      </c>
      <c r="K1925" s="46" t="s">
        <v>8261</v>
      </c>
      <c r="L1925" s="11"/>
      <c r="M1925" s="15"/>
      <c r="N1925" s="17"/>
      <c r="O1925" s="17"/>
      <c r="P1925" s="17"/>
      <c r="Q1925" s="48"/>
      <c r="R1925" s="11" t="s">
        <v>6849</v>
      </c>
      <c r="S1925" s="48" t="s">
        <v>8100</v>
      </c>
      <c r="T1925" s="85" t="s">
        <v>8073</v>
      </c>
      <c r="U1925" s="88"/>
      <c r="V1925" s="32"/>
      <c r="W1925" s="25"/>
      <c r="X1925" s="11"/>
      <c r="Y1925" s="50"/>
      <c r="Z1925" s="50"/>
      <c r="AA1925" s="50"/>
      <c r="AB1925" s="50"/>
      <c r="AC1925" s="50"/>
      <c r="AD1925" s="50"/>
      <c r="AE1925" s="50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65"/>
      <c r="AP1925" s="69"/>
      <c r="AQ1925" s="62"/>
      <c r="AR1925" s="34"/>
    </row>
    <row r="1926" spans="1:45" customFormat="1">
      <c r="A1926" s="39">
        <v>45712</v>
      </c>
      <c r="B1926" s="11" t="s">
        <v>49</v>
      </c>
      <c r="C1926" s="16" t="s">
        <v>8262</v>
      </c>
      <c r="D1926" s="16" t="s">
        <v>8263</v>
      </c>
      <c r="E1926" s="38">
        <v>25755</v>
      </c>
      <c r="F1926" s="38" t="s">
        <v>1909</v>
      </c>
      <c r="G1926" s="10" t="s">
        <v>1986</v>
      </c>
      <c r="H1926" s="22" t="s">
        <v>8264</v>
      </c>
      <c r="I1926" s="13">
        <v>13</v>
      </c>
      <c r="J1926" s="15" t="s">
        <v>8265</v>
      </c>
      <c r="K1926" s="46" t="s">
        <v>8266</v>
      </c>
      <c r="L1926" s="11" t="s">
        <v>36</v>
      </c>
      <c r="M1926" s="15" t="s">
        <v>3584</v>
      </c>
      <c r="N1926" s="17">
        <v>16500</v>
      </c>
      <c r="O1926" s="17"/>
      <c r="P1926" s="17"/>
      <c r="Q1926" s="48" t="s">
        <v>8098</v>
      </c>
      <c r="R1926" s="11" t="s">
        <v>6848</v>
      </c>
      <c r="S1926" s="48" t="s">
        <v>8100</v>
      </c>
      <c r="T1926" s="85" t="s">
        <v>8073</v>
      </c>
      <c r="U1926" s="88"/>
      <c r="V1926" s="32"/>
      <c r="W1926" s="25"/>
      <c r="X1926" s="11"/>
      <c r="Y1926" s="50" t="s">
        <v>12</v>
      </c>
      <c r="Z1926" s="50"/>
      <c r="AA1926" s="50"/>
      <c r="AB1926" s="50"/>
      <c r="AC1926" s="50"/>
      <c r="AD1926" s="50"/>
      <c r="AE1926" s="50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65"/>
      <c r="AP1926" s="69"/>
      <c r="AQ1926" s="62"/>
      <c r="AR1926" s="34"/>
    </row>
    <row r="1927" spans="1:45" customFormat="1">
      <c r="A1927" s="39">
        <v>45715</v>
      </c>
      <c r="B1927" s="11" t="s">
        <v>22</v>
      </c>
      <c r="C1927" s="16" t="s">
        <v>8267</v>
      </c>
      <c r="D1927" s="16" t="s">
        <v>8268</v>
      </c>
      <c r="E1927" s="38">
        <v>28117</v>
      </c>
      <c r="F1927" s="38" t="s">
        <v>1909</v>
      </c>
      <c r="G1927" s="10" t="s">
        <v>280</v>
      </c>
      <c r="H1927" s="12" t="s">
        <v>8269</v>
      </c>
      <c r="I1927" s="13" t="s">
        <v>8270</v>
      </c>
      <c r="J1927" s="15" t="s">
        <v>8271</v>
      </c>
      <c r="K1927" s="46" t="s">
        <v>8272</v>
      </c>
      <c r="L1927" s="11" t="s">
        <v>33</v>
      </c>
      <c r="M1927" s="15" t="s">
        <v>3584</v>
      </c>
      <c r="N1927" s="17">
        <v>0</v>
      </c>
      <c r="O1927" s="17" t="s">
        <v>3282</v>
      </c>
      <c r="P1927" s="17"/>
      <c r="Q1927" s="48"/>
      <c r="R1927" s="11" t="s">
        <v>6848</v>
      </c>
      <c r="S1927" s="48" t="s">
        <v>8101</v>
      </c>
      <c r="T1927" s="87"/>
      <c r="U1927" s="88"/>
      <c r="V1927" s="85" t="s">
        <v>8273</v>
      </c>
      <c r="W1927" s="25" t="s">
        <v>8113</v>
      </c>
      <c r="X1927" s="11"/>
      <c r="Y1927" s="50"/>
      <c r="Z1927" s="50"/>
      <c r="AA1927" s="50"/>
      <c r="AB1927" s="50"/>
      <c r="AC1927" s="50"/>
      <c r="AD1927" s="50"/>
      <c r="AE1927" s="50"/>
      <c r="AF1927" s="34" t="s">
        <v>8114</v>
      </c>
      <c r="AG1927" s="34"/>
      <c r="AH1927" s="34"/>
      <c r="AI1927" s="34"/>
      <c r="AJ1927" s="34"/>
      <c r="AK1927" s="34"/>
      <c r="AL1927" s="34" t="s">
        <v>8173</v>
      </c>
      <c r="AM1927" s="34"/>
      <c r="AN1927" s="34"/>
      <c r="AO1927" s="65" t="s">
        <v>5822</v>
      </c>
      <c r="AP1927" s="69"/>
      <c r="AQ1927" s="62"/>
      <c r="AR1927" s="78">
        <v>45721</v>
      </c>
      <c r="AS1927" t="s">
        <v>6605</v>
      </c>
    </row>
    <row r="1928" spans="1:45" customFormat="1">
      <c r="A1928" s="39">
        <v>45716</v>
      </c>
      <c r="B1928" s="11" t="s">
        <v>49</v>
      </c>
      <c r="C1928" s="16" t="s">
        <v>7041</v>
      </c>
      <c r="D1928" s="16" t="s">
        <v>7042</v>
      </c>
      <c r="E1928" s="38" t="s">
        <v>7040</v>
      </c>
      <c r="F1928" s="38" t="s">
        <v>1909</v>
      </c>
      <c r="G1928" s="10"/>
      <c r="H1928" s="12"/>
      <c r="I1928" s="13"/>
      <c r="J1928" s="15"/>
      <c r="K1928" s="12"/>
      <c r="L1928" s="11"/>
      <c r="M1928" s="15"/>
      <c r="N1928" s="17"/>
      <c r="O1928" s="17"/>
      <c r="P1928" s="17"/>
      <c r="Q1928" s="48"/>
      <c r="R1928" s="11" t="s">
        <v>6849</v>
      </c>
      <c r="S1928" s="48" t="s">
        <v>8100</v>
      </c>
      <c r="T1928" s="85" t="s">
        <v>8073</v>
      </c>
      <c r="U1928" s="88"/>
      <c r="V1928" s="32"/>
      <c r="W1928" s="25"/>
      <c r="X1928" s="11"/>
      <c r="Y1928" s="50"/>
      <c r="Z1928" s="50"/>
      <c r="AA1928" s="50"/>
      <c r="AB1928" s="50"/>
      <c r="AC1928" s="50"/>
      <c r="AD1928" s="50"/>
      <c r="AE1928" s="50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65"/>
      <c r="AP1928" s="69"/>
      <c r="AQ1928" s="62"/>
      <c r="AR1928" s="34"/>
    </row>
    <row r="1929" spans="1:45" customFormat="1">
      <c r="A1929" s="39">
        <v>45716</v>
      </c>
      <c r="B1929" s="11" t="s">
        <v>49</v>
      </c>
      <c r="C1929" s="16" t="s">
        <v>2846</v>
      </c>
      <c r="D1929" s="16" t="s">
        <v>8287</v>
      </c>
      <c r="E1929" s="38" t="s">
        <v>7040</v>
      </c>
      <c r="F1929" s="38" t="s">
        <v>1909</v>
      </c>
      <c r="G1929" s="10"/>
      <c r="H1929" s="12"/>
      <c r="I1929" s="13"/>
      <c r="J1929" s="15"/>
      <c r="K1929" s="12"/>
      <c r="L1929" s="11"/>
      <c r="M1929" s="15"/>
      <c r="N1929" s="17"/>
      <c r="O1929" s="17"/>
      <c r="P1929" s="17"/>
      <c r="Q1929" s="48"/>
      <c r="R1929" s="11" t="s">
        <v>6847</v>
      </c>
      <c r="S1929" s="48" t="s">
        <v>8099</v>
      </c>
      <c r="T1929" s="85" t="s">
        <v>8073</v>
      </c>
      <c r="U1929" s="88"/>
      <c r="V1929" s="32"/>
      <c r="W1929" s="25"/>
      <c r="X1929" s="11"/>
      <c r="Y1929" s="50"/>
      <c r="Z1929" s="50"/>
      <c r="AA1929" s="50"/>
      <c r="AB1929" s="50"/>
      <c r="AC1929" s="50"/>
      <c r="AD1929" s="50"/>
      <c r="AE1929" s="50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65"/>
      <c r="AP1929" s="69"/>
      <c r="AQ1929" s="62"/>
      <c r="AR1929" s="34"/>
    </row>
    <row r="1930" spans="1:45" customFormat="1">
      <c r="A1930" s="39">
        <v>45717</v>
      </c>
      <c r="B1930" s="11" t="s">
        <v>2170</v>
      </c>
      <c r="C1930" s="16" t="s">
        <v>4084</v>
      </c>
      <c r="D1930" s="16" t="s">
        <v>5693</v>
      </c>
      <c r="E1930" s="38">
        <v>30371</v>
      </c>
      <c r="F1930" s="38" t="s">
        <v>1909</v>
      </c>
      <c r="G1930" s="10" t="s">
        <v>4085</v>
      </c>
      <c r="H1930" s="12" t="s">
        <v>4254</v>
      </c>
      <c r="I1930" s="13" t="s">
        <v>2444</v>
      </c>
      <c r="J1930" s="15" t="s">
        <v>4087</v>
      </c>
      <c r="K1930" s="14" t="s">
        <v>4086</v>
      </c>
      <c r="L1930" s="11" t="s">
        <v>33</v>
      </c>
      <c r="M1930" s="15" t="s">
        <v>3584</v>
      </c>
      <c r="N1930" s="17">
        <v>8250</v>
      </c>
      <c r="O1930" s="17"/>
      <c r="P1930" s="17"/>
      <c r="Q1930" s="48"/>
      <c r="R1930" s="48" t="s">
        <v>8339</v>
      </c>
      <c r="S1930" s="48" t="s">
        <v>8101</v>
      </c>
      <c r="T1930" s="85"/>
      <c r="U1930" s="88"/>
      <c r="V1930" s="32"/>
      <c r="W1930" s="25"/>
      <c r="X1930" s="11"/>
      <c r="Y1930" s="50"/>
      <c r="Z1930" s="50"/>
      <c r="AA1930" s="50"/>
      <c r="AB1930" s="50"/>
      <c r="AC1930" s="50"/>
      <c r="AD1930" s="50"/>
      <c r="AE1930" s="50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65" t="s">
        <v>2389</v>
      </c>
      <c r="AP1930" s="69"/>
      <c r="AQ1930" s="62"/>
      <c r="AR1930" s="34"/>
    </row>
    <row r="1931" spans="1:45" customFormat="1">
      <c r="A1931" s="39">
        <v>45717</v>
      </c>
      <c r="B1931" s="11" t="s">
        <v>22</v>
      </c>
      <c r="C1931" s="16" t="s">
        <v>8274</v>
      </c>
      <c r="D1931" s="16" t="s">
        <v>8276</v>
      </c>
      <c r="E1931" s="38">
        <v>28023</v>
      </c>
      <c r="F1931" s="38" t="s">
        <v>1909</v>
      </c>
      <c r="G1931" s="10" t="s">
        <v>4986</v>
      </c>
      <c r="H1931" s="12" t="s">
        <v>8279</v>
      </c>
      <c r="I1931" s="13" t="s">
        <v>2784</v>
      </c>
      <c r="J1931" s="15" t="s">
        <v>8282</v>
      </c>
      <c r="K1931" s="46" t="s">
        <v>8284</v>
      </c>
      <c r="L1931" s="11" t="s">
        <v>36</v>
      </c>
      <c r="M1931" s="15" t="s">
        <v>3584</v>
      </c>
      <c r="N1931" s="17">
        <v>3300</v>
      </c>
      <c r="O1931" s="17"/>
      <c r="P1931" s="17"/>
      <c r="Q1931" s="48"/>
      <c r="R1931" s="48" t="s">
        <v>8339</v>
      </c>
      <c r="S1931" s="48" t="s">
        <v>8101</v>
      </c>
      <c r="T1931" s="85"/>
      <c r="U1931" s="88"/>
      <c r="V1931" s="32"/>
      <c r="W1931" s="25" t="s">
        <v>8162</v>
      </c>
      <c r="X1931" s="11" t="s">
        <v>8286</v>
      </c>
      <c r="Y1931" s="50"/>
      <c r="Z1931" s="50"/>
      <c r="AA1931" s="50"/>
      <c r="AB1931" s="50"/>
      <c r="AC1931" s="50"/>
      <c r="AD1931" s="50"/>
      <c r="AE1931" s="50"/>
      <c r="AF1931" s="34"/>
      <c r="AG1931" s="34" t="s">
        <v>8164</v>
      </c>
      <c r="AH1931" s="34"/>
      <c r="AI1931" s="34"/>
      <c r="AJ1931" s="34"/>
      <c r="AK1931" s="34"/>
      <c r="AL1931" s="34" t="s">
        <v>8173</v>
      </c>
      <c r="AM1931" s="34"/>
      <c r="AN1931" s="34"/>
      <c r="AO1931" s="65"/>
      <c r="AP1931" s="69"/>
      <c r="AQ1931" s="62"/>
      <c r="AR1931" s="34"/>
    </row>
    <row r="1932" spans="1:45" customFormat="1">
      <c r="A1932" s="39">
        <v>45717</v>
      </c>
      <c r="B1932" s="11" t="s">
        <v>22</v>
      </c>
      <c r="C1932" s="16" t="s">
        <v>8275</v>
      </c>
      <c r="D1932" s="16" t="s">
        <v>8277</v>
      </c>
      <c r="E1932" s="38">
        <v>23853</v>
      </c>
      <c r="F1932" s="38" t="s">
        <v>1909</v>
      </c>
      <c r="G1932" s="10" t="s">
        <v>8278</v>
      </c>
      <c r="H1932" s="12" t="s">
        <v>8280</v>
      </c>
      <c r="I1932" s="13" t="s">
        <v>8281</v>
      </c>
      <c r="J1932" s="15" t="s">
        <v>8283</v>
      </c>
      <c r="K1932" s="46" t="s">
        <v>8285</v>
      </c>
      <c r="L1932" s="11" t="s">
        <v>33</v>
      </c>
      <c r="M1932" s="15" t="s">
        <v>3584</v>
      </c>
      <c r="N1932" s="17">
        <v>3300</v>
      </c>
      <c r="O1932" s="17"/>
      <c r="P1932" s="17"/>
      <c r="Q1932" s="48"/>
      <c r="R1932" s="48" t="s">
        <v>8339</v>
      </c>
      <c r="S1932" s="48" t="s">
        <v>8101</v>
      </c>
      <c r="T1932" s="85"/>
      <c r="U1932" s="88"/>
      <c r="V1932" s="32"/>
      <c r="W1932" s="25" t="s">
        <v>8162</v>
      </c>
      <c r="X1932" s="11" t="s">
        <v>8286</v>
      </c>
      <c r="Y1932" s="50"/>
      <c r="Z1932" s="50"/>
      <c r="AA1932" s="50"/>
      <c r="AB1932" s="50"/>
      <c r="AC1932" s="50"/>
      <c r="AD1932" s="50"/>
      <c r="AE1932" s="50"/>
      <c r="AF1932" s="34"/>
      <c r="AG1932" s="34" t="s">
        <v>8164</v>
      </c>
      <c r="AH1932" s="34"/>
      <c r="AI1932" s="34"/>
      <c r="AJ1932" s="34"/>
      <c r="AK1932" s="34"/>
      <c r="AL1932" s="34"/>
      <c r="AM1932" s="34"/>
      <c r="AN1932" s="34"/>
      <c r="AO1932" s="65"/>
      <c r="AP1932" s="69"/>
      <c r="AQ1932" s="62"/>
      <c r="AR1932" s="34"/>
    </row>
    <row r="1933" spans="1:45" customFormat="1">
      <c r="A1933" s="39">
        <v>45718</v>
      </c>
      <c r="B1933" s="11" t="s">
        <v>22</v>
      </c>
      <c r="C1933" s="16" t="s">
        <v>8288</v>
      </c>
      <c r="D1933" s="16" t="s">
        <v>8289</v>
      </c>
      <c r="E1933" s="38">
        <v>27998</v>
      </c>
      <c r="F1933" s="38" t="s">
        <v>1909</v>
      </c>
      <c r="G1933" s="10" t="s">
        <v>617</v>
      </c>
      <c r="H1933" s="12" t="s">
        <v>8290</v>
      </c>
      <c r="I1933" s="13">
        <v>4.4000000000000004</v>
      </c>
      <c r="J1933" s="15" t="s">
        <v>8291</v>
      </c>
      <c r="K1933" s="12"/>
      <c r="L1933" s="11" t="s">
        <v>36</v>
      </c>
      <c r="M1933" s="15" t="s">
        <v>3629</v>
      </c>
      <c r="N1933" s="17">
        <v>3300</v>
      </c>
      <c r="O1933" s="17"/>
      <c r="P1933" s="17"/>
      <c r="Q1933" s="48" t="s">
        <v>8098</v>
      </c>
      <c r="R1933" s="11" t="s">
        <v>6848</v>
      </c>
      <c r="S1933" s="48" t="s">
        <v>8099</v>
      </c>
      <c r="T1933" s="85"/>
      <c r="U1933" s="88"/>
      <c r="V1933" s="32"/>
      <c r="W1933" s="25" t="s">
        <v>8113</v>
      </c>
      <c r="X1933" s="11"/>
      <c r="Y1933" s="50"/>
      <c r="Z1933" s="50"/>
      <c r="AA1933" s="50"/>
      <c r="AB1933" s="50"/>
      <c r="AC1933" s="50"/>
      <c r="AD1933" s="50"/>
      <c r="AE1933" s="50"/>
      <c r="AF1933" s="34" t="s">
        <v>8114</v>
      </c>
      <c r="AG1933" s="34" t="s">
        <v>8164</v>
      </c>
      <c r="AH1933" s="34"/>
      <c r="AI1933" s="34"/>
      <c r="AJ1933" s="34"/>
      <c r="AK1933" s="34"/>
      <c r="AL1933" s="34" t="s">
        <v>8173</v>
      </c>
      <c r="AM1933" s="34" t="s">
        <v>8130</v>
      </c>
      <c r="AN1933" s="34"/>
      <c r="AO1933" s="65" t="s">
        <v>6454</v>
      </c>
      <c r="AP1933" s="69"/>
      <c r="AQ1933" s="62"/>
      <c r="AR1933" s="34"/>
    </row>
    <row r="1934" spans="1:45" customFormat="1">
      <c r="A1934" s="39">
        <v>45723</v>
      </c>
      <c r="B1934" s="11" t="s">
        <v>22</v>
      </c>
      <c r="C1934" s="16" t="s">
        <v>8293</v>
      </c>
      <c r="D1934" s="16" t="s">
        <v>8294</v>
      </c>
      <c r="E1934" s="38">
        <v>37132</v>
      </c>
      <c r="F1934" s="38" t="s">
        <v>1910</v>
      </c>
      <c r="G1934" s="10" t="s">
        <v>8295</v>
      </c>
      <c r="H1934" s="12" t="s">
        <v>8296</v>
      </c>
      <c r="I1934" s="13">
        <v>9.3000000000000007</v>
      </c>
      <c r="J1934" s="15" t="s">
        <v>8297</v>
      </c>
      <c r="K1934" s="12"/>
      <c r="L1934" s="11" t="s">
        <v>38</v>
      </c>
      <c r="M1934" s="15" t="s">
        <v>3629</v>
      </c>
      <c r="N1934" s="17">
        <v>3300</v>
      </c>
      <c r="O1934" s="17"/>
      <c r="P1934" s="17"/>
      <c r="Q1934" s="48" t="s">
        <v>8098</v>
      </c>
      <c r="R1934" s="11" t="s">
        <v>6847</v>
      </c>
      <c r="S1934" s="48" t="s">
        <v>8099</v>
      </c>
      <c r="T1934" s="85"/>
      <c r="U1934" s="88"/>
      <c r="V1934" s="32" t="s">
        <v>8373</v>
      </c>
      <c r="W1934" s="25" t="s">
        <v>48</v>
      </c>
      <c r="X1934" s="11"/>
      <c r="Y1934" s="50"/>
      <c r="Z1934" s="50"/>
      <c r="AA1934" s="50"/>
      <c r="AB1934" s="50"/>
      <c r="AC1934" s="50"/>
      <c r="AD1934" s="50"/>
      <c r="AE1934" s="50"/>
      <c r="AF1934" s="34" t="s">
        <v>8114</v>
      </c>
      <c r="AG1934" s="34"/>
      <c r="AH1934" s="34"/>
      <c r="AI1934" s="34"/>
      <c r="AJ1934" s="34"/>
      <c r="AK1934" s="34"/>
      <c r="AL1934" s="34" t="s">
        <v>8130</v>
      </c>
      <c r="AM1934" s="34" t="s">
        <v>8173</v>
      </c>
      <c r="AN1934" s="34"/>
      <c r="AO1934" s="65" t="s">
        <v>5822</v>
      </c>
      <c r="AP1934" s="69"/>
      <c r="AQ1934" s="62"/>
      <c r="AR1934" s="34"/>
    </row>
    <row r="1935" spans="1:45" customFormat="1">
      <c r="A1935" s="39">
        <v>45723</v>
      </c>
      <c r="B1935" s="11" t="s">
        <v>22</v>
      </c>
      <c r="C1935" s="16" t="s">
        <v>8298</v>
      </c>
      <c r="D1935" s="16" t="s">
        <v>8299</v>
      </c>
      <c r="E1935" s="38">
        <v>23434</v>
      </c>
      <c r="F1935" s="38" t="s">
        <v>1910</v>
      </c>
      <c r="G1935" s="10" t="s">
        <v>8295</v>
      </c>
      <c r="H1935" s="12" t="s">
        <v>8296</v>
      </c>
      <c r="I1935" s="13">
        <v>9.3000000000000007</v>
      </c>
      <c r="J1935" s="15" t="s">
        <v>8297</v>
      </c>
      <c r="K1935" s="12"/>
      <c r="L1935" s="11" t="s">
        <v>37</v>
      </c>
      <c r="M1935" s="15" t="s">
        <v>3629</v>
      </c>
      <c r="N1935" s="17">
        <v>3300</v>
      </c>
      <c r="O1935" s="17"/>
      <c r="P1935" s="17"/>
      <c r="Q1935" s="48" t="s">
        <v>8098</v>
      </c>
      <c r="R1935" s="11" t="s">
        <v>6847</v>
      </c>
      <c r="S1935" s="48" t="s">
        <v>8099</v>
      </c>
      <c r="T1935" s="85"/>
      <c r="U1935" s="88"/>
      <c r="V1935" s="32"/>
      <c r="W1935" s="25" t="s">
        <v>48</v>
      </c>
      <c r="X1935" s="11"/>
      <c r="Y1935" s="50"/>
      <c r="Z1935" s="50"/>
      <c r="AA1935" s="50"/>
      <c r="AB1935" s="50"/>
      <c r="AC1935" s="50"/>
      <c r="AD1935" s="50"/>
      <c r="AE1935" s="50"/>
      <c r="AF1935" s="34" t="s">
        <v>8114</v>
      </c>
      <c r="AG1935" s="34"/>
      <c r="AH1935" s="34"/>
      <c r="AI1935" s="34"/>
      <c r="AJ1935" s="34"/>
      <c r="AK1935" s="34"/>
      <c r="AL1935" s="34" t="s">
        <v>8130</v>
      </c>
      <c r="AM1935" s="34" t="s">
        <v>8173</v>
      </c>
      <c r="AN1935" s="34"/>
      <c r="AO1935" s="65" t="s">
        <v>5822</v>
      </c>
      <c r="AP1935" s="69"/>
      <c r="AQ1935" s="62"/>
      <c r="AR1935" s="34"/>
    </row>
    <row r="1936" spans="1:45" customFormat="1">
      <c r="A1936" s="39">
        <v>45723</v>
      </c>
      <c r="B1936" s="11" t="s">
        <v>22</v>
      </c>
      <c r="C1936" s="16" t="s">
        <v>8300</v>
      </c>
      <c r="D1936" s="16" t="s">
        <v>8301</v>
      </c>
      <c r="E1936" s="38">
        <v>26908</v>
      </c>
      <c r="F1936" s="38" t="s">
        <v>1910</v>
      </c>
      <c r="G1936" s="10" t="s">
        <v>8302</v>
      </c>
      <c r="H1936" s="12" t="s">
        <v>8303</v>
      </c>
      <c r="I1936" s="13">
        <v>6.3</v>
      </c>
      <c r="J1936" s="15" t="s">
        <v>8304</v>
      </c>
      <c r="K1936" s="12"/>
      <c r="L1936" s="11" t="s">
        <v>37</v>
      </c>
      <c r="M1936" s="15" t="s">
        <v>3629</v>
      </c>
      <c r="N1936" s="17">
        <v>3300</v>
      </c>
      <c r="O1936" s="17"/>
      <c r="P1936" s="17"/>
      <c r="Q1936" s="48" t="s">
        <v>8096</v>
      </c>
      <c r="R1936" s="11" t="s">
        <v>6847</v>
      </c>
      <c r="S1936" s="48" t="s">
        <v>8099</v>
      </c>
      <c r="T1936" s="85" t="s">
        <v>81</v>
      </c>
      <c r="U1936" s="88"/>
      <c r="V1936" s="32"/>
      <c r="W1936" s="25" t="s">
        <v>3847</v>
      </c>
      <c r="X1936" s="11"/>
      <c r="Y1936" s="50"/>
      <c r="Z1936" s="50"/>
      <c r="AA1936" s="50"/>
      <c r="AB1936" s="50"/>
      <c r="AC1936" s="50"/>
      <c r="AD1936" s="50"/>
      <c r="AE1936" s="50"/>
      <c r="AF1936" s="34" t="s">
        <v>8187</v>
      </c>
      <c r="AG1936" s="34"/>
      <c r="AH1936" s="34"/>
      <c r="AI1936" s="34"/>
      <c r="AJ1936" s="34"/>
      <c r="AK1936" s="34"/>
      <c r="AL1936" s="34" t="s">
        <v>8173</v>
      </c>
      <c r="AM1936" s="34"/>
      <c r="AN1936" s="34"/>
      <c r="AO1936" s="65" t="s">
        <v>5822</v>
      </c>
      <c r="AP1936" s="69"/>
      <c r="AQ1936" s="62"/>
      <c r="AR1936" s="34"/>
    </row>
    <row r="1937" spans="1:44" customFormat="1">
      <c r="A1937" s="39">
        <v>45723</v>
      </c>
      <c r="B1937" s="11" t="s">
        <v>49</v>
      </c>
      <c r="C1937" s="16" t="s">
        <v>6777</v>
      </c>
      <c r="D1937" s="16" t="s">
        <v>8305</v>
      </c>
      <c r="E1937" s="38" t="s">
        <v>7040</v>
      </c>
      <c r="F1937" s="38"/>
      <c r="G1937" s="10"/>
      <c r="H1937" s="12"/>
      <c r="I1937" s="13"/>
      <c r="J1937" s="15"/>
      <c r="K1937" s="12"/>
      <c r="L1937" s="11"/>
      <c r="M1937" s="15"/>
      <c r="N1937" s="17">
        <v>11000</v>
      </c>
      <c r="O1937" s="17"/>
      <c r="P1937" s="17"/>
      <c r="Q1937" s="48" t="s">
        <v>8098</v>
      </c>
      <c r="R1937" s="11" t="s">
        <v>6847</v>
      </c>
      <c r="S1937" s="48" t="s">
        <v>8099</v>
      </c>
      <c r="T1937" s="85" t="s">
        <v>8073</v>
      </c>
      <c r="U1937" s="88"/>
      <c r="V1937" s="32"/>
      <c r="W1937" s="25"/>
      <c r="X1937" s="11"/>
      <c r="Y1937" s="50"/>
      <c r="Z1937" s="50"/>
      <c r="AA1937" s="50"/>
      <c r="AB1937" s="50"/>
      <c r="AC1937" s="50"/>
      <c r="AD1937" s="50"/>
      <c r="AE1937" s="50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65"/>
      <c r="AP1937" s="69"/>
      <c r="AQ1937" s="62"/>
      <c r="AR1937" s="34"/>
    </row>
    <row r="1938" spans="1:44" customFormat="1">
      <c r="A1938" s="39">
        <v>45724</v>
      </c>
      <c r="B1938" s="11" t="s">
        <v>49</v>
      </c>
      <c r="C1938" s="16" t="s">
        <v>4888</v>
      </c>
      <c r="D1938" s="16" t="s">
        <v>8306</v>
      </c>
      <c r="E1938" s="38">
        <v>27464</v>
      </c>
      <c r="F1938" s="38" t="s">
        <v>1909</v>
      </c>
      <c r="G1938" s="10" t="s">
        <v>8307</v>
      </c>
      <c r="H1938" s="12" t="s">
        <v>8308</v>
      </c>
      <c r="I1938" s="13">
        <v>10.5</v>
      </c>
      <c r="J1938" s="15" t="s">
        <v>8309</v>
      </c>
      <c r="K1938" s="12" t="s">
        <v>8310</v>
      </c>
      <c r="L1938" s="11" t="s">
        <v>33</v>
      </c>
      <c r="M1938" s="15" t="s">
        <v>3629</v>
      </c>
      <c r="N1938" s="17">
        <v>0</v>
      </c>
      <c r="O1938" s="17" t="s">
        <v>8234</v>
      </c>
      <c r="P1938" s="17">
        <v>44674</v>
      </c>
      <c r="Q1938" s="48"/>
      <c r="R1938" s="11" t="s">
        <v>6847</v>
      </c>
      <c r="S1938" s="48" t="s">
        <v>8099</v>
      </c>
      <c r="T1938" s="85"/>
      <c r="U1938" s="88"/>
      <c r="V1938" s="32"/>
      <c r="W1938" s="25" t="s">
        <v>8162</v>
      </c>
      <c r="X1938" s="11" t="s">
        <v>7250</v>
      </c>
      <c r="Y1938" s="50" t="s">
        <v>13</v>
      </c>
      <c r="Z1938" s="50"/>
      <c r="AA1938" s="50"/>
      <c r="AB1938" s="50"/>
      <c r="AC1938" s="50"/>
      <c r="AD1938" s="50"/>
      <c r="AE1938" s="50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65"/>
      <c r="AP1938" s="69"/>
      <c r="AQ1938" s="62"/>
      <c r="AR1938" s="34"/>
    </row>
    <row r="1939" spans="1:44" customFormat="1">
      <c r="A1939" s="39">
        <v>45725</v>
      </c>
      <c r="B1939" s="11" t="s">
        <v>49</v>
      </c>
      <c r="C1939" s="16" t="s">
        <v>2207</v>
      </c>
      <c r="D1939" s="16" t="s">
        <v>8311</v>
      </c>
      <c r="E1939" s="38">
        <v>30368</v>
      </c>
      <c r="F1939" s="38" t="s">
        <v>1909</v>
      </c>
      <c r="G1939" s="10" t="s">
        <v>5879</v>
      </c>
      <c r="H1939" s="12" t="s">
        <v>2208</v>
      </c>
      <c r="I1939" s="13" t="s">
        <v>8312</v>
      </c>
      <c r="J1939" s="15" t="s">
        <v>8313</v>
      </c>
      <c r="K1939" s="12"/>
      <c r="L1939" s="11" t="s">
        <v>33</v>
      </c>
      <c r="M1939" s="15"/>
      <c r="N1939" s="17">
        <v>16500</v>
      </c>
      <c r="O1939" s="17" t="s">
        <v>8506</v>
      </c>
      <c r="P1939" s="17">
        <v>45066</v>
      </c>
      <c r="Q1939" s="48" t="s">
        <v>8098</v>
      </c>
      <c r="R1939" s="11" t="s">
        <v>6943</v>
      </c>
      <c r="S1939" s="48" t="s">
        <v>8102</v>
      </c>
      <c r="T1939" s="85" t="s">
        <v>8073</v>
      </c>
      <c r="U1939" s="88"/>
      <c r="V1939" s="32" t="s">
        <v>8314</v>
      </c>
      <c r="W1939" s="25" t="s">
        <v>48</v>
      </c>
      <c r="X1939" s="11"/>
      <c r="Y1939" s="50" t="s">
        <v>12</v>
      </c>
      <c r="Z1939" s="50"/>
      <c r="AA1939" s="50"/>
      <c r="AB1939" s="50"/>
      <c r="AC1939" s="50"/>
      <c r="AD1939" s="50"/>
      <c r="AE1939" s="50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65"/>
      <c r="AP1939" s="69"/>
      <c r="AQ1939" s="62"/>
      <c r="AR1939" s="34"/>
    </row>
    <row r="1940" spans="1:44" customFormat="1">
      <c r="A1940" s="39">
        <v>45740</v>
      </c>
      <c r="B1940" s="11" t="s">
        <v>22</v>
      </c>
      <c r="C1940" s="16" t="s">
        <v>8315</v>
      </c>
      <c r="D1940" s="16" t="s">
        <v>8316</v>
      </c>
      <c r="E1940" s="38">
        <v>23389</v>
      </c>
      <c r="F1940" s="38" t="s">
        <v>1909</v>
      </c>
      <c r="G1940" s="10" t="s">
        <v>1020</v>
      </c>
      <c r="H1940" s="22" t="s">
        <v>8317</v>
      </c>
      <c r="I1940" s="13">
        <v>11.7</v>
      </c>
      <c r="J1940" s="15" t="s">
        <v>8318</v>
      </c>
      <c r="K1940" s="46" t="s">
        <v>8319</v>
      </c>
      <c r="L1940" s="11" t="s">
        <v>33</v>
      </c>
      <c r="M1940" s="15" t="s">
        <v>3584</v>
      </c>
      <c r="N1940" s="17">
        <v>0</v>
      </c>
      <c r="O1940" s="17" t="s">
        <v>8320</v>
      </c>
      <c r="P1940" s="17"/>
      <c r="Q1940" s="48" t="s">
        <v>8098</v>
      </c>
      <c r="R1940" s="11" t="s">
        <v>6847</v>
      </c>
      <c r="S1940" s="48" t="s">
        <v>8099</v>
      </c>
      <c r="T1940" s="85" t="s">
        <v>81</v>
      </c>
      <c r="U1940" s="88"/>
      <c r="V1940" s="32"/>
      <c r="W1940" s="25" t="s">
        <v>8162</v>
      </c>
      <c r="X1940" s="11"/>
      <c r="Y1940" s="50"/>
      <c r="Z1940" s="50"/>
      <c r="AA1940" s="50"/>
      <c r="AB1940" s="50"/>
      <c r="AC1940" s="50"/>
      <c r="AD1940" s="50"/>
      <c r="AE1940" s="50"/>
      <c r="AF1940" s="34" t="s">
        <v>8114</v>
      </c>
      <c r="AG1940" s="34"/>
      <c r="AH1940" s="34"/>
      <c r="AI1940" s="34"/>
      <c r="AJ1940" s="34"/>
      <c r="AK1940" s="34"/>
      <c r="AL1940" s="34" t="s">
        <v>8173</v>
      </c>
      <c r="AM1940" s="34"/>
      <c r="AN1940" s="34"/>
      <c r="AO1940" s="65" t="s">
        <v>5822</v>
      </c>
      <c r="AP1940" s="69"/>
      <c r="AQ1940" s="62"/>
      <c r="AR1940" s="34"/>
    </row>
    <row r="1941" spans="1:44" customFormat="1">
      <c r="A1941" s="39">
        <v>45740</v>
      </c>
      <c r="B1941" s="11" t="s">
        <v>22</v>
      </c>
      <c r="C1941" s="16" t="s">
        <v>8321</v>
      </c>
      <c r="D1941" s="16" t="s">
        <v>8322</v>
      </c>
      <c r="E1941" s="38">
        <v>25227</v>
      </c>
      <c r="F1941" s="38" t="s">
        <v>1910</v>
      </c>
      <c r="G1941" s="10" t="s">
        <v>1020</v>
      </c>
      <c r="H1941" s="22" t="s">
        <v>8317</v>
      </c>
      <c r="I1941" s="13">
        <v>11.7</v>
      </c>
      <c r="J1941" s="15" t="s">
        <v>8323</v>
      </c>
      <c r="K1941" s="12"/>
      <c r="L1941" s="11" t="s">
        <v>33</v>
      </c>
      <c r="M1941" s="15" t="s">
        <v>3629</v>
      </c>
      <c r="N1941" s="17">
        <v>0</v>
      </c>
      <c r="O1941" s="17" t="s">
        <v>8320</v>
      </c>
      <c r="P1941" s="17"/>
      <c r="Q1941" s="48" t="s">
        <v>8098</v>
      </c>
      <c r="R1941" s="11" t="s">
        <v>6847</v>
      </c>
      <c r="S1941" s="48" t="s">
        <v>8099</v>
      </c>
      <c r="T1941" s="85" t="s">
        <v>81</v>
      </c>
      <c r="U1941" s="88"/>
      <c r="V1941" s="32"/>
      <c r="W1941" s="25" t="s">
        <v>8162</v>
      </c>
      <c r="X1941" s="11"/>
      <c r="Y1941" s="50"/>
      <c r="Z1941" s="50"/>
      <c r="AA1941" s="50"/>
      <c r="AB1941" s="50"/>
      <c r="AC1941" s="50"/>
      <c r="AD1941" s="50"/>
      <c r="AE1941" s="50"/>
      <c r="AF1941" s="34" t="s">
        <v>8114</v>
      </c>
      <c r="AG1941" s="34"/>
      <c r="AH1941" s="34"/>
      <c r="AI1941" s="34"/>
      <c r="AJ1941" s="34"/>
      <c r="AK1941" s="34"/>
      <c r="AL1941" s="34" t="s">
        <v>8173</v>
      </c>
      <c r="AM1941" s="34" t="s">
        <v>8130</v>
      </c>
      <c r="AN1941" s="34"/>
      <c r="AO1941" s="65" t="s">
        <v>5822</v>
      </c>
      <c r="AP1941" s="69"/>
      <c r="AQ1941" s="62"/>
      <c r="AR1941" s="34"/>
    </row>
    <row r="1942" spans="1:44" customFormat="1">
      <c r="A1942" s="39">
        <v>45740</v>
      </c>
      <c r="B1942" s="11" t="s">
        <v>49</v>
      </c>
      <c r="C1942" s="16" t="s">
        <v>8324</v>
      </c>
      <c r="D1942" s="16" t="s">
        <v>8325</v>
      </c>
      <c r="E1942" s="38"/>
      <c r="F1942" s="38" t="s">
        <v>1909</v>
      </c>
      <c r="G1942" s="10" t="s">
        <v>3744</v>
      </c>
      <c r="H1942" s="12" t="s">
        <v>8326</v>
      </c>
      <c r="I1942" s="13">
        <v>46</v>
      </c>
      <c r="J1942" s="15" t="s">
        <v>3746</v>
      </c>
      <c r="K1942" s="12"/>
      <c r="L1942" s="11" t="s">
        <v>34</v>
      </c>
      <c r="M1942" s="15" t="s">
        <v>3599</v>
      </c>
      <c r="N1942" s="17">
        <v>16500</v>
      </c>
      <c r="O1942" s="17"/>
      <c r="P1942" s="17"/>
      <c r="Q1942" s="48" t="s">
        <v>8098</v>
      </c>
      <c r="R1942" s="11" t="s">
        <v>6849</v>
      </c>
      <c r="S1942" s="48" t="s">
        <v>8099</v>
      </c>
      <c r="T1942" s="85" t="s">
        <v>8073</v>
      </c>
      <c r="U1942" s="88"/>
      <c r="V1942" s="32"/>
      <c r="W1942" s="25" t="s">
        <v>8162</v>
      </c>
      <c r="X1942" s="11" t="s">
        <v>8327</v>
      </c>
      <c r="Y1942" s="50" t="s">
        <v>13</v>
      </c>
      <c r="Z1942" s="50"/>
      <c r="AA1942" s="50"/>
      <c r="AB1942" s="50"/>
      <c r="AC1942" s="50"/>
      <c r="AD1942" s="50"/>
      <c r="AE1942" s="50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65"/>
      <c r="AP1942" s="69"/>
      <c r="AQ1942" s="62"/>
      <c r="AR1942" s="34"/>
    </row>
    <row r="1943" spans="1:44" customFormat="1">
      <c r="A1943" s="39">
        <v>45749</v>
      </c>
      <c r="B1943" s="11" t="s">
        <v>22</v>
      </c>
      <c r="C1943" s="16" t="s">
        <v>8328</v>
      </c>
      <c r="D1943" s="16" t="s">
        <v>8329</v>
      </c>
      <c r="E1943" s="38"/>
      <c r="F1943" s="38" t="s">
        <v>1909</v>
      </c>
      <c r="G1943" s="10" t="s">
        <v>2789</v>
      </c>
      <c r="H1943" s="12" t="s">
        <v>8331</v>
      </c>
      <c r="I1943" s="13">
        <v>3.8</v>
      </c>
      <c r="J1943" s="15" t="s">
        <v>8330</v>
      </c>
      <c r="K1943" s="46" t="s">
        <v>8332</v>
      </c>
      <c r="L1943" s="11"/>
      <c r="M1943" s="15"/>
      <c r="N1943" s="17">
        <v>0</v>
      </c>
      <c r="O1943" s="17" t="s">
        <v>3282</v>
      </c>
      <c r="P1943" s="17"/>
      <c r="Q1943" s="48"/>
      <c r="R1943" s="11" t="s">
        <v>6847</v>
      </c>
      <c r="S1943" s="48" t="s">
        <v>8099</v>
      </c>
      <c r="T1943" s="85"/>
      <c r="U1943" s="88"/>
      <c r="V1943" s="32"/>
      <c r="W1943" s="25" t="s">
        <v>8255</v>
      </c>
      <c r="X1943" s="11" t="s">
        <v>3282</v>
      </c>
      <c r="Y1943" s="50"/>
      <c r="Z1943" s="50"/>
      <c r="AA1943" s="50"/>
      <c r="AB1943" s="50"/>
      <c r="AC1943" s="50"/>
      <c r="AD1943" s="50"/>
      <c r="AE1943" s="50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65" t="s">
        <v>6454</v>
      </c>
      <c r="AP1943" s="69"/>
      <c r="AQ1943" s="62"/>
      <c r="AR1943" s="34"/>
    </row>
    <row r="1944" spans="1:44" customFormat="1">
      <c r="A1944" s="39">
        <v>45750</v>
      </c>
      <c r="B1944" s="11" t="s">
        <v>22</v>
      </c>
      <c r="C1944" s="16" t="s">
        <v>8333</v>
      </c>
      <c r="D1944" s="16" t="s">
        <v>8334</v>
      </c>
      <c r="E1944" s="38">
        <v>27267</v>
      </c>
      <c r="F1944" s="38" t="s">
        <v>1909</v>
      </c>
      <c r="G1944" s="10" t="s">
        <v>8335</v>
      </c>
      <c r="H1944" s="22" t="s">
        <v>8336</v>
      </c>
      <c r="I1944" s="13">
        <v>5.3</v>
      </c>
      <c r="J1944" s="15" t="s">
        <v>8337</v>
      </c>
      <c r="K1944" s="46" t="s">
        <v>8338</v>
      </c>
      <c r="L1944" s="11" t="s">
        <v>33</v>
      </c>
      <c r="M1944" s="15" t="s">
        <v>3584</v>
      </c>
      <c r="N1944" s="17">
        <v>0</v>
      </c>
      <c r="O1944" s="17" t="s">
        <v>3282</v>
      </c>
      <c r="P1944" s="17"/>
      <c r="Q1944" s="47"/>
      <c r="R1944" s="11" t="s">
        <v>6847</v>
      </c>
      <c r="S1944" s="48" t="s">
        <v>8099</v>
      </c>
      <c r="T1944" s="48" t="s">
        <v>81</v>
      </c>
      <c r="U1944" s="88"/>
      <c r="V1944" s="32"/>
      <c r="W1944" s="25" t="s">
        <v>8162</v>
      </c>
      <c r="X1944" s="11"/>
      <c r="Y1944" s="50"/>
      <c r="Z1944" s="50"/>
      <c r="AA1944" s="50"/>
      <c r="AB1944" s="50"/>
      <c r="AC1944" s="50"/>
      <c r="AD1944" s="50"/>
      <c r="AE1944" s="50"/>
      <c r="AF1944" s="34" t="s">
        <v>8114</v>
      </c>
      <c r="AG1944" s="34"/>
      <c r="AH1944" s="34"/>
      <c r="AI1944" s="34"/>
      <c r="AJ1944" s="34"/>
      <c r="AK1944" s="34"/>
      <c r="AL1944" s="34" t="s">
        <v>8173</v>
      </c>
      <c r="AM1944" s="34" t="s">
        <v>8130</v>
      </c>
      <c r="AN1944" s="34"/>
      <c r="AO1944" s="65" t="s">
        <v>5822</v>
      </c>
      <c r="AP1944" s="69"/>
      <c r="AQ1944" s="62"/>
      <c r="AR1944" s="34"/>
    </row>
    <row r="1945" spans="1:44" customFormat="1">
      <c r="A1945" s="39">
        <v>45752</v>
      </c>
      <c r="B1945" s="11" t="s">
        <v>49</v>
      </c>
      <c r="C1945" s="16" t="s">
        <v>7920</v>
      </c>
      <c r="D1945" s="16" t="s">
        <v>7357</v>
      </c>
      <c r="E1945" s="38" t="s">
        <v>7040</v>
      </c>
      <c r="F1945" s="38"/>
      <c r="G1945" s="10"/>
      <c r="H1945" s="22"/>
      <c r="I1945" s="13"/>
      <c r="J1945" s="15"/>
      <c r="K1945" s="46"/>
      <c r="L1945" s="11"/>
      <c r="M1945" s="15"/>
      <c r="N1945" s="17"/>
      <c r="O1945" s="17" t="s">
        <v>8506</v>
      </c>
      <c r="P1945" s="17" t="s">
        <v>8367</v>
      </c>
      <c r="Q1945" s="47"/>
      <c r="R1945" s="11"/>
      <c r="S1945" s="48"/>
      <c r="T1945" s="48" t="s">
        <v>8073</v>
      </c>
      <c r="U1945" s="88"/>
      <c r="V1945" s="32"/>
      <c r="W1945" s="25"/>
      <c r="X1945" s="11"/>
      <c r="Y1945" s="50"/>
      <c r="Z1945" s="50"/>
      <c r="AA1945" s="50"/>
      <c r="AB1945" s="50"/>
      <c r="AC1945" s="50"/>
      <c r="AD1945" s="50"/>
      <c r="AE1945" s="50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65"/>
      <c r="AP1945" s="69"/>
      <c r="AQ1945" s="62"/>
      <c r="AR1945" s="34"/>
    </row>
    <row r="1946" spans="1:44" customFormat="1">
      <c r="A1946" s="39">
        <v>45752</v>
      </c>
      <c r="B1946" s="11" t="s">
        <v>22</v>
      </c>
      <c r="C1946" s="16" t="s">
        <v>8340</v>
      </c>
      <c r="D1946" s="16" t="s">
        <v>8341</v>
      </c>
      <c r="E1946" s="38">
        <v>23827</v>
      </c>
      <c r="F1946" s="38" t="s">
        <v>1909</v>
      </c>
      <c r="G1946" s="10" t="s">
        <v>1763</v>
      </c>
      <c r="H1946" s="22" t="s">
        <v>8342</v>
      </c>
      <c r="I1946" s="13">
        <v>1.2</v>
      </c>
      <c r="J1946" s="15" t="s">
        <v>8343</v>
      </c>
      <c r="K1946" s="46" t="s">
        <v>8344</v>
      </c>
      <c r="L1946" s="11" t="s">
        <v>36</v>
      </c>
      <c r="M1946" s="15" t="s">
        <v>3599</v>
      </c>
      <c r="N1946" s="17">
        <v>0</v>
      </c>
      <c r="O1946" s="17" t="s">
        <v>8345</v>
      </c>
      <c r="P1946" s="17"/>
      <c r="Q1946" s="48"/>
      <c r="R1946" s="48" t="s">
        <v>8100</v>
      </c>
      <c r="S1946" s="48" t="s">
        <v>8099</v>
      </c>
      <c r="T1946" s="85"/>
      <c r="U1946" s="88"/>
      <c r="V1946" s="32"/>
      <c r="W1946" s="25" t="s">
        <v>8113</v>
      </c>
      <c r="X1946" s="11"/>
      <c r="Y1946" s="50"/>
      <c r="Z1946" s="50"/>
      <c r="AA1946" s="50"/>
      <c r="AB1946" s="50"/>
      <c r="AC1946" s="50"/>
      <c r="AD1946" s="50"/>
      <c r="AE1946" s="50"/>
      <c r="AF1946" s="34" t="s">
        <v>8114</v>
      </c>
      <c r="AG1946" s="34"/>
      <c r="AH1946" s="34"/>
      <c r="AI1946" s="34"/>
      <c r="AJ1946" s="34"/>
      <c r="AK1946" s="34"/>
      <c r="AL1946" s="34" t="s">
        <v>8173</v>
      </c>
      <c r="AM1946" s="34"/>
      <c r="AN1946" s="34"/>
      <c r="AO1946" s="65" t="s">
        <v>5822</v>
      </c>
      <c r="AP1946" s="69"/>
      <c r="AQ1946" s="62"/>
      <c r="AR1946" s="34"/>
    </row>
    <row r="1947" spans="1:44" customFormat="1">
      <c r="A1947" s="39">
        <v>45752</v>
      </c>
      <c r="B1947" s="11" t="s">
        <v>22</v>
      </c>
      <c r="C1947" s="16" t="s">
        <v>8346</v>
      </c>
      <c r="D1947" s="16" t="s">
        <v>8347</v>
      </c>
      <c r="E1947" s="38">
        <v>23763</v>
      </c>
      <c r="F1947" s="38" t="s">
        <v>1910</v>
      </c>
      <c r="G1947" s="10" t="s">
        <v>148</v>
      </c>
      <c r="H1947" s="22" t="s">
        <v>8348</v>
      </c>
      <c r="I1947" s="13">
        <v>0.18</v>
      </c>
      <c r="J1947" s="15" t="s">
        <v>8349</v>
      </c>
      <c r="K1947" s="12"/>
      <c r="L1947" s="11" t="s">
        <v>36</v>
      </c>
      <c r="M1947" s="15" t="s">
        <v>3629</v>
      </c>
      <c r="N1947" s="17">
        <v>3000</v>
      </c>
      <c r="O1947" s="17"/>
      <c r="P1947" s="17"/>
      <c r="Q1947" s="48" t="s">
        <v>8097</v>
      </c>
      <c r="R1947" s="48" t="s">
        <v>8100</v>
      </c>
      <c r="S1947" s="48" t="s">
        <v>8099</v>
      </c>
      <c r="T1947" s="85" t="s">
        <v>8366</v>
      </c>
      <c r="U1947" s="88"/>
      <c r="V1947" s="32"/>
      <c r="W1947" s="25" t="s">
        <v>8113</v>
      </c>
      <c r="X1947" s="11"/>
      <c r="Y1947" s="50"/>
      <c r="Z1947" s="50"/>
      <c r="AA1947" s="50"/>
      <c r="AB1947" s="50"/>
      <c r="AC1947" s="50"/>
      <c r="AD1947" s="50"/>
      <c r="AE1947" s="50"/>
      <c r="AF1947" s="34" t="s">
        <v>8250</v>
      </c>
      <c r="AG1947" s="34"/>
      <c r="AH1947" s="34"/>
      <c r="AI1947" s="34"/>
      <c r="AJ1947" s="34"/>
      <c r="AK1947" s="34"/>
      <c r="AL1947" s="34" t="s">
        <v>8175</v>
      </c>
      <c r="AM1947" s="34"/>
      <c r="AN1947" s="34"/>
      <c r="AO1947" s="65" t="s">
        <v>5822</v>
      </c>
      <c r="AP1947" s="69"/>
      <c r="AQ1947" s="62"/>
      <c r="AR1947" s="34"/>
    </row>
    <row r="1948" spans="1:44" customFormat="1">
      <c r="A1948" s="39">
        <v>45752</v>
      </c>
      <c r="B1948" s="11" t="s">
        <v>22</v>
      </c>
      <c r="C1948" s="16" t="s">
        <v>8350</v>
      </c>
      <c r="D1948" s="16" t="s">
        <v>8351</v>
      </c>
      <c r="E1948" s="38">
        <v>34913</v>
      </c>
      <c r="F1948" s="38" t="s">
        <v>1910</v>
      </c>
      <c r="G1948" s="10" t="s">
        <v>196</v>
      </c>
      <c r="H1948" s="22" t="s">
        <v>8352</v>
      </c>
      <c r="I1948" s="13">
        <v>3.3</v>
      </c>
      <c r="J1948" s="15" t="s">
        <v>8353</v>
      </c>
      <c r="K1948" s="12"/>
      <c r="L1948" s="11" t="s">
        <v>36</v>
      </c>
      <c r="M1948" s="15" t="s">
        <v>3629</v>
      </c>
      <c r="N1948" s="17">
        <v>3000</v>
      </c>
      <c r="O1948" s="17"/>
      <c r="P1948" s="17"/>
      <c r="Q1948" s="48" t="s">
        <v>8097</v>
      </c>
      <c r="R1948" s="11" t="s">
        <v>6943</v>
      </c>
      <c r="S1948" s="48" t="s">
        <v>8099</v>
      </c>
      <c r="T1948" s="85" t="s">
        <v>8366</v>
      </c>
      <c r="U1948" s="88"/>
      <c r="V1948" s="32"/>
      <c r="W1948" s="25" t="s">
        <v>8113</v>
      </c>
      <c r="X1948" s="11"/>
      <c r="Y1948" s="50"/>
      <c r="Z1948" s="50"/>
      <c r="AA1948" s="50"/>
      <c r="AB1948" s="50"/>
      <c r="AC1948" s="50"/>
      <c r="AD1948" s="50"/>
      <c r="AE1948" s="50"/>
      <c r="AF1948" s="34" t="s">
        <v>8250</v>
      </c>
      <c r="AG1948" s="34"/>
      <c r="AH1948" s="34"/>
      <c r="AI1948" s="34"/>
      <c r="AJ1948" s="34"/>
      <c r="AK1948" s="34"/>
      <c r="AL1948" s="34" t="s">
        <v>8175</v>
      </c>
      <c r="AM1948" s="34"/>
      <c r="AN1948" s="34"/>
      <c r="AO1948" s="65" t="s">
        <v>5822</v>
      </c>
      <c r="AP1948" s="69"/>
      <c r="AQ1948" s="62"/>
      <c r="AR1948" s="34"/>
    </row>
    <row r="1949" spans="1:44" customFormat="1">
      <c r="A1949" s="39">
        <v>45753</v>
      </c>
      <c r="B1949" s="11" t="s">
        <v>49</v>
      </c>
      <c r="C1949" s="16" t="s">
        <v>7920</v>
      </c>
      <c r="D1949" s="16" t="s">
        <v>7357</v>
      </c>
      <c r="E1949" s="38" t="s">
        <v>7777</v>
      </c>
      <c r="F1949" s="38"/>
      <c r="G1949" s="10"/>
      <c r="H1949" s="22"/>
      <c r="I1949" s="13"/>
      <c r="J1949" s="15"/>
      <c r="K1949" s="12"/>
      <c r="L1949" s="11"/>
      <c r="M1949" s="15"/>
      <c r="N1949" s="17"/>
      <c r="O1949" s="17"/>
      <c r="P1949" s="17"/>
      <c r="Q1949" s="48"/>
      <c r="R1949" s="11"/>
      <c r="S1949" s="48"/>
      <c r="T1949" s="85" t="s">
        <v>8073</v>
      </c>
      <c r="U1949" s="88"/>
      <c r="V1949" s="32"/>
      <c r="W1949" s="25"/>
      <c r="X1949" s="11"/>
      <c r="Y1949" s="50"/>
      <c r="Z1949" s="50"/>
      <c r="AA1949" s="50"/>
      <c r="AB1949" s="50"/>
      <c r="AC1949" s="50"/>
      <c r="AD1949" s="50"/>
      <c r="AE1949" s="50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65"/>
      <c r="AP1949" s="69"/>
      <c r="AQ1949" s="62"/>
      <c r="AR1949" s="34"/>
    </row>
    <row r="1950" spans="1:44" customFormat="1">
      <c r="A1950" s="39">
        <v>45753</v>
      </c>
      <c r="B1950" s="11" t="s">
        <v>22</v>
      </c>
      <c r="C1950" s="16" t="s">
        <v>8354</v>
      </c>
      <c r="D1950" s="16" t="s">
        <v>8355</v>
      </c>
      <c r="E1950" s="38">
        <v>29857</v>
      </c>
      <c r="F1950" s="38" t="s">
        <v>1909</v>
      </c>
      <c r="G1950" s="10" t="s">
        <v>328</v>
      </c>
      <c r="H1950" s="22" t="s">
        <v>8356</v>
      </c>
      <c r="I1950" s="13" t="s">
        <v>1686</v>
      </c>
      <c r="J1950" s="15" t="s">
        <v>8357</v>
      </c>
      <c r="K1950" s="46" t="s">
        <v>8358</v>
      </c>
      <c r="L1950" s="11" t="s">
        <v>36</v>
      </c>
      <c r="M1950" s="15" t="s">
        <v>3629</v>
      </c>
      <c r="N1950" s="17">
        <v>3000</v>
      </c>
      <c r="O1950" s="17"/>
      <c r="P1950" s="17"/>
      <c r="Q1950" s="48" t="s">
        <v>8097</v>
      </c>
      <c r="R1950" s="11" t="s">
        <v>6848</v>
      </c>
      <c r="S1950" s="48" t="s">
        <v>8101</v>
      </c>
      <c r="T1950" s="85" t="s">
        <v>8085</v>
      </c>
      <c r="U1950" s="88"/>
      <c r="V1950" s="32" t="s">
        <v>8389</v>
      </c>
      <c r="W1950" s="25" t="s">
        <v>8113</v>
      </c>
      <c r="X1950" s="11"/>
      <c r="Y1950" s="50"/>
      <c r="Z1950" s="50"/>
      <c r="AA1950" s="50"/>
      <c r="AB1950" s="50"/>
      <c r="AC1950" s="50"/>
      <c r="AD1950" s="50"/>
      <c r="AE1950" s="50"/>
      <c r="AF1950" s="34" t="s">
        <v>8114</v>
      </c>
      <c r="AG1950" s="34"/>
      <c r="AH1950" s="34"/>
      <c r="AI1950" s="34"/>
      <c r="AJ1950" s="34"/>
      <c r="AK1950" s="34"/>
      <c r="AL1950" s="34"/>
      <c r="AM1950" s="34"/>
      <c r="AN1950" s="34"/>
      <c r="AO1950" s="65"/>
      <c r="AP1950" s="69"/>
      <c r="AQ1950" s="62"/>
      <c r="AR1950" s="34"/>
    </row>
    <row r="1951" spans="1:44" customFormat="1">
      <c r="A1951" s="39">
        <v>45754</v>
      </c>
      <c r="B1951" s="11" t="s">
        <v>22</v>
      </c>
      <c r="C1951" s="16" t="s">
        <v>8359</v>
      </c>
      <c r="D1951" s="16" t="s">
        <v>8361</v>
      </c>
      <c r="E1951" s="38">
        <v>20742</v>
      </c>
      <c r="F1951" s="38" t="s">
        <v>1909</v>
      </c>
      <c r="G1951" s="10" t="s">
        <v>8362</v>
      </c>
      <c r="H1951" s="22" t="s">
        <v>8363</v>
      </c>
      <c r="I1951" s="13" t="s">
        <v>1663</v>
      </c>
      <c r="J1951" s="15" t="s">
        <v>8364</v>
      </c>
      <c r="K1951" s="46" t="s">
        <v>8365</v>
      </c>
      <c r="L1951" s="11" t="s">
        <v>39</v>
      </c>
      <c r="M1951" s="15" t="s">
        <v>3584</v>
      </c>
      <c r="N1951" s="17">
        <v>0</v>
      </c>
      <c r="O1951" s="17" t="s">
        <v>3282</v>
      </c>
      <c r="P1951" s="17"/>
      <c r="Q1951" s="48"/>
      <c r="R1951" s="11" t="s">
        <v>6943</v>
      </c>
      <c r="S1951" s="48" t="s">
        <v>8102</v>
      </c>
      <c r="T1951" s="85" t="s">
        <v>81</v>
      </c>
      <c r="U1951" s="88"/>
      <c r="V1951" s="32"/>
      <c r="W1951" s="25" t="s">
        <v>8113</v>
      </c>
      <c r="X1951" s="11"/>
      <c r="Y1951" s="50"/>
      <c r="Z1951" s="50"/>
      <c r="AA1951" s="50"/>
      <c r="AB1951" s="50"/>
      <c r="AC1951" s="50"/>
      <c r="AD1951" s="50"/>
      <c r="AE1951" s="50"/>
      <c r="AF1951" s="34" t="s">
        <v>8187</v>
      </c>
      <c r="AG1951" s="34"/>
      <c r="AH1951" s="34"/>
      <c r="AI1951" s="34"/>
      <c r="AJ1951" s="34"/>
      <c r="AK1951" s="34"/>
      <c r="AL1951" s="34"/>
      <c r="AM1951" s="34"/>
      <c r="AN1951" s="34"/>
      <c r="AO1951" s="65" t="s">
        <v>5822</v>
      </c>
      <c r="AP1951" s="69" t="s">
        <v>8360</v>
      </c>
      <c r="AQ1951" s="62"/>
      <c r="AR1951" s="34"/>
    </row>
    <row r="1952" spans="1:44" customFormat="1">
      <c r="A1952" s="39">
        <v>45757</v>
      </c>
      <c r="B1952" s="11" t="s">
        <v>22</v>
      </c>
      <c r="C1952" s="16" t="s">
        <v>8368</v>
      </c>
      <c r="D1952" s="16" t="s">
        <v>8369</v>
      </c>
      <c r="E1952" s="38">
        <v>34024</v>
      </c>
      <c r="F1952" s="38" t="s">
        <v>1909</v>
      </c>
      <c r="G1952" s="10" t="s">
        <v>293</v>
      </c>
      <c r="H1952" s="22" t="s">
        <v>8370</v>
      </c>
      <c r="I1952" s="13">
        <v>3.9</v>
      </c>
      <c r="J1952" s="15" t="s">
        <v>8371</v>
      </c>
      <c r="K1952" s="46" t="s">
        <v>8372</v>
      </c>
      <c r="L1952" s="11" t="s">
        <v>36</v>
      </c>
      <c r="M1952" s="15" t="s">
        <v>3584</v>
      </c>
      <c r="N1952" s="17">
        <v>0</v>
      </c>
      <c r="O1952" s="17" t="s">
        <v>3282</v>
      </c>
      <c r="P1952" s="17"/>
      <c r="Q1952" s="48"/>
      <c r="R1952" s="11" t="s">
        <v>6848</v>
      </c>
      <c r="S1952" s="48" t="s">
        <v>8099</v>
      </c>
      <c r="T1952" s="85"/>
      <c r="U1952" s="88"/>
      <c r="V1952" s="32"/>
      <c r="W1952" s="11" t="s">
        <v>3282</v>
      </c>
      <c r="X1952" s="11"/>
      <c r="Y1952" s="50"/>
      <c r="Z1952" s="50"/>
      <c r="AA1952" s="50"/>
      <c r="AB1952" s="50"/>
      <c r="AC1952" s="50"/>
      <c r="AD1952" s="50"/>
      <c r="AE1952" s="50"/>
      <c r="AF1952" s="34" t="s">
        <v>8114</v>
      </c>
      <c r="AG1952" s="34" t="s">
        <v>8117</v>
      </c>
      <c r="AH1952" s="34" t="s">
        <v>8164</v>
      </c>
      <c r="AI1952" s="34"/>
      <c r="AJ1952" s="34"/>
      <c r="AK1952" s="34"/>
      <c r="AL1952" s="34" t="s">
        <v>8173</v>
      </c>
      <c r="AM1952" s="34" t="s">
        <v>8188</v>
      </c>
      <c r="AN1952" s="34" t="s">
        <v>8175</v>
      </c>
      <c r="AO1952" s="65" t="s">
        <v>5822</v>
      </c>
      <c r="AP1952" s="69"/>
      <c r="AQ1952" s="62"/>
      <c r="AR1952" s="34"/>
    </row>
    <row r="1953" spans="1:44" customFormat="1">
      <c r="A1953" s="39">
        <v>45758</v>
      </c>
      <c r="B1953" s="11" t="s">
        <v>22</v>
      </c>
      <c r="C1953" s="16" t="s">
        <v>8374</v>
      </c>
      <c r="D1953" s="16" t="s">
        <v>8375</v>
      </c>
      <c r="E1953" s="38">
        <v>31826</v>
      </c>
      <c r="F1953" s="38" t="s">
        <v>1909</v>
      </c>
      <c r="G1953" s="10" t="s">
        <v>6577</v>
      </c>
      <c r="H1953" s="12" t="s">
        <v>8376</v>
      </c>
      <c r="I1953" s="13" t="s">
        <v>8379</v>
      </c>
      <c r="J1953" s="15" t="s">
        <v>8377</v>
      </c>
      <c r="K1953" s="46" t="s">
        <v>8378</v>
      </c>
      <c r="L1953" s="11" t="s">
        <v>36</v>
      </c>
      <c r="M1953" s="15" t="s">
        <v>3584</v>
      </c>
      <c r="N1953" s="17">
        <v>3300</v>
      </c>
      <c r="O1953" s="17"/>
      <c r="P1953" s="17"/>
      <c r="Q1953" s="48" t="s">
        <v>8097</v>
      </c>
      <c r="R1953" s="11" t="s">
        <v>6848</v>
      </c>
      <c r="S1953" s="48" t="s">
        <v>8101</v>
      </c>
      <c r="T1953" s="85"/>
      <c r="U1953" s="88"/>
      <c r="V1953" s="32" t="s">
        <v>8380</v>
      </c>
      <c r="W1953" s="25" t="s">
        <v>48</v>
      </c>
      <c r="X1953" s="11"/>
      <c r="Y1953" s="50"/>
      <c r="Z1953" s="50"/>
      <c r="AA1953" s="50"/>
      <c r="AB1953" s="50"/>
      <c r="AC1953" s="50"/>
      <c r="AD1953" s="50"/>
      <c r="AE1953" s="50"/>
      <c r="AF1953" s="34" t="s">
        <v>8114</v>
      </c>
      <c r="AG1953" s="34"/>
      <c r="AH1953" s="34"/>
      <c r="AI1953" s="34"/>
      <c r="AJ1953" s="34"/>
      <c r="AK1953" s="34"/>
      <c r="AL1953" s="34"/>
      <c r="AM1953" s="34"/>
      <c r="AN1953" s="34"/>
      <c r="AO1953" s="65" t="s">
        <v>5822</v>
      </c>
      <c r="AP1953" s="69"/>
      <c r="AQ1953" s="62"/>
      <c r="AR1953" s="34"/>
    </row>
    <row r="1954" spans="1:44" customFormat="1">
      <c r="A1954" s="39">
        <v>45760</v>
      </c>
      <c r="B1954" s="11" t="s">
        <v>49</v>
      </c>
      <c r="C1954" s="16" t="s">
        <v>7727</v>
      </c>
      <c r="D1954" s="16" t="s">
        <v>7728</v>
      </c>
      <c r="E1954" s="38">
        <v>27673</v>
      </c>
      <c r="F1954" s="38" t="s">
        <v>1909</v>
      </c>
      <c r="G1954" s="59" t="s">
        <v>7729</v>
      </c>
      <c r="H1954" s="60" t="s">
        <v>7730</v>
      </c>
      <c r="I1954" s="13">
        <v>50.1</v>
      </c>
      <c r="J1954" s="15" t="s">
        <v>7732</v>
      </c>
      <c r="K1954" s="46" t="s">
        <v>7731</v>
      </c>
      <c r="L1954" s="11" t="s">
        <v>34</v>
      </c>
      <c r="M1954" s="15" t="s">
        <v>3584</v>
      </c>
      <c r="N1954" s="17">
        <v>16500</v>
      </c>
      <c r="O1954" s="17" t="s">
        <v>8506</v>
      </c>
      <c r="P1954" s="17" t="s">
        <v>8381</v>
      </c>
      <c r="Q1954" s="48" t="s">
        <v>8098</v>
      </c>
      <c r="R1954" s="11" t="s">
        <v>6847</v>
      </c>
      <c r="S1954" s="48" t="s">
        <v>8101</v>
      </c>
      <c r="T1954" s="85"/>
      <c r="U1954" s="88"/>
      <c r="V1954" s="32"/>
      <c r="W1954" s="25" t="s">
        <v>3847</v>
      </c>
      <c r="X1954" s="11"/>
      <c r="Y1954" s="50" t="s">
        <v>17</v>
      </c>
      <c r="Z1954" s="50"/>
      <c r="AA1954" s="50"/>
      <c r="AB1954" s="50"/>
      <c r="AC1954" s="50"/>
      <c r="AD1954" s="50"/>
      <c r="AE1954" s="50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65"/>
      <c r="AP1954" s="69"/>
      <c r="AQ1954" s="62"/>
      <c r="AR1954" s="34"/>
    </row>
    <row r="1955" spans="1:44" customFormat="1">
      <c r="A1955" s="39">
        <v>45760</v>
      </c>
      <c r="B1955" s="11" t="s">
        <v>49</v>
      </c>
      <c r="C1955" s="16" t="s">
        <v>8382</v>
      </c>
      <c r="D1955" s="16" t="s">
        <v>8383</v>
      </c>
      <c r="E1955" s="38">
        <v>31152</v>
      </c>
      <c r="F1955" s="38" t="s">
        <v>1909</v>
      </c>
      <c r="G1955" s="10" t="s">
        <v>8385</v>
      </c>
      <c r="H1955" s="12" t="s">
        <v>8384</v>
      </c>
      <c r="I1955" s="13" t="s">
        <v>8386</v>
      </c>
      <c r="J1955" s="15" t="s">
        <v>8387</v>
      </c>
      <c r="K1955" s="46" t="s">
        <v>8388</v>
      </c>
      <c r="L1955" s="11" t="s">
        <v>33</v>
      </c>
      <c r="M1955" s="15" t="s">
        <v>3584</v>
      </c>
      <c r="N1955" s="17">
        <v>16500</v>
      </c>
      <c r="O1955" s="17"/>
      <c r="P1955" s="17"/>
      <c r="Q1955" s="48" t="s">
        <v>8098</v>
      </c>
      <c r="R1955" s="11" t="s">
        <v>6943</v>
      </c>
      <c r="S1955" s="48" t="s">
        <v>8101</v>
      </c>
      <c r="T1955" s="85" t="s">
        <v>8073</v>
      </c>
      <c r="U1955" s="88"/>
      <c r="V1955" s="32"/>
      <c r="W1955" s="25" t="s">
        <v>8162</v>
      </c>
      <c r="X1955" s="11" t="s">
        <v>8390</v>
      </c>
      <c r="Y1955" s="50" t="s">
        <v>13</v>
      </c>
      <c r="Z1955" s="50"/>
      <c r="AA1955" s="50"/>
      <c r="AB1955" s="50"/>
      <c r="AC1955" s="50"/>
      <c r="AD1955" s="50"/>
      <c r="AE1955" s="50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65"/>
      <c r="AP1955" s="69"/>
      <c r="AQ1955" s="62"/>
      <c r="AR1955" s="34"/>
    </row>
    <row r="1956" spans="1:44" customFormat="1">
      <c r="A1956" s="39">
        <v>45761</v>
      </c>
      <c r="B1956" s="11" t="s">
        <v>49</v>
      </c>
      <c r="C1956" s="16" t="s">
        <v>8391</v>
      </c>
      <c r="D1956" s="16" t="s">
        <v>8392</v>
      </c>
      <c r="E1956" s="38">
        <v>24434</v>
      </c>
      <c r="F1956" s="38" t="s">
        <v>1909</v>
      </c>
      <c r="G1956" s="10" t="s">
        <v>8393</v>
      </c>
      <c r="H1956" s="22" t="s">
        <v>8394</v>
      </c>
      <c r="I1956" s="13">
        <v>17.3</v>
      </c>
      <c r="J1956" s="15" t="s">
        <v>8395</v>
      </c>
      <c r="K1956" s="12"/>
      <c r="L1956" s="11" t="s">
        <v>33</v>
      </c>
      <c r="M1956" s="15" t="s">
        <v>3599</v>
      </c>
      <c r="N1956" s="17">
        <v>11000</v>
      </c>
      <c r="O1956" s="17" t="s">
        <v>8234</v>
      </c>
      <c r="P1956" s="17"/>
      <c r="Q1956" s="48" t="s">
        <v>8098</v>
      </c>
      <c r="R1956" s="11" t="s">
        <v>6847</v>
      </c>
      <c r="S1956" s="48" t="s">
        <v>8099</v>
      </c>
      <c r="T1956" s="85" t="s">
        <v>8073</v>
      </c>
      <c r="U1956" s="88"/>
      <c r="V1956" s="32"/>
      <c r="W1956" s="25" t="s">
        <v>8162</v>
      </c>
      <c r="X1956" s="11" t="s">
        <v>8390</v>
      </c>
      <c r="Y1956" s="50" t="s">
        <v>13</v>
      </c>
      <c r="Z1956" s="50" t="s">
        <v>21</v>
      </c>
      <c r="AA1956" s="50"/>
      <c r="AB1956" s="50"/>
      <c r="AC1956" s="50"/>
      <c r="AD1956" s="50"/>
      <c r="AE1956" s="50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65"/>
      <c r="AP1956" s="69"/>
      <c r="AQ1956" s="62"/>
      <c r="AR1956" s="34"/>
    </row>
    <row r="1957" spans="1:44" customFormat="1">
      <c r="A1957" s="39">
        <v>45764</v>
      </c>
      <c r="B1957" s="11" t="s">
        <v>49</v>
      </c>
      <c r="C1957" s="16" t="s">
        <v>7920</v>
      </c>
      <c r="D1957" s="16" t="s">
        <v>8396</v>
      </c>
      <c r="E1957" s="38" t="s">
        <v>7777</v>
      </c>
      <c r="F1957" s="38"/>
      <c r="G1957" s="10"/>
      <c r="H1957" s="12"/>
      <c r="I1957" s="13"/>
      <c r="J1957" s="15"/>
      <c r="K1957" s="12"/>
      <c r="L1957" s="11"/>
      <c r="M1957" s="15"/>
      <c r="N1957" s="17"/>
      <c r="O1957" s="17"/>
      <c r="P1957" s="17"/>
      <c r="Q1957" s="48"/>
      <c r="R1957" s="11" t="s">
        <v>6847</v>
      </c>
      <c r="S1957" s="48" t="s">
        <v>8099</v>
      </c>
      <c r="T1957" s="85" t="s">
        <v>8073</v>
      </c>
      <c r="U1957" s="88"/>
      <c r="V1957" s="32"/>
      <c r="W1957" s="25"/>
      <c r="X1957" s="11"/>
      <c r="Y1957" s="50"/>
      <c r="Z1957" s="50"/>
      <c r="AA1957" s="50"/>
      <c r="AB1957" s="50"/>
      <c r="AC1957" s="50"/>
      <c r="AD1957" s="50"/>
      <c r="AE1957" s="50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65"/>
      <c r="AP1957" s="69"/>
      <c r="AQ1957" s="62"/>
      <c r="AR1957" s="34"/>
    </row>
    <row r="1958" spans="1:44" customFormat="1">
      <c r="A1958" s="39">
        <v>45764</v>
      </c>
      <c r="B1958" s="11" t="s">
        <v>22</v>
      </c>
      <c r="C1958" s="16" t="s">
        <v>8397</v>
      </c>
      <c r="D1958" s="16" t="s">
        <v>8398</v>
      </c>
      <c r="E1958" s="38">
        <v>24108</v>
      </c>
      <c r="F1958" s="38" t="s">
        <v>1909</v>
      </c>
      <c r="G1958" s="10" t="s">
        <v>8399</v>
      </c>
      <c r="H1958" s="22" t="s">
        <v>8400</v>
      </c>
      <c r="I1958" s="13">
        <v>14.4</v>
      </c>
      <c r="J1958" s="15" t="s">
        <v>8401</v>
      </c>
      <c r="K1958" s="12"/>
      <c r="L1958" s="11" t="s">
        <v>34</v>
      </c>
      <c r="M1958" s="15" t="s">
        <v>3599</v>
      </c>
      <c r="N1958" s="17">
        <v>3300</v>
      </c>
      <c r="O1958" s="17"/>
      <c r="P1958" s="17"/>
      <c r="Q1958" s="48" t="s">
        <v>8098</v>
      </c>
      <c r="R1958" s="48" t="s">
        <v>8100</v>
      </c>
      <c r="S1958" s="48" t="s">
        <v>8099</v>
      </c>
      <c r="T1958" s="85" t="s">
        <v>81</v>
      </c>
      <c r="U1958" s="88"/>
      <c r="V1958" s="32"/>
      <c r="W1958" s="25" t="s">
        <v>8113</v>
      </c>
      <c r="X1958" s="11"/>
      <c r="Y1958" s="50"/>
      <c r="Z1958" s="50"/>
      <c r="AA1958" s="50"/>
      <c r="AB1958" s="50"/>
      <c r="AC1958" s="50"/>
      <c r="AD1958" s="50"/>
      <c r="AE1958" s="50"/>
      <c r="AF1958" s="34" t="s">
        <v>8114</v>
      </c>
      <c r="AG1958" s="34"/>
      <c r="AH1958" s="34"/>
      <c r="AI1958" s="34"/>
      <c r="AJ1958" s="34"/>
      <c r="AK1958" s="34"/>
      <c r="AL1958" s="34" t="s">
        <v>8188</v>
      </c>
      <c r="AM1958" s="34"/>
      <c r="AN1958" s="34"/>
      <c r="AO1958" s="65" t="s">
        <v>5822</v>
      </c>
      <c r="AP1958" s="69"/>
      <c r="AQ1958" s="62"/>
      <c r="AR1958" s="34"/>
    </row>
    <row r="1959" spans="1:44" customFormat="1">
      <c r="A1959" s="39">
        <v>45765</v>
      </c>
      <c r="B1959" s="11" t="s">
        <v>49</v>
      </c>
      <c r="C1959" s="16" t="s">
        <v>7686</v>
      </c>
      <c r="D1959" s="16" t="s">
        <v>8402</v>
      </c>
      <c r="E1959" s="38" t="s">
        <v>7040</v>
      </c>
      <c r="F1959" s="38"/>
      <c r="G1959" s="10"/>
      <c r="H1959" s="12"/>
      <c r="I1959" s="13"/>
      <c r="J1959" s="15"/>
      <c r="K1959" s="12"/>
      <c r="L1959" s="11"/>
      <c r="M1959" s="15"/>
      <c r="N1959" s="17"/>
      <c r="O1959" s="17"/>
      <c r="P1959" s="17"/>
      <c r="Q1959" s="48"/>
      <c r="R1959" s="11" t="s">
        <v>6847</v>
      </c>
      <c r="S1959" s="48" t="s">
        <v>8099</v>
      </c>
      <c r="T1959" s="85" t="s">
        <v>8073</v>
      </c>
      <c r="U1959" s="88"/>
      <c r="V1959" s="32"/>
      <c r="W1959" s="25"/>
      <c r="X1959" s="11"/>
      <c r="Y1959" s="50"/>
      <c r="Z1959" s="50"/>
      <c r="AA1959" s="50"/>
      <c r="AB1959" s="50"/>
      <c r="AC1959" s="50"/>
      <c r="AD1959" s="50"/>
      <c r="AE1959" s="50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65"/>
      <c r="AP1959" s="69"/>
      <c r="AQ1959" s="62"/>
      <c r="AR1959" s="34"/>
    </row>
    <row r="1960" spans="1:44" customFormat="1">
      <c r="A1960" s="39">
        <v>45766</v>
      </c>
      <c r="B1960" s="11" t="s">
        <v>49</v>
      </c>
      <c r="C1960" s="16" t="s">
        <v>8403</v>
      </c>
      <c r="D1960" s="16" t="s">
        <v>8404</v>
      </c>
      <c r="E1960" s="38">
        <v>27149</v>
      </c>
      <c r="F1960" s="38" t="s">
        <v>1909</v>
      </c>
      <c r="G1960" s="10" t="s">
        <v>8405</v>
      </c>
      <c r="H1960" s="22" t="s">
        <v>8406</v>
      </c>
      <c r="I1960" s="13">
        <v>51.3</v>
      </c>
      <c r="J1960" s="15" t="s">
        <v>8407</v>
      </c>
      <c r="K1960" s="46" t="s">
        <v>8408</v>
      </c>
      <c r="L1960" s="11" t="s">
        <v>33</v>
      </c>
      <c r="M1960" s="15" t="s">
        <v>3599</v>
      </c>
      <c r="N1960" s="17">
        <v>16500</v>
      </c>
      <c r="O1960" s="17"/>
      <c r="P1960" s="17"/>
      <c r="Q1960" s="48" t="s">
        <v>8098</v>
      </c>
      <c r="R1960" s="11" t="s">
        <v>6848</v>
      </c>
      <c r="S1960" s="48" t="s">
        <v>8099</v>
      </c>
      <c r="T1960" s="85" t="s">
        <v>8073</v>
      </c>
      <c r="U1960" s="88"/>
      <c r="V1960" s="32"/>
      <c r="W1960" s="25" t="s">
        <v>48</v>
      </c>
      <c r="X1960" s="11"/>
      <c r="Y1960" s="50" t="s">
        <v>13</v>
      </c>
      <c r="Z1960" s="50"/>
      <c r="AA1960" s="50"/>
      <c r="AB1960" s="50"/>
      <c r="AC1960" s="50"/>
      <c r="AD1960" s="50"/>
      <c r="AE1960" s="50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65"/>
      <c r="AP1960" s="69"/>
      <c r="AQ1960" s="62"/>
      <c r="AR1960" s="34"/>
    </row>
    <row r="1961" spans="1:44" customFormat="1">
      <c r="A1961" s="39">
        <v>45766</v>
      </c>
      <c r="B1961" s="11" t="s">
        <v>22</v>
      </c>
      <c r="C1961" s="16" t="s">
        <v>8409</v>
      </c>
      <c r="D1961" s="16" t="s">
        <v>8410</v>
      </c>
      <c r="E1961" s="38">
        <v>25738</v>
      </c>
      <c r="F1961" s="38" t="s">
        <v>1910</v>
      </c>
      <c r="G1961" s="10" t="s">
        <v>8405</v>
      </c>
      <c r="H1961" s="22" t="s">
        <v>8406</v>
      </c>
      <c r="I1961" s="13">
        <v>51.3</v>
      </c>
      <c r="J1961" s="15" t="s">
        <v>8411</v>
      </c>
      <c r="K1961" s="46" t="s">
        <v>8412</v>
      </c>
      <c r="L1961" s="11" t="s">
        <v>33</v>
      </c>
      <c r="M1961" s="15" t="s">
        <v>3584</v>
      </c>
      <c r="N1961" s="17">
        <v>3300</v>
      </c>
      <c r="O1961" s="17"/>
      <c r="P1961" s="17"/>
      <c r="Q1961" s="48" t="s">
        <v>8098</v>
      </c>
      <c r="R1961" s="11" t="s">
        <v>8100</v>
      </c>
      <c r="S1961" s="48" t="s">
        <v>8099</v>
      </c>
      <c r="T1961" s="85"/>
      <c r="U1961" s="88"/>
      <c r="V1961" s="32"/>
      <c r="W1961" s="25"/>
      <c r="X1961" s="11"/>
      <c r="Y1961" s="50"/>
      <c r="Z1961" s="50"/>
      <c r="AA1961" s="50"/>
      <c r="AB1961" s="50"/>
      <c r="AC1961" s="50"/>
      <c r="AD1961" s="50"/>
      <c r="AE1961" s="50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65" t="s">
        <v>6454</v>
      </c>
      <c r="AP1961" s="69"/>
      <c r="AQ1961" s="62"/>
      <c r="AR1961" s="34"/>
    </row>
    <row r="1962" spans="1:44" customFormat="1">
      <c r="A1962" s="39">
        <v>45767</v>
      </c>
      <c r="B1962" s="11" t="s">
        <v>49</v>
      </c>
      <c r="C1962" s="16" t="s">
        <v>8413</v>
      </c>
      <c r="D1962" s="16" t="s">
        <v>8416</v>
      </c>
      <c r="E1962" s="38">
        <v>23497</v>
      </c>
      <c r="F1962" s="38" t="s">
        <v>1910</v>
      </c>
      <c r="G1962" s="10" t="s">
        <v>7821</v>
      </c>
      <c r="H1962" s="22" t="s">
        <v>8414</v>
      </c>
      <c r="I1962" s="13">
        <v>4.4000000000000004</v>
      </c>
      <c r="J1962" s="15" t="s">
        <v>8415</v>
      </c>
      <c r="K1962" s="46" t="s">
        <v>8417</v>
      </c>
      <c r="L1962" s="11" t="s">
        <v>33</v>
      </c>
      <c r="M1962" s="15" t="s">
        <v>3629</v>
      </c>
      <c r="N1962" s="17">
        <v>16500</v>
      </c>
      <c r="O1962" s="17"/>
      <c r="P1962" s="17"/>
      <c r="Q1962" s="48" t="s">
        <v>8098</v>
      </c>
      <c r="R1962" s="11" t="s">
        <v>6847</v>
      </c>
      <c r="S1962" s="11" t="s">
        <v>6847</v>
      </c>
      <c r="T1962" s="85"/>
      <c r="U1962" s="88"/>
      <c r="V1962" s="32"/>
      <c r="W1962" s="25" t="s">
        <v>8162</v>
      </c>
      <c r="X1962" s="11"/>
      <c r="Y1962" s="50" t="s">
        <v>13</v>
      </c>
      <c r="Z1962" s="50"/>
      <c r="AA1962" s="50"/>
      <c r="AB1962" s="50"/>
      <c r="AC1962" s="50"/>
      <c r="AD1962" s="50"/>
      <c r="AE1962" s="50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65"/>
      <c r="AP1962" s="69"/>
      <c r="AQ1962" s="62"/>
      <c r="AR1962" s="34"/>
    </row>
    <row r="1963" spans="1:44" customFormat="1">
      <c r="A1963" s="39">
        <v>45767</v>
      </c>
      <c r="B1963" s="11" t="s">
        <v>22</v>
      </c>
      <c r="C1963" s="16" t="s">
        <v>8418</v>
      </c>
      <c r="D1963" s="16" t="s">
        <v>8419</v>
      </c>
      <c r="E1963" s="38">
        <v>34213</v>
      </c>
      <c r="F1963" s="38" t="s">
        <v>1909</v>
      </c>
      <c r="G1963" s="10" t="s">
        <v>5799</v>
      </c>
      <c r="H1963" s="12" t="s">
        <v>8420</v>
      </c>
      <c r="I1963" s="13" t="s">
        <v>2209</v>
      </c>
      <c r="J1963" s="15" t="s">
        <v>8421</v>
      </c>
      <c r="K1963" s="46" t="s">
        <v>8422</v>
      </c>
      <c r="L1963" s="11" t="s">
        <v>36</v>
      </c>
      <c r="M1963" s="15" t="s">
        <v>3584</v>
      </c>
      <c r="N1963" s="17">
        <v>3300</v>
      </c>
      <c r="O1963" s="17"/>
      <c r="P1963" s="17"/>
      <c r="Q1963" s="48" t="s">
        <v>8097</v>
      </c>
      <c r="R1963" s="11" t="s">
        <v>6943</v>
      </c>
      <c r="S1963" s="48" t="s">
        <v>8102</v>
      </c>
      <c r="T1963" s="85" t="s">
        <v>81</v>
      </c>
      <c r="U1963" s="88"/>
      <c r="V1963" s="32"/>
      <c r="W1963" s="25" t="s">
        <v>8113</v>
      </c>
      <c r="X1963" s="11"/>
      <c r="Y1963" s="50"/>
      <c r="Z1963" s="50"/>
      <c r="AA1963" s="50"/>
      <c r="AB1963" s="50"/>
      <c r="AC1963" s="50"/>
      <c r="AD1963" s="50"/>
      <c r="AE1963" s="50"/>
      <c r="AF1963" s="34" t="s">
        <v>8114</v>
      </c>
      <c r="AG1963" s="34" t="s">
        <v>8164</v>
      </c>
      <c r="AH1963" s="34"/>
      <c r="AI1963" s="34"/>
      <c r="AJ1963" s="34"/>
      <c r="AK1963" s="34"/>
      <c r="AL1963" s="34"/>
      <c r="AM1963" s="34"/>
      <c r="AN1963" s="34"/>
      <c r="AO1963" s="65" t="s">
        <v>5822</v>
      </c>
      <c r="AP1963" s="69"/>
      <c r="AQ1963" s="62"/>
      <c r="AR1963" s="34"/>
    </row>
    <row r="1964" spans="1:44" customFormat="1">
      <c r="A1964" s="39">
        <v>45771</v>
      </c>
      <c r="B1964" s="11" t="s">
        <v>22</v>
      </c>
      <c r="C1964" s="16" t="s">
        <v>1968</v>
      </c>
      <c r="D1964" s="16" t="s">
        <v>8423</v>
      </c>
      <c r="E1964" s="38">
        <v>38915</v>
      </c>
      <c r="F1964" s="38" t="s">
        <v>1909</v>
      </c>
      <c r="G1964" s="10" t="s">
        <v>1969</v>
      </c>
      <c r="H1964" s="22" t="s">
        <v>8424</v>
      </c>
      <c r="I1964" s="13">
        <v>49.5</v>
      </c>
      <c r="J1964" s="15" t="s">
        <v>8425</v>
      </c>
      <c r="K1964" s="46" t="s">
        <v>8426</v>
      </c>
      <c r="L1964" s="11" t="s">
        <v>38</v>
      </c>
      <c r="M1964" s="15" t="s">
        <v>3584</v>
      </c>
      <c r="N1964" s="17">
        <v>0</v>
      </c>
      <c r="O1964" s="17" t="s">
        <v>8427</v>
      </c>
      <c r="P1964" s="17"/>
      <c r="Q1964" s="48"/>
      <c r="R1964" s="11" t="s">
        <v>6848</v>
      </c>
      <c r="S1964" s="48" t="s">
        <v>8099</v>
      </c>
      <c r="T1964" s="85"/>
      <c r="U1964" s="88"/>
      <c r="V1964" s="32"/>
      <c r="W1964" s="25"/>
      <c r="X1964" s="11"/>
      <c r="Y1964" s="50"/>
      <c r="Z1964" s="50"/>
      <c r="AA1964" s="50"/>
      <c r="AB1964" s="50"/>
      <c r="AC1964" s="50"/>
      <c r="AD1964" s="50"/>
      <c r="AE1964" s="50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65"/>
      <c r="AP1964" s="69"/>
      <c r="AQ1964" s="62"/>
      <c r="AR1964" s="34"/>
    </row>
    <row r="1965" spans="1:44" customFormat="1">
      <c r="A1965" s="39">
        <v>45772</v>
      </c>
      <c r="B1965" s="11" t="s">
        <v>22</v>
      </c>
      <c r="C1965" s="16" t="s">
        <v>8428</v>
      </c>
      <c r="D1965" s="16" t="s">
        <v>8429</v>
      </c>
      <c r="E1965" s="38">
        <v>14328</v>
      </c>
      <c r="F1965" s="38" t="s">
        <v>1909</v>
      </c>
      <c r="G1965" s="10" t="s">
        <v>358</v>
      </c>
      <c r="H1965" s="22" t="s">
        <v>8430</v>
      </c>
      <c r="I1965" s="13">
        <v>2.9</v>
      </c>
      <c r="J1965" s="15" t="s">
        <v>360</v>
      </c>
      <c r="K1965" s="12"/>
      <c r="L1965" s="11" t="s">
        <v>39</v>
      </c>
      <c r="M1965" s="15" t="s">
        <v>3629</v>
      </c>
      <c r="N1965" s="17">
        <v>0</v>
      </c>
      <c r="O1965" s="17" t="s">
        <v>3282</v>
      </c>
      <c r="P1965" s="17"/>
      <c r="Q1965" s="48"/>
      <c r="R1965" s="11" t="s">
        <v>6848</v>
      </c>
      <c r="S1965" s="48" t="s">
        <v>8099</v>
      </c>
      <c r="T1965" s="85"/>
      <c r="U1965" s="88"/>
      <c r="V1965" s="32"/>
      <c r="W1965" s="250" t="s">
        <v>3282</v>
      </c>
      <c r="X1965" s="11"/>
      <c r="Y1965" s="50"/>
      <c r="Z1965" s="50"/>
      <c r="AA1965" s="50"/>
      <c r="AB1965" s="50"/>
      <c r="AC1965" s="50"/>
      <c r="AD1965" s="50"/>
      <c r="AE1965" s="50"/>
      <c r="AF1965" s="34" t="s">
        <v>8431</v>
      </c>
      <c r="AG1965" s="34"/>
      <c r="AH1965" s="34"/>
      <c r="AI1965" s="34"/>
      <c r="AJ1965" s="34"/>
      <c r="AK1965" s="34"/>
      <c r="AL1965" s="34" t="s">
        <v>8130</v>
      </c>
      <c r="AM1965" s="34" t="s">
        <v>8173</v>
      </c>
      <c r="AN1965" s="34"/>
      <c r="AO1965" s="65" t="s">
        <v>5822</v>
      </c>
      <c r="AP1965" s="69"/>
      <c r="AQ1965" s="62"/>
      <c r="AR1965" s="34"/>
    </row>
    <row r="1966" spans="1:44" customFormat="1">
      <c r="A1966" s="39">
        <v>45774</v>
      </c>
      <c r="B1966" s="11" t="s">
        <v>49</v>
      </c>
      <c r="C1966" s="16" t="s">
        <v>3992</v>
      </c>
      <c r="D1966" s="16" t="s">
        <v>8432</v>
      </c>
      <c r="E1966" s="38" t="s">
        <v>7040</v>
      </c>
      <c r="F1966" s="38"/>
      <c r="G1966" s="10"/>
      <c r="H1966" s="12"/>
      <c r="I1966" s="13"/>
      <c r="J1966" s="15"/>
      <c r="K1966" s="12"/>
      <c r="L1966" s="11"/>
      <c r="M1966" s="15"/>
      <c r="N1966" s="17">
        <v>11000</v>
      </c>
      <c r="O1966" s="17"/>
      <c r="P1966" s="17"/>
      <c r="Q1966" s="48" t="s">
        <v>8098</v>
      </c>
      <c r="R1966" s="11" t="s">
        <v>6847</v>
      </c>
      <c r="S1966" s="48" t="s">
        <v>8099</v>
      </c>
      <c r="T1966" s="85" t="s">
        <v>8073</v>
      </c>
      <c r="U1966" s="88"/>
      <c r="V1966" s="32"/>
      <c r="W1966" s="25"/>
      <c r="X1966" s="11"/>
      <c r="Y1966" s="50"/>
      <c r="Z1966" s="50"/>
      <c r="AA1966" s="50"/>
      <c r="AB1966" s="50"/>
      <c r="AC1966" s="50"/>
      <c r="AD1966" s="50"/>
      <c r="AE1966" s="50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65"/>
      <c r="AP1966" s="69"/>
      <c r="AQ1966" s="62"/>
      <c r="AR1966" s="34"/>
    </row>
    <row r="1967" spans="1:44" customFormat="1">
      <c r="A1967" s="39">
        <v>45775</v>
      </c>
      <c r="B1967" s="11" t="s">
        <v>49</v>
      </c>
      <c r="C1967" s="16" t="s">
        <v>8433</v>
      </c>
      <c r="D1967" s="16" t="s">
        <v>8434</v>
      </c>
      <c r="E1967" s="38">
        <v>29886</v>
      </c>
      <c r="F1967" s="38" t="s">
        <v>1909</v>
      </c>
      <c r="G1967" s="10" t="s">
        <v>2639</v>
      </c>
      <c r="H1967" s="12" t="s">
        <v>8435</v>
      </c>
      <c r="I1967" s="13" t="s">
        <v>8436</v>
      </c>
      <c r="J1967" s="15" t="s">
        <v>8437</v>
      </c>
      <c r="K1967" s="12" t="s">
        <v>8438</v>
      </c>
      <c r="L1967" s="11" t="s">
        <v>36</v>
      </c>
      <c r="M1967" s="15" t="s">
        <v>3584</v>
      </c>
      <c r="N1967" s="17">
        <v>22000</v>
      </c>
      <c r="O1967" s="17"/>
      <c r="P1967" s="17"/>
      <c r="Q1967" s="48" t="s">
        <v>8098</v>
      </c>
      <c r="R1967" s="11" t="s">
        <v>6943</v>
      </c>
      <c r="S1967" s="48" t="s">
        <v>8101</v>
      </c>
      <c r="T1967" s="85"/>
      <c r="U1967" s="88"/>
      <c r="V1967" s="32"/>
      <c r="W1967" s="25" t="s">
        <v>8439</v>
      </c>
      <c r="X1967" s="11"/>
      <c r="Y1967" s="50" t="s">
        <v>13</v>
      </c>
      <c r="Z1967" s="50"/>
      <c r="AA1967" s="50"/>
      <c r="AB1967" s="50"/>
      <c r="AC1967" s="50"/>
      <c r="AD1967" s="50"/>
      <c r="AE1967" s="50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65"/>
      <c r="AP1967" s="69"/>
      <c r="AQ1967" s="62"/>
      <c r="AR1967" s="34"/>
    </row>
    <row r="1968" spans="1:44" customFormat="1">
      <c r="A1968" s="39">
        <v>45777</v>
      </c>
      <c r="B1968" s="11" t="s">
        <v>49</v>
      </c>
      <c r="C1968" s="16" t="s">
        <v>8440</v>
      </c>
      <c r="D1968" s="16" t="s">
        <v>8441</v>
      </c>
      <c r="E1968" s="38">
        <v>36163</v>
      </c>
      <c r="F1968" s="38" t="s">
        <v>1910</v>
      </c>
      <c r="G1968" s="10" t="s">
        <v>8442</v>
      </c>
      <c r="H1968" s="12" t="s">
        <v>8443</v>
      </c>
      <c r="I1968" s="13">
        <v>49</v>
      </c>
      <c r="J1968" s="15" t="s">
        <v>8444</v>
      </c>
      <c r="K1968" s="46" t="s">
        <v>8445</v>
      </c>
      <c r="L1968" s="11" t="s">
        <v>39</v>
      </c>
      <c r="M1968" s="15" t="s">
        <v>3599</v>
      </c>
      <c r="N1968" s="17">
        <v>11000</v>
      </c>
      <c r="O1968" s="17" t="s">
        <v>8446</v>
      </c>
      <c r="P1968" s="17"/>
      <c r="Q1968" s="48" t="s">
        <v>8098</v>
      </c>
      <c r="R1968" s="11" t="s">
        <v>6848</v>
      </c>
      <c r="S1968" s="48" t="s">
        <v>8100</v>
      </c>
      <c r="T1968" s="85"/>
      <c r="U1968" s="88"/>
      <c r="V1968" s="32"/>
      <c r="W1968" s="25"/>
      <c r="X1968" s="11"/>
      <c r="Y1968" s="50"/>
      <c r="Z1968" s="50"/>
      <c r="AA1968" s="50"/>
      <c r="AB1968" s="50"/>
      <c r="AC1968" s="50"/>
      <c r="AD1968" s="50"/>
      <c r="AE1968" s="50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65"/>
      <c r="AP1968" s="69"/>
      <c r="AQ1968" s="62"/>
      <c r="AR1968" s="34"/>
    </row>
    <row r="1969" spans="1:49" customFormat="1">
      <c r="A1969" s="39">
        <v>45781</v>
      </c>
      <c r="B1969" s="11" t="s">
        <v>49</v>
      </c>
      <c r="C1969" s="16" t="s">
        <v>8447</v>
      </c>
      <c r="D1969" s="16" t="s">
        <v>8448</v>
      </c>
      <c r="E1969" s="38">
        <v>24043</v>
      </c>
      <c r="F1969" s="38" t="s">
        <v>1909</v>
      </c>
      <c r="G1969" s="10" t="s">
        <v>7032</v>
      </c>
      <c r="H1969" s="22" t="s">
        <v>8449</v>
      </c>
      <c r="I1969" s="13">
        <v>4.3</v>
      </c>
      <c r="J1969" s="15" t="s">
        <v>8450</v>
      </c>
      <c r="K1969" s="12"/>
      <c r="L1969" s="11" t="s">
        <v>33</v>
      </c>
      <c r="M1969" s="15" t="s">
        <v>3599</v>
      </c>
      <c r="N1969" s="17">
        <v>16500</v>
      </c>
      <c r="O1969" s="17"/>
      <c r="P1969" s="17"/>
      <c r="Q1969" s="48" t="s">
        <v>8098</v>
      </c>
      <c r="R1969" s="11" t="s">
        <v>6848</v>
      </c>
      <c r="S1969" s="48" t="s">
        <v>8099</v>
      </c>
      <c r="T1969" s="85" t="s">
        <v>8073</v>
      </c>
      <c r="U1969" s="88"/>
      <c r="V1969" s="32"/>
      <c r="W1969" s="25" t="s">
        <v>48</v>
      </c>
      <c r="X1969" s="11"/>
      <c r="Y1969" s="50"/>
      <c r="Z1969" s="50"/>
      <c r="AA1969" s="50"/>
      <c r="AB1969" s="50"/>
      <c r="AC1969" s="50"/>
      <c r="AD1969" s="50" t="s">
        <v>8451</v>
      </c>
      <c r="AE1969" s="50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65"/>
      <c r="AP1969" s="69"/>
      <c r="AQ1969" s="62"/>
      <c r="AR1969" s="34"/>
    </row>
    <row r="1970" spans="1:49" customFormat="1">
      <c r="A1970" s="39">
        <v>45786</v>
      </c>
      <c r="B1970" s="11" t="s">
        <v>49</v>
      </c>
      <c r="C1970" s="16" t="s">
        <v>8452</v>
      </c>
      <c r="D1970" s="16" t="s">
        <v>8453</v>
      </c>
      <c r="E1970" s="38">
        <v>16642</v>
      </c>
      <c r="F1970" s="38" t="s">
        <v>1909</v>
      </c>
      <c r="G1970" s="10" t="s">
        <v>4870</v>
      </c>
      <c r="H1970" s="22" t="s">
        <v>8454</v>
      </c>
      <c r="I1970" s="13">
        <v>13.2</v>
      </c>
      <c r="J1970" s="15" t="s">
        <v>4871</v>
      </c>
      <c r="K1970" s="12"/>
      <c r="L1970" s="11" t="s">
        <v>33</v>
      </c>
      <c r="M1970" s="15" t="s">
        <v>3599</v>
      </c>
      <c r="N1970" s="17">
        <v>16500</v>
      </c>
      <c r="O1970" s="17" t="s">
        <v>8506</v>
      </c>
      <c r="P1970" s="38">
        <v>44672</v>
      </c>
      <c r="Q1970" s="48" t="s">
        <v>8098</v>
      </c>
      <c r="R1970" s="11" t="s">
        <v>6847</v>
      </c>
      <c r="S1970" s="48" t="s">
        <v>8099</v>
      </c>
      <c r="T1970" s="85" t="s">
        <v>8073</v>
      </c>
      <c r="U1970" s="88"/>
      <c r="V1970" s="32"/>
      <c r="W1970" s="25"/>
      <c r="X1970" s="217" t="s">
        <v>10124</v>
      </c>
      <c r="Y1970" s="56"/>
      <c r="Z1970" s="56"/>
      <c r="AA1970" s="56"/>
      <c r="AB1970" s="56"/>
      <c r="AC1970" s="56"/>
      <c r="AD1970" s="56"/>
      <c r="AE1970" s="56"/>
      <c r="AF1970" s="56"/>
      <c r="AG1970" s="56"/>
      <c r="AH1970" s="56"/>
      <c r="AI1970" s="56"/>
      <c r="AJ1970" s="56"/>
      <c r="AK1970" s="56"/>
      <c r="AL1970" s="56"/>
      <c r="AM1970" s="56"/>
      <c r="AN1970" s="56"/>
      <c r="AO1970" s="218"/>
      <c r="AP1970" s="217"/>
      <c r="AQ1970" s="216"/>
      <c r="AR1970" s="56"/>
      <c r="AS1970" s="215"/>
      <c r="AT1970" s="215"/>
      <c r="AU1970" s="215" t="s">
        <v>10125</v>
      </c>
      <c r="AV1970" s="215"/>
      <c r="AW1970" s="215"/>
    </row>
    <row r="1971" spans="1:49" customFormat="1">
      <c r="A1971" s="39">
        <v>45787</v>
      </c>
      <c r="B1971" s="11" t="s">
        <v>49</v>
      </c>
      <c r="C1971" s="16" t="s">
        <v>8455</v>
      </c>
      <c r="D1971" s="16" t="s">
        <v>8456</v>
      </c>
      <c r="E1971" s="38">
        <v>29228</v>
      </c>
      <c r="F1971" s="38" t="s">
        <v>1909</v>
      </c>
      <c r="G1971" s="10" t="s">
        <v>8457</v>
      </c>
      <c r="H1971" s="12" t="s">
        <v>8460</v>
      </c>
      <c r="I1971" s="13">
        <v>11</v>
      </c>
      <c r="J1971" s="15" t="s">
        <v>8458</v>
      </c>
      <c r="K1971" s="46" t="s">
        <v>8459</v>
      </c>
      <c r="L1971" s="11" t="s">
        <v>33</v>
      </c>
      <c r="M1971" s="15" t="s">
        <v>3584</v>
      </c>
      <c r="N1971" s="17">
        <v>16500</v>
      </c>
      <c r="O1971" s="17"/>
      <c r="P1971" s="17"/>
      <c r="Q1971" s="48" t="s">
        <v>8098</v>
      </c>
      <c r="R1971" s="11" t="s">
        <v>6848</v>
      </c>
      <c r="S1971" s="48" t="s">
        <v>8099</v>
      </c>
      <c r="T1971" s="85"/>
      <c r="U1971" s="88"/>
      <c r="V1971" s="32"/>
      <c r="W1971" s="25"/>
      <c r="X1971" s="11"/>
      <c r="Y1971" s="50" t="s">
        <v>13</v>
      </c>
      <c r="Z1971" s="50" t="s">
        <v>8461</v>
      </c>
      <c r="AA1971" s="50"/>
      <c r="AB1971" s="50"/>
      <c r="AC1971" s="50"/>
      <c r="AD1971" s="50"/>
      <c r="AE1971" s="50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65"/>
      <c r="AP1971" s="69"/>
      <c r="AQ1971" s="62"/>
      <c r="AR1971" s="34"/>
      <c r="AU1971" s="215" t="s">
        <v>10126</v>
      </c>
      <c r="AV1971" s="215"/>
      <c r="AW1971" s="215"/>
    </row>
    <row r="1972" spans="1:49" customFormat="1">
      <c r="A1972" s="39">
        <v>45787</v>
      </c>
      <c r="B1972" s="11" t="s">
        <v>22</v>
      </c>
      <c r="C1972" s="16" t="s">
        <v>8462</v>
      </c>
      <c r="D1972" s="16" t="s">
        <v>8463</v>
      </c>
      <c r="E1972" s="38">
        <v>32322</v>
      </c>
      <c r="F1972" s="38" t="s">
        <v>1909</v>
      </c>
      <c r="G1972" s="10" t="s">
        <v>293</v>
      </c>
      <c r="H1972" s="22" t="s">
        <v>8464</v>
      </c>
      <c r="I1972" s="13">
        <v>4.4000000000000004</v>
      </c>
      <c r="J1972" s="15" t="s">
        <v>8465</v>
      </c>
      <c r="K1972" s="12"/>
      <c r="L1972" s="11" t="s">
        <v>36</v>
      </c>
      <c r="M1972" s="15" t="s">
        <v>3584</v>
      </c>
      <c r="N1972" s="17">
        <v>3300</v>
      </c>
      <c r="O1972" s="17"/>
      <c r="P1972" s="17"/>
      <c r="Q1972" s="48" t="s">
        <v>8097</v>
      </c>
      <c r="R1972" s="48" t="s">
        <v>8100</v>
      </c>
      <c r="S1972" s="48" t="s">
        <v>8099</v>
      </c>
      <c r="T1972" s="85" t="s">
        <v>8085</v>
      </c>
      <c r="U1972" s="88"/>
      <c r="V1972" s="32"/>
      <c r="W1972" s="25" t="s">
        <v>48</v>
      </c>
      <c r="X1972" s="11"/>
      <c r="Y1972" s="50"/>
      <c r="Z1972" s="50"/>
      <c r="AA1972" s="50"/>
      <c r="AB1972" s="50"/>
      <c r="AC1972" s="50"/>
      <c r="AD1972" s="50"/>
      <c r="AE1972" s="50"/>
      <c r="AF1972" s="34" t="s">
        <v>8164</v>
      </c>
      <c r="AG1972" s="34"/>
      <c r="AH1972" s="34"/>
      <c r="AI1972" s="34"/>
      <c r="AJ1972" s="34"/>
      <c r="AK1972" s="34"/>
      <c r="AL1972" s="34" t="s">
        <v>8130</v>
      </c>
      <c r="AM1972" s="34"/>
      <c r="AN1972" s="34"/>
      <c r="AO1972" s="65" t="s">
        <v>5822</v>
      </c>
      <c r="AP1972" s="69"/>
      <c r="AQ1972" s="62"/>
      <c r="AR1972" s="34"/>
    </row>
    <row r="1973" spans="1:49" customFormat="1">
      <c r="A1973" s="39">
        <v>45792</v>
      </c>
      <c r="B1973" s="11" t="s">
        <v>49</v>
      </c>
      <c r="C1973" s="16" t="s">
        <v>8466</v>
      </c>
      <c r="D1973" s="16" t="s">
        <v>8467</v>
      </c>
      <c r="E1973" s="38">
        <v>25509</v>
      </c>
      <c r="F1973" s="38" t="s">
        <v>1909</v>
      </c>
      <c r="G1973" s="10" t="s">
        <v>8468</v>
      </c>
      <c r="H1973" s="12" t="s">
        <v>8469</v>
      </c>
      <c r="I1973" s="13" t="s">
        <v>8470</v>
      </c>
      <c r="J1973" s="15" t="s">
        <v>8471</v>
      </c>
      <c r="K1973" s="46" t="s">
        <v>8472</v>
      </c>
      <c r="L1973" s="11" t="s">
        <v>36</v>
      </c>
      <c r="M1973" s="15" t="s">
        <v>3584</v>
      </c>
      <c r="N1973" s="17">
        <v>0</v>
      </c>
      <c r="O1973" s="17" t="s">
        <v>8234</v>
      </c>
      <c r="P1973" s="17"/>
      <c r="Q1973" s="48"/>
      <c r="R1973" s="11" t="s">
        <v>6847</v>
      </c>
      <c r="S1973" s="48" t="s">
        <v>8101</v>
      </c>
      <c r="T1973" s="85"/>
      <c r="U1973" s="88"/>
      <c r="V1973" s="32"/>
      <c r="W1973" s="25"/>
      <c r="X1973" s="11"/>
      <c r="Y1973" s="50"/>
      <c r="Z1973" s="50"/>
      <c r="AA1973" s="50"/>
      <c r="AB1973" s="50"/>
      <c r="AC1973" s="50"/>
      <c r="AD1973" s="50"/>
      <c r="AE1973" s="50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65"/>
      <c r="AP1973" s="69"/>
      <c r="AQ1973" s="62"/>
      <c r="AR1973" s="34"/>
    </row>
    <row r="1974" spans="1:49" customFormat="1">
      <c r="A1974" s="39">
        <v>45793</v>
      </c>
      <c r="B1974" s="11" t="s">
        <v>49</v>
      </c>
      <c r="C1974" s="16" t="s">
        <v>8473</v>
      </c>
      <c r="D1974" s="16" t="s">
        <v>8474</v>
      </c>
      <c r="E1974" s="38">
        <v>24687</v>
      </c>
      <c r="F1974" s="38" t="s">
        <v>1909</v>
      </c>
      <c r="G1974" s="10" t="s">
        <v>8477</v>
      </c>
      <c r="H1974" s="12" t="s">
        <v>8475</v>
      </c>
      <c r="I1974" s="13" t="s">
        <v>8476</v>
      </c>
      <c r="J1974" s="15" t="s">
        <v>8478</v>
      </c>
      <c r="K1974" s="46" t="s">
        <v>8479</v>
      </c>
      <c r="L1974" s="11" t="s">
        <v>33</v>
      </c>
      <c r="M1974" s="15" t="s">
        <v>3584</v>
      </c>
      <c r="N1974" s="17">
        <v>11000</v>
      </c>
      <c r="O1974" s="17" t="s">
        <v>8234</v>
      </c>
      <c r="P1974" s="17"/>
      <c r="Q1974" s="48" t="s">
        <v>8098</v>
      </c>
      <c r="R1974" s="11" t="s">
        <v>6847</v>
      </c>
      <c r="S1974" s="48" t="s">
        <v>8101</v>
      </c>
      <c r="T1974" s="85"/>
      <c r="U1974" s="88"/>
      <c r="V1974" s="32"/>
      <c r="W1974" s="25"/>
      <c r="X1974" s="11"/>
      <c r="Y1974" s="50" t="s">
        <v>8480</v>
      </c>
      <c r="Z1974" s="50"/>
      <c r="AA1974" s="50"/>
      <c r="AB1974" s="50"/>
      <c r="AC1974" s="50"/>
      <c r="AD1974" s="50"/>
      <c r="AE1974" s="50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65"/>
      <c r="AP1974" s="69"/>
      <c r="AQ1974" s="62"/>
      <c r="AR1974" s="34"/>
    </row>
    <row r="1975" spans="1:49" customFormat="1">
      <c r="A1975" s="39">
        <v>45793</v>
      </c>
      <c r="B1975" s="11" t="s">
        <v>49</v>
      </c>
      <c r="C1975" s="16" t="s">
        <v>8481</v>
      </c>
      <c r="D1975" s="16" t="s">
        <v>8482</v>
      </c>
      <c r="E1975" s="38">
        <v>25756</v>
      </c>
      <c r="F1975" s="38" t="s">
        <v>1909</v>
      </c>
      <c r="G1975" s="10" t="s">
        <v>8483</v>
      </c>
      <c r="H1975" s="22" t="s">
        <v>8484</v>
      </c>
      <c r="I1975" s="13">
        <v>13.3</v>
      </c>
      <c r="J1975" s="15" t="s">
        <v>8485</v>
      </c>
      <c r="K1975" s="12"/>
      <c r="L1975" s="11" t="s">
        <v>34</v>
      </c>
      <c r="M1975" s="15" t="s">
        <v>3599</v>
      </c>
      <c r="N1975" s="17">
        <v>11000</v>
      </c>
      <c r="O1975" s="17" t="s">
        <v>8234</v>
      </c>
      <c r="P1975" s="17"/>
      <c r="Q1975" s="48" t="s">
        <v>8098</v>
      </c>
      <c r="R1975" s="11" t="s">
        <v>6847</v>
      </c>
      <c r="S1975" s="48" t="s">
        <v>8099</v>
      </c>
      <c r="T1975" s="85" t="s">
        <v>8073</v>
      </c>
      <c r="U1975" s="88"/>
      <c r="V1975" s="32"/>
      <c r="W1975" s="25" t="s">
        <v>8162</v>
      </c>
      <c r="X1975" s="11"/>
      <c r="Y1975" s="50" t="s">
        <v>13</v>
      </c>
      <c r="Z1975" s="50"/>
      <c r="AA1975" s="50"/>
      <c r="AB1975" s="50"/>
      <c r="AC1975" s="50"/>
      <c r="AD1975" s="50"/>
      <c r="AE1975" s="50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65"/>
      <c r="AP1975" s="69"/>
      <c r="AQ1975" s="62"/>
      <c r="AR1975" s="34"/>
    </row>
    <row r="1976" spans="1:49" customFormat="1">
      <c r="A1976" s="39">
        <v>45799</v>
      </c>
      <c r="B1976" s="11" t="s">
        <v>49</v>
      </c>
      <c r="C1976" s="16" t="s">
        <v>8486</v>
      </c>
      <c r="D1976" s="16" t="s">
        <v>8487</v>
      </c>
      <c r="E1976" s="38">
        <v>26075</v>
      </c>
      <c r="F1976" s="38" t="s">
        <v>1909</v>
      </c>
      <c r="G1976" s="10" t="s">
        <v>8488</v>
      </c>
      <c r="H1976" s="12" t="s">
        <v>8489</v>
      </c>
      <c r="I1976" s="13">
        <v>7.8</v>
      </c>
      <c r="J1976" s="15" t="s">
        <v>8490</v>
      </c>
      <c r="K1976" s="46" t="s">
        <v>8491</v>
      </c>
      <c r="L1976" s="11" t="s">
        <v>33</v>
      </c>
      <c r="M1976" s="15" t="s">
        <v>3584</v>
      </c>
      <c r="N1976" s="17">
        <v>8250</v>
      </c>
      <c r="O1976" s="17" t="s">
        <v>8492</v>
      </c>
      <c r="P1976" s="17"/>
      <c r="Q1976" s="48" t="s">
        <v>8098</v>
      </c>
      <c r="R1976" s="11" t="s">
        <v>6847</v>
      </c>
      <c r="S1976" s="48" t="s">
        <v>8100</v>
      </c>
      <c r="T1976" s="85"/>
      <c r="U1976" s="88"/>
      <c r="V1976" s="32"/>
      <c r="W1976" s="25"/>
      <c r="X1976" s="11"/>
      <c r="Y1976" s="50"/>
      <c r="Z1976" s="50"/>
      <c r="AA1976" s="50"/>
      <c r="AB1976" s="50"/>
      <c r="AC1976" s="50"/>
      <c r="AD1976" s="50"/>
      <c r="AE1976" s="50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65"/>
      <c r="AP1976" s="69"/>
      <c r="AQ1976" s="62"/>
      <c r="AR1976" s="34"/>
    </row>
    <row r="1977" spans="1:49" customFormat="1">
      <c r="A1977" s="39">
        <v>45799</v>
      </c>
      <c r="B1977" s="11" t="s">
        <v>22</v>
      </c>
      <c r="C1977" s="16" t="s">
        <v>8493</v>
      </c>
      <c r="D1977" s="16" t="s">
        <v>8494</v>
      </c>
      <c r="E1977" s="38">
        <v>18562</v>
      </c>
      <c r="F1977" s="38" t="s">
        <v>1910</v>
      </c>
      <c r="G1977" s="10" t="s">
        <v>4633</v>
      </c>
      <c r="H1977" s="12" t="s">
        <v>8495</v>
      </c>
      <c r="I1977" s="13">
        <v>3</v>
      </c>
      <c r="J1977" s="15" t="s">
        <v>8496</v>
      </c>
      <c r="K1977" s="46" t="s">
        <v>8497</v>
      </c>
      <c r="L1977" s="11" t="s">
        <v>37</v>
      </c>
      <c r="M1977" s="15" t="s">
        <v>3584</v>
      </c>
      <c r="N1977" s="17">
        <v>0</v>
      </c>
      <c r="O1977" s="17"/>
      <c r="P1977" s="17"/>
      <c r="Q1977" s="48"/>
      <c r="R1977" s="11" t="s">
        <v>8503</v>
      </c>
      <c r="S1977" s="48" t="s">
        <v>8100</v>
      </c>
      <c r="T1977" s="85" t="s">
        <v>8085</v>
      </c>
      <c r="U1977" s="88"/>
      <c r="V1977" s="32" t="s">
        <v>3282</v>
      </c>
      <c r="W1977" s="25" t="s">
        <v>8113</v>
      </c>
      <c r="X1977" s="11"/>
      <c r="Y1977" s="50"/>
      <c r="Z1977" s="50"/>
      <c r="AA1977" s="50"/>
      <c r="AB1977" s="50"/>
      <c r="AC1977" s="50"/>
      <c r="AD1977" s="50"/>
      <c r="AE1977" s="50"/>
      <c r="AF1977" s="34" t="s">
        <v>8114</v>
      </c>
      <c r="AG1977" s="34"/>
      <c r="AH1977" s="34"/>
      <c r="AI1977" s="34"/>
      <c r="AJ1977" s="34"/>
      <c r="AK1977" s="34"/>
      <c r="AL1977" s="34" t="s">
        <v>8173</v>
      </c>
      <c r="AM1977" s="34" t="s">
        <v>8130</v>
      </c>
      <c r="AN1977" s="34"/>
      <c r="AO1977" s="65" t="s">
        <v>5822</v>
      </c>
      <c r="AP1977" s="69"/>
      <c r="AQ1977" s="62"/>
      <c r="AR1977" s="34"/>
    </row>
    <row r="1978" spans="1:49" customFormat="1">
      <c r="A1978" s="39">
        <v>45799</v>
      </c>
      <c r="B1978" s="11" t="s">
        <v>22</v>
      </c>
      <c r="C1978" s="16" t="s">
        <v>8499</v>
      </c>
      <c r="D1978" s="16" t="s">
        <v>8500</v>
      </c>
      <c r="E1978" s="38">
        <v>16106</v>
      </c>
      <c r="F1978" s="38" t="s">
        <v>1909</v>
      </c>
      <c r="G1978" s="10" t="s">
        <v>2740</v>
      </c>
      <c r="H1978" s="12" t="s">
        <v>8501</v>
      </c>
      <c r="I1978" s="13">
        <v>3.8</v>
      </c>
      <c r="J1978" s="15" t="s">
        <v>8502</v>
      </c>
      <c r="K1978" s="12"/>
      <c r="L1978" s="11" t="s">
        <v>33</v>
      </c>
      <c r="M1978" s="15" t="s">
        <v>3599</v>
      </c>
      <c r="N1978" s="17">
        <v>0</v>
      </c>
      <c r="O1978" s="17"/>
      <c r="P1978" s="17"/>
      <c r="Q1978" s="48"/>
      <c r="R1978" s="11" t="s">
        <v>8503</v>
      </c>
      <c r="S1978" s="48" t="s">
        <v>8100</v>
      </c>
      <c r="T1978" s="85" t="s">
        <v>8085</v>
      </c>
      <c r="U1978" s="88"/>
      <c r="V1978" s="32" t="s">
        <v>3282</v>
      </c>
      <c r="W1978" s="25" t="s">
        <v>8113</v>
      </c>
      <c r="X1978" s="11"/>
      <c r="Y1978" s="50"/>
      <c r="Z1978" s="50"/>
      <c r="AA1978" s="50"/>
      <c r="AB1978" s="50"/>
      <c r="AC1978" s="50"/>
      <c r="AD1978" s="50"/>
      <c r="AE1978" s="50"/>
      <c r="AF1978" s="34" t="s">
        <v>8114</v>
      </c>
      <c r="AG1978" s="34"/>
      <c r="AH1978" s="34"/>
      <c r="AI1978" s="34"/>
      <c r="AJ1978" s="34"/>
      <c r="AK1978" s="34"/>
      <c r="AL1978" s="34"/>
      <c r="AM1978" s="34"/>
      <c r="AN1978" s="34" t="s">
        <v>8498</v>
      </c>
      <c r="AO1978" s="65" t="s">
        <v>5822</v>
      </c>
      <c r="AP1978" s="69"/>
      <c r="AQ1978" s="62"/>
      <c r="AR1978" s="34"/>
    </row>
    <row r="1979" spans="1:49" customFormat="1">
      <c r="A1979" s="39">
        <v>45799</v>
      </c>
      <c r="B1979" s="11" t="s">
        <v>49</v>
      </c>
      <c r="C1979" s="16" t="s">
        <v>8543</v>
      </c>
      <c r="D1979" s="16" t="s">
        <v>8544</v>
      </c>
      <c r="E1979" s="38">
        <v>27298</v>
      </c>
      <c r="F1979" s="38" t="s">
        <v>1909</v>
      </c>
      <c r="G1979" s="10" t="s">
        <v>2223</v>
      </c>
      <c r="H1979" s="12" t="s">
        <v>8504</v>
      </c>
      <c r="I1979" s="13" t="s">
        <v>8505</v>
      </c>
      <c r="J1979" s="15" t="s">
        <v>3621</v>
      </c>
      <c r="K1979" s="12"/>
      <c r="L1979" s="11" t="s">
        <v>33</v>
      </c>
      <c r="M1979" s="15"/>
      <c r="N1979" s="17">
        <v>0</v>
      </c>
      <c r="O1979" s="17" t="s">
        <v>8506</v>
      </c>
      <c r="P1979" s="17" t="s">
        <v>8507</v>
      </c>
      <c r="Q1979" s="48" t="s">
        <v>8098</v>
      </c>
      <c r="R1979" s="11" t="s">
        <v>6847</v>
      </c>
      <c r="S1979" s="48" t="s">
        <v>8102</v>
      </c>
      <c r="T1979" s="85" t="s">
        <v>8073</v>
      </c>
      <c r="U1979" s="88"/>
      <c r="V1979" s="32"/>
      <c r="W1979" s="1"/>
      <c r="X1979" s="11"/>
      <c r="Y1979" s="50" t="s">
        <v>13</v>
      </c>
      <c r="Z1979" s="50"/>
      <c r="AA1979" s="50"/>
      <c r="AB1979" s="50"/>
      <c r="AC1979" s="50"/>
      <c r="AD1979" s="50"/>
      <c r="AE1979" s="50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65"/>
      <c r="AP1979" s="69"/>
      <c r="AQ1979" s="62"/>
      <c r="AR1979" s="34"/>
    </row>
    <row r="1980" spans="1:49" customFormat="1">
      <c r="A1980" s="39">
        <v>45802</v>
      </c>
      <c r="B1980" s="11" t="s">
        <v>22</v>
      </c>
      <c r="C1980" s="16" t="s">
        <v>8527</v>
      </c>
      <c r="D1980" s="16" t="s">
        <v>8528</v>
      </c>
      <c r="E1980" s="38">
        <v>39152</v>
      </c>
      <c r="F1980" s="38" t="s">
        <v>1909</v>
      </c>
      <c r="G1980" s="10" t="s">
        <v>8529</v>
      </c>
      <c r="H1980" s="12" t="s">
        <v>8530</v>
      </c>
      <c r="I1980" s="13" t="s">
        <v>1671</v>
      </c>
      <c r="J1980" s="15" t="s">
        <v>8531</v>
      </c>
      <c r="K1980" s="12"/>
      <c r="L1980" s="11" t="s">
        <v>38</v>
      </c>
      <c r="M1980" s="15" t="s">
        <v>3629</v>
      </c>
      <c r="N1980" s="17">
        <v>0</v>
      </c>
      <c r="O1980" s="17"/>
      <c r="P1980" s="17"/>
      <c r="Q1980" s="48"/>
      <c r="R1980" s="11" t="s">
        <v>6847</v>
      </c>
      <c r="S1980" s="48" t="s">
        <v>8102</v>
      </c>
      <c r="T1980" s="85" t="s">
        <v>8085</v>
      </c>
      <c r="U1980" s="88"/>
      <c r="V1980" s="32" t="s">
        <v>3282</v>
      </c>
      <c r="W1980" s="25" t="s">
        <v>8162</v>
      </c>
      <c r="X1980" s="11"/>
      <c r="Y1980" s="50"/>
      <c r="Z1980" s="50"/>
      <c r="AA1980" s="50"/>
      <c r="AB1980" s="50"/>
      <c r="AC1980" s="50"/>
      <c r="AD1980" s="50"/>
      <c r="AE1980" s="50"/>
      <c r="AF1980" s="34" t="s">
        <v>8187</v>
      </c>
      <c r="AG1980" s="34"/>
      <c r="AH1980" s="34"/>
      <c r="AI1980" s="34"/>
      <c r="AJ1980" s="34"/>
      <c r="AK1980" s="34"/>
      <c r="AL1980" s="34"/>
      <c r="AM1980" s="34"/>
      <c r="AN1980" s="34"/>
      <c r="AO1980" s="65" t="s">
        <v>5822</v>
      </c>
      <c r="AP1980" s="69"/>
      <c r="AQ1980" s="62"/>
      <c r="AR1980" s="34"/>
    </row>
    <row r="1981" spans="1:49" customFormat="1">
      <c r="A1981" s="39">
        <v>45805</v>
      </c>
      <c r="B1981" s="11" t="s">
        <v>49</v>
      </c>
      <c r="C1981" s="16" t="s">
        <v>8532</v>
      </c>
      <c r="D1981" s="16" t="s">
        <v>8533</v>
      </c>
      <c r="E1981" s="38">
        <v>28000</v>
      </c>
      <c r="F1981" s="38" t="s">
        <v>1909</v>
      </c>
      <c r="G1981" s="10" t="s">
        <v>8534</v>
      </c>
      <c r="H1981" s="22" t="s">
        <v>8535</v>
      </c>
      <c r="I1981" s="13">
        <v>512</v>
      </c>
      <c r="J1981" s="15" t="s">
        <v>8536</v>
      </c>
      <c r="K1981" s="46" t="s">
        <v>8537</v>
      </c>
      <c r="L1981" s="11" t="s">
        <v>36</v>
      </c>
      <c r="M1981" s="15" t="s">
        <v>3584</v>
      </c>
      <c r="N1981" s="17">
        <v>0</v>
      </c>
      <c r="O1981" s="17" t="s">
        <v>8234</v>
      </c>
      <c r="P1981" s="17"/>
      <c r="Q1981" s="48"/>
      <c r="R1981" s="11" t="s">
        <v>6847</v>
      </c>
      <c r="S1981" s="48" t="s">
        <v>8099</v>
      </c>
      <c r="T1981" s="85"/>
      <c r="U1981" s="88"/>
      <c r="V1981" s="32"/>
      <c r="W1981" s="25" t="s">
        <v>8162</v>
      </c>
      <c r="X1981" s="11"/>
      <c r="Y1981" s="50"/>
      <c r="Z1981" s="50"/>
      <c r="AA1981" s="50"/>
      <c r="AB1981" s="50"/>
      <c r="AC1981" s="50"/>
      <c r="AD1981" s="50"/>
      <c r="AE1981" s="50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65"/>
      <c r="AP1981" s="69"/>
      <c r="AQ1981" s="62"/>
      <c r="AR1981" s="34"/>
    </row>
    <row r="1982" spans="1:49" customFormat="1">
      <c r="A1982" s="39">
        <v>45805</v>
      </c>
      <c r="B1982" s="11" t="s">
        <v>49</v>
      </c>
      <c r="C1982" s="16" t="s">
        <v>8538</v>
      </c>
      <c r="D1982" s="16" t="s">
        <v>8539</v>
      </c>
      <c r="E1982" s="38">
        <v>33147</v>
      </c>
      <c r="F1982" s="38" t="s">
        <v>1909</v>
      </c>
      <c r="G1982" s="10" t="s">
        <v>8540</v>
      </c>
      <c r="H1982" s="22" t="s">
        <v>8541</v>
      </c>
      <c r="I1982" s="13">
        <v>451</v>
      </c>
      <c r="J1982" s="15" t="s">
        <v>8542</v>
      </c>
      <c r="K1982" s="12"/>
      <c r="L1982" s="11" t="s">
        <v>36</v>
      </c>
      <c r="M1982" s="15" t="s">
        <v>3680</v>
      </c>
      <c r="N1982" s="17">
        <v>0</v>
      </c>
      <c r="O1982" s="17" t="s">
        <v>8234</v>
      </c>
      <c r="P1982" s="17"/>
      <c r="Q1982" s="48"/>
      <c r="R1982" s="11" t="s">
        <v>6847</v>
      </c>
      <c r="S1982" s="48" t="s">
        <v>8099</v>
      </c>
      <c r="T1982" s="85" t="s">
        <v>8073</v>
      </c>
      <c r="U1982" s="88"/>
      <c r="V1982" s="32"/>
      <c r="W1982" s="25"/>
      <c r="X1982" s="11"/>
      <c r="Y1982" s="50"/>
      <c r="Z1982" s="50"/>
      <c r="AA1982" s="50"/>
      <c r="AB1982" s="50"/>
      <c r="AC1982" s="50"/>
      <c r="AD1982" s="50"/>
      <c r="AE1982" s="50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65"/>
      <c r="AP1982" s="69"/>
      <c r="AQ1982" s="62"/>
      <c r="AR1982" s="34"/>
    </row>
    <row r="1983" spans="1:49" customFormat="1">
      <c r="A1983" s="39">
        <v>45806</v>
      </c>
      <c r="B1983" s="11" t="s">
        <v>22</v>
      </c>
      <c r="C1983" s="16" t="s">
        <v>8545</v>
      </c>
      <c r="D1983" s="16" t="s">
        <v>8546</v>
      </c>
      <c r="E1983" s="38">
        <v>30173</v>
      </c>
      <c r="F1983" s="38" t="s">
        <v>1910</v>
      </c>
      <c r="G1983" s="10" t="s">
        <v>358</v>
      </c>
      <c r="H1983" s="12" t="s">
        <v>8547</v>
      </c>
      <c r="I1983" s="13" t="s">
        <v>5170</v>
      </c>
      <c r="J1983" s="15" t="s">
        <v>8548</v>
      </c>
      <c r="K1983" s="46" t="s">
        <v>8549</v>
      </c>
      <c r="L1983" s="11" t="s">
        <v>37</v>
      </c>
      <c r="M1983" s="15" t="s">
        <v>3584</v>
      </c>
      <c r="N1983" s="17">
        <v>2800</v>
      </c>
      <c r="O1983" s="17" t="s">
        <v>8550</v>
      </c>
      <c r="P1983" s="17"/>
      <c r="Q1983" s="48" t="s">
        <v>8098</v>
      </c>
      <c r="R1983" s="11" t="s">
        <v>8503</v>
      </c>
      <c r="S1983" s="48" t="s">
        <v>8101</v>
      </c>
      <c r="T1983" s="85"/>
      <c r="U1983" s="88"/>
      <c r="V1983" s="32"/>
      <c r="W1983" s="25"/>
      <c r="X1983" s="11"/>
      <c r="Y1983" s="50"/>
      <c r="Z1983" s="50"/>
      <c r="AA1983" s="50"/>
      <c r="AB1983" s="50"/>
      <c r="AC1983" s="50"/>
      <c r="AD1983" s="50"/>
      <c r="AE1983" s="50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65" t="s">
        <v>5822</v>
      </c>
      <c r="AP1983" s="69"/>
      <c r="AQ1983" s="62"/>
      <c r="AR1983" s="34"/>
    </row>
    <row r="1984" spans="1:49" customFormat="1">
      <c r="A1984" s="39">
        <v>45807</v>
      </c>
      <c r="B1984" s="11" t="s">
        <v>49</v>
      </c>
      <c r="C1984" s="16" t="s">
        <v>5604</v>
      </c>
      <c r="D1984" s="16" t="s">
        <v>5993</v>
      </c>
      <c r="E1984" s="38" t="s">
        <v>7040</v>
      </c>
      <c r="F1984" s="38"/>
      <c r="G1984" s="10"/>
      <c r="H1984" s="12"/>
      <c r="I1984" s="13"/>
      <c r="J1984" s="15"/>
      <c r="K1984" s="12"/>
      <c r="L1984" s="11"/>
      <c r="M1984" s="15"/>
      <c r="N1984" s="17">
        <v>11000</v>
      </c>
      <c r="O1984" s="17" t="s">
        <v>8506</v>
      </c>
      <c r="P1984" s="17" t="s">
        <v>8551</v>
      </c>
      <c r="Q1984" s="48" t="s">
        <v>8098</v>
      </c>
      <c r="R1984" s="11" t="s">
        <v>6847</v>
      </c>
      <c r="S1984" s="48" t="s">
        <v>8099</v>
      </c>
      <c r="T1984" s="85" t="s">
        <v>8073</v>
      </c>
      <c r="U1984" s="88"/>
      <c r="V1984" s="32"/>
      <c r="W1984" s="25"/>
      <c r="X1984" s="11"/>
      <c r="Y1984" s="50"/>
      <c r="Z1984" s="50"/>
      <c r="AA1984" s="50"/>
      <c r="AB1984" s="50"/>
      <c r="AC1984" s="50"/>
      <c r="AD1984" s="50"/>
      <c r="AE1984" s="50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65"/>
      <c r="AP1984" s="69"/>
      <c r="AQ1984" s="62"/>
      <c r="AR1984" s="34"/>
    </row>
    <row r="1985" spans="1:44" customFormat="1">
      <c r="A1985" s="39">
        <v>45808</v>
      </c>
      <c r="B1985" s="11" t="s">
        <v>49</v>
      </c>
      <c r="C1985" s="16" t="s">
        <v>7211</v>
      </c>
      <c r="D1985" s="16" t="s">
        <v>7212</v>
      </c>
      <c r="E1985" s="38" t="s">
        <v>7040</v>
      </c>
      <c r="F1985" s="38"/>
      <c r="G1985" s="10"/>
      <c r="H1985" s="12"/>
      <c r="I1985" s="13"/>
      <c r="J1985" s="15"/>
      <c r="K1985" s="12"/>
      <c r="L1985" s="11"/>
      <c r="M1985" s="15"/>
      <c r="N1985" s="17">
        <v>11000</v>
      </c>
      <c r="O1985" s="17"/>
      <c r="P1985" s="17"/>
      <c r="Q1985" s="48" t="s">
        <v>8098</v>
      </c>
      <c r="R1985" s="11" t="s">
        <v>6847</v>
      </c>
      <c r="S1985" s="48" t="s">
        <v>8099</v>
      </c>
      <c r="T1985" s="87" t="s">
        <v>8073</v>
      </c>
      <c r="U1985" s="88"/>
      <c r="V1985" s="32"/>
      <c r="W1985" s="25"/>
      <c r="X1985" s="11"/>
      <c r="Y1985" s="50"/>
      <c r="Z1985" s="50"/>
      <c r="AA1985" s="50"/>
      <c r="AB1985" s="50"/>
      <c r="AC1985" s="50"/>
      <c r="AD1985" s="50"/>
      <c r="AE1985" s="50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65"/>
      <c r="AP1985" s="69"/>
      <c r="AQ1985" s="62"/>
      <c r="AR1985" s="34"/>
    </row>
    <row r="1986" spans="1:44" customFormat="1">
      <c r="A1986" s="39">
        <v>45809</v>
      </c>
      <c r="B1986" s="11" t="s">
        <v>49</v>
      </c>
      <c r="C1986" s="16" t="s">
        <v>8447</v>
      </c>
      <c r="D1986" s="16" t="s">
        <v>8448</v>
      </c>
      <c r="E1986" s="38">
        <v>24043</v>
      </c>
      <c r="F1986" s="38" t="s">
        <v>1909</v>
      </c>
      <c r="G1986" s="10" t="s">
        <v>7032</v>
      </c>
      <c r="H1986" s="22" t="s">
        <v>8449</v>
      </c>
      <c r="I1986" s="13">
        <v>4.3</v>
      </c>
      <c r="J1986" s="15" t="s">
        <v>8450</v>
      </c>
      <c r="K1986" s="12"/>
      <c r="L1986" s="11" t="s">
        <v>33</v>
      </c>
      <c r="M1986" s="15" t="s">
        <v>3599</v>
      </c>
      <c r="N1986" s="17">
        <v>16500</v>
      </c>
      <c r="O1986" s="17" t="s">
        <v>8506</v>
      </c>
      <c r="P1986" s="39">
        <v>45781</v>
      </c>
      <c r="Q1986" s="48" t="s">
        <v>8098</v>
      </c>
      <c r="R1986" s="11" t="s">
        <v>6848</v>
      </c>
      <c r="S1986" s="48" t="s">
        <v>8102</v>
      </c>
      <c r="T1986" s="85" t="s">
        <v>8073</v>
      </c>
      <c r="U1986" s="88"/>
      <c r="V1986" s="32"/>
      <c r="W1986" s="25" t="s">
        <v>48</v>
      </c>
      <c r="X1986" s="11"/>
      <c r="Y1986" s="50"/>
      <c r="Z1986" s="50"/>
      <c r="AA1986" s="50"/>
      <c r="AB1986" s="50"/>
      <c r="AC1986" s="50"/>
      <c r="AD1986" s="50" t="s">
        <v>8451</v>
      </c>
      <c r="AE1986" s="50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65"/>
      <c r="AP1986" s="69"/>
      <c r="AQ1986" s="62"/>
      <c r="AR1986" s="34"/>
    </row>
    <row r="1987" spans="1:44" customFormat="1">
      <c r="A1987" s="39">
        <v>45809</v>
      </c>
      <c r="B1987" s="11" t="s">
        <v>22</v>
      </c>
      <c r="C1987" s="16" t="s">
        <v>8552</v>
      </c>
      <c r="D1987" s="16" t="s">
        <v>8553</v>
      </c>
      <c r="E1987" s="38">
        <v>35053</v>
      </c>
      <c r="F1987" s="38" t="s">
        <v>1909</v>
      </c>
      <c r="G1987" s="10" t="s">
        <v>307</v>
      </c>
      <c r="H1987" s="12" t="s">
        <v>8554</v>
      </c>
      <c r="I1987" s="13" t="s">
        <v>1621</v>
      </c>
      <c r="J1987" s="15" t="s">
        <v>8555</v>
      </c>
      <c r="K1987" s="46" t="s">
        <v>8556</v>
      </c>
      <c r="L1987" s="11"/>
      <c r="M1987" s="15" t="s">
        <v>3599</v>
      </c>
      <c r="N1987" s="17">
        <v>3300</v>
      </c>
      <c r="O1987" s="17"/>
      <c r="P1987" s="17"/>
      <c r="Q1987" s="48" t="s">
        <v>8097</v>
      </c>
      <c r="R1987" s="11" t="s">
        <v>6847</v>
      </c>
      <c r="S1987" s="48" t="s">
        <v>8102</v>
      </c>
      <c r="T1987" s="85" t="s">
        <v>8366</v>
      </c>
      <c r="U1987" s="88"/>
      <c r="V1987" s="32"/>
      <c r="W1987" s="25" t="s">
        <v>8113</v>
      </c>
      <c r="X1987" s="11"/>
      <c r="Y1987" s="50"/>
      <c r="Z1987" s="50"/>
      <c r="AA1987" s="50"/>
      <c r="AB1987" s="50"/>
      <c r="AC1987" s="50"/>
      <c r="AD1987" s="50"/>
      <c r="AE1987" s="50"/>
      <c r="AF1987" s="34" t="s">
        <v>8114</v>
      </c>
      <c r="AG1987" s="34" t="s">
        <v>8117</v>
      </c>
      <c r="AH1987" s="34"/>
      <c r="AI1987" s="34"/>
      <c r="AJ1987" s="34"/>
      <c r="AK1987" s="34"/>
      <c r="AL1987" s="34" t="s">
        <v>8173</v>
      </c>
      <c r="AM1987" s="34" t="s">
        <v>8188</v>
      </c>
      <c r="AN1987" s="34"/>
      <c r="AO1987" s="65" t="s">
        <v>5822</v>
      </c>
      <c r="AP1987" s="69"/>
      <c r="AQ1987" s="62"/>
      <c r="AR1987" s="34"/>
    </row>
    <row r="1988" spans="1:44" customFormat="1">
      <c r="A1988" s="39">
        <v>45814</v>
      </c>
      <c r="B1988" s="11" t="s">
        <v>49</v>
      </c>
      <c r="C1988" s="16" t="s">
        <v>8631</v>
      </c>
      <c r="D1988" s="16" t="s">
        <v>8632</v>
      </c>
      <c r="E1988" s="38">
        <v>30696</v>
      </c>
      <c r="F1988" s="38" t="s">
        <v>1909</v>
      </c>
      <c r="G1988" s="10" t="s">
        <v>8633</v>
      </c>
      <c r="H1988" s="12" t="s">
        <v>8635</v>
      </c>
      <c r="I1988" s="13" t="s">
        <v>8634</v>
      </c>
      <c r="J1988" s="15" t="s">
        <v>8636</v>
      </c>
      <c r="K1988" s="46" t="s">
        <v>8637</v>
      </c>
      <c r="L1988" s="11" t="s">
        <v>36</v>
      </c>
      <c r="M1988" s="15" t="s">
        <v>3584</v>
      </c>
      <c r="N1988" s="17">
        <v>16500</v>
      </c>
      <c r="O1988" s="17"/>
      <c r="P1988" s="17"/>
      <c r="Q1988" s="48" t="s">
        <v>8098</v>
      </c>
      <c r="R1988" s="11" t="s">
        <v>6848</v>
      </c>
      <c r="S1988" s="48" t="s">
        <v>8101</v>
      </c>
      <c r="T1988" s="85"/>
      <c r="U1988" s="88"/>
      <c r="V1988" s="32"/>
      <c r="W1988" s="25"/>
      <c r="X1988" s="11"/>
      <c r="Y1988" s="50" t="s">
        <v>13</v>
      </c>
      <c r="Z1988" s="50"/>
      <c r="AA1988" s="50"/>
      <c r="AB1988" s="50"/>
      <c r="AC1988" s="50"/>
      <c r="AD1988" s="50"/>
      <c r="AE1988" s="50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65"/>
      <c r="AP1988" s="69"/>
      <c r="AQ1988" s="62"/>
      <c r="AR1988" s="34"/>
    </row>
    <row r="1989" spans="1:44" customFormat="1">
      <c r="A1989" s="39">
        <v>45814</v>
      </c>
      <c r="B1989" s="11" t="s">
        <v>22</v>
      </c>
      <c r="C1989" s="16" t="s">
        <v>8657</v>
      </c>
      <c r="D1989" s="16" t="s">
        <v>8658</v>
      </c>
      <c r="E1989" s="38">
        <v>34089</v>
      </c>
      <c r="F1989" s="38" t="s">
        <v>8651</v>
      </c>
      <c r="G1989" s="10" t="s">
        <v>8661</v>
      </c>
      <c r="H1989" s="12" t="s">
        <v>8659</v>
      </c>
      <c r="I1989" s="13" t="s">
        <v>8660</v>
      </c>
      <c r="J1989" s="15" t="s">
        <v>8662</v>
      </c>
      <c r="K1989" s="46" t="s">
        <v>8663</v>
      </c>
      <c r="L1989" s="11"/>
      <c r="M1989" s="15"/>
      <c r="N1989" s="17">
        <v>3300</v>
      </c>
      <c r="O1989" s="17"/>
      <c r="P1989" s="17"/>
      <c r="Q1989" s="48" t="s">
        <v>8664</v>
      </c>
      <c r="R1989" s="11" t="s">
        <v>6943</v>
      </c>
      <c r="S1989" s="48" t="s">
        <v>8101</v>
      </c>
      <c r="T1989" s="85"/>
      <c r="U1989" s="88"/>
      <c r="V1989" s="32"/>
      <c r="W1989" s="25" t="s">
        <v>8113</v>
      </c>
      <c r="X1989" s="11"/>
      <c r="Y1989" s="50"/>
      <c r="Z1989" s="50"/>
      <c r="AA1989" s="50"/>
      <c r="AB1989" s="50"/>
      <c r="AC1989" s="50"/>
      <c r="AD1989" s="50"/>
      <c r="AE1989" s="50"/>
      <c r="AF1989" s="34" t="s">
        <v>8114</v>
      </c>
      <c r="AG1989" s="34" t="s">
        <v>8164</v>
      </c>
      <c r="AH1989" s="34"/>
      <c r="AI1989" s="34"/>
      <c r="AJ1989" s="34"/>
      <c r="AK1989" s="34"/>
      <c r="AL1989" s="34" t="s">
        <v>8173</v>
      </c>
      <c r="AM1989" s="34" t="s">
        <v>8130</v>
      </c>
      <c r="AN1989" s="34" t="s">
        <v>8175</v>
      </c>
      <c r="AO1989" s="65"/>
      <c r="AP1989" s="69"/>
      <c r="AQ1989" s="62"/>
      <c r="AR1989" s="34"/>
    </row>
    <row r="1990" spans="1:44" customFormat="1">
      <c r="A1990" s="39">
        <v>45815</v>
      </c>
      <c r="B1990" s="11" t="s">
        <v>49</v>
      </c>
      <c r="C1990" s="16" t="s">
        <v>8649</v>
      </c>
      <c r="D1990" s="16" t="s">
        <v>8650</v>
      </c>
      <c r="E1990" s="38">
        <v>26159</v>
      </c>
      <c r="F1990" s="38" t="s">
        <v>8651</v>
      </c>
      <c r="G1990" s="10" t="s">
        <v>8652</v>
      </c>
      <c r="H1990" s="12" t="s">
        <v>8653</v>
      </c>
      <c r="I1990" s="13" t="s">
        <v>8654</v>
      </c>
      <c r="J1990" s="15" t="s">
        <v>8655</v>
      </c>
      <c r="K1990" s="12"/>
      <c r="L1990" s="11" t="s">
        <v>36</v>
      </c>
      <c r="M1990" s="15" t="s">
        <v>3629</v>
      </c>
      <c r="N1990" s="17">
        <v>11000</v>
      </c>
      <c r="O1990" s="17"/>
      <c r="P1990" s="17"/>
      <c r="Q1990" s="48" t="s">
        <v>8098</v>
      </c>
      <c r="R1990" s="11" t="s">
        <v>6847</v>
      </c>
      <c r="S1990" s="48" t="s">
        <v>8100</v>
      </c>
      <c r="T1990" s="85" t="s">
        <v>8073</v>
      </c>
      <c r="U1990" s="88"/>
      <c r="V1990" s="32" t="s">
        <v>8656</v>
      </c>
      <c r="W1990" s="25"/>
      <c r="X1990" s="11"/>
      <c r="Y1990" s="50" t="s">
        <v>13</v>
      </c>
      <c r="Z1990" s="50"/>
      <c r="AA1990" s="50"/>
      <c r="AB1990" s="50"/>
      <c r="AC1990" s="50"/>
      <c r="AD1990" s="50"/>
      <c r="AE1990" s="50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65"/>
      <c r="AP1990" s="69"/>
      <c r="AQ1990" s="62"/>
      <c r="AR1990" s="34"/>
    </row>
    <row r="1991" spans="1:44" customFormat="1">
      <c r="A1991" s="39">
        <v>45820</v>
      </c>
      <c r="B1991" s="11" t="s">
        <v>49</v>
      </c>
      <c r="C1991" s="16" t="s">
        <v>8665</v>
      </c>
      <c r="D1991" s="16" t="s">
        <v>8666</v>
      </c>
      <c r="E1991" s="38">
        <v>29802</v>
      </c>
      <c r="F1991" s="38" t="s">
        <v>8667</v>
      </c>
      <c r="G1991" s="10" t="s">
        <v>8668</v>
      </c>
      <c r="H1991" s="12" t="s">
        <v>8669</v>
      </c>
      <c r="I1991" s="13" t="s">
        <v>8670</v>
      </c>
      <c r="J1991" s="15" t="s">
        <v>8671</v>
      </c>
      <c r="K1991" s="12"/>
      <c r="L1991" s="11" t="s">
        <v>36</v>
      </c>
      <c r="M1991" s="15"/>
      <c r="N1991" s="17">
        <v>16500</v>
      </c>
      <c r="O1991" s="17"/>
      <c r="P1991" s="17"/>
      <c r="Q1991" s="48" t="s">
        <v>8672</v>
      </c>
      <c r="R1991" s="11" t="s">
        <v>6847</v>
      </c>
      <c r="S1991" s="48" t="s">
        <v>8101</v>
      </c>
      <c r="T1991" s="85" t="s">
        <v>8673</v>
      </c>
      <c r="U1991" s="88"/>
      <c r="V1991" s="32" t="s">
        <v>8675</v>
      </c>
      <c r="W1991" s="25" t="s">
        <v>8674</v>
      </c>
      <c r="X1991" s="11"/>
      <c r="Y1991" s="50"/>
      <c r="Z1991" s="50"/>
      <c r="AA1991" s="50"/>
      <c r="AB1991" s="50"/>
      <c r="AC1991" s="50"/>
      <c r="AD1991" s="50"/>
      <c r="AE1991" s="50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65"/>
      <c r="AP1991" s="69"/>
      <c r="AQ1991" s="62"/>
      <c r="AR1991" s="34"/>
    </row>
    <row r="1992" spans="1:44" customFormat="1" ht="17.25" customHeight="1">
      <c r="A1992" s="39">
        <v>45819</v>
      </c>
      <c r="B1992" s="11" t="s">
        <v>22</v>
      </c>
      <c r="C1992" s="16" t="s">
        <v>8676</v>
      </c>
      <c r="D1992" s="16" t="s">
        <v>8677</v>
      </c>
      <c r="E1992" s="38">
        <v>19087</v>
      </c>
      <c r="F1992" s="38" t="s">
        <v>8678</v>
      </c>
      <c r="G1992" s="10" t="s">
        <v>8679</v>
      </c>
      <c r="H1992" s="12" t="s">
        <v>8680</v>
      </c>
      <c r="I1992" s="13">
        <v>12</v>
      </c>
      <c r="J1992" s="15" t="s">
        <v>8681</v>
      </c>
      <c r="K1992" s="12"/>
      <c r="L1992" s="11" t="s">
        <v>39</v>
      </c>
      <c r="M1992" s="15"/>
      <c r="N1992" s="17">
        <v>0</v>
      </c>
      <c r="O1992" s="17" t="s">
        <v>8682</v>
      </c>
      <c r="P1992" s="17"/>
      <c r="Q1992" s="48"/>
      <c r="R1992" s="11" t="s">
        <v>6847</v>
      </c>
      <c r="S1992" s="48" t="s">
        <v>8101</v>
      </c>
      <c r="T1992" s="85" t="s">
        <v>8684</v>
      </c>
      <c r="U1992" s="88"/>
      <c r="V1992" s="32" t="s">
        <v>8683</v>
      </c>
      <c r="W1992" s="25" t="s">
        <v>8674</v>
      </c>
      <c r="X1992" s="11"/>
      <c r="Y1992" s="50"/>
      <c r="Z1992" s="50"/>
      <c r="AA1992" s="50"/>
      <c r="AB1992" s="50"/>
      <c r="AC1992" s="50"/>
      <c r="AD1992" s="50"/>
      <c r="AE1992" s="50"/>
      <c r="AF1992" s="34" t="s">
        <v>8114</v>
      </c>
      <c r="AG1992" s="34" t="s">
        <v>8117</v>
      </c>
      <c r="AH1992" s="34" t="s">
        <v>8164</v>
      </c>
      <c r="AI1992" s="34"/>
      <c r="AJ1992" s="34"/>
      <c r="AK1992" s="34"/>
      <c r="AL1992" s="34" t="s">
        <v>8130</v>
      </c>
      <c r="AM1992" s="34" t="s">
        <v>8173</v>
      </c>
      <c r="AN1992" s="34" t="s">
        <v>8188</v>
      </c>
      <c r="AO1992" s="65" t="s">
        <v>8685</v>
      </c>
      <c r="AP1992" s="69"/>
      <c r="AQ1992" s="62"/>
      <c r="AR1992" s="34"/>
    </row>
    <row r="1993" spans="1:44" customFormat="1" ht="17.25" customHeight="1">
      <c r="A1993" s="39">
        <v>45819</v>
      </c>
      <c r="B1993" s="11" t="s">
        <v>22</v>
      </c>
      <c r="C1993" s="16" t="s">
        <v>8689</v>
      </c>
      <c r="D1993" s="16" t="s">
        <v>8690</v>
      </c>
      <c r="E1993" s="38">
        <v>22669</v>
      </c>
      <c r="F1993" s="38" t="s">
        <v>8667</v>
      </c>
      <c r="G1993" s="10" t="s">
        <v>8686</v>
      </c>
      <c r="H1993" s="12" t="s">
        <v>8687</v>
      </c>
      <c r="I1993" s="13">
        <v>13</v>
      </c>
      <c r="J1993" s="15" t="s">
        <v>8688</v>
      </c>
      <c r="K1993" s="12"/>
      <c r="L1993" s="11" t="s">
        <v>39</v>
      </c>
      <c r="M1993" s="15"/>
      <c r="N1993" s="17">
        <v>0</v>
      </c>
      <c r="O1993" s="17" t="s">
        <v>8682</v>
      </c>
      <c r="P1993" s="17"/>
      <c r="Q1993" s="48"/>
      <c r="R1993" s="11" t="s">
        <v>6847</v>
      </c>
      <c r="S1993" s="48" t="s">
        <v>8101</v>
      </c>
      <c r="T1993" s="85" t="s">
        <v>8684</v>
      </c>
      <c r="U1993" s="88"/>
      <c r="V1993" s="32" t="s">
        <v>8683</v>
      </c>
      <c r="W1993" s="25" t="s">
        <v>8674</v>
      </c>
      <c r="X1993" s="11"/>
      <c r="Y1993" s="50"/>
      <c r="Z1993" s="50"/>
      <c r="AA1993" s="50"/>
      <c r="AB1993" s="50"/>
      <c r="AC1993" s="50"/>
      <c r="AD1993" s="50"/>
      <c r="AE1993" s="50"/>
      <c r="AF1993" s="34" t="s">
        <v>8187</v>
      </c>
      <c r="AG1993" s="34" t="s">
        <v>8117</v>
      </c>
      <c r="AH1993" s="34" t="s">
        <v>8164</v>
      </c>
      <c r="AI1993" s="34"/>
      <c r="AJ1993" s="34"/>
      <c r="AK1993" s="34"/>
      <c r="AL1993" s="34" t="s">
        <v>8173</v>
      </c>
      <c r="AM1993" s="34"/>
      <c r="AN1993" s="34"/>
      <c r="AO1993" s="65" t="s">
        <v>8685</v>
      </c>
      <c r="AP1993" s="69"/>
      <c r="AQ1993" s="62"/>
      <c r="AR1993" s="34"/>
    </row>
    <row r="1994" spans="1:44" customFormat="1">
      <c r="A1994" s="39">
        <v>45820</v>
      </c>
      <c r="B1994" s="11" t="s">
        <v>22</v>
      </c>
      <c r="C1994" s="16" t="s">
        <v>8691</v>
      </c>
      <c r="D1994" s="16" t="s">
        <v>8692</v>
      </c>
      <c r="E1994" s="38">
        <v>31290</v>
      </c>
      <c r="F1994" s="38" t="s">
        <v>8678</v>
      </c>
      <c r="G1994" s="10" t="s">
        <v>8693</v>
      </c>
      <c r="H1994" s="12" t="s">
        <v>8694</v>
      </c>
      <c r="I1994" s="13">
        <v>1.3</v>
      </c>
      <c r="J1994" s="15" t="s">
        <v>8695</v>
      </c>
      <c r="K1994" s="46" t="s">
        <v>8696</v>
      </c>
      <c r="L1994" s="11" t="s">
        <v>33</v>
      </c>
      <c r="M1994" s="15"/>
      <c r="N1994" s="17">
        <v>3300</v>
      </c>
      <c r="O1994" s="17"/>
      <c r="P1994" s="17"/>
      <c r="Q1994" s="48" t="s">
        <v>8697</v>
      </c>
      <c r="R1994" s="11" t="s">
        <v>8503</v>
      </c>
      <c r="S1994" s="48" t="s">
        <v>8101</v>
      </c>
      <c r="T1994" s="85" t="s">
        <v>8684</v>
      </c>
      <c r="U1994" s="88"/>
      <c r="V1994" s="32"/>
      <c r="W1994" s="25" t="s">
        <v>8698</v>
      </c>
      <c r="X1994" s="11"/>
      <c r="Y1994" s="50"/>
      <c r="Z1994" s="50"/>
      <c r="AA1994" s="50"/>
      <c r="AB1994" s="50"/>
      <c r="AC1994" s="50"/>
      <c r="AD1994" s="50"/>
      <c r="AE1994" s="50"/>
      <c r="AF1994" s="34" t="s">
        <v>8164</v>
      </c>
      <c r="AG1994" s="34"/>
      <c r="AH1994" s="34"/>
      <c r="AI1994" s="34"/>
      <c r="AJ1994" s="34"/>
      <c r="AK1994" s="34"/>
      <c r="AL1994" s="34" t="s">
        <v>8175</v>
      </c>
      <c r="AM1994" s="34"/>
      <c r="AN1994" s="34"/>
      <c r="AO1994" s="65" t="s">
        <v>8685</v>
      </c>
      <c r="AP1994" s="69"/>
      <c r="AQ1994" s="62"/>
      <c r="AR1994" s="34"/>
    </row>
    <row r="1995" spans="1:44" customFormat="1">
      <c r="A1995" s="39">
        <v>45821</v>
      </c>
      <c r="B1995" s="11" t="s">
        <v>49</v>
      </c>
      <c r="C1995" s="16" t="s">
        <v>8699</v>
      </c>
      <c r="D1995" s="16" t="s">
        <v>8700</v>
      </c>
      <c r="E1995" s="38">
        <v>31616</v>
      </c>
      <c r="F1995" s="38" t="s">
        <v>8701</v>
      </c>
      <c r="G1995" s="10" t="s">
        <v>8702</v>
      </c>
      <c r="H1995" s="12" t="s">
        <v>8703</v>
      </c>
      <c r="I1995" s="13">
        <v>10.199999999999999</v>
      </c>
      <c r="J1995" s="15" t="s">
        <v>8704</v>
      </c>
      <c r="K1995" s="12"/>
      <c r="L1995" s="11" t="s">
        <v>33</v>
      </c>
      <c r="M1995" s="15" t="s">
        <v>3599</v>
      </c>
      <c r="N1995" s="17">
        <v>16500</v>
      </c>
      <c r="O1995" s="17"/>
      <c r="P1995" s="17"/>
      <c r="Q1995" s="48" t="s">
        <v>8098</v>
      </c>
      <c r="R1995" s="11" t="s">
        <v>6847</v>
      </c>
      <c r="S1995" s="48" t="s">
        <v>8102</v>
      </c>
      <c r="T1995" s="85"/>
      <c r="U1995" s="88"/>
      <c r="V1995" s="32"/>
      <c r="W1995" s="25" t="s">
        <v>8</v>
      </c>
      <c r="X1995" s="11"/>
      <c r="Y1995" s="50" t="s">
        <v>13</v>
      </c>
      <c r="Z1995" s="50"/>
      <c r="AA1995" s="50"/>
      <c r="AB1995" s="50"/>
      <c r="AC1995" s="50"/>
      <c r="AD1995" s="50"/>
      <c r="AE1995" s="50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65"/>
      <c r="AP1995" s="69"/>
      <c r="AQ1995" s="62"/>
      <c r="AR1995" s="34"/>
    </row>
    <row r="1996" spans="1:44" customFormat="1">
      <c r="A1996" s="39">
        <v>45824</v>
      </c>
      <c r="B1996" s="11" t="s">
        <v>49</v>
      </c>
      <c r="C1996" s="16" t="s">
        <v>7714</v>
      </c>
      <c r="D1996" s="16" t="s">
        <v>7715</v>
      </c>
      <c r="E1996" s="38" t="s">
        <v>8923</v>
      </c>
      <c r="F1996" s="38"/>
      <c r="G1996" s="10"/>
      <c r="H1996" s="12"/>
      <c r="I1996" s="13"/>
      <c r="J1996" s="15"/>
      <c r="K1996" s="12"/>
      <c r="L1996" s="11"/>
      <c r="M1996" s="15"/>
      <c r="N1996" s="17">
        <v>0</v>
      </c>
      <c r="O1996" s="17"/>
      <c r="P1996" s="17"/>
      <c r="Q1996" s="48"/>
      <c r="R1996" s="11" t="s">
        <v>6848</v>
      </c>
      <c r="S1996" s="48" t="s">
        <v>8102</v>
      </c>
      <c r="T1996" s="85" t="s">
        <v>8073</v>
      </c>
      <c r="U1996" s="88"/>
      <c r="V1996" s="32" t="s">
        <v>8924</v>
      </c>
      <c r="W1996" s="25"/>
      <c r="X1996" s="11"/>
      <c r="Y1996" s="50"/>
      <c r="Z1996" s="50"/>
      <c r="AA1996" s="50"/>
      <c r="AB1996" s="50"/>
      <c r="AC1996" s="50"/>
      <c r="AD1996" s="50"/>
      <c r="AE1996" s="50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65"/>
      <c r="AP1996" s="69"/>
      <c r="AQ1996" s="62"/>
      <c r="AR1996" s="34"/>
    </row>
    <row r="1997" spans="1:44" customFormat="1">
      <c r="A1997" s="39">
        <v>45827</v>
      </c>
      <c r="B1997" s="11" t="s">
        <v>49</v>
      </c>
      <c r="C1997" s="16" t="s">
        <v>8705</v>
      </c>
      <c r="D1997" s="16" t="s">
        <v>8706</v>
      </c>
      <c r="E1997" s="38">
        <v>32438</v>
      </c>
      <c r="F1997" s="38" t="s">
        <v>1909</v>
      </c>
      <c r="G1997" s="10" t="s">
        <v>8707</v>
      </c>
      <c r="H1997" s="12" t="s">
        <v>8708</v>
      </c>
      <c r="I1997" s="13" t="s">
        <v>8709</v>
      </c>
      <c r="J1997" s="15" t="s">
        <v>8710</v>
      </c>
      <c r="K1997" s="46" t="s">
        <v>8711</v>
      </c>
      <c r="L1997" s="11" t="s">
        <v>33</v>
      </c>
      <c r="M1997" s="15" t="s">
        <v>3599</v>
      </c>
      <c r="N1997" s="17">
        <v>11000</v>
      </c>
      <c r="O1997" s="17" t="s">
        <v>8234</v>
      </c>
      <c r="P1997" s="17"/>
      <c r="Q1997" s="48" t="s">
        <v>8098</v>
      </c>
      <c r="R1997" s="11" t="s">
        <v>6847</v>
      </c>
      <c r="S1997" s="48" t="s">
        <v>8102</v>
      </c>
      <c r="T1997" s="85" t="s">
        <v>8922</v>
      </c>
      <c r="U1997" s="88"/>
      <c r="V1997" s="32"/>
      <c r="W1997" s="25" t="s">
        <v>8</v>
      </c>
      <c r="X1997" s="11"/>
      <c r="Y1997" s="50" t="s">
        <v>13</v>
      </c>
      <c r="Z1997" s="50" t="s">
        <v>8712</v>
      </c>
      <c r="AA1997" s="50"/>
      <c r="AB1997" s="50"/>
      <c r="AC1997" s="50"/>
      <c r="AD1997" s="50"/>
      <c r="AE1997" s="50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65"/>
      <c r="AP1997" s="69"/>
      <c r="AQ1997" s="62"/>
      <c r="AR1997" s="34"/>
    </row>
    <row r="1998" spans="1:44">
      <c r="A1998" s="39">
        <v>45828</v>
      </c>
      <c r="B1998" s="11" t="s">
        <v>2171</v>
      </c>
      <c r="C1998" s="16" t="s">
        <v>8713</v>
      </c>
      <c r="D1998" s="16" t="s">
        <v>8714</v>
      </c>
      <c r="E1998" s="38">
        <v>37390</v>
      </c>
      <c r="F1998" s="38" t="s">
        <v>1910</v>
      </c>
      <c r="G1998" s="10" t="s">
        <v>2740</v>
      </c>
      <c r="H1998" s="12" t="s">
        <v>8715</v>
      </c>
      <c r="I1998" s="13">
        <v>3.2</v>
      </c>
      <c r="J1998" s="15" t="s">
        <v>8716</v>
      </c>
      <c r="K1998" s="46" t="s">
        <v>8717</v>
      </c>
      <c r="L1998" s="11"/>
      <c r="M1998" s="15" t="s">
        <v>3584</v>
      </c>
      <c r="N1998" s="17">
        <v>3300</v>
      </c>
      <c r="O1998" s="17"/>
      <c r="P1998" s="17"/>
      <c r="Q1998" s="48"/>
      <c r="R1998" s="11"/>
      <c r="S1998" s="48"/>
      <c r="T1998" s="85"/>
      <c r="U1998" s="88"/>
      <c r="V1998" s="32"/>
      <c r="W1998" s="25"/>
      <c r="X1998" s="11"/>
      <c r="Y1998" s="50"/>
      <c r="Z1998" s="50"/>
      <c r="AA1998" s="50"/>
      <c r="AB1998" s="50"/>
      <c r="AC1998" s="50"/>
      <c r="AD1998" s="50"/>
      <c r="AE1998" s="50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65"/>
      <c r="AP1998" s="69"/>
      <c r="AQ1998" s="62"/>
      <c r="AR1998" s="34"/>
    </row>
    <row r="1999" spans="1:44">
      <c r="A1999" s="39">
        <v>45829</v>
      </c>
      <c r="B1999" s="11" t="s">
        <v>49</v>
      </c>
      <c r="C1999" s="16" t="s">
        <v>8718</v>
      </c>
      <c r="D1999" s="16" t="s">
        <v>8719</v>
      </c>
      <c r="E1999" s="38">
        <v>32943</v>
      </c>
      <c r="F1999" s="38" t="s">
        <v>1909</v>
      </c>
      <c r="G1999" s="10" t="s">
        <v>8720</v>
      </c>
      <c r="H1999" s="12" t="s">
        <v>8721</v>
      </c>
      <c r="I1999" s="13">
        <v>9</v>
      </c>
      <c r="J1999" s="15" t="s">
        <v>8722</v>
      </c>
      <c r="K1999" s="12"/>
      <c r="L1999" s="11" t="s">
        <v>36</v>
      </c>
      <c r="M1999" s="15" t="s">
        <v>3599</v>
      </c>
      <c r="N1999" s="17">
        <v>16500</v>
      </c>
      <c r="O1999" s="17" t="s">
        <v>8203</v>
      </c>
      <c r="P1999" s="17"/>
      <c r="Q1999" s="48" t="s">
        <v>8098</v>
      </c>
      <c r="R1999" s="11" t="s">
        <v>6847</v>
      </c>
      <c r="S1999" s="48" t="s">
        <v>8100</v>
      </c>
      <c r="T1999" s="85"/>
      <c r="U1999" s="88"/>
      <c r="V1999" s="32"/>
      <c r="W1999" s="25"/>
      <c r="X1999" s="11"/>
      <c r="Y1999" s="50" t="s">
        <v>13</v>
      </c>
      <c r="Z1999" s="50"/>
      <c r="AA1999" s="50"/>
      <c r="AB1999" s="50"/>
      <c r="AC1999" s="50"/>
      <c r="AD1999" s="50"/>
      <c r="AE1999" s="50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65"/>
      <c r="AP1999" s="69"/>
      <c r="AQ1999" s="62"/>
      <c r="AR1999" s="34"/>
    </row>
    <row r="2000" spans="1:44">
      <c r="A2000" s="39">
        <v>45830</v>
      </c>
      <c r="B2000" s="11" t="s">
        <v>22</v>
      </c>
      <c r="C2000" s="16" t="s">
        <v>8723</v>
      </c>
      <c r="D2000" s="16" t="s">
        <v>8724</v>
      </c>
      <c r="E2000" s="38">
        <v>24798</v>
      </c>
      <c r="F2000" s="38" t="s">
        <v>1909</v>
      </c>
      <c r="G2000" s="10" t="s">
        <v>130</v>
      </c>
      <c r="H2000" s="12" t="s">
        <v>8725</v>
      </c>
      <c r="I2000" s="13">
        <v>0.8</v>
      </c>
      <c r="J2000" s="15" t="s">
        <v>8726</v>
      </c>
      <c r="K2000" s="46" t="s">
        <v>8727</v>
      </c>
      <c r="L2000" s="11" t="s">
        <v>33</v>
      </c>
      <c r="M2000" s="15" t="s">
        <v>3584</v>
      </c>
      <c r="N2000" s="17">
        <v>3300</v>
      </c>
      <c r="O2000" s="17" t="s">
        <v>8203</v>
      </c>
      <c r="P2000" s="17"/>
      <c r="Q2000" s="48" t="s">
        <v>8098</v>
      </c>
      <c r="R2000" s="11" t="s">
        <v>6943</v>
      </c>
      <c r="S2000" s="48" t="s">
        <v>8100</v>
      </c>
      <c r="T2000" s="85" t="s">
        <v>81</v>
      </c>
      <c r="U2000" s="88"/>
      <c r="V2000" s="32"/>
      <c r="W2000" s="25"/>
      <c r="X2000" s="11"/>
      <c r="Y2000" s="50"/>
      <c r="Z2000" s="50"/>
      <c r="AA2000" s="50"/>
      <c r="AB2000" s="50"/>
      <c r="AC2000" s="50"/>
      <c r="AD2000" s="50"/>
      <c r="AE2000" s="50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65"/>
      <c r="AP2000" s="69"/>
      <c r="AQ2000" s="62"/>
      <c r="AR2000" s="34"/>
    </row>
    <row r="2001" spans="1:44">
      <c r="A2001" s="39">
        <v>45836</v>
      </c>
      <c r="B2001" s="11" t="s">
        <v>22</v>
      </c>
      <c r="C2001" s="16" t="s">
        <v>8728</v>
      </c>
      <c r="D2001" s="16" t="s">
        <v>8729</v>
      </c>
      <c r="E2001" s="38">
        <v>29234</v>
      </c>
      <c r="F2001" s="38" t="s">
        <v>1909</v>
      </c>
      <c r="G2001" s="10" t="s">
        <v>551</v>
      </c>
      <c r="H2001" s="12" t="s">
        <v>8730</v>
      </c>
      <c r="I2001" s="13" t="s">
        <v>5302</v>
      </c>
      <c r="J2001" s="15" t="s">
        <v>8731</v>
      </c>
      <c r="K2001" s="46" t="s">
        <v>8732</v>
      </c>
      <c r="L2001" s="11" t="s">
        <v>36</v>
      </c>
      <c r="M2001" s="15" t="s">
        <v>3584</v>
      </c>
      <c r="N2001" s="17">
        <v>0</v>
      </c>
      <c r="O2001" s="17"/>
      <c r="P2001" s="17"/>
      <c r="Q2001" s="48" t="s">
        <v>8733</v>
      </c>
      <c r="R2001" s="11" t="s">
        <v>6848</v>
      </c>
      <c r="S2001" s="48" t="s">
        <v>8100</v>
      </c>
      <c r="T2001" s="85" t="s">
        <v>81</v>
      </c>
      <c r="U2001" s="88"/>
      <c r="V2001" s="49" t="s">
        <v>8733</v>
      </c>
      <c r="W2001" s="25" t="s">
        <v>8113</v>
      </c>
      <c r="X2001" s="25" t="s">
        <v>48</v>
      </c>
      <c r="Y2001" s="50"/>
      <c r="Z2001" s="50"/>
      <c r="AA2001" s="50"/>
      <c r="AB2001" s="50"/>
      <c r="AC2001" s="50"/>
      <c r="AD2001" s="50"/>
      <c r="AE2001" s="50"/>
      <c r="AF2001" s="34" t="s">
        <v>8114</v>
      </c>
      <c r="AG2001" s="34" t="s">
        <v>8164</v>
      </c>
      <c r="AH2001" s="34"/>
      <c r="AI2001" s="34"/>
      <c r="AJ2001" s="34"/>
      <c r="AK2001" s="34"/>
      <c r="AL2001" s="34" t="s">
        <v>8173</v>
      </c>
      <c r="AM2001" s="34"/>
      <c r="AN2001" s="34"/>
      <c r="AO2001" s="65"/>
      <c r="AP2001" s="69" t="s">
        <v>8734</v>
      </c>
      <c r="AQ2001" s="62"/>
      <c r="AR2001" s="34"/>
    </row>
    <row r="2002" spans="1:44">
      <c r="A2002" s="39">
        <v>45840</v>
      </c>
      <c r="B2002" s="11" t="s">
        <v>49</v>
      </c>
      <c r="C2002" s="16" t="s">
        <v>8735</v>
      </c>
      <c r="D2002" s="16" t="s">
        <v>8736</v>
      </c>
      <c r="E2002" s="38">
        <v>33303</v>
      </c>
      <c r="F2002" s="38" t="s">
        <v>1909</v>
      </c>
      <c r="G2002" s="10" t="s">
        <v>8737</v>
      </c>
      <c r="H2002" s="12" t="s">
        <v>8738</v>
      </c>
      <c r="I2002" s="13" t="s">
        <v>8739</v>
      </c>
      <c r="J2002" s="15" t="s">
        <v>8740</v>
      </c>
      <c r="K2002" s="12"/>
      <c r="L2002" s="11" t="s">
        <v>35</v>
      </c>
      <c r="M2002" s="15" t="s">
        <v>3584</v>
      </c>
      <c r="N2002" s="17">
        <v>11000</v>
      </c>
      <c r="O2002" s="17"/>
      <c r="P2002" s="17"/>
      <c r="Q2002" s="48" t="s">
        <v>8098</v>
      </c>
      <c r="R2002" s="11" t="s">
        <v>6847</v>
      </c>
      <c r="S2002" s="48" t="s">
        <v>8101</v>
      </c>
      <c r="T2002" s="11"/>
      <c r="U2002" s="88"/>
      <c r="V2002" s="32" t="s">
        <v>8741</v>
      </c>
      <c r="W2002" s="25"/>
      <c r="X2002" s="11"/>
      <c r="Y2002" s="50"/>
      <c r="Z2002" s="50"/>
      <c r="AA2002" s="50"/>
      <c r="AB2002" s="50"/>
      <c r="AC2002" s="50"/>
      <c r="AD2002" s="50"/>
      <c r="AE2002" s="50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65"/>
      <c r="AP2002" s="69"/>
      <c r="AQ2002" s="62"/>
      <c r="AR2002" s="34"/>
    </row>
    <row r="2003" spans="1:44" customFormat="1">
      <c r="A2003" s="39">
        <v>45843</v>
      </c>
      <c r="B2003" s="11" t="s">
        <v>22</v>
      </c>
      <c r="C2003" s="16" t="s">
        <v>8742</v>
      </c>
      <c r="D2003" s="16" t="s">
        <v>8743</v>
      </c>
      <c r="E2003" s="38">
        <v>32770</v>
      </c>
      <c r="F2003" s="38" t="s">
        <v>8744</v>
      </c>
      <c r="G2003" s="10" t="s">
        <v>8747</v>
      </c>
      <c r="H2003" s="12" t="s">
        <v>8745</v>
      </c>
      <c r="I2003" s="13" t="s">
        <v>8746</v>
      </c>
      <c r="J2003" s="15" t="s">
        <v>8748</v>
      </c>
      <c r="K2003" s="12"/>
      <c r="L2003" s="11" t="s">
        <v>36</v>
      </c>
      <c r="M2003" s="15"/>
      <c r="N2003" s="17">
        <v>0</v>
      </c>
      <c r="O2003" s="17"/>
      <c r="P2003" s="17"/>
      <c r="Q2003" s="48"/>
      <c r="R2003" s="11" t="s">
        <v>6943</v>
      </c>
      <c r="S2003" s="48" t="s">
        <v>8101</v>
      </c>
      <c r="T2003" s="85" t="s">
        <v>81</v>
      </c>
      <c r="U2003" s="88"/>
      <c r="V2003" s="49" t="s">
        <v>8733</v>
      </c>
      <c r="W2003" s="25" t="s">
        <v>8749</v>
      </c>
      <c r="X2003" s="11"/>
      <c r="Y2003" s="50"/>
      <c r="Z2003" s="50"/>
      <c r="AA2003" s="50"/>
      <c r="AB2003" s="50"/>
      <c r="AC2003" s="50"/>
      <c r="AD2003" s="50"/>
      <c r="AE2003" s="50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65" t="s">
        <v>8750</v>
      </c>
      <c r="AP2003" s="69" t="s">
        <v>8734</v>
      </c>
      <c r="AQ2003" s="62"/>
      <c r="AR2003" s="34"/>
    </row>
    <row r="2004" spans="1:44" customFormat="1">
      <c r="A2004" s="39">
        <v>45844</v>
      </c>
      <c r="B2004" s="11" t="s">
        <v>22</v>
      </c>
      <c r="C2004" s="16" t="s">
        <v>8751</v>
      </c>
      <c r="D2004" s="16" t="s">
        <v>8752</v>
      </c>
      <c r="E2004" s="38">
        <v>24789</v>
      </c>
      <c r="F2004" s="38" t="s">
        <v>8753</v>
      </c>
      <c r="G2004" s="10" t="s">
        <v>8754</v>
      </c>
      <c r="H2004" s="12" t="s">
        <v>7358</v>
      </c>
      <c r="I2004" s="13" t="s">
        <v>8755</v>
      </c>
      <c r="J2004" s="15" t="s">
        <v>8756</v>
      </c>
      <c r="K2004" s="46" t="s">
        <v>8757</v>
      </c>
      <c r="L2004" s="11" t="s">
        <v>36</v>
      </c>
      <c r="M2004" s="15" t="s">
        <v>3584</v>
      </c>
      <c r="N2004" s="17">
        <v>0</v>
      </c>
      <c r="O2004" s="17"/>
      <c r="P2004" s="17"/>
      <c r="Q2004" s="48" t="s">
        <v>8758</v>
      </c>
      <c r="R2004" s="11" t="s">
        <v>6847</v>
      </c>
      <c r="S2004" s="48" t="s">
        <v>8102</v>
      </c>
      <c r="T2004" s="85" t="s">
        <v>81</v>
      </c>
      <c r="U2004" s="88"/>
      <c r="V2004" s="32" t="s">
        <v>8759</v>
      </c>
      <c r="W2004" s="25"/>
      <c r="X2004" s="11"/>
      <c r="Y2004" s="50"/>
      <c r="Z2004" s="50"/>
      <c r="AA2004" s="50"/>
      <c r="AB2004" s="50"/>
      <c r="AC2004" s="50"/>
      <c r="AD2004" s="50"/>
      <c r="AE2004" s="50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65"/>
      <c r="AP2004" s="69"/>
      <c r="AQ2004" s="62"/>
      <c r="AR2004" s="34"/>
    </row>
    <row r="2005" spans="1:44" customFormat="1">
      <c r="A2005" s="39">
        <v>45844</v>
      </c>
      <c r="B2005" s="11" t="s">
        <v>22</v>
      </c>
      <c r="C2005" s="16" t="s">
        <v>8760</v>
      </c>
      <c r="D2005" s="16" t="s">
        <v>8761</v>
      </c>
      <c r="E2005" s="38" t="s">
        <v>8762</v>
      </c>
      <c r="F2005" s="38" t="s">
        <v>8763</v>
      </c>
      <c r="G2005" s="10" t="s">
        <v>8764</v>
      </c>
      <c r="H2005" s="12" t="s">
        <v>8765</v>
      </c>
      <c r="I2005" s="13" t="s">
        <v>8766</v>
      </c>
      <c r="J2005" s="15" t="s">
        <v>8767</v>
      </c>
      <c r="K2005" s="46" t="s">
        <v>8768</v>
      </c>
      <c r="L2005" s="11" t="s">
        <v>36</v>
      </c>
      <c r="M2005" s="15" t="s">
        <v>3584</v>
      </c>
      <c r="N2005" s="17">
        <v>0</v>
      </c>
      <c r="O2005" s="17"/>
      <c r="P2005" s="17"/>
      <c r="Q2005" s="48" t="s">
        <v>8758</v>
      </c>
      <c r="R2005" s="11" t="s">
        <v>6847</v>
      </c>
      <c r="S2005" s="48" t="s">
        <v>8101</v>
      </c>
      <c r="T2005" s="85" t="s">
        <v>81</v>
      </c>
      <c r="U2005" s="88"/>
      <c r="V2005" s="32"/>
      <c r="W2005" s="25"/>
      <c r="X2005" s="25" t="s">
        <v>48</v>
      </c>
      <c r="Y2005" s="50"/>
      <c r="Z2005" s="50"/>
      <c r="AA2005" s="50"/>
      <c r="AB2005" s="50"/>
      <c r="AC2005" s="50"/>
      <c r="AD2005" s="50"/>
      <c r="AE2005" s="50"/>
      <c r="AF2005" s="34" t="s">
        <v>8431</v>
      </c>
      <c r="AG2005" s="34" t="s">
        <v>8187</v>
      </c>
      <c r="AH2005" s="34"/>
      <c r="AI2005" s="34"/>
      <c r="AJ2005" s="34"/>
      <c r="AK2005" s="34"/>
      <c r="AL2005" s="34"/>
      <c r="AM2005" s="34"/>
      <c r="AN2005" s="34"/>
      <c r="AO2005" s="65"/>
      <c r="AP2005" s="69"/>
      <c r="AQ2005" s="62"/>
      <c r="AR2005" s="34"/>
    </row>
    <row r="2006" spans="1:44" customFormat="1">
      <c r="A2006" s="39">
        <v>45845</v>
      </c>
      <c r="B2006" s="11" t="s">
        <v>49</v>
      </c>
      <c r="C2006" s="16" t="s">
        <v>8769</v>
      </c>
      <c r="D2006" s="16" t="s">
        <v>8770</v>
      </c>
      <c r="E2006" s="38">
        <v>37721</v>
      </c>
      <c r="F2006" s="38" t="s">
        <v>1910</v>
      </c>
      <c r="G2006" s="10" t="s">
        <v>8771</v>
      </c>
      <c r="H2006" s="12" t="s">
        <v>8772</v>
      </c>
      <c r="I2006" s="13" t="s">
        <v>8773</v>
      </c>
      <c r="J2006" s="15" t="s">
        <v>8774</v>
      </c>
      <c r="K2006" s="12"/>
      <c r="L2006" s="11"/>
      <c r="M2006" s="15"/>
      <c r="N2006" s="17">
        <v>11000</v>
      </c>
      <c r="O2006" s="17"/>
      <c r="P2006" s="17"/>
      <c r="Q2006" s="48"/>
      <c r="R2006" s="11" t="s">
        <v>6848</v>
      </c>
      <c r="S2006" s="48"/>
      <c r="T2006" s="85"/>
      <c r="U2006" s="88"/>
      <c r="V2006" s="32" t="s">
        <v>8775</v>
      </c>
      <c r="W2006" s="25"/>
      <c r="X2006" s="11"/>
      <c r="Y2006" s="50"/>
      <c r="Z2006" s="50"/>
      <c r="AA2006" s="50"/>
      <c r="AB2006" s="50"/>
      <c r="AC2006" s="50"/>
      <c r="AD2006" s="50"/>
      <c r="AE2006" s="50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65"/>
      <c r="AP2006" s="69"/>
      <c r="AQ2006" s="62"/>
      <c r="AR2006" s="34"/>
    </row>
    <row r="2007" spans="1:44" customFormat="1">
      <c r="A2007" s="39">
        <v>45848</v>
      </c>
      <c r="B2007" s="11" t="s">
        <v>49</v>
      </c>
      <c r="C2007" s="16" t="s">
        <v>8776</v>
      </c>
      <c r="D2007" s="16" t="s">
        <v>8777</v>
      </c>
      <c r="E2007" s="38">
        <v>25234</v>
      </c>
      <c r="F2007" s="38" t="s">
        <v>8778</v>
      </c>
      <c r="G2007" s="10" t="s">
        <v>8779</v>
      </c>
      <c r="H2007" s="12" t="s">
        <v>8780</v>
      </c>
      <c r="I2007" s="13" t="s">
        <v>8781</v>
      </c>
      <c r="J2007" s="15" t="s">
        <v>8782</v>
      </c>
      <c r="K2007" s="46" t="s">
        <v>8783</v>
      </c>
      <c r="L2007" s="11" t="s">
        <v>36</v>
      </c>
      <c r="M2007" s="15" t="s">
        <v>3584</v>
      </c>
      <c r="N2007" s="17">
        <v>22000</v>
      </c>
      <c r="O2007" s="17" t="s">
        <v>8203</v>
      </c>
      <c r="P2007" s="17"/>
      <c r="Q2007" s="48"/>
      <c r="R2007" s="11" t="s">
        <v>6847</v>
      </c>
      <c r="S2007" s="48" t="s">
        <v>8101</v>
      </c>
      <c r="T2007" s="85" t="s">
        <v>8969</v>
      </c>
      <c r="U2007" s="88"/>
      <c r="V2007" s="32" t="s">
        <v>8784</v>
      </c>
      <c r="W2007" s="25" t="s">
        <v>8785</v>
      </c>
      <c r="X2007" s="11"/>
      <c r="Y2007" s="50"/>
      <c r="Z2007" s="50"/>
      <c r="AA2007" s="50"/>
      <c r="AB2007" s="50"/>
      <c r="AC2007" s="50"/>
      <c r="AD2007" s="50"/>
      <c r="AE2007" s="50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65"/>
      <c r="AP2007" s="69"/>
      <c r="AQ2007" s="62"/>
      <c r="AR2007" s="34"/>
    </row>
    <row r="2008" spans="1:44" customFormat="1">
      <c r="A2008" s="39">
        <v>45848</v>
      </c>
      <c r="B2008" s="11" t="s">
        <v>22</v>
      </c>
      <c r="C2008" s="16" t="s">
        <v>8786</v>
      </c>
      <c r="D2008" s="16" t="s">
        <v>8787</v>
      </c>
      <c r="E2008" s="38">
        <v>34714</v>
      </c>
      <c r="F2008" s="38" t="s">
        <v>8788</v>
      </c>
      <c r="G2008" s="10" t="s">
        <v>8789</v>
      </c>
      <c r="H2008" s="12" t="s">
        <v>8790</v>
      </c>
      <c r="I2008" s="13" t="s">
        <v>8791</v>
      </c>
      <c r="J2008" s="15" t="s">
        <v>8792</v>
      </c>
      <c r="K2008" s="46" t="s">
        <v>8793</v>
      </c>
      <c r="L2008" s="11" t="s">
        <v>36</v>
      </c>
      <c r="M2008" s="15" t="s">
        <v>3584</v>
      </c>
      <c r="N2008" s="17">
        <v>0</v>
      </c>
      <c r="O2008" s="17"/>
      <c r="P2008" s="17"/>
      <c r="Q2008" s="48" t="s">
        <v>8733</v>
      </c>
      <c r="R2008" s="11" t="s">
        <v>6848</v>
      </c>
      <c r="S2008" s="48" t="s">
        <v>8101</v>
      </c>
      <c r="T2008" s="85"/>
      <c r="U2008" s="88"/>
      <c r="V2008" s="32"/>
      <c r="W2008" s="25"/>
      <c r="X2008" s="11" t="s">
        <v>8794</v>
      </c>
      <c r="Y2008" s="50"/>
      <c r="Z2008" s="50"/>
      <c r="AA2008" s="50"/>
      <c r="AB2008" s="50"/>
      <c r="AC2008" s="50"/>
      <c r="AD2008" s="50"/>
      <c r="AE2008" s="50"/>
      <c r="AF2008" s="34"/>
      <c r="AG2008" s="34"/>
      <c r="AH2008" s="34"/>
      <c r="AI2008" s="34"/>
      <c r="AJ2008" s="34"/>
      <c r="AK2008" s="34"/>
      <c r="AL2008" s="34" t="s">
        <v>8173</v>
      </c>
      <c r="AM2008" s="34"/>
      <c r="AN2008" s="34"/>
      <c r="AO2008" s="65" t="s">
        <v>8795</v>
      </c>
      <c r="AP2008" s="69"/>
      <c r="AQ2008" s="62"/>
      <c r="AR2008" s="34"/>
    </row>
    <row r="2009" spans="1:44" customFormat="1">
      <c r="A2009" s="39">
        <v>45850</v>
      </c>
      <c r="B2009" s="11" t="s">
        <v>49</v>
      </c>
      <c r="C2009" s="16" t="s">
        <v>8796</v>
      </c>
      <c r="D2009" s="16" t="s">
        <v>8797</v>
      </c>
      <c r="E2009" s="38">
        <v>26981</v>
      </c>
      <c r="F2009" s="38" t="s">
        <v>1909</v>
      </c>
      <c r="G2009" s="10" t="s">
        <v>8798</v>
      </c>
      <c r="H2009" s="12" t="s">
        <v>8799</v>
      </c>
      <c r="I2009" s="13">
        <v>1.5</v>
      </c>
      <c r="J2009" s="15" t="s">
        <v>8800</v>
      </c>
      <c r="K2009" s="12"/>
      <c r="L2009" s="11" t="s">
        <v>36</v>
      </c>
      <c r="M2009" s="15" t="s">
        <v>3599</v>
      </c>
      <c r="N2009" s="17">
        <v>16500</v>
      </c>
      <c r="O2009" s="17" t="s">
        <v>8203</v>
      </c>
      <c r="P2009" s="17"/>
      <c r="Q2009" s="48"/>
      <c r="R2009" s="11" t="s">
        <v>6848</v>
      </c>
      <c r="S2009" s="48" t="s">
        <v>8102</v>
      </c>
      <c r="T2009" s="85"/>
      <c r="U2009" s="88"/>
      <c r="V2009" s="32"/>
      <c r="W2009" s="25" t="s">
        <v>39</v>
      </c>
      <c r="X2009" s="11" t="s">
        <v>8801</v>
      </c>
      <c r="Y2009" s="50" t="s">
        <v>8801</v>
      </c>
      <c r="Z2009" s="50"/>
      <c r="AA2009" s="50"/>
      <c r="AB2009" s="50"/>
      <c r="AC2009" s="50"/>
      <c r="AD2009" s="50"/>
      <c r="AE2009" s="50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65"/>
      <c r="AP2009" s="69"/>
      <c r="AQ2009" s="62"/>
      <c r="AR2009" s="34"/>
    </row>
    <row r="2010" spans="1:44" customFormat="1">
      <c r="A2010" s="39">
        <v>45850</v>
      </c>
      <c r="B2010" s="11" t="s">
        <v>22</v>
      </c>
      <c r="C2010" s="16" t="s">
        <v>8802</v>
      </c>
      <c r="D2010" s="16" t="s">
        <v>8803</v>
      </c>
      <c r="E2010" s="38">
        <v>27896</v>
      </c>
      <c r="F2010" s="38" t="s">
        <v>8804</v>
      </c>
      <c r="G2010" s="10" t="s">
        <v>8805</v>
      </c>
      <c r="H2010" s="12" t="s">
        <v>8806</v>
      </c>
      <c r="I2010" s="13">
        <v>0.9</v>
      </c>
      <c r="J2010" s="15" t="s">
        <v>8807</v>
      </c>
      <c r="K2010" s="12"/>
      <c r="L2010" s="11" t="s">
        <v>36</v>
      </c>
      <c r="M2010" s="15" t="s">
        <v>3599</v>
      </c>
      <c r="N2010" s="17">
        <v>0</v>
      </c>
      <c r="O2010" s="17"/>
      <c r="P2010" s="17"/>
      <c r="Q2010" s="48" t="s">
        <v>8733</v>
      </c>
      <c r="R2010" s="11" t="s">
        <v>8503</v>
      </c>
      <c r="S2010" s="48" t="s">
        <v>8102</v>
      </c>
      <c r="T2010" s="85" t="s">
        <v>81</v>
      </c>
      <c r="U2010" s="88"/>
      <c r="V2010" s="32" t="s">
        <v>8808</v>
      </c>
      <c r="W2010" s="25" t="s">
        <v>8113</v>
      </c>
      <c r="X2010" s="11"/>
      <c r="Y2010" s="50"/>
      <c r="Z2010" s="50"/>
      <c r="AA2010" s="50"/>
      <c r="AB2010" s="50"/>
      <c r="AC2010" s="50"/>
      <c r="AD2010" s="50"/>
      <c r="AE2010" s="50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65"/>
      <c r="AP2010" s="69"/>
      <c r="AQ2010" s="62"/>
      <c r="AR2010" s="34"/>
    </row>
    <row r="2011" spans="1:44" customFormat="1">
      <c r="A2011" s="39">
        <v>45850</v>
      </c>
      <c r="B2011" s="11" t="s">
        <v>22</v>
      </c>
      <c r="C2011" s="16" t="s">
        <v>8810</v>
      </c>
      <c r="D2011" s="16" t="s">
        <v>8811</v>
      </c>
      <c r="E2011" s="38">
        <v>22659</v>
      </c>
      <c r="F2011" s="38" t="s">
        <v>8813</v>
      </c>
      <c r="G2011" s="10" t="s">
        <v>8814</v>
      </c>
      <c r="H2011" s="12" t="s">
        <v>8815</v>
      </c>
      <c r="I2011" s="13">
        <v>1.1000000000000001</v>
      </c>
      <c r="J2011" s="15" t="s">
        <v>8816</v>
      </c>
      <c r="K2011" s="12"/>
      <c r="L2011" s="11" t="s">
        <v>36</v>
      </c>
      <c r="M2011" s="15" t="s">
        <v>3599</v>
      </c>
      <c r="N2011" s="17">
        <v>0</v>
      </c>
      <c r="O2011" s="17"/>
      <c r="P2011" s="17"/>
      <c r="Q2011" s="48" t="s">
        <v>8733</v>
      </c>
      <c r="R2011" s="11" t="s">
        <v>6848</v>
      </c>
      <c r="S2011" s="48" t="s">
        <v>8102</v>
      </c>
      <c r="T2011" s="85" t="s">
        <v>8809</v>
      </c>
      <c r="U2011" s="88"/>
      <c r="V2011" s="32"/>
      <c r="W2011" s="25" t="s">
        <v>8113</v>
      </c>
      <c r="X2011" s="11"/>
      <c r="Y2011" s="50"/>
      <c r="Z2011" s="50"/>
      <c r="AA2011" s="50"/>
      <c r="AB2011" s="50"/>
      <c r="AC2011" s="50"/>
      <c r="AD2011" s="50"/>
      <c r="AE2011" s="50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65"/>
      <c r="AP2011" s="69"/>
      <c r="AQ2011" s="62"/>
      <c r="AR2011" s="34"/>
    </row>
    <row r="2012" spans="1:44" customFormat="1">
      <c r="A2012" s="39">
        <v>45851</v>
      </c>
      <c r="B2012" s="11" t="s">
        <v>22</v>
      </c>
      <c r="C2012" s="16" t="s">
        <v>8817</v>
      </c>
      <c r="D2012" s="16" t="s">
        <v>8818</v>
      </c>
      <c r="E2012" s="38">
        <v>31322</v>
      </c>
      <c r="F2012" s="38" t="s">
        <v>8819</v>
      </c>
      <c r="G2012" s="10" t="s">
        <v>8820</v>
      </c>
      <c r="H2012" s="12" t="s">
        <v>8821</v>
      </c>
      <c r="I2012" s="13" t="s">
        <v>1687</v>
      </c>
      <c r="J2012" s="15" t="s">
        <v>8822</v>
      </c>
      <c r="K2012" s="46" t="s">
        <v>8823</v>
      </c>
      <c r="L2012" s="11" t="s">
        <v>33</v>
      </c>
      <c r="M2012" s="15" t="s">
        <v>3584</v>
      </c>
      <c r="N2012" s="17">
        <v>0</v>
      </c>
      <c r="O2012" s="17"/>
      <c r="P2012" s="17"/>
      <c r="Q2012" s="48" t="s">
        <v>8733</v>
      </c>
      <c r="R2012" s="11" t="s">
        <v>6848</v>
      </c>
      <c r="S2012" s="48"/>
      <c r="T2012" s="85" t="s">
        <v>8824</v>
      </c>
      <c r="U2012" s="88"/>
      <c r="V2012" s="49" t="s">
        <v>8733</v>
      </c>
      <c r="W2012" s="25" t="s">
        <v>48</v>
      </c>
      <c r="X2012" s="11"/>
      <c r="Y2012" s="50"/>
      <c r="Z2012" s="50"/>
      <c r="AA2012" s="50"/>
      <c r="AB2012" s="50"/>
      <c r="AC2012" s="50"/>
      <c r="AD2012" s="50"/>
      <c r="AE2012" s="50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65"/>
      <c r="AP2012" s="69"/>
      <c r="AQ2012" s="62"/>
      <c r="AR2012" s="34"/>
    </row>
    <row r="2013" spans="1:44" customFormat="1">
      <c r="A2013" s="39">
        <v>45852</v>
      </c>
      <c r="B2013" s="11" t="s">
        <v>22</v>
      </c>
      <c r="C2013" s="16" t="s">
        <v>8825</v>
      </c>
      <c r="D2013" s="16" t="s">
        <v>8826</v>
      </c>
      <c r="E2013" s="38">
        <v>30204</v>
      </c>
      <c r="F2013" s="38" t="s">
        <v>8827</v>
      </c>
      <c r="G2013" s="10" t="s">
        <v>8828</v>
      </c>
      <c r="H2013" s="12" t="s">
        <v>8829</v>
      </c>
      <c r="I2013" s="13" t="s">
        <v>8830</v>
      </c>
      <c r="J2013" s="15" t="s">
        <v>8831</v>
      </c>
      <c r="K2013" s="46" t="s">
        <v>8832</v>
      </c>
      <c r="L2013" s="11" t="s">
        <v>33</v>
      </c>
      <c r="M2013" s="15" t="s">
        <v>3599</v>
      </c>
      <c r="N2013" s="17">
        <v>0</v>
      </c>
      <c r="O2013" s="17"/>
      <c r="P2013" s="17"/>
      <c r="Q2013" s="48" t="s">
        <v>8733</v>
      </c>
      <c r="R2013" s="11" t="s">
        <v>6847</v>
      </c>
      <c r="S2013" s="48" t="s">
        <v>8102</v>
      </c>
      <c r="T2013" s="85" t="s">
        <v>8809</v>
      </c>
      <c r="U2013" s="88"/>
      <c r="V2013" s="49" t="s">
        <v>8733</v>
      </c>
      <c r="W2013" s="25" t="s">
        <v>48</v>
      </c>
      <c r="X2013" s="11"/>
      <c r="Y2013" s="50"/>
      <c r="Z2013" s="50"/>
      <c r="AA2013" s="50"/>
      <c r="AB2013" s="50"/>
      <c r="AC2013" s="50"/>
      <c r="AD2013" s="50"/>
      <c r="AE2013" s="50"/>
      <c r="AF2013" s="34" t="s">
        <v>8187</v>
      </c>
      <c r="AG2013" s="34" t="s">
        <v>8431</v>
      </c>
      <c r="AH2013" s="34"/>
      <c r="AI2013" s="34"/>
      <c r="AJ2013" s="34"/>
      <c r="AK2013" s="34"/>
      <c r="AL2013" s="34"/>
      <c r="AM2013" s="34"/>
      <c r="AN2013" s="34"/>
      <c r="AO2013" s="65"/>
      <c r="AP2013" s="69"/>
      <c r="AQ2013" s="62"/>
      <c r="AR2013" s="34"/>
    </row>
    <row r="2014" spans="1:44" customFormat="1">
      <c r="A2014" s="39">
        <v>45852</v>
      </c>
      <c r="B2014" s="11" t="s">
        <v>22</v>
      </c>
      <c r="C2014" s="16" t="s">
        <v>5694</v>
      </c>
      <c r="D2014" s="16" t="s">
        <v>5695</v>
      </c>
      <c r="E2014" s="38">
        <v>30432</v>
      </c>
      <c r="F2014" s="38" t="s">
        <v>8827</v>
      </c>
      <c r="G2014" s="10" t="s">
        <v>8833</v>
      </c>
      <c r="H2014" s="12" t="s">
        <v>8834</v>
      </c>
      <c r="I2014" s="13">
        <v>3.7</v>
      </c>
      <c r="J2014" s="15" t="s">
        <v>8835</v>
      </c>
      <c r="K2014" s="46" t="s">
        <v>8836</v>
      </c>
      <c r="L2014" s="11" t="s">
        <v>33</v>
      </c>
      <c r="M2014" s="15" t="s">
        <v>3599</v>
      </c>
      <c r="N2014" s="17">
        <v>0</v>
      </c>
      <c r="O2014" s="17"/>
      <c r="P2014" s="17"/>
      <c r="Q2014" s="48" t="s">
        <v>8733</v>
      </c>
      <c r="R2014" s="11" t="s">
        <v>8837</v>
      </c>
      <c r="S2014" s="48" t="s">
        <v>8102</v>
      </c>
      <c r="T2014" s="85" t="s">
        <v>8838</v>
      </c>
      <c r="U2014" s="88"/>
      <c r="V2014" s="32" t="s">
        <v>8733</v>
      </c>
      <c r="W2014" s="25" t="s">
        <v>8839</v>
      </c>
      <c r="X2014" s="11"/>
      <c r="Y2014" s="50"/>
      <c r="Z2014" s="50"/>
      <c r="AA2014" s="50"/>
      <c r="AB2014" s="50"/>
      <c r="AC2014" s="50"/>
      <c r="AD2014" s="50"/>
      <c r="AE2014" s="50"/>
      <c r="AF2014" s="34" t="s">
        <v>8187</v>
      </c>
      <c r="AG2014" s="34" t="s">
        <v>8114</v>
      </c>
      <c r="AH2014" s="34"/>
      <c r="AI2014" s="34"/>
      <c r="AJ2014" s="34"/>
      <c r="AK2014" s="34"/>
      <c r="AL2014" s="34"/>
      <c r="AM2014" s="34"/>
      <c r="AN2014" s="34"/>
      <c r="AO2014" s="65"/>
      <c r="AP2014" s="69"/>
      <c r="AQ2014" s="62"/>
      <c r="AR2014" s="34"/>
    </row>
    <row r="2015" spans="1:44" customFormat="1">
      <c r="A2015" s="39">
        <v>45856</v>
      </c>
      <c r="B2015" s="11" t="s">
        <v>49</v>
      </c>
      <c r="C2015" s="16" t="s">
        <v>8840</v>
      </c>
      <c r="D2015" s="16" t="s">
        <v>8841</v>
      </c>
      <c r="E2015" s="39">
        <v>30799</v>
      </c>
      <c r="F2015" s="39" t="s">
        <v>8842</v>
      </c>
      <c r="G2015" s="11" t="s">
        <v>4894</v>
      </c>
      <c r="H2015" s="12" t="s">
        <v>5883</v>
      </c>
      <c r="I2015" s="13">
        <v>21.5</v>
      </c>
      <c r="J2015" s="12" t="s">
        <v>8843</v>
      </c>
      <c r="K2015" s="12"/>
      <c r="L2015" s="11" t="s">
        <v>36</v>
      </c>
      <c r="M2015" s="15" t="s">
        <v>3599</v>
      </c>
      <c r="N2015" s="17">
        <v>11000</v>
      </c>
      <c r="O2015" s="17" t="s">
        <v>8844</v>
      </c>
      <c r="P2015" s="17"/>
      <c r="Q2015" s="48"/>
      <c r="R2015" s="11" t="s">
        <v>8845</v>
      </c>
      <c r="S2015" s="48" t="s">
        <v>8846</v>
      </c>
      <c r="T2015" s="85" t="s">
        <v>8969</v>
      </c>
      <c r="U2015" s="85"/>
      <c r="V2015" s="32" t="s">
        <v>8970</v>
      </c>
      <c r="W2015" s="25" t="s">
        <v>8</v>
      </c>
      <c r="X2015" s="11"/>
      <c r="Y2015" s="50" t="s">
        <v>13</v>
      </c>
      <c r="Z2015" s="50"/>
      <c r="AA2015" s="50"/>
      <c r="AB2015" s="50"/>
      <c r="AC2015" s="50"/>
      <c r="AD2015" s="50"/>
      <c r="AE2015" s="50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65"/>
      <c r="AP2015" s="69"/>
      <c r="AQ2015" s="62"/>
      <c r="AR2015" s="62"/>
    </row>
    <row r="2016" spans="1:44" customFormat="1">
      <c r="A2016" s="39">
        <v>45857</v>
      </c>
      <c r="B2016" s="11" t="s">
        <v>49</v>
      </c>
      <c r="C2016" s="16" t="s">
        <v>8847</v>
      </c>
      <c r="D2016" s="16" t="s">
        <v>8849</v>
      </c>
      <c r="E2016" s="38">
        <v>31884</v>
      </c>
      <c r="F2016" s="38" t="s">
        <v>1909</v>
      </c>
      <c r="G2016" s="10" t="s">
        <v>8850</v>
      </c>
      <c r="H2016" s="12" t="s">
        <v>8851</v>
      </c>
      <c r="I2016" s="13" t="s">
        <v>8852</v>
      </c>
      <c r="J2016" s="15" t="s">
        <v>8853</v>
      </c>
      <c r="K2016" s="12"/>
      <c r="L2016" s="11" t="s">
        <v>36</v>
      </c>
      <c r="M2016" s="15" t="s">
        <v>3599</v>
      </c>
      <c r="N2016" s="17">
        <v>16500</v>
      </c>
      <c r="O2016" s="17"/>
      <c r="P2016" s="17"/>
      <c r="Q2016" s="48" t="s">
        <v>8098</v>
      </c>
      <c r="R2016" s="11" t="s">
        <v>6847</v>
      </c>
      <c r="S2016" s="48"/>
      <c r="T2016" s="85" t="s">
        <v>8969</v>
      </c>
      <c r="U2016" s="88"/>
      <c r="V2016" s="32" t="s">
        <v>8848</v>
      </c>
      <c r="W2016" s="25" t="s">
        <v>8</v>
      </c>
      <c r="X2016" s="11"/>
      <c r="Y2016" s="50" t="s">
        <v>13</v>
      </c>
      <c r="Z2016" s="50"/>
      <c r="AA2016" s="50"/>
      <c r="AB2016" s="50"/>
      <c r="AC2016" s="50"/>
      <c r="AD2016" s="50"/>
      <c r="AE2016" s="50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65"/>
      <c r="AP2016" s="69"/>
      <c r="AQ2016" s="62"/>
      <c r="AR2016" s="34"/>
    </row>
    <row r="2017" spans="1:50" customFormat="1">
      <c r="A2017" s="39">
        <v>45858</v>
      </c>
      <c r="B2017" s="11" t="s">
        <v>22</v>
      </c>
      <c r="C2017" s="16" t="s">
        <v>8858</v>
      </c>
      <c r="D2017" s="16" t="s">
        <v>8859</v>
      </c>
      <c r="E2017" s="38">
        <v>26316</v>
      </c>
      <c r="F2017" s="38" t="s">
        <v>8860</v>
      </c>
      <c r="G2017" s="10" t="s">
        <v>8861</v>
      </c>
      <c r="H2017" s="12" t="s">
        <v>8862</v>
      </c>
      <c r="I2017" s="13" t="s">
        <v>8865</v>
      </c>
      <c r="J2017" s="15" t="s">
        <v>8863</v>
      </c>
      <c r="K2017" s="12"/>
      <c r="L2017" s="11"/>
      <c r="M2017" s="15"/>
      <c r="N2017" s="17">
        <v>0</v>
      </c>
      <c r="O2017" s="17"/>
      <c r="P2017" s="17"/>
      <c r="Q2017" s="48" t="s">
        <v>8733</v>
      </c>
      <c r="R2017" s="11" t="s">
        <v>6847</v>
      </c>
      <c r="S2017" s="48"/>
      <c r="T2017" s="85" t="s">
        <v>8864</v>
      </c>
      <c r="U2017" s="88"/>
      <c r="V2017" s="32"/>
      <c r="W2017" s="25" t="s">
        <v>6747</v>
      </c>
      <c r="X2017" s="11"/>
      <c r="Y2017" s="50"/>
      <c r="Z2017" s="50"/>
      <c r="AA2017" s="50"/>
      <c r="AB2017" s="50"/>
      <c r="AC2017" s="50"/>
      <c r="AD2017" s="50"/>
      <c r="AE2017" s="50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65"/>
      <c r="AP2017" s="69"/>
      <c r="AQ2017" s="62"/>
      <c r="AR2017" s="34"/>
    </row>
    <row r="2018" spans="1:50" customFormat="1">
      <c r="A2018" s="39">
        <v>45861</v>
      </c>
      <c r="B2018" s="11" t="s">
        <v>49</v>
      </c>
      <c r="C2018" s="16" t="s">
        <v>2319</v>
      </c>
      <c r="D2018" s="16" t="s">
        <v>8854</v>
      </c>
      <c r="E2018" s="38" t="s">
        <v>2320</v>
      </c>
      <c r="F2018" s="38" t="s">
        <v>1909</v>
      </c>
      <c r="G2018" s="10" t="s">
        <v>2321</v>
      </c>
      <c r="H2018" s="12" t="s">
        <v>2322</v>
      </c>
      <c r="I2018" s="13" t="s">
        <v>2323</v>
      </c>
      <c r="J2018" s="15" t="s">
        <v>2324</v>
      </c>
      <c r="K2018" s="12"/>
      <c r="L2018" s="11" t="s">
        <v>33</v>
      </c>
      <c r="M2018" s="15"/>
      <c r="N2018" s="17">
        <v>16500</v>
      </c>
      <c r="O2018" s="17"/>
      <c r="P2018" s="17"/>
      <c r="Q2018" s="48"/>
      <c r="R2018" s="11"/>
      <c r="S2018" s="48"/>
      <c r="T2018" s="85" t="s">
        <v>8866</v>
      </c>
      <c r="U2018" s="88"/>
      <c r="V2018" s="32"/>
      <c r="W2018" s="25" t="s">
        <v>48</v>
      </c>
      <c r="X2018" s="11"/>
      <c r="Y2018" s="50"/>
      <c r="Z2018" s="50"/>
      <c r="AA2018" s="50"/>
      <c r="AB2018" s="50"/>
      <c r="AC2018" s="50"/>
      <c r="AD2018" s="50"/>
      <c r="AE2018" s="50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65"/>
      <c r="AP2018" s="69"/>
      <c r="AQ2018" s="62"/>
      <c r="AR2018" s="34"/>
    </row>
    <row r="2019" spans="1:50" customFormat="1">
      <c r="A2019" s="39">
        <v>45862</v>
      </c>
      <c r="B2019" s="11" t="s">
        <v>49</v>
      </c>
      <c r="C2019" s="16" t="s">
        <v>5168</v>
      </c>
      <c r="D2019" s="16"/>
      <c r="E2019" s="38">
        <v>22086</v>
      </c>
      <c r="F2019" s="38"/>
      <c r="G2019" s="10" t="s">
        <v>2547</v>
      </c>
      <c r="H2019" s="12" t="s">
        <v>5169</v>
      </c>
      <c r="I2019" s="13" t="s">
        <v>5170</v>
      </c>
      <c r="J2019" s="15" t="s">
        <v>5171</v>
      </c>
      <c r="K2019" s="12"/>
      <c r="L2019" s="11" t="s">
        <v>36</v>
      </c>
      <c r="M2019" s="15" t="s">
        <v>3599</v>
      </c>
      <c r="N2019" s="17"/>
      <c r="O2019" s="17" t="s">
        <v>8506</v>
      </c>
      <c r="P2019" s="17" t="s">
        <v>8855</v>
      </c>
      <c r="Q2019" s="48"/>
      <c r="R2019" s="11" t="s">
        <v>6847</v>
      </c>
      <c r="S2019" s="48" t="s">
        <v>8856</v>
      </c>
      <c r="T2019" s="85" t="s">
        <v>8857</v>
      </c>
      <c r="U2019" s="88"/>
      <c r="V2019" s="32"/>
      <c r="W2019" s="25" t="s">
        <v>48</v>
      </c>
      <c r="X2019" s="11"/>
      <c r="Y2019" s="50" t="s">
        <v>13</v>
      </c>
      <c r="Z2019" s="50"/>
      <c r="AA2019" s="50"/>
      <c r="AB2019" s="50"/>
      <c r="AC2019" s="50"/>
      <c r="AD2019" s="50"/>
      <c r="AE2019" s="50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65"/>
      <c r="AP2019" s="69"/>
      <c r="AQ2019" s="62"/>
      <c r="AR2019" s="34"/>
    </row>
    <row r="2020" spans="1:50" customFormat="1">
      <c r="A2020" s="39">
        <v>45863</v>
      </c>
      <c r="B2020" s="11" t="s">
        <v>49</v>
      </c>
      <c r="C2020" s="16" t="s">
        <v>1518</v>
      </c>
      <c r="D2020" s="16" t="s">
        <v>5810</v>
      </c>
      <c r="E2020" s="39">
        <v>27868</v>
      </c>
      <c r="F2020" s="39" t="s">
        <v>8878</v>
      </c>
      <c r="G2020" s="11" t="s">
        <v>1519</v>
      </c>
      <c r="H2020" s="12" t="s">
        <v>5811</v>
      </c>
      <c r="I2020" s="13">
        <v>55</v>
      </c>
      <c r="J2020" s="15" t="s">
        <v>8867</v>
      </c>
      <c r="K2020" s="12"/>
      <c r="L2020" s="11"/>
      <c r="M2020" s="15"/>
      <c r="N2020" s="17"/>
      <c r="O2020" s="17" t="s">
        <v>8506</v>
      </c>
      <c r="P2020" s="17" t="s">
        <v>8868</v>
      </c>
      <c r="Q2020" s="48"/>
      <c r="R2020" s="11" t="s">
        <v>6847</v>
      </c>
      <c r="S2020" s="48" t="s">
        <v>8100</v>
      </c>
      <c r="T2020" s="85" t="s">
        <v>8875</v>
      </c>
      <c r="U2020" s="88"/>
      <c r="V2020" s="32"/>
      <c r="W2020" s="25"/>
      <c r="X2020" s="11"/>
      <c r="Y2020" s="50"/>
      <c r="Z2020" s="50"/>
      <c r="AA2020" s="50"/>
      <c r="AB2020" s="50"/>
      <c r="AC2020" s="50"/>
      <c r="AD2020" s="50"/>
      <c r="AE2020" s="50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65"/>
      <c r="AP2020" s="69"/>
      <c r="AQ2020" s="62"/>
      <c r="AR2020" s="34"/>
    </row>
    <row r="2021" spans="1:50" customFormat="1">
      <c r="A2021" s="39">
        <v>45863</v>
      </c>
      <c r="B2021" s="11" t="s">
        <v>22</v>
      </c>
      <c r="C2021" s="5" t="s">
        <v>8869</v>
      </c>
      <c r="D2021" s="16" t="s">
        <v>8890</v>
      </c>
      <c r="E2021" s="38">
        <v>18822</v>
      </c>
      <c r="F2021" s="38" t="s">
        <v>8878</v>
      </c>
      <c r="G2021" s="10" t="s">
        <v>8895</v>
      </c>
      <c r="H2021" s="12" t="s">
        <v>8898</v>
      </c>
      <c r="I2021" s="13" t="s">
        <v>5275</v>
      </c>
      <c r="J2021" s="15" t="s">
        <v>8904</v>
      </c>
      <c r="K2021" s="12"/>
      <c r="L2021" s="11" t="s">
        <v>39</v>
      </c>
      <c r="M2021" s="15" t="s">
        <v>3629</v>
      </c>
      <c r="N2021" s="17">
        <v>0</v>
      </c>
      <c r="O2021" s="17"/>
      <c r="P2021" s="17"/>
      <c r="Q2021" s="48" t="s">
        <v>8733</v>
      </c>
      <c r="R2021" s="11" t="s">
        <v>6847</v>
      </c>
      <c r="S2021" s="48"/>
      <c r="T2021" s="85" t="s">
        <v>8085</v>
      </c>
      <c r="U2021" s="88"/>
      <c r="V2021" s="32" t="s">
        <v>8940</v>
      </c>
      <c r="W2021" s="25" t="s">
        <v>8911</v>
      </c>
      <c r="X2021" s="11"/>
      <c r="Y2021" s="50"/>
      <c r="Z2021" s="50"/>
      <c r="AA2021" s="50"/>
      <c r="AB2021" s="50"/>
      <c r="AC2021" s="50"/>
      <c r="AD2021" s="50"/>
      <c r="AE2021" s="50"/>
      <c r="AF2021" s="34" t="s">
        <v>8164</v>
      </c>
      <c r="AG2021" s="34"/>
      <c r="AH2021" s="34"/>
      <c r="AI2021" s="34"/>
      <c r="AJ2021" s="34"/>
      <c r="AK2021" s="34"/>
      <c r="AL2021" s="34" t="s">
        <v>8173</v>
      </c>
      <c r="AM2021" s="34"/>
      <c r="AN2021" s="34"/>
      <c r="AO2021" s="65"/>
      <c r="AP2021" s="69"/>
      <c r="AQ2021" s="62"/>
      <c r="AR2021" s="34"/>
    </row>
    <row r="2022" spans="1:50" customFormat="1">
      <c r="A2022" s="39">
        <v>45863</v>
      </c>
      <c r="B2022" s="11" t="s">
        <v>22</v>
      </c>
      <c r="C2022" s="16" t="s">
        <v>8870</v>
      </c>
      <c r="D2022" s="16" t="s">
        <v>8891</v>
      </c>
      <c r="E2022" s="38">
        <v>19811</v>
      </c>
      <c r="F2022" s="38" t="s">
        <v>8894</v>
      </c>
      <c r="G2022" s="10" t="s">
        <v>8895</v>
      </c>
      <c r="H2022" s="12" t="s">
        <v>8898</v>
      </c>
      <c r="I2022" s="13" t="s">
        <v>5275</v>
      </c>
      <c r="J2022" s="15" t="s">
        <v>8905</v>
      </c>
      <c r="K2022" s="12"/>
      <c r="L2022" s="11" t="s">
        <v>39</v>
      </c>
      <c r="M2022" s="15"/>
      <c r="N2022" s="17">
        <v>0</v>
      </c>
      <c r="O2022" s="17"/>
      <c r="P2022" s="17"/>
      <c r="Q2022" s="48" t="s">
        <v>8733</v>
      </c>
      <c r="R2022" s="11" t="s">
        <v>6847</v>
      </c>
      <c r="S2022" s="48"/>
      <c r="T2022" s="85" t="s">
        <v>8939</v>
      </c>
      <c r="U2022" s="88"/>
      <c r="V2022" s="32" t="s">
        <v>8940</v>
      </c>
      <c r="W2022" s="25" t="s">
        <v>8911</v>
      </c>
      <c r="X2022" s="11"/>
      <c r="Y2022" s="50"/>
      <c r="Z2022" s="50"/>
      <c r="AA2022" s="50"/>
      <c r="AB2022" s="50"/>
      <c r="AC2022" s="50"/>
      <c r="AD2022" s="50"/>
      <c r="AE2022" s="50"/>
      <c r="AF2022" s="34" t="s">
        <v>8164</v>
      </c>
      <c r="AG2022" s="34"/>
      <c r="AH2022" s="34"/>
      <c r="AI2022" s="34"/>
      <c r="AJ2022" s="34"/>
      <c r="AK2022" s="34"/>
      <c r="AL2022" s="34" t="s">
        <v>8173</v>
      </c>
      <c r="AM2022" s="34"/>
      <c r="AN2022" s="34"/>
      <c r="AO2022" s="65"/>
      <c r="AP2022" s="69"/>
      <c r="AQ2022" s="62"/>
      <c r="AR2022" s="34"/>
    </row>
    <row r="2023" spans="1:50" customFormat="1">
      <c r="A2023" s="39">
        <v>45863</v>
      </c>
      <c r="B2023" s="11" t="s">
        <v>22</v>
      </c>
      <c r="C2023" s="16" t="s">
        <v>8871</v>
      </c>
      <c r="D2023" s="16" t="s">
        <v>8892</v>
      </c>
      <c r="E2023" s="38">
        <v>29707</v>
      </c>
      <c r="F2023" s="38" t="s">
        <v>8894</v>
      </c>
      <c r="G2023" s="10" t="s">
        <v>8896</v>
      </c>
      <c r="H2023" s="12" t="s">
        <v>8899</v>
      </c>
      <c r="I2023" s="13">
        <v>1.1000000000000001</v>
      </c>
      <c r="J2023" s="15" t="s">
        <v>8906</v>
      </c>
      <c r="K2023" s="46" t="s">
        <v>8908</v>
      </c>
      <c r="L2023" s="11"/>
      <c r="M2023" s="15" t="s">
        <v>3584</v>
      </c>
      <c r="N2023" s="17">
        <v>0</v>
      </c>
      <c r="O2023" s="17"/>
      <c r="P2023" s="17"/>
      <c r="Q2023" s="48" t="s">
        <v>8733</v>
      </c>
      <c r="R2023" s="11" t="s">
        <v>6943</v>
      </c>
      <c r="S2023" s="48"/>
      <c r="T2023" s="85"/>
      <c r="U2023" s="88"/>
      <c r="V2023" s="32" t="s">
        <v>8938</v>
      </c>
      <c r="W2023" s="25" t="s">
        <v>8911</v>
      </c>
      <c r="X2023" s="11"/>
      <c r="Y2023" s="50"/>
      <c r="Z2023" s="50"/>
      <c r="AA2023" s="50"/>
      <c r="AB2023" s="50"/>
      <c r="AC2023" s="50"/>
      <c r="AD2023" s="50"/>
      <c r="AE2023" s="50"/>
      <c r="AF2023" s="34" t="s">
        <v>8431</v>
      </c>
      <c r="AG2023" s="34"/>
      <c r="AH2023" s="34"/>
      <c r="AI2023" s="34"/>
      <c r="AJ2023" s="34"/>
      <c r="AK2023" s="34"/>
      <c r="AL2023" s="34" t="s">
        <v>8188</v>
      </c>
      <c r="AM2023" s="34"/>
      <c r="AN2023" s="34"/>
      <c r="AO2023" s="65"/>
      <c r="AP2023" s="69"/>
      <c r="AQ2023" s="62"/>
      <c r="AR2023" s="34"/>
    </row>
    <row r="2024" spans="1:50" customFormat="1">
      <c r="A2024" s="39">
        <v>45863</v>
      </c>
      <c r="B2024" s="11" t="s">
        <v>22</v>
      </c>
      <c r="C2024" s="16" t="s">
        <v>8872</v>
      </c>
      <c r="D2024" s="16" t="s">
        <v>8893</v>
      </c>
      <c r="E2024" s="38">
        <v>36056</v>
      </c>
      <c r="F2024" s="38" t="s">
        <v>8878</v>
      </c>
      <c r="G2024" s="10" t="s">
        <v>8897</v>
      </c>
      <c r="H2024" s="12" t="s">
        <v>8900</v>
      </c>
      <c r="I2024" s="13" t="s">
        <v>8901</v>
      </c>
      <c r="J2024" s="15" t="s">
        <v>8907</v>
      </c>
      <c r="K2024" s="46" t="s">
        <v>8909</v>
      </c>
      <c r="L2024" s="11" t="s">
        <v>35</v>
      </c>
      <c r="M2024" s="15" t="s">
        <v>3584</v>
      </c>
      <c r="N2024" s="17">
        <v>0</v>
      </c>
      <c r="O2024" s="17"/>
      <c r="P2024" s="17"/>
      <c r="Q2024" s="48" t="s">
        <v>8733</v>
      </c>
      <c r="R2024" s="11" t="s">
        <v>6943</v>
      </c>
      <c r="S2024" s="48"/>
      <c r="T2024" s="85" t="s">
        <v>8910</v>
      </c>
      <c r="U2024" s="88"/>
      <c r="V2024" s="32"/>
      <c r="W2024" s="25" t="s">
        <v>8911</v>
      </c>
      <c r="X2024" s="11"/>
      <c r="Y2024" s="50"/>
      <c r="Z2024" s="50"/>
      <c r="AA2024" s="50"/>
      <c r="AB2024" s="50"/>
      <c r="AC2024" s="50"/>
      <c r="AD2024" s="50"/>
      <c r="AE2024" s="50"/>
      <c r="AF2024" s="34"/>
      <c r="AG2024" s="34"/>
      <c r="AH2024" s="34"/>
      <c r="AI2024" s="34"/>
      <c r="AJ2024" s="34"/>
      <c r="AK2024" s="34" t="s">
        <v>18</v>
      </c>
      <c r="AL2024" s="34" t="s">
        <v>8498</v>
      </c>
      <c r="AM2024" s="34"/>
      <c r="AN2024" s="34"/>
      <c r="AO2024" s="65"/>
      <c r="AP2024" s="69"/>
      <c r="AQ2024" s="62"/>
      <c r="AR2024" s="34"/>
    </row>
    <row r="2025" spans="1:50" customFormat="1">
      <c r="A2025" s="39">
        <v>45863</v>
      </c>
      <c r="B2025" s="11" t="s">
        <v>49</v>
      </c>
      <c r="C2025" s="16" t="s">
        <v>8776</v>
      </c>
      <c r="D2025" s="16" t="s">
        <v>8777</v>
      </c>
      <c r="E2025" s="38">
        <v>25234</v>
      </c>
      <c r="F2025" s="38" t="s">
        <v>1910</v>
      </c>
      <c r="G2025" s="10" t="s">
        <v>1959</v>
      </c>
      <c r="H2025" s="12" t="s">
        <v>8780</v>
      </c>
      <c r="I2025" s="13" t="s">
        <v>8781</v>
      </c>
      <c r="J2025" s="15" t="s">
        <v>8782</v>
      </c>
      <c r="K2025" s="46" t="s">
        <v>8783</v>
      </c>
      <c r="L2025" s="11" t="s">
        <v>36</v>
      </c>
      <c r="M2025" s="15" t="s">
        <v>3584</v>
      </c>
      <c r="N2025" s="17"/>
      <c r="O2025" s="17" t="s">
        <v>8506</v>
      </c>
      <c r="P2025" s="17" t="s">
        <v>8874</v>
      </c>
      <c r="Q2025" s="48"/>
      <c r="R2025" s="11" t="s">
        <v>6847</v>
      </c>
      <c r="S2025" s="48" t="s">
        <v>8100</v>
      </c>
      <c r="T2025" s="85" t="s">
        <v>8875</v>
      </c>
      <c r="U2025" s="88"/>
      <c r="V2025" s="32" t="s">
        <v>8784</v>
      </c>
      <c r="W2025" s="25" t="s">
        <v>8</v>
      </c>
      <c r="X2025" s="11"/>
      <c r="Y2025" s="50"/>
      <c r="Z2025" s="50"/>
      <c r="AA2025" s="50"/>
      <c r="AB2025" s="50"/>
      <c r="AC2025" s="50"/>
      <c r="AD2025" s="50"/>
      <c r="AE2025" s="50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65"/>
      <c r="AP2025" s="69"/>
      <c r="AQ2025" s="62"/>
      <c r="AR2025" s="34"/>
    </row>
    <row r="2026" spans="1:50" customFormat="1">
      <c r="A2026" s="39">
        <v>45864</v>
      </c>
      <c r="B2026" s="11" t="s">
        <v>49</v>
      </c>
      <c r="C2026" s="16" t="s">
        <v>8873</v>
      </c>
      <c r="D2026" s="16" t="s">
        <v>8883</v>
      </c>
      <c r="E2026" s="38">
        <v>24098</v>
      </c>
      <c r="F2026" s="38" t="s">
        <v>1909</v>
      </c>
      <c r="G2026" s="10" t="s">
        <v>8884</v>
      </c>
      <c r="H2026" s="12" t="s">
        <v>8885</v>
      </c>
      <c r="I2026" s="13" t="s">
        <v>8902</v>
      </c>
      <c r="J2026" s="15" t="s">
        <v>8886</v>
      </c>
      <c r="K2026" s="46" t="s">
        <v>8887</v>
      </c>
      <c r="L2026" s="11" t="s">
        <v>36</v>
      </c>
      <c r="M2026" s="15" t="s">
        <v>3584</v>
      </c>
      <c r="N2026" s="17">
        <v>16500</v>
      </c>
      <c r="O2026" s="17"/>
      <c r="P2026" s="17"/>
      <c r="Q2026" s="48" t="s">
        <v>8882</v>
      </c>
      <c r="R2026" s="11" t="s">
        <v>6847</v>
      </c>
      <c r="S2026" s="48" t="s">
        <v>8100</v>
      </c>
      <c r="T2026" s="85" t="s">
        <v>8875</v>
      </c>
      <c r="U2026" s="88"/>
      <c r="V2026" s="32"/>
      <c r="W2026" s="25"/>
      <c r="X2026" s="11" t="s">
        <v>8888</v>
      </c>
      <c r="Y2026" s="50" t="s">
        <v>13</v>
      </c>
      <c r="Z2026" s="50" t="s">
        <v>8480</v>
      </c>
      <c r="AA2026" s="50" t="s">
        <v>8889</v>
      </c>
      <c r="AB2026" s="50"/>
      <c r="AC2026" s="50"/>
      <c r="AD2026" s="50"/>
      <c r="AE2026" s="50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65"/>
      <c r="AP2026" s="69"/>
      <c r="AQ2026" s="62"/>
      <c r="AR2026" s="34"/>
    </row>
    <row r="2027" spans="1:50" customFormat="1">
      <c r="A2027" s="39">
        <v>45864</v>
      </c>
      <c r="B2027" s="11" t="s">
        <v>49</v>
      </c>
      <c r="C2027" s="16" t="s">
        <v>8876</v>
      </c>
      <c r="D2027" s="16" t="s">
        <v>8877</v>
      </c>
      <c r="E2027" s="38">
        <v>33217</v>
      </c>
      <c r="F2027" s="38" t="s">
        <v>8878</v>
      </c>
      <c r="G2027" s="10" t="s">
        <v>8879</v>
      </c>
      <c r="H2027" s="12" t="s">
        <v>8880</v>
      </c>
      <c r="I2027" s="13" t="s">
        <v>8903</v>
      </c>
      <c r="J2027" s="15" t="s">
        <v>8881</v>
      </c>
      <c r="K2027" s="12"/>
      <c r="L2027" s="11" t="s">
        <v>36</v>
      </c>
      <c r="M2027" s="15" t="s">
        <v>3629</v>
      </c>
      <c r="N2027" s="17">
        <v>11000</v>
      </c>
      <c r="O2027" s="17" t="s">
        <v>5194</v>
      </c>
      <c r="P2027" s="17"/>
      <c r="Q2027" s="48" t="s">
        <v>8882</v>
      </c>
      <c r="R2027" s="11" t="s">
        <v>6847</v>
      </c>
      <c r="S2027" s="48" t="s">
        <v>8100</v>
      </c>
      <c r="T2027" s="85"/>
      <c r="U2027" s="88"/>
      <c r="V2027" s="32" t="s">
        <v>8741</v>
      </c>
      <c r="W2027" s="25"/>
      <c r="X2027" s="11"/>
      <c r="Y2027" s="50"/>
      <c r="Z2027" s="50"/>
      <c r="AA2027" s="50"/>
      <c r="AB2027" s="50"/>
      <c r="AC2027" s="50"/>
      <c r="AD2027" s="50"/>
      <c r="AE2027" s="50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65"/>
      <c r="AP2027" s="69"/>
      <c r="AQ2027" s="62"/>
      <c r="AR2027" s="34"/>
    </row>
    <row r="2028" spans="1:50" customFormat="1">
      <c r="A2028" s="39">
        <v>45868</v>
      </c>
      <c r="B2028" s="11" t="s">
        <v>49</v>
      </c>
      <c r="C2028" s="16" t="s">
        <v>8912</v>
      </c>
      <c r="D2028" s="16" t="s">
        <v>8913</v>
      </c>
      <c r="E2028" s="38">
        <v>35985</v>
      </c>
      <c r="F2028" s="38" t="s">
        <v>8914</v>
      </c>
      <c r="G2028" s="10" t="s">
        <v>8915</v>
      </c>
      <c r="H2028" s="12" t="s">
        <v>8920</v>
      </c>
      <c r="I2028" s="13" t="s">
        <v>8921</v>
      </c>
      <c r="J2028" s="15" t="s">
        <v>8916</v>
      </c>
      <c r="K2028" s="46" t="s">
        <v>8917</v>
      </c>
      <c r="L2028" s="11" t="s">
        <v>36</v>
      </c>
      <c r="M2028" s="15" t="s">
        <v>3629</v>
      </c>
      <c r="N2028" s="17">
        <v>16500</v>
      </c>
      <c r="O2028" s="17"/>
      <c r="P2028" s="17"/>
      <c r="Q2028" s="48" t="s">
        <v>8918</v>
      </c>
      <c r="R2028" s="11" t="s">
        <v>6848</v>
      </c>
      <c r="S2028" s="48" t="s">
        <v>8101</v>
      </c>
      <c r="T2028" s="85" t="s">
        <v>8073</v>
      </c>
      <c r="U2028" s="88"/>
      <c r="V2028" s="32" t="s">
        <v>6642</v>
      </c>
      <c r="W2028" s="25" t="s">
        <v>8919</v>
      </c>
      <c r="X2028" s="11"/>
      <c r="Y2028" s="50" t="s">
        <v>13</v>
      </c>
      <c r="Z2028" s="50"/>
      <c r="AA2028" s="50"/>
      <c r="AB2028" s="50"/>
      <c r="AC2028" s="50"/>
      <c r="AD2028" s="50"/>
      <c r="AE2028" s="50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65"/>
      <c r="AP2028" s="69"/>
      <c r="AQ2028" s="62"/>
      <c r="AR2028" s="34"/>
    </row>
    <row r="2029" spans="1:50" s="104" customFormat="1">
      <c r="A2029" s="255">
        <v>45869</v>
      </c>
      <c r="B2029" s="85" t="s">
        <v>22</v>
      </c>
      <c r="C2029" s="88" t="s">
        <v>8925</v>
      </c>
      <c r="D2029" s="88" t="s">
        <v>8926</v>
      </c>
      <c r="E2029" s="256">
        <v>42923</v>
      </c>
      <c r="F2029" s="256" t="s">
        <v>8927</v>
      </c>
      <c r="G2029" s="257" t="s">
        <v>8928</v>
      </c>
      <c r="H2029" s="258" t="s">
        <v>9093</v>
      </c>
      <c r="I2029" s="259">
        <v>3.4</v>
      </c>
      <c r="J2029" s="260" t="s">
        <v>8929</v>
      </c>
      <c r="K2029" s="261" t="s">
        <v>8930</v>
      </c>
      <c r="L2029" s="85" t="s">
        <v>38</v>
      </c>
      <c r="M2029" s="260" t="s">
        <v>3599</v>
      </c>
      <c r="N2029" s="262">
        <v>0</v>
      </c>
      <c r="O2029" s="262"/>
      <c r="P2029" s="262"/>
      <c r="Q2029" s="254" t="s">
        <v>8733</v>
      </c>
      <c r="R2029" s="85" t="s">
        <v>6848</v>
      </c>
      <c r="S2029" s="254" t="s">
        <v>8102</v>
      </c>
      <c r="T2029" s="85" t="s">
        <v>8941</v>
      </c>
      <c r="U2029" s="88"/>
      <c r="V2029" s="263"/>
      <c r="W2029" s="264" t="s">
        <v>3282</v>
      </c>
      <c r="X2029" s="85"/>
      <c r="Y2029" s="88"/>
      <c r="Z2029" s="88"/>
      <c r="AA2029" s="88"/>
      <c r="AB2029" s="88"/>
      <c r="AC2029" s="88"/>
      <c r="AD2029" s="88"/>
      <c r="AE2029" s="88"/>
      <c r="AF2029" s="88"/>
      <c r="AG2029" s="88"/>
      <c r="AH2029" s="88"/>
      <c r="AI2029" s="88"/>
      <c r="AJ2029" s="88"/>
      <c r="AK2029" s="88"/>
      <c r="AL2029" s="88"/>
      <c r="AM2029" s="88"/>
      <c r="AN2029" s="88"/>
      <c r="AO2029" s="254"/>
      <c r="AP2029" s="258"/>
      <c r="AQ2029" s="85"/>
      <c r="AR2029" s="88"/>
      <c r="AS2029" s="265"/>
      <c r="AT2029" s="265"/>
      <c r="AU2029" s="265"/>
      <c r="AV2029" s="265"/>
      <c r="AW2029" s="265"/>
      <c r="AX2029" s="265"/>
    </row>
    <row r="2030" spans="1:50" customFormat="1">
      <c r="A2030" s="39">
        <v>45869</v>
      </c>
      <c r="B2030" s="11" t="s">
        <v>49</v>
      </c>
      <c r="C2030" s="16" t="s">
        <v>8931</v>
      </c>
      <c r="D2030" s="16" t="s">
        <v>8932</v>
      </c>
      <c r="E2030" s="38">
        <v>21436</v>
      </c>
      <c r="F2030" s="38" t="s">
        <v>8927</v>
      </c>
      <c r="G2030" s="10" t="s">
        <v>8933</v>
      </c>
      <c r="H2030" s="12" t="s">
        <v>8934</v>
      </c>
      <c r="I2030" s="13" t="s">
        <v>1671</v>
      </c>
      <c r="J2030" s="15" t="s">
        <v>8935</v>
      </c>
      <c r="K2030" s="12"/>
      <c r="L2030" s="11" t="s">
        <v>36</v>
      </c>
      <c r="M2030" s="15" t="s">
        <v>3599</v>
      </c>
      <c r="N2030" s="17">
        <v>16500</v>
      </c>
      <c r="O2030" s="17"/>
      <c r="P2030" s="17"/>
      <c r="Q2030" s="254" t="s">
        <v>8936</v>
      </c>
      <c r="R2030" s="85" t="s">
        <v>6848</v>
      </c>
      <c r="S2030" s="254" t="s">
        <v>8102</v>
      </c>
      <c r="T2030" s="85" t="s">
        <v>8922</v>
      </c>
      <c r="U2030" s="88"/>
      <c r="V2030" s="32" t="s">
        <v>6642</v>
      </c>
      <c r="W2030" s="25" t="s">
        <v>8937</v>
      </c>
      <c r="X2030" s="11"/>
      <c r="Y2030" s="50"/>
      <c r="Z2030" s="50"/>
      <c r="AA2030" s="50"/>
      <c r="AB2030" s="50"/>
      <c r="AC2030" s="50"/>
      <c r="AD2030" s="50"/>
      <c r="AE2030" s="50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65"/>
      <c r="AP2030" s="69"/>
      <c r="AQ2030" s="62"/>
      <c r="AR2030" s="34"/>
    </row>
    <row r="2031" spans="1:50" customFormat="1">
      <c r="A2031" s="39">
        <v>45871</v>
      </c>
      <c r="B2031" s="11" t="s">
        <v>22</v>
      </c>
      <c r="C2031" s="16" t="s">
        <v>8942</v>
      </c>
      <c r="D2031" s="16" t="s">
        <v>8943</v>
      </c>
      <c r="E2031" s="38">
        <v>26042</v>
      </c>
      <c r="F2031" s="38" t="s">
        <v>8944</v>
      </c>
      <c r="G2031" s="10" t="s">
        <v>8945</v>
      </c>
      <c r="H2031" s="12" t="s">
        <v>8946</v>
      </c>
      <c r="I2031" s="13">
        <v>29</v>
      </c>
      <c r="J2031" s="15" t="s">
        <v>8947</v>
      </c>
      <c r="K2031" s="12"/>
      <c r="L2031" s="11" t="s">
        <v>33</v>
      </c>
      <c r="M2031" s="15" t="s">
        <v>3629</v>
      </c>
      <c r="N2031" s="17">
        <v>0</v>
      </c>
      <c r="O2031" s="17"/>
      <c r="P2031" s="17"/>
      <c r="Q2031" s="48" t="s">
        <v>8733</v>
      </c>
      <c r="R2031" s="11" t="s">
        <v>6847</v>
      </c>
      <c r="S2031" s="48" t="s">
        <v>8102</v>
      </c>
      <c r="T2031" s="85" t="s">
        <v>8948</v>
      </c>
      <c r="U2031" s="88"/>
      <c r="V2031" s="32" t="s">
        <v>8949</v>
      </c>
      <c r="W2031" s="25" t="s">
        <v>8950</v>
      </c>
      <c r="X2031" s="11"/>
      <c r="Y2031" s="50"/>
      <c r="Z2031" s="50"/>
      <c r="AA2031" s="50"/>
      <c r="AB2031" s="50"/>
      <c r="AC2031" s="50"/>
      <c r="AD2031" s="50"/>
      <c r="AE2031" s="50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65"/>
      <c r="AP2031" s="69"/>
      <c r="AQ2031" s="62"/>
      <c r="AR2031" s="34"/>
    </row>
    <row r="2032" spans="1:50" customFormat="1">
      <c r="A2032" s="39">
        <v>45871</v>
      </c>
      <c r="B2032" s="11" t="s">
        <v>22</v>
      </c>
      <c r="C2032" s="16" t="s">
        <v>8951</v>
      </c>
      <c r="D2032" s="16" t="s">
        <v>8952</v>
      </c>
      <c r="E2032" s="38">
        <v>31711</v>
      </c>
      <c r="F2032" s="38" t="s">
        <v>8944</v>
      </c>
      <c r="G2032" s="10" t="s">
        <v>8953</v>
      </c>
      <c r="H2032" s="12" t="s">
        <v>8954</v>
      </c>
      <c r="I2032" s="13">
        <v>4.2</v>
      </c>
      <c r="J2032" s="15" t="s">
        <v>8955</v>
      </c>
      <c r="K2032" s="12"/>
      <c r="L2032" s="11" t="s">
        <v>35</v>
      </c>
      <c r="M2032" s="15" t="s">
        <v>3584</v>
      </c>
      <c r="N2032" s="17">
        <v>0</v>
      </c>
      <c r="O2032" s="17"/>
      <c r="P2032" s="17"/>
      <c r="Q2032" s="48" t="s">
        <v>8733</v>
      </c>
      <c r="R2032" s="11" t="s">
        <v>6848</v>
      </c>
      <c r="S2032" s="48" t="s">
        <v>8102</v>
      </c>
      <c r="T2032" s="85"/>
      <c r="U2032" s="88"/>
      <c r="V2032" s="32" t="s">
        <v>8938</v>
      </c>
      <c r="W2032" s="25" t="s">
        <v>3282</v>
      </c>
      <c r="X2032" s="11"/>
      <c r="Y2032" s="50"/>
      <c r="Z2032" s="50"/>
      <c r="AA2032" s="50"/>
      <c r="AB2032" s="50"/>
      <c r="AC2032" s="50"/>
      <c r="AD2032" s="50"/>
      <c r="AE2032" s="50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65"/>
      <c r="AP2032" s="69"/>
      <c r="AQ2032" s="62"/>
      <c r="AR2032" s="34"/>
    </row>
    <row r="2033" spans="1:44" customFormat="1">
      <c r="A2033" s="39">
        <v>45871</v>
      </c>
      <c r="B2033" s="11" t="s">
        <v>22</v>
      </c>
      <c r="C2033" s="16" t="s">
        <v>8956</v>
      </c>
      <c r="D2033" s="16" t="s">
        <v>8957</v>
      </c>
      <c r="E2033" s="38">
        <v>23332</v>
      </c>
      <c r="F2033" s="38" t="s">
        <v>8944</v>
      </c>
      <c r="G2033" s="10" t="s">
        <v>8953</v>
      </c>
      <c r="H2033" s="12" t="s">
        <v>9094</v>
      </c>
      <c r="I2033" s="13">
        <v>4</v>
      </c>
      <c r="J2033" s="15" t="s">
        <v>8958</v>
      </c>
      <c r="K2033" s="12"/>
      <c r="L2033" s="11"/>
      <c r="M2033" s="15"/>
      <c r="N2033" s="17">
        <v>0</v>
      </c>
      <c r="O2033" s="17"/>
      <c r="P2033" s="17"/>
      <c r="Q2033" s="48" t="s">
        <v>8733</v>
      </c>
      <c r="R2033" s="11" t="s">
        <v>6847</v>
      </c>
      <c r="S2033" s="48" t="s">
        <v>8102</v>
      </c>
      <c r="T2033" s="85"/>
      <c r="U2033" s="88"/>
      <c r="V2033" s="32"/>
      <c r="W2033" s="25" t="s">
        <v>8968</v>
      </c>
      <c r="X2033" s="11"/>
      <c r="Y2033" s="50"/>
      <c r="Z2033" s="50"/>
      <c r="AA2033" s="50"/>
      <c r="AB2033" s="50"/>
      <c r="AC2033" s="50"/>
      <c r="AD2033" s="50"/>
      <c r="AE2033" s="50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65"/>
      <c r="AP2033" s="69"/>
      <c r="AQ2033" s="62"/>
      <c r="AR2033" s="34"/>
    </row>
    <row r="2034" spans="1:44" customFormat="1">
      <c r="A2034" s="39">
        <v>45871</v>
      </c>
      <c r="B2034" s="11" t="s">
        <v>22</v>
      </c>
      <c r="C2034" s="16" t="s">
        <v>8960</v>
      </c>
      <c r="D2034" s="16" t="s">
        <v>8959</v>
      </c>
      <c r="E2034" s="38">
        <v>24641</v>
      </c>
      <c r="F2034" s="38" t="s">
        <v>8944</v>
      </c>
      <c r="G2034" s="10" t="s">
        <v>8961</v>
      </c>
      <c r="H2034" s="12" t="s">
        <v>9095</v>
      </c>
      <c r="I2034" s="13">
        <v>2.8</v>
      </c>
      <c r="J2034" s="15" t="s">
        <v>8962</v>
      </c>
      <c r="K2034" s="12"/>
      <c r="L2034" s="11"/>
      <c r="M2034" s="15"/>
      <c r="N2034" s="17">
        <v>0</v>
      </c>
      <c r="O2034" s="17"/>
      <c r="P2034" s="17"/>
      <c r="Q2034" s="48" t="s">
        <v>8733</v>
      </c>
      <c r="R2034" s="11" t="s">
        <v>6847</v>
      </c>
      <c r="S2034" s="48" t="s">
        <v>8102</v>
      </c>
      <c r="T2034" s="216" t="s">
        <v>9128</v>
      </c>
      <c r="U2034" s="88"/>
      <c r="V2034" s="32"/>
      <c r="W2034" s="25" t="s">
        <v>3282</v>
      </c>
      <c r="X2034" s="11"/>
      <c r="Y2034" s="50"/>
      <c r="Z2034" s="50"/>
      <c r="AA2034" s="50"/>
      <c r="AB2034" s="50"/>
      <c r="AC2034" s="50"/>
      <c r="AD2034" s="50"/>
      <c r="AE2034" s="50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65"/>
      <c r="AP2034" s="69"/>
      <c r="AQ2034" s="62"/>
      <c r="AR2034" s="34"/>
    </row>
    <row r="2035" spans="1:44" customFormat="1">
      <c r="A2035" s="39">
        <v>45871</v>
      </c>
      <c r="B2035" s="11" t="s">
        <v>22</v>
      </c>
      <c r="C2035" s="16" t="s">
        <v>8963</v>
      </c>
      <c r="D2035" s="16" t="s">
        <v>8964</v>
      </c>
      <c r="E2035" s="38">
        <v>35115</v>
      </c>
      <c r="F2035" s="38" t="s">
        <v>8944</v>
      </c>
      <c r="G2035" s="10" t="s">
        <v>8965</v>
      </c>
      <c r="H2035" s="12" t="s">
        <v>9096</v>
      </c>
      <c r="I2035" s="13">
        <v>5.9</v>
      </c>
      <c r="J2035" s="15" t="s">
        <v>8966</v>
      </c>
      <c r="K2035" s="12"/>
      <c r="L2035" s="11"/>
      <c r="M2035" s="15"/>
      <c r="N2035" s="17">
        <v>0</v>
      </c>
      <c r="O2035" s="17"/>
      <c r="P2035" s="17"/>
      <c r="Q2035" s="48" t="s">
        <v>8733</v>
      </c>
      <c r="R2035" s="11" t="s">
        <v>6847</v>
      </c>
      <c r="S2035" s="48" t="s">
        <v>8102</v>
      </c>
      <c r="T2035" s="85"/>
      <c r="U2035" s="88"/>
      <c r="V2035" s="32"/>
      <c r="W2035" s="25" t="s">
        <v>8967</v>
      </c>
      <c r="X2035" s="11"/>
      <c r="Y2035" s="50"/>
      <c r="Z2035" s="50"/>
      <c r="AA2035" s="50"/>
      <c r="AB2035" s="50"/>
      <c r="AC2035" s="50"/>
      <c r="AD2035" s="50"/>
      <c r="AE2035" s="50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65"/>
      <c r="AP2035" s="69"/>
      <c r="AQ2035" s="62"/>
      <c r="AR2035" s="34"/>
    </row>
    <row r="2036" spans="1:44" customFormat="1">
      <c r="A2036" s="39">
        <v>45873</v>
      </c>
      <c r="B2036" s="11" t="s">
        <v>49</v>
      </c>
      <c r="C2036" s="16" t="s">
        <v>8971</v>
      </c>
      <c r="D2036" s="16" t="s">
        <v>8972</v>
      </c>
      <c r="E2036" s="38" t="s">
        <v>7040</v>
      </c>
      <c r="F2036" s="38" t="s">
        <v>8973</v>
      </c>
      <c r="G2036" s="10" t="s">
        <v>8974</v>
      </c>
      <c r="H2036" s="12" t="s">
        <v>8974</v>
      </c>
      <c r="I2036" s="13" t="s">
        <v>8974</v>
      </c>
      <c r="J2036" s="15"/>
      <c r="K2036" s="12"/>
      <c r="L2036" s="11"/>
      <c r="M2036" s="15"/>
      <c r="N2036" s="17">
        <v>11000</v>
      </c>
      <c r="O2036" s="17"/>
      <c r="P2036" s="17"/>
      <c r="Q2036" s="48" t="s">
        <v>8975</v>
      </c>
      <c r="R2036" s="11" t="s">
        <v>6848</v>
      </c>
      <c r="S2036" s="48" t="s">
        <v>8102</v>
      </c>
      <c r="T2036" s="85" t="s">
        <v>8976</v>
      </c>
      <c r="U2036" s="88"/>
      <c r="V2036" s="32"/>
      <c r="W2036" s="25"/>
      <c r="X2036" s="11"/>
      <c r="Y2036" s="50"/>
      <c r="Z2036" s="50"/>
      <c r="AA2036" s="50"/>
      <c r="AB2036" s="50"/>
      <c r="AC2036" s="50"/>
      <c r="AD2036" s="50"/>
      <c r="AE2036" s="50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65"/>
      <c r="AP2036" s="69"/>
      <c r="AQ2036" s="62"/>
      <c r="AR2036" s="34"/>
    </row>
    <row r="2037" spans="1:44" customFormat="1">
      <c r="A2037" s="39">
        <v>45878</v>
      </c>
      <c r="B2037" s="11" t="s">
        <v>22</v>
      </c>
      <c r="C2037" s="16" t="s">
        <v>8979</v>
      </c>
      <c r="D2037" s="16" t="s">
        <v>8981</v>
      </c>
      <c r="E2037" s="38">
        <v>18964</v>
      </c>
      <c r="F2037" s="38" t="s">
        <v>8983</v>
      </c>
      <c r="G2037" s="10" t="s">
        <v>8984</v>
      </c>
      <c r="H2037" s="12" t="s">
        <v>9092</v>
      </c>
      <c r="I2037" s="13">
        <v>13</v>
      </c>
      <c r="J2037" s="15" t="s">
        <v>8986</v>
      </c>
      <c r="K2037" s="12"/>
      <c r="L2037" s="11" t="s">
        <v>39</v>
      </c>
      <c r="M2037" s="15"/>
      <c r="N2037" s="17">
        <v>0</v>
      </c>
      <c r="O2037" s="17"/>
      <c r="P2037" s="17"/>
      <c r="Q2037" s="48" t="s">
        <v>8733</v>
      </c>
      <c r="R2037" s="11" t="s">
        <v>8837</v>
      </c>
      <c r="S2037" s="48" t="s">
        <v>8100</v>
      </c>
      <c r="T2037" s="85"/>
      <c r="U2037" s="88"/>
      <c r="V2037" s="32"/>
      <c r="W2037" s="25" t="s">
        <v>8988</v>
      </c>
      <c r="X2037" s="11"/>
      <c r="Y2037" s="50"/>
      <c r="Z2037" s="50"/>
      <c r="AA2037" s="50"/>
      <c r="AB2037" s="50"/>
      <c r="AC2037" s="50"/>
      <c r="AD2037" s="50"/>
      <c r="AE2037" s="50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65"/>
      <c r="AP2037" s="69"/>
      <c r="AQ2037" s="62"/>
      <c r="AR2037" s="34"/>
    </row>
    <row r="2038" spans="1:44" customFormat="1">
      <c r="A2038" s="39">
        <v>45878</v>
      </c>
      <c r="B2038" s="11" t="s">
        <v>22</v>
      </c>
      <c r="C2038" s="16" t="s">
        <v>8980</v>
      </c>
      <c r="D2038" s="16" t="s">
        <v>8982</v>
      </c>
      <c r="E2038" s="38">
        <v>31116</v>
      </c>
      <c r="F2038" s="38" t="s">
        <v>8983</v>
      </c>
      <c r="G2038" s="10" t="s">
        <v>8984</v>
      </c>
      <c r="H2038" s="12" t="s">
        <v>9092</v>
      </c>
      <c r="I2038" s="13">
        <v>13</v>
      </c>
      <c r="J2038" s="15" t="s">
        <v>8985</v>
      </c>
      <c r="K2038" s="46" t="s">
        <v>8987</v>
      </c>
      <c r="L2038" s="11" t="s">
        <v>36</v>
      </c>
      <c r="M2038" s="15"/>
      <c r="N2038" s="17">
        <v>0</v>
      </c>
      <c r="O2038" s="17"/>
      <c r="P2038" s="17"/>
      <c r="Q2038" s="48" t="s">
        <v>8733</v>
      </c>
      <c r="R2038" s="11" t="s">
        <v>8503</v>
      </c>
      <c r="S2038" s="48" t="s">
        <v>8100</v>
      </c>
      <c r="T2038" s="85"/>
      <c r="U2038" s="88"/>
      <c r="V2038" s="32"/>
      <c r="W2038" s="25" t="s">
        <v>8988</v>
      </c>
      <c r="X2038" s="11"/>
      <c r="Y2038" s="50"/>
      <c r="Z2038" s="50"/>
      <c r="AA2038" s="50"/>
      <c r="AB2038" s="50"/>
      <c r="AC2038" s="50"/>
      <c r="AD2038" s="50"/>
      <c r="AE2038" s="50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65"/>
      <c r="AP2038" s="69"/>
      <c r="AQ2038" s="62"/>
      <c r="AR2038" s="34"/>
    </row>
    <row r="2039" spans="1:44" customFormat="1">
      <c r="A2039" s="39">
        <v>45879</v>
      </c>
      <c r="B2039" s="11" t="s">
        <v>22</v>
      </c>
      <c r="C2039" s="16" t="s">
        <v>8989</v>
      </c>
      <c r="D2039" s="16" t="s">
        <v>8990</v>
      </c>
      <c r="E2039" s="38">
        <v>25345</v>
      </c>
      <c r="F2039" s="38" t="s">
        <v>1909</v>
      </c>
      <c r="G2039" s="10" t="s">
        <v>8991</v>
      </c>
      <c r="H2039" s="12" t="s">
        <v>9091</v>
      </c>
      <c r="I2039" s="13">
        <v>2.4</v>
      </c>
      <c r="J2039" s="15" t="s">
        <v>8992</v>
      </c>
      <c r="K2039" s="46" t="s">
        <v>8993</v>
      </c>
      <c r="L2039" s="11" t="s">
        <v>36</v>
      </c>
      <c r="M2039" s="15" t="s">
        <v>3584</v>
      </c>
      <c r="N2039" s="17">
        <v>0</v>
      </c>
      <c r="O2039" s="17"/>
      <c r="P2039" s="17"/>
      <c r="Q2039" s="48" t="s">
        <v>8733</v>
      </c>
      <c r="R2039" s="11" t="s">
        <v>6848</v>
      </c>
      <c r="S2039" s="48" t="s">
        <v>8100</v>
      </c>
      <c r="T2039" s="85" t="s">
        <v>8995</v>
      </c>
      <c r="U2039" s="88"/>
      <c r="V2039" s="32"/>
      <c r="W2039" s="25" t="s">
        <v>8996</v>
      </c>
      <c r="X2039" s="11"/>
      <c r="Y2039" s="50"/>
      <c r="Z2039" s="50"/>
      <c r="AA2039" s="50"/>
      <c r="AB2039" s="50"/>
      <c r="AC2039" s="50"/>
      <c r="AD2039" s="50"/>
      <c r="AE2039" s="50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65"/>
      <c r="AP2039" s="69"/>
      <c r="AQ2039" s="62"/>
      <c r="AR2039" s="34"/>
    </row>
    <row r="2040" spans="1:44" customFormat="1">
      <c r="A2040" s="39">
        <v>45879</v>
      </c>
      <c r="B2040" s="11" t="s">
        <v>2171</v>
      </c>
      <c r="C2040" s="16" t="s">
        <v>5817</v>
      </c>
      <c r="D2040" s="16" t="s">
        <v>5818</v>
      </c>
      <c r="E2040" s="38" t="s">
        <v>8994</v>
      </c>
      <c r="F2040" s="38"/>
      <c r="G2040" s="10"/>
      <c r="H2040" s="12"/>
      <c r="I2040" s="13"/>
      <c r="J2040" s="15"/>
      <c r="K2040" s="12"/>
      <c r="L2040" s="11"/>
      <c r="M2040" s="15"/>
      <c r="N2040" s="17">
        <v>3300</v>
      </c>
      <c r="O2040" s="17"/>
      <c r="P2040" s="17"/>
      <c r="Q2040" s="48"/>
      <c r="R2040" s="11"/>
      <c r="S2040" s="48"/>
      <c r="T2040" s="85"/>
      <c r="U2040" s="88"/>
      <c r="V2040" s="32"/>
      <c r="W2040" s="25"/>
      <c r="X2040" s="11"/>
      <c r="Y2040" s="50"/>
      <c r="Z2040" s="50"/>
      <c r="AA2040" s="50"/>
      <c r="AB2040" s="50"/>
      <c r="AC2040" s="50"/>
      <c r="AD2040" s="50"/>
      <c r="AE2040" s="50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65"/>
      <c r="AP2040" s="69"/>
      <c r="AQ2040" s="62"/>
      <c r="AR2040" s="34"/>
    </row>
    <row r="2041" spans="1:44" customFormat="1">
      <c r="A2041" s="39">
        <v>45880</v>
      </c>
      <c r="B2041" s="11" t="s">
        <v>22</v>
      </c>
      <c r="C2041" s="16" t="s">
        <v>8997</v>
      </c>
      <c r="D2041" s="16" t="s">
        <v>8998</v>
      </c>
      <c r="E2041" s="38">
        <v>25236</v>
      </c>
      <c r="F2041" s="38" t="s">
        <v>1909</v>
      </c>
      <c r="G2041" s="10" t="s">
        <v>8999</v>
      </c>
      <c r="H2041" s="12" t="s">
        <v>9000</v>
      </c>
      <c r="I2041" s="13" t="s">
        <v>9001</v>
      </c>
      <c r="J2041" s="15" t="s">
        <v>9002</v>
      </c>
      <c r="K2041" s="46" t="s">
        <v>9003</v>
      </c>
      <c r="L2041" s="11" t="s">
        <v>36</v>
      </c>
      <c r="M2041" s="15" t="s">
        <v>3584</v>
      </c>
      <c r="N2041" s="17">
        <v>0</v>
      </c>
      <c r="O2041" s="17"/>
      <c r="P2041" s="17"/>
      <c r="Q2041" s="48" t="s">
        <v>8733</v>
      </c>
      <c r="R2041" s="11" t="s">
        <v>6847</v>
      </c>
      <c r="S2041" s="48" t="s">
        <v>8101</v>
      </c>
      <c r="T2041" s="85" t="s">
        <v>9004</v>
      </c>
      <c r="U2041" s="88"/>
      <c r="V2041" s="32"/>
      <c r="W2041" s="25" t="s">
        <v>9024</v>
      </c>
      <c r="X2041" s="11"/>
      <c r="Y2041" s="50"/>
      <c r="Z2041" s="50"/>
      <c r="AA2041" s="50"/>
      <c r="AB2041" s="50"/>
      <c r="AC2041" s="50"/>
      <c r="AD2041" s="50"/>
      <c r="AE2041" s="50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65"/>
      <c r="AP2041" s="69"/>
      <c r="AQ2041" s="62"/>
      <c r="AR2041" s="34"/>
    </row>
    <row r="2042" spans="1:44" customFormat="1">
      <c r="A2042" s="39">
        <v>45880</v>
      </c>
      <c r="B2042" s="11" t="s">
        <v>49</v>
      </c>
      <c r="C2042" s="16" t="s">
        <v>9005</v>
      </c>
      <c r="D2042" s="16" t="s">
        <v>9006</v>
      </c>
      <c r="E2042" s="38">
        <v>30601</v>
      </c>
      <c r="F2042" s="38" t="s">
        <v>9007</v>
      </c>
      <c r="G2042" s="10" t="s">
        <v>9008</v>
      </c>
      <c r="H2042" s="12" t="s">
        <v>9009</v>
      </c>
      <c r="I2042" s="13" t="s">
        <v>9010</v>
      </c>
      <c r="J2042" s="15" t="s">
        <v>9011</v>
      </c>
      <c r="K2042" s="46" t="s">
        <v>9012</v>
      </c>
      <c r="L2042" s="11" t="s">
        <v>36</v>
      </c>
      <c r="M2042" s="15" t="s">
        <v>3584</v>
      </c>
      <c r="N2042" s="17">
        <v>16500</v>
      </c>
      <c r="O2042" s="17" t="s">
        <v>8203</v>
      </c>
      <c r="P2042" s="17"/>
      <c r="Q2042" s="48" t="s">
        <v>9013</v>
      </c>
      <c r="R2042" s="11" t="s">
        <v>6847</v>
      </c>
      <c r="S2042" s="48" t="s">
        <v>8101</v>
      </c>
      <c r="T2042" s="85" t="s">
        <v>9014</v>
      </c>
      <c r="U2042" s="88"/>
      <c r="V2042" s="32"/>
      <c r="W2042" s="25"/>
      <c r="X2042" s="11"/>
      <c r="Y2042" s="50" t="s">
        <v>13</v>
      </c>
      <c r="Z2042" s="50"/>
      <c r="AA2042" s="50"/>
      <c r="AB2042" s="50"/>
      <c r="AC2042" s="50"/>
      <c r="AD2042" s="50"/>
      <c r="AE2042" s="50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65"/>
      <c r="AP2042" s="69"/>
      <c r="AQ2042" s="62"/>
      <c r="AR2042" s="34"/>
    </row>
    <row r="2043" spans="1:44" customFormat="1">
      <c r="A2043" s="39">
        <v>45880</v>
      </c>
      <c r="B2043" s="11" t="s">
        <v>22</v>
      </c>
      <c r="C2043" s="16" t="s">
        <v>9015</v>
      </c>
      <c r="D2043" s="16" t="s">
        <v>9016</v>
      </c>
      <c r="E2043" s="38">
        <v>37267</v>
      </c>
      <c r="F2043" s="38" t="s">
        <v>9017</v>
      </c>
      <c r="G2043" s="10" t="s">
        <v>9018</v>
      </c>
      <c r="H2043" s="12" t="s">
        <v>9019</v>
      </c>
      <c r="I2043" s="13" t="s">
        <v>9020</v>
      </c>
      <c r="J2043" s="15" t="s">
        <v>9021</v>
      </c>
      <c r="K2043" s="46" t="s">
        <v>9022</v>
      </c>
      <c r="L2043" s="11" t="s">
        <v>36</v>
      </c>
      <c r="M2043" s="15" t="s">
        <v>3584</v>
      </c>
      <c r="N2043" s="17">
        <v>0</v>
      </c>
      <c r="O2043" s="17"/>
      <c r="P2043" s="17"/>
      <c r="Q2043" s="48" t="s">
        <v>8733</v>
      </c>
      <c r="R2043" s="11" t="s">
        <v>6847</v>
      </c>
      <c r="S2043" s="48" t="s">
        <v>8101</v>
      </c>
      <c r="T2043" s="85"/>
      <c r="U2043" s="88"/>
      <c r="V2043" s="32"/>
      <c r="W2043" s="25" t="s">
        <v>9023</v>
      </c>
      <c r="X2043" s="11"/>
      <c r="Y2043" s="50"/>
      <c r="Z2043" s="50"/>
      <c r="AA2043" s="50"/>
      <c r="AB2043" s="50"/>
      <c r="AC2043" s="50"/>
      <c r="AD2043" s="50"/>
      <c r="AE2043" s="50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65"/>
      <c r="AP2043" s="69"/>
      <c r="AQ2043" s="62"/>
      <c r="AR2043" s="34"/>
    </row>
    <row r="2044" spans="1:44" customFormat="1">
      <c r="A2044" s="39">
        <v>45883</v>
      </c>
      <c r="B2044" s="11" t="s">
        <v>49</v>
      </c>
      <c r="C2044" s="16" t="s">
        <v>9025</v>
      </c>
      <c r="D2044" s="16" t="s">
        <v>9026</v>
      </c>
      <c r="E2044" s="38">
        <v>27604</v>
      </c>
      <c r="F2044" s="38" t="s">
        <v>9027</v>
      </c>
      <c r="G2044" s="10" t="s">
        <v>9028</v>
      </c>
      <c r="H2044" s="12" t="s">
        <v>9029</v>
      </c>
      <c r="I2044" s="13" t="s">
        <v>9030</v>
      </c>
      <c r="J2044" s="15" t="s">
        <v>9031</v>
      </c>
      <c r="K2044" s="12"/>
      <c r="L2044" s="11" t="s">
        <v>33</v>
      </c>
      <c r="M2044" s="15"/>
      <c r="N2044" s="17">
        <v>16500</v>
      </c>
      <c r="O2044" s="17" t="s">
        <v>8203</v>
      </c>
      <c r="P2044" s="17"/>
      <c r="Q2044" s="48" t="s">
        <v>8098</v>
      </c>
      <c r="R2044" s="11" t="s">
        <v>6848</v>
      </c>
      <c r="S2044" s="48" t="s">
        <v>8101</v>
      </c>
      <c r="T2044" s="85"/>
      <c r="U2044" s="88"/>
      <c r="V2044" s="32"/>
      <c r="W2044" s="25" t="s">
        <v>9032</v>
      </c>
      <c r="X2044" s="11"/>
      <c r="Y2044" s="50"/>
      <c r="Z2044" s="50"/>
      <c r="AA2044" s="50"/>
      <c r="AB2044" s="50"/>
      <c r="AC2044" s="50"/>
      <c r="AD2044" s="50"/>
      <c r="AE2044" s="50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65"/>
      <c r="AP2044" s="69"/>
      <c r="AQ2044" s="62"/>
      <c r="AR2044" s="34"/>
    </row>
    <row r="2045" spans="1:44" customFormat="1">
      <c r="A2045" s="39">
        <v>45883</v>
      </c>
      <c r="B2045" s="11" t="s">
        <v>22</v>
      </c>
      <c r="C2045" s="16" t="s">
        <v>9033</v>
      </c>
      <c r="D2045" s="16" t="s">
        <v>9034</v>
      </c>
      <c r="E2045" s="38">
        <v>26263</v>
      </c>
      <c r="F2045" s="38" t="s">
        <v>9035</v>
      </c>
      <c r="G2045" s="10" t="s">
        <v>9036</v>
      </c>
      <c r="H2045" s="12" t="s">
        <v>9037</v>
      </c>
      <c r="I2045" s="13" t="s">
        <v>9038</v>
      </c>
      <c r="J2045" s="15" t="s">
        <v>9039</v>
      </c>
      <c r="K2045" s="46" t="s">
        <v>9040</v>
      </c>
      <c r="L2045" s="11" t="s">
        <v>36</v>
      </c>
      <c r="M2045" s="15" t="s">
        <v>3584</v>
      </c>
      <c r="N2045" s="17">
        <v>0</v>
      </c>
      <c r="O2045" s="17"/>
      <c r="P2045" s="17"/>
      <c r="Q2045" s="48" t="s">
        <v>8733</v>
      </c>
      <c r="R2045" s="11" t="s">
        <v>6847</v>
      </c>
      <c r="S2045" s="48" t="s">
        <v>8101</v>
      </c>
      <c r="T2045" s="85"/>
      <c r="U2045" s="88"/>
      <c r="V2045" s="32"/>
      <c r="W2045" s="25"/>
      <c r="X2045" s="11"/>
      <c r="Y2045" s="50"/>
      <c r="Z2045" s="50"/>
      <c r="AA2045" s="50"/>
      <c r="AB2045" s="50"/>
      <c r="AC2045" s="50"/>
      <c r="AD2045" s="50"/>
      <c r="AE2045" s="50"/>
      <c r="AF2045" s="34"/>
      <c r="AG2045" s="34"/>
      <c r="AH2045" s="34"/>
      <c r="AI2045" s="34"/>
      <c r="AJ2045" s="34"/>
      <c r="AK2045" s="34"/>
      <c r="AL2045" s="34" t="s">
        <v>8188</v>
      </c>
      <c r="AM2045" s="34"/>
      <c r="AN2045" s="34"/>
      <c r="AO2045" s="65"/>
      <c r="AP2045" s="69"/>
      <c r="AQ2045" s="62"/>
      <c r="AR2045" s="34"/>
    </row>
    <row r="2046" spans="1:44" customFormat="1">
      <c r="A2046" s="39">
        <v>45885</v>
      </c>
      <c r="B2046" s="11" t="s">
        <v>22</v>
      </c>
      <c r="C2046" s="16" t="s">
        <v>9041</v>
      </c>
      <c r="D2046" s="16" t="s">
        <v>9043</v>
      </c>
      <c r="E2046" s="38">
        <v>37343</v>
      </c>
      <c r="F2046" s="38" t="s">
        <v>1909</v>
      </c>
      <c r="G2046" s="10" t="s">
        <v>8945</v>
      </c>
      <c r="H2046" s="12" t="s">
        <v>8946</v>
      </c>
      <c r="I2046" s="13">
        <v>29</v>
      </c>
      <c r="J2046" s="15"/>
      <c r="K2046" s="12"/>
      <c r="L2046" s="11"/>
      <c r="M2046" s="15"/>
      <c r="N2046" s="17">
        <v>0</v>
      </c>
      <c r="O2046" s="17"/>
      <c r="P2046" s="17"/>
      <c r="Q2046" s="48" t="s">
        <v>8733</v>
      </c>
      <c r="R2046" s="11" t="s">
        <v>6943</v>
      </c>
      <c r="S2046" s="48" t="s">
        <v>8101</v>
      </c>
      <c r="T2046" s="85"/>
      <c r="U2046" s="88"/>
      <c r="V2046" s="32"/>
      <c r="W2046" s="25" t="s">
        <v>9042</v>
      </c>
      <c r="X2046" s="11"/>
      <c r="Y2046" s="50"/>
      <c r="Z2046" s="50"/>
      <c r="AA2046" s="50"/>
      <c r="AB2046" s="50"/>
      <c r="AC2046" s="50"/>
      <c r="AD2046" s="50"/>
      <c r="AE2046" s="50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65"/>
      <c r="AP2046" s="69"/>
      <c r="AQ2046" s="62"/>
      <c r="AR2046" s="34"/>
    </row>
    <row r="2047" spans="1:44" customFormat="1">
      <c r="A2047" s="39">
        <v>45886</v>
      </c>
      <c r="B2047" s="11" t="s">
        <v>49</v>
      </c>
      <c r="C2047" s="16" t="s">
        <v>9044</v>
      </c>
      <c r="D2047" s="16" t="s">
        <v>9045</v>
      </c>
      <c r="E2047" s="38">
        <v>19719</v>
      </c>
      <c r="F2047" s="38" t="s">
        <v>9046</v>
      </c>
      <c r="G2047" s="10" t="s">
        <v>9047</v>
      </c>
      <c r="H2047" s="12" t="s">
        <v>9090</v>
      </c>
      <c r="I2047" s="13" t="s">
        <v>9048</v>
      </c>
      <c r="J2047" s="15" t="s">
        <v>9049</v>
      </c>
      <c r="K2047" s="12"/>
      <c r="L2047" s="11" t="s">
        <v>33</v>
      </c>
      <c r="M2047" s="15"/>
      <c r="N2047" s="17">
        <v>16500</v>
      </c>
      <c r="O2047" s="17"/>
      <c r="P2047" s="17"/>
      <c r="Q2047" s="48"/>
      <c r="R2047" s="11" t="s">
        <v>6847</v>
      </c>
      <c r="S2047" s="48"/>
      <c r="T2047" s="85" t="s">
        <v>9050</v>
      </c>
      <c r="U2047" s="88"/>
      <c r="V2047" s="32"/>
      <c r="W2047" s="25" t="s">
        <v>9051</v>
      </c>
      <c r="X2047" s="11"/>
      <c r="Y2047" s="50"/>
      <c r="Z2047" s="50"/>
      <c r="AA2047" s="50"/>
      <c r="AB2047" s="50"/>
      <c r="AC2047" s="50"/>
      <c r="AD2047" s="50"/>
      <c r="AE2047" s="50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65"/>
      <c r="AP2047" s="69"/>
      <c r="AQ2047" s="62"/>
      <c r="AR2047" s="34"/>
    </row>
    <row r="2048" spans="1:44" customFormat="1">
      <c r="A2048" s="39">
        <v>45894</v>
      </c>
      <c r="B2048" s="11" t="s">
        <v>49</v>
      </c>
      <c r="C2048" s="16" t="s">
        <v>9052</v>
      </c>
      <c r="D2048" s="16" t="s">
        <v>9053</v>
      </c>
      <c r="E2048" s="38">
        <v>38650</v>
      </c>
      <c r="F2048" s="38" t="s">
        <v>9054</v>
      </c>
      <c r="G2048" s="10" t="s">
        <v>9055</v>
      </c>
      <c r="H2048" s="12" t="s">
        <v>9056</v>
      </c>
      <c r="I2048" s="13">
        <v>42.6</v>
      </c>
      <c r="J2048" s="15" t="s">
        <v>9057</v>
      </c>
      <c r="K2048" s="46" t="s">
        <v>9058</v>
      </c>
      <c r="L2048" s="11" t="s">
        <v>39</v>
      </c>
      <c r="M2048" s="15"/>
      <c r="N2048" s="17">
        <v>0</v>
      </c>
      <c r="O2048" s="17" t="s">
        <v>8234</v>
      </c>
      <c r="P2048" s="17"/>
      <c r="Q2048" s="48"/>
      <c r="R2048" s="11" t="s">
        <v>6847</v>
      </c>
      <c r="S2048" s="48" t="s">
        <v>8102</v>
      </c>
      <c r="T2048" s="85" t="s">
        <v>8073</v>
      </c>
      <c r="U2048" s="88"/>
      <c r="V2048" s="32"/>
      <c r="W2048" s="25" t="s">
        <v>8</v>
      </c>
      <c r="X2048" s="11"/>
      <c r="Y2048" s="50"/>
      <c r="Z2048" s="50"/>
      <c r="AA2048" s="50"/>
      <c r="AB2048" s="50"/>
      <c r="AC2048" s="50"/>
      <c r="AD2048" s="50"/>
      <c r="AE2048" s="50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65"/>
      <c r="AP2048" s="69"/>
      <c r="AQ2048" s="62"/>
      <c r="AR2048" s="34"/>
    </row>
    <row r="2049" spans="1:44" customFormat="1">
      <c r="A2049" s="39">
        <v>45889</v>
      </c>
      <c r="B2049" s="11" t="s">
        <v>49</v>
      </c>
      <c r="C2049" s="16" t="s">
        <v>4761</v>
      </c>
      <c r="D2049" s="16" t="s">
        <v>9059</v>
      </c>
      <c r="E2049" s="38">
        <v>23522</v>
      </c>
      <c r="F2049" s="38" t="s">
        <v>9054</v>
      </c>
      <c r="G2049" s="10" t="s">
        <v>3609</v>
      </c>
      <c r="H2049" s="12" t="s">
        <v>4762</v>
      </c>
      <c r="I2049" s="13" t="s">
        <v>4763</v>
      </c>
      <c r="J2049" s="15" t="s">
        <v>4764</v>
      </c>
      <c r="K2049" s="12"/>
      <c r="L2049" s="11" t="s">
        <v>37</v>
      </c>
      <c r="M2049" s="15" t="s">
        <v>3599</v>
      </c>
      <c r="N2049" s="17">
        <v>3300</v>
      </c>
      <c r="O2049" s="17"/>
      <c r="P2049" s="17"/>
      <c r="Q2049" s="48"/>
      <c r="R2049" s="11" t="s">
        <v>6847</v>
      </c>
      <c r="S2049" s="48" t="s">
        <v>8102</v>
      </c>
      <c r="T2049" s="85" t="s">
        <v>8073</v>
      </c>
      <c r="U2049" s="88"/>
      <c r="V2049" s="32" t="s">
        <v>4765</v>
      </c>
      <c r="W2049" s="25" t="s">
        <v>8</v>
      </c>
      <c r="X2049" s="11"/>
      <c r="Y2049" s="50" t="s">
        <v>13</v>
      </c>
      <c r="Z2049" s="50"/>
      <c r="AA2049" s="50"/>
      <c r="AB2049" s="50"/>
      <c r="AC2049" s="50"/>
      <c r="AD2049" s="50"/>
      <c r="AE2049" s="50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65"/>
      <c r="AP2049" s="69"/>
      <c r="AQ2049" s="62"/>
      <c r="AR2049" s="34"/>
    </row>
    <row r="2050" spans="1:44" customFormat="1">
      <c r="A2050" s="39">
        <v>45897</v>
      </c>
      <c r="B2050" s="11" t="s">
        <v>22</v>
      </c>
      <c r="C2050" s="16" t="s">
        <v>9060</v>
      </c>
      <c r="D2050" s="16" t="s">
        <v>9061</v>
      </c>
      <c r="E2050" s="38">
        <v>24709</v>
      </c>
      <c r="F2050" s="38" t="s">
        <v>9062</v>
      </c>
      <c r="G2050" s="10" t="s">
        <v>9063</v>
      </c>
      <c r="H2050" s="12" t="s">
        <v>9088</v>
      </c>
      <c r="I2050" s="13">
        <v>3.5</v>
      </c>
      <c r="J2050" s="15" t="s">
        <v>9064</v>
      </c>
      <c r="K2050" s="12"/>
      <c r="L2050" s="11" t="s">
        <v>39</v>
      </c>
      <c r="M2050" s="15" t="s">
        <v>3599</v>
      </c>
      <c r="N2050" s="17">
        <v>0</v>
      </c>
      <c r="O2050" s="17"/>
      <c r="P2050" s="17"/>
      <c r="Q2050" s="48" t="s">
        <v>8733</v>
      </c>
      <c r="R2050" s="11" t="s">
        <v>6847</v>
      </c>
      <c r="S2050" s="48" t="s">
        <v>8102</v>
      </c>
      <c r="T2050" s="85" t="s">
        <v>9066</v>
      </c>
      <c r="U2050" s="88"/>
      <c r="V2050" s="32"/>
      <c r="W2050" s="25" t="s">
        <v>9065</v>
      </c>
      <c r="X2050" s="11"/>
      <c r="Y2050" s="50"/>
      <c r="Z2050" s="50"/>
      <c r="AA2050" s="50"/>
      <c r="AB2050" s="50"/>
      <c r="AC2050" s="50"/>
      <c r="AD2050" s="50"/>
      <c r="AE2050" s="50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65"/>
      <c r="AP2050" s="69"/>
      <c r="AQ2050" s="62"/>
      <c r="AR2050" s="34"/>
    </row>
    <row r="2051" spans="1:44" customFormat="1">
      <c r="A2051" s="39">
        <v>45899</v>
      </c>
      <c r="B2051" s="11" t="s">
        <v>49</v>
      </c>
      <c r="C2051" s="16" t="s">
        <v>9067</v>
      </c>
      <c r="D2051" s="16" t="s">
        <v>9068</v>
      </c>
      <c r="E2051" s="38">
        <v>30857</v>
      </c>
      <c r="F2051" s="38" t="s">
        <v>9069</v>
      </c>
      <c r="G2051" s="10" t="s">
        <v>9070</v>
      </c>
      <c r="H2051" s="12" t="s">
        <v>9071</v>
      </c>
      <c r="I2051" s="13">
        <v>7.7</v>
      </c>
      <c r="J2051" s="15" t="s">
        <v>9072</v>
      </c>
      <c r="K2051" s="12"/>
      <c r="L2051" s="11" t="s">
        <v>33</v>
      </c>
      <c r="M2051" s="15" t="s">
        <v>3599</v>
      </c>
      <c r="N2051" s="17">
        <v>16500</v>
      </c>
      <c r="O2051" s="17" t="s">
        <v>8550</v>
      </c>
      <c r="P2051" s="17"/>
      <c r="Q2051" s="48" t="s">
        <v>8098</v>
      </c>
      <c r="R2051" s="11" t="s">
        <v>6847</v>
      </c>
      <c r="S2051" s="48" t="s">
        <v>8102</v>
      </c>
      <c r="T2051" s="85" t="s">
        <v>9073</v>
      </c>
      <c r="U2051" s="88"/>
      <c r="V2051" s="32"/>
      <c r="W2051" s="25" t="s">
        <v>8</v>
      </c>
      <c r="X2051" s="11"/>
      <c r="Y2051" s="50"/>
      <c r="Z2051" s="50"/>
      <c r="AA2051" s="50"/>
      <c r="AB2051" s="50"/>
      <c r="AC2051" s="50"/>
      <c r="AD2051" s="50"/>
      <c r="AE2051" s="50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65"/>
      <c r="AP2051" s="69"/>
      <c r="AQ2051" s="62"/>
      <c r="AR2051" s="34"/>
    </row>
    <row r="2052" spans="1:44" customFormat="1">
      <c r="A2052" s="39">
        <v>45901</v>
      </c>
      <c r="B2052" s="11" t="s">
        <v>49</v>
      </c>
      <c r="C2052" s="16" t="s">
        <v>8631</v>
      </c>
      <c r="D2052" s="16" t="s">
        <v>8632</v>
      </c>
      <c r="E2052" s="38">
        <v>30696</v>
      </c>
      <c r="F2052" s="38" t="s">
        <v>1909</v>
      </c>
      <c r="G2052" s="10" t="s">
        <v>8633</v>
      </c>
      <c r="H2052" s="12" t="s">
        <v>8635</v>
      </c>
      <c r="I2052" s="13" t="s">
        <v>8634</v>
      </c>
      <c r="J2052" s="15" t="s">
        <v>8636</v>
      </c>
      <c r="K2052" s="46" t="s">
        <v>8637</v>
      </c>
      <c r="L2052" s="11" t="s">
        <v>36</v>
      </c>
      <c r="M2052" s="15" t="s">
        <v>3584</v>
      </c>
      <c r="N2052" s="17">
        <v>22000</v>
      </c>
      <c r="O2052" s="17" t="s">
        <v>8506</v>
      </c>
      <c r="P2052" s="17" t="s">
        <v>9075</v>
      </c>
      <c r="Q2052" s="48" t="s">
        <v>8098</v>
      </c>
      <c r="R2052" s="11" t="s">
        <v>6848</v>
      </c>
      <c r="S2052" s="48" t="s">
        <v>8101</v>
      </c>
      <c r="T2052" s="85" t="s">
        <v>9308</v>
      </c>
      <c r="U2052" s="88"/>
      <c r="V2052" s="32"/>
      <c r="W2052" s="25"/>
      <c r="X2052" s="11"/>
      <c r="Y2052" s="50" t="s">
        <v>13</v>
      </c>
      <c r="Z2052" s="50"/>
      <c r="AA2052" s="50"/>
      <c r="AB2052" s="50"/>
      <c r="AC2052" s="50"/>
      <c r="AD2052" s="50"/>
      <c r="AE2052" s="50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65"/>
      <c r="AP2052" s="69"/>
      <c r="AQ2052" s="62"/>
      <c r="AR2052" s="34"/>
    </row>
    <row r="2053" spans="1:44" customFormat="1">
      <c r="A2053" s="39">
        <v>45901</v>
      </c>
      <c r="B2053" s="11" t="s">
        <v>22</v>
      </c>
      <c r="C2053" s="16" t="s">
        <v>9076</v>
      </c>
      <c r="D2053" s="16" t="s">
        <v>9077</v>
      </c>
      <c r="E2053" s="38">
        <v>27522</v>
      </c>
      <c r="F2053" s="38" t="s">
        <v>1910</v>
      </c>
      <c r="G2053" s="10" t="s">
        <v>9078</v>
      </c>
      <c r="H2053" s="12" t="s">
        <v>9089</v>
      </c>
      <c r="I2053" s="13" t="s">
        <v>9079</v>
      </c>
      <c r="J2053" s="15" t="s">
        <v>9080</v>
      </c>
      <c r="K2053" s="46" t="s">
        <v>9081</v>
      </c>
      <c r="L2053" s="11" t="s">
        <v>39</v>
      </c>
      <c r="M2053" s="15" t="s">
        <v>3584</v>
      </c>
      <c r="N2053" s="17">
        <v>0</v>
      </c>
      <c r="O2053" s="17"/>
      <c r="P2053" s="17"/>
      <c r="Q2053" s="48"/>
      <c r="R2053" s="11" t="s">
        <v>8837</v>
      </c>
      <c r="S2053" s="48"/>
      <c r="T2053" s="85" t="s">
        <v>9306</v>
      </c>
      <c r="U2053" s="88"/>
      <c r="V2053" s="32"/>
      <c r="W2053" s="266" t="s">
        <v>9082</v>
      </c>
      <c r="X2053" s="11"/>
      <c r="Y2053" s="50"/>
      <c r="Z2053" s="50"/>
      <c r="AA2053" s="50"/>
      <c r="AB2053" s="50"/>
      <c r="AC2053" s="50"/>
      <c r="AD2053" s="50"/>
      <c r="AE2053" s="50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65"/>
      <c r="AP2053" s="69"/>
      <c r="AQ2053" s="62"/>
      <c r="AR2053" s="34"/>
    </row>
    <row r="2054" spans="1:44" customFormat="1">
      <c r="A2054" s="39">
        <v>45903</v>
      </c>
      <c r="B2054" s="11" t="s">
        <v>22</v>
      </c>
      <c r="C2054" s="16" t="s">
        <v>9083</v>
      </c>
      <c r="D2054" s="16" t="s">
        <v>9084</v>
      </c>
      <c r="E2054" s="38">
        <v>22241</v>
      </c>
      <c r="F2054" s="38" t="s">
        <v>9085</v>
      </c>
      <c r="G2054" s="10" t="s">
        <v>9086</v>
      </c>
      <c r="H2054" s="12" t="s">
        <v>9087</v>
      </c>
      <c r="I2054" s="13" t="s">
        <v>9097</v>
      </c>
      <c r="J2054" s="15" t="s">
        <v>9098</v>
      </c>
      <c r="K2054" s="12"/>
      <c r="L2054" s="11" t="s">
        <v>33</v>
      </c>
      <c r="M2054" s="15" t="s">
        <v>3584</v>
      </c>
      <c r="N2054" s="17">
        <v>0</v>
      </c>
      <c r="O2054" s="17"/>
      <c r="P2054" s="17"/>
      <c r="Q2054" s="48"/>
      <c r="R2054" s="11" t="s">
        <v>6847</v>
      </c>
      <c r="S2054" s="48" t="s">
        <v>8102</v>
      </c>
      <c r="T2054" s="85" t="s">
        <v>9099</v>
      </c>
      <c r="U2054" s="88"/>
      <c r="V2054" s="32"/>
      <c r="W2054" s="25" t="s">
        <v>8</v>
      </c>
      <c r="X2054" s="11" t="s">
        <v>9100</v>
      </c>
      <c r="Y2054" s="50"/>
      <c r="Z2054" s="50"/>
      <c r="AA2054" s="50"/>
      <c r="AB2054" s="50"/>
      <c r="AC2054" s="50"/>
      <c r="AD2054" s="50"/>
      <c r="AE2054" s="50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65"/>
      <c r="AP2054" s="69"/>
      <c r="AQ2054" s="62"/>
      <c r="AR2054" s="34"/>
    </row>
    <row r="2055" spans="1:44" customFormat="1">
      <c r="A2055" s="39">
        <v>45903</v>
      </c>
      <c r="B2055" s="11" t="s">
        <v>22</v>
      </c>
      <c r="C2055" s="16" t="s">
        <v>9101</v>
      </c>
      <c r="D2055" s="16" t="s">
        <v>9102</v>
      </c>
      <c r="E2055" s="38">
        <v>39108</v>
      </c>
      <c r="F2055" s="38" t="s">
        <v>9103</v>
      </c>
      <c r="G2055" s="10" t="s">
        <v>9104</v>
      </c>
      <c r="H2055" s="12" t="s">
        <v>9105</v>
      </c>
      <c r="I2055" s="13" t="s">
        <v>9106</v>
      </c>
      <c r="J2055" s="15" t="s">
        <v>9107</v>
      </c>
      <c r="K2055" s="12"/>
      <c r="L2055" s="11" t="s">
        <v>38</v>
      </c>
      <c r="M2055" s="15"/>
      <c r="N2055" s="17">
        <v>0</v>
      </c>
      <c r="O2055" s="17"/>
      <c r="P2055" s="17"/>
      <c r="Q2055" s="48"/>
      <c r="R2055" s="11" t="s">
        <v>6847</v>
      </c>
      <c r="S2055" s="48" t="s">
        <v>8101</v>
      </c>
      <c r="T2055" s="85"/>
      <c r="U2055" s="88"/>
      <c r="V2055" s="32"/>
      <c r="W2055" s="25" t="s">
        <v>9108</v>
      </c>
      <c r="X2055" s="11" t="s">
        <v>9109</v>
      </c>
      <c r="Y2055" s="50"/>
      <c r="Z2055" s="50"/>
      <c r="AA2055" s="50"/>
      <c r="AB2055" s="50"/>
      <c r="AC2055" s="50"/>
      <c r="AD2055" s="50"/>
      <c r="AE2055" s="50"/>
      <c r="AF2055" s="34" t="s">
        <v>8164</v>
      </c>
      <c r="AG2055" s="34"/>
      <c r="AH2055" s="34"/>
      <c r="AI2055" s="34"/>
      <c r="AJ2055" s="34"/>
      <c r="AK2055" s="34"/>
      <c r="AL2055" s="34"/>
      <c r="AM2055" s="34"/>
      <c r="AN2055" s="34"/>
      <c r="AO2055" s="65"/>
      <c r="AP2055" s="69"/>
      <c r="AQ2055" s="62"/>
      <c r="AR2055" s="34"/>
    </row>
    <row r="2056" spans="1:44" customFormat="1">
      <c r="A2056" s="39">
        <v>45905</v>
      </c>
      <c r="B2056" s="11" t="s">
        <v>22</v>
      </c>
      <c r="C2056" s="16" t="s">
        <v>9110</v>
      </c>
      <c r="D2056" s="16" t="s">
        <v>9113</v>
      </c>
      <c r="E2056" s="38"/>
      <c r="F2056" s="38" t="s">
        <v>1909</v>
      </c>
      <c r="G2056" s="10" t="s">
        <v>9114</v>
      </c>
      <c r="H2056" s="12" t="s">
        <v>9115</v>
      </c>
      <c r="I2056" s="13" t="s">
        <v>1654</v>
      </c>
      <c r="J2056" s="15" t="s">
        <v>9116</v>
      </c>
      <c r="K2056" s="12"/>
      <c r="L2056" s="11" t="s">
        <v>34</v>
      </c>
      <c r="M2056" s="15" t="s">
        <v>3599</v>
      </c>
      <c r="N2056" s="17">
        <v>0</v>
      </c>
      <c r="O2056" s="17"/>
      <c r="P2056" s="17"/>
      <c r="Q2056" s="48" t="s">
        <v>8733</v>
      </c>
      <c r="R2056" s="11" t="s">
        <v>6847</v>
      </c>
      <c r="S2056" s="48" t="s">
        <v>8101</v>
      </c>
      <c r="T2056" s="85"/>
      <c r="U2056" s="88"/>
      <c r="V2056" s="32"/>
      <c r="W2056" s="25"/>
      <c r="X2056" s="11"/>
      <c r="Y2056" s="50"/>
      <c r="Z2056" s="50"/>
      <c r="AA2056" s="50"/>
      <c r="AB2056" s="50"/>
      <c r="AC2056" s="50"/>
      <c r="AD2056" s="50"/>
      <c r="AE2056" s="50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65"/>
      <c r="AP2056" s="69"/>
      <c r="AQ2056" s="62"/>
      <c r="AR2056" s="34"/>
    </row>
    <row r="2057" spans="1:44" customFormat="1">
      <c r="A2057" s="39">
        <v>45905</v>
      </c>
      <c r="B2057" s="11" t="s">
        <v>22</v>
      </c>
      <c r="C2057" s="16" t="s">
        <v>9111</v>
      </c>
      <c r="D2057" s="16" t="s">
        <v>9112</v>
      </c>
      <c r="E2057" s="38">
        <v>31763</v>
      </c>
      <c r="F2057" s="38" t="s">
        <v>1909</v>
      </c>
      <c r="G2057" s="10" t="s">
        <v>9117</v>
      </c>
      <c r="H2057" s="12" t="s">
        <v>9118</v>
      </c>
      <c r="I2057" s="13" t="s">
        <v>9119</v>
      </c>
      <c r="J2057" s="15" t="s">
        <v>9120</v>
      </c>
      <c r="K2057" s="46" t="s">
        <v>9121</v>
      </c>
      <c r="L2057" s="11" t="s">
        <v>33</v>
      </c>
      <c r="M2057" s="15" t="s">
        <v>3584</v>
      </c>
      <c r="N2057" s="17">
        <v>0</v>
      </c>
      <c r="O2057" s="17"/>
      <c r="P2057" s="17"/>
      <c r="Q2057" s="48" t="s">
        <v>8733</v>
      </c>
      <c r="R2057" s="11" t="s">
        <v>8837</v>
      </c>
      <c r="S2057" s="48" t="s">
        <v>8101</v>
      </c>
      <c r="T2057" s="85" t="s">
        <v>81</v>
      </c>
      <c r="U2057" s="88"/>
      <c r="V2057" s="32"/>
      <c r="W2057" s="25" t="s">
        <v>8</v>
      </c>
      <c r="X2057" s="11" t="s">
        <v>9122</v>
      </c>
      <c r="Y2057" s="50"/>
      <c r="Z2057" s="50"/>
      <c r="AA2057" s="50"/>
      <c r="AB2057" s="50"/>
      <c r="AC2057" s="50"/>
      <c r="AD2057" s="50"/>
      <c r="AE2057" s="50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65"/>
      <c r="AP2057" s="69"/>
      <c r="AQ2057" s="62"/>
      <c r="AR2057" s="34"/>
    </row>
    <row r="2058" spans="1:44" customFormat="1">
      <c r="A2058" s="39">
        <v>45906</v>
      </c>
      <c r="B2058" s="11" t="s">
        <v>49</v>
      </c>
      <c r="C2058" s="16" t="s">
        <v>9123</v>
      </c>
      <c r="D2058" s="16" t="s">
        <v>9124</v>
      </c>
      <c r="E2058" s="38"/>
      <c r="F2058" s="38" t="s">
        <v>1909</v>
      </c>
      <c r="G2058" s="10" t="s">
        <v>9137</v>
      </c>
      <c r="H2058" s="12" t="s">
        <v>9125</v>
      </c>
      <c r="I2058" s="13">
        <v>500</v>
      </c>
      <c r="J2058" s="15" t="s">
        <v>9126</v>
      </c>
      <c r="K2058" s="12"/>
      <c r="L2058" s="11"/>
      <c r="M2058" s="15"/>
      <c r="N2058" s="17"/>
      <c r="O2058" s="17"/>
      <c r="P2058" s="17"/>
      <c r="Q2058" s="48" t="s">
        <v>9127</v>
      </c>
      <c r="R2058" s="11" t="s">
        <v>6847</v>
      </c>
      <c r="S2058" s="48" t="s">
        <v>8100</v>
      </c>
      <c r="T2058" s="85"/>
      <c r="U2058" s="88"/>
      <c r="V2058" s="32"/>
      <c r="W2058" s="25"/>
      <c r="X2058" s="11"/>
      <c r="Y2058" s="50"/>
      <c r="Z2058" s="50"/>
      <c r="AA2058" s="50"/>
      <c r="AB2058" s="50"/>
      <c r="AC2058" s="50"/>
      <c r="AD2058" s="50"/>
      <c r="AE2058" s="50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65"/>
      <c r="AP2058" s="69"/>
      <c r="AQ2058" s="62"/>
      <c r="AR2058" s="34"/>
    </row>
    <row r="2059" spans="1:44" customFormat="1">
      <c r="A2059" s="39">
        <v>45907</v>
      </c>
      <c r="B2059" s="11" t="s">
        <v>49</v>
      </c>
      <c r="C2059" s="16" t="s">
        <v>9129</v>
      </c>
      <c r="D2059" s="16" t="s">
        <v>9130</v>
      </c>
      <c r="E2059" s="38">
        <v>29672</v>
      </c>
      <c r="F2059" s="38" t="s">
        <v>9131</v>
      </c>
      <c r="G2059" s="10" t="s">
        <v>9132</v>
      </c>
      <c r="H2059" s="12" t="s">
        <v>9133</v>
      </c>
      <c r="I2059" s="13" t="s">
        <v>9134</v>
      </c>
      <c r="J2059" s="15" t="s">
        <v>9135</v>
      </c>
      <c r="K2059" s="46" t="s">
        <v>9136</v>
      </c>
      <c r="L2059" s="11" t="s">
        <v>33</v>
      </c>
      <c r="M2059" s="15" t="s">
        <v>3584</v>
      </c>
      <c r="N2059" s="17">
        <v>22000</v>
      </c>
      <c r="O2059" s="17"/>
      <c r="P2059" s="17"/>
      <c r="Q2059" s="48"/>
      <c r="R2059" s="11" t="s">
        <v>6847</v>
      </c>
      <c r="S2059" s="48" t="s">
        <v>8102</v>
      </c>
      <c r="T2059" s="85"/>
      <c r="U2059" s="88"/>
      <c r="V2059" s="32"/>
      <c r="W2059" s="25"/>
      <c r="X2059" s="11"/>
      <c r="Y2059" s="50" t="s">
        <v>13</v>
      </c>
      <c r="Z2059" s="50"/>
      <c r="AA2059" s="50"/>
      <c r="AB2059" s="50"/>
      <c r="AC2059" s="50"/>
      <c r="AD2059" s="50"/>
      <c r="AE2059" s="50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65"/>
      <c r="AP2059" s="69"/>
      <c r="AQ2059" s="62"/>
      <c r="AR2059" s="34"/>
    </row>
    <row r="2060" spans="1:44" customFormat="1">
      <c r="A2060" s="39">
        <v>45911</v>
      </c>
      <c r="B2060" s="11" t="s">
        <v>49</v>
      </c>
      <c r="C2060" s="16" t="s">
        <v>9138</v>
      </c>
      <c r="D2060" s="16" t="s">
        <v>9139</v>
      </c>
      <c r="E2060" s="38">
        <v>26992</v>
      </c>
      <c r="F2060" s="38" t="s">
        <v>1909</v>
      </c>
      <c r="G2060" s="10" t="s">
        <v>9140</v>
      </c>
      <c r="H2060" s="12" t="s">
        <v>9141</v>
      </c>
      <c r="I2060" s="13">
        <v>3.6</v>
      </c>
      <c r="J2060" s="15" t="s">
        <v>9142</v>
      </c>
      <c r="K2060" s="12"/>
      <c r="L2060" s="11" t="s">
        <v>33</v>
      </c>
      <c r="M2060" s="15" t="s">
        <v>3599</v>
      </c>
      <c r="N2060" s="17">
        <v>11000</v>
      </c>
      <c r="O2060" s="17"/>
      <c r="P2060" s="17"/>
      <c r="Q2060" s="48" t="s">
        <v>8098</v>
      </c>
      <c r="R2060" s="11" t="s">
        <v>6848</v>
      </c>
      <c r="S2060" s="48" t="s">
        <v>8100</v>
      </c>
      <c r="T2060" s="85"/>
      <c r="U2060" s="88"/>
      <c r="V2060" s="32"/>
      <c r="W2060" s="25"/>
      <c r="X2060" s="11"/>
      <c r="Y2060" s="50"/>
      <c r="Z2060" s="50"/>
      <c r="AA2060" s="50"/>
      <c r="AB2060" s="50"/>
      <c r="AC2060" s="50"/>
      <c r="AD2060" s="50"/>
      <c r="AE2060" s="50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65"/>
      <c r="AP2060" s="69"/>
      <c r="AQ2060" s="62"/>
      <c r="AR2060" s="34"/>
    </row>
    <row r="2061" spans="1:44" customFormat="1">
      <c r="A2061" s="39">
        <v>45912</v>
      </c>
      <c r="B2061" s="11" t="s">
        <v>22</v>
      </c>
      <c r="C2061" s="16" t="s">
        <v>9148</v>
      </c>
      <c r="D2061" s="16" t="s">
        <v>9149</v>
      </c>
      <c r="E2061" s="38">
        <v>38113</v>
      </c>
      <c r="F2061" s="38" t="s">
        <v>9145</v>
      </c>
      <c r="G2061" s="10" t="s">
        <v>9150</v>
      </c>
      <c r="H2061" s="12" t="s">
        <v>9151</v>
      </c>
      <c r="I2061" s="13" t="s">
        <v>9183</v>
      </c>
      <c r="J2061" s="15" t="s">
        <v>9214</v>
      </c>
      <c r="K2061" s="12"/>
      <c r="L2061" s="11" t="s">
        <v>36</v>
      </c>
      <c r="M2061" s="15" t="s">
        <v>3599</v>
      </c>
      <c r="N2061" s="17">
        <v>0</v>
      </c>
      <c r="O2061" s="17"/>
      <c r="P2061" s="17"/>
      <c r="Q2061" s="48" t="s">
        <v>8733</v>
      </c>
      <c r="R2061" s="11" t="s">
        <v>6847</v>
      </c>
      <c r="S2061" s="48"/>
      <c r="T2061" s="85" t="s">
        <v>8366</v>
      </c>
      <c r="U2061" s="88"/>
      <c r="V2061" s="32"/>
      <c r="W2061" s="25"/>
      <c r="X2061" s="11"/>
      <c r="Y2061" s="50"/>
      <c r="Z2061" s="50"/>
      <c r="AA2061" s="50"/>
      <c r="AB2061" s="50"/>
      <c r="AC2061" s="50"/>
      <c r="AD2061" s="50"/>
      <c r="AE2061" s="50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65"/>
      <c r="AP2061" s="69"/>
      <c r="AQ2061" s="62"/>
      <c r="AR2061" s="34"/>
    </row>
    <row r="2062" spans="1:44" customFormat="1">
      <c r="A2062" s="39">
        <v>45914</v>
      </c>
      <c r="B2062" s="11" t="s">
        <v>22</v>
      </c>
      <c r="C2062" s="16" t="s">
        <v>9152</v>
      </c>
      <c r="D2062" s="16" t="s">
        <v>9153</v>
      </c>
      <c r="E2062" s="38">
        <v>26714</v>
      </c>
      <c r="F2062" s="38" t="s">
        <v>9154</v>
      </c>
      <c r="G2062" s="10" t="s">
        <v>9155</v>
      </c>
      <c r="H2062" s="12" t="s">
        <v>9156</v>
      </c>
      <c r="I2062" s="13" t="s">
        <v>5170</v>
      </c>
      <c r="J2062" s="15" t="s">
        <v>9215</v>
      </c>
      <c r="K2062" s="12"/>
      <c r="L2062" s="11" t="s">
        <v>37</v>
      </c>
      <c r="M2062" s="15" t="s">
        <v>3629</v>
      </c>
      <c r="N2062" s="17">
        <v>0</v>
      </c>
      <c r="O2062" s="17"/>
      <c r="P2062" s="17"/>
      <c r="Q2062" s="48" t="s">
        <v>8733</v>
      </c>
      <c r="R2062" s="11" t="s">
        <v>9271</v>
      </c>
      <c r="S2062" s="48"/>
      <c r="T2062" s="85" t="s">
        <v>9272</v>
      </c>
      <c r="U2062" s="88"/>
      <c r="V2062" s="32"/>
      <c r="W2062" s="25"/>
      <c r="X2062" s="11"/>
      <c r="Y2062" s="50"/>
      <c r="Z2062" s="50"/>
      <c r="AA2062" s="50"/>
      <c r="AB2062" s="50"/>
      <c r="AC2062" s="50"/>
      <c r="AD2062" s="50"/>
      <c r="AE2062" s="50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65"/>
      <c r="AP2062" s="69"/>
      <c r="AQ2062" s="62"/>
      <c r="AR2062" s="34"/>
    </row>
    <row r="2063" spans="1:44" customFormat="1">
      <c r="A2063" s="39">
        <v>45914</v>
      </c>
      <c r="B2063" s="11" t="s">
        <v>24</v>
      </c>
      <c r="C2063" s="16" t="s">
        <v>9157</v>
      </c>
      <c r="D2063" s="16" t="s">
        <v>9158</v>
      </c>
      <c r="E2063" s="38">
        <v>31240</v>
      </c>
      <c r="F2063" s="38" t="s">
        <v>9145</v>
      </c>
      <c r="G2063" s="10" t="s">
        <v>9159</v>
      </c>
      <c r="H2063" s="12" t="s">
        <v>9160</v>
      </c>
      <c r="I2063" s="13" t="s">
        <v>9184</v>
      </c>
      <c r="J2063" s="15" t="s">
        <v>9216</v>
      </c>
      <c r="K2063" s="46" t="s">
        <v>9221</v>
      </c>
      <c r="L2063" s="11" t="s">
        <v>33</v>
      </c>
      <c r="M2063" s="15" t="s">
        <v>3584</v>
      </c>
      <c r="N2063" s="17">
        <v>5000</v>
      </c>
      <c r="O2063" s="17"/>
      <c r="P2063" s="17"/>
      <c r="Q2063" s="48"/>
      <c r="R2063" s="11" t="s">
        <v>6847</v>
      </c>
      <c r="S2063" s="48"/>
      <c r="T2063" s="85"/>
      <c r="U2063" s="88"/>
      <c r="V2063" s="32"/>
      <c r="W2063" s="25"/>
      <c r="X2063" s="11"/>
      <c r="Y2063" s="50"/>
      <c r="Z2063" s="50"/>
      <c r="AA2063" s="50"/>
      <c r="AB2063" s="50"/>
      <c r="AC2063" s="50"/>
      <c r="AD2063" s="50"/>
      <c r="AE2063" s="50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65"/>
      <c r="AP2063" s="69"/>
      <c r="AQ2063" s="62"/>
      <c r="AR2063" s="34"/>
    </row>
    <row r="2064" spans="1:44" customFormat="1">
      <c r="A2064" s="39">
        <v>45914</v>
      </c>
      <c r="B2064" s="11" t="s">
        <v>22</v>
      </c>
      <c r="C2064" s="16" t="s">
        <v>9161</v>
      </c>
      <c r="D2064" s="16" t="s">
        <v>9162</v>
      </c>
      <c r="E2064" s="38">
        <v>31085</v>
      </c>
      <c r="F2064" s="38" t="s">
        <v>9145</v>
      </c>
      <c r="G2064" s="10" t="s">
        <v>9163</v>
      </c>
      <c r="H2064" s="12" t="s">
        <v>9164</v>
      </c>
      <c r="I2064" s="13" t="s">
        <v>9185</v>
      </c>
      <c r="J2064" s="15" t="s">
        <v>9217</v>
      </c>
      <c r="K2064" s="12"/>
      <c r="L2064" s="11" t="s">
        <v>33</v>
      </c>
      <c r="M2064" s="15"/>
      <c r="N2064" s="17">
        <v>0</v>
      </c>
      <c r="O2064" s="17"/>
      <c r="P2064" s="17"/>
      <c r="Q2064" s="48" t="s">
        <v>8733</v>
      </c>
      <c r="R2064" s="11" t="s">
        <v>6847</v>
      </c>
      <c r="S2064" s="48"/>
      <c r="T2064" s="85"/>
      <c r="U2064" s="88"/>
      <c r="V2064" s="32"/>
      <c r="W2064" s="25"/>
      <c r="X2064" s="11"/>
      <c r="Y2064" s="50"/>
      <c r="Z2064" s="50"/>
      <c r="AA2064" s="50"/>
      <c r="AB2064" s="50"/>
      <c r="AC2064" s="50"/>
      <c r="AD2064" s="50"/>
      <c r="AE2064" s="50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65"/>
      <c r="AP2064" s="69"/>
      <c r="AQ2064" s="62"/>
      <c r="AR2064" s="34"/>
    </row>
    <row r="2065" spans="1:44" customFormat="1">
      <c r="A2065" s="39">
        <v>45915</v>
      </c>
      <c r="B2065" s="11" t="s">
        <v>22</v>
      </c>
      <c r="C2065" s="16" t="s">
        <v>9143</v>
      </c>
      <c r="D2065" s="16" t="s">
        <v>9144</v>
      </c>
      <c r="E2065" s="38">
        <v>35500</v>
      </c>
      <c r="F2065" s="38" t="s">
        <v>9145</v>
      </c>
      <c r="G2065" s="10" t="s">
        <v>9146</v>
      </c>
      <c r="H2065" s="12" t="s">
        <v>9147</v>
      </c>
      <c r="I2065" s="13" t="s">
        <v>9186</v>
      </c>
      <c r="J2065" s="15" t="s">
        <v>9218</v>
      </c>
      <c r="K2065" s="12"/>
      <c r="L2065" s="11" t="s">
        <v>36</v>
      </c>
      <c r="M2065" s="15" t="s">
        <v>3629</v>
      </c>
      <c r="N2065" s="17">
        <v>0</v>
      </c>
      <c r="O2065" s="17"/>
      <c r="P2065" s="17"/>
      <c r="Q2065" s="48" t="s">
        <v>8733</v>
      </c>
      <c r="R2065" s="11" t="s">
        <v>9271</v>
      </c>
      <c r="S2065" s="48"/>
      <c r="T2065" s="85" t="s">
        <v>9287</v>
      </c>
      <c r="U2065" s="88"/>
      <c r="V2065" s="32"/>
      <c r="W2065" s="25"/>
      <c r="X2065" s="11"/>
      <c r="Y2065" s="50"/>
      <c r="Z2065" s="50"/>
      <c r="AA2065" s="50"/>
      <c r="AB2065" s="50"/>
      <c r="AC2065" s="50"/>
      <c r="AD2065" s="50"/>
      <c r="AE2065" s="50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65"/>
      <c r="AP2065" s="69"/>
      <c r="AQ2065" s="62"/>
      <c r="AR2065" s="34"/>
    </row>
    <row r="2066" spans="1:44" customFormat="1">
      <c r="A2066" s="39">
        <v>45915</v>
      </c>
      <c r="B2066" s="11" t="s">
        <v>22</v>
      </c>
      <c r="C2066" s="16" t="s">
        <v>9165</v>
      </c>
      <c r="D2066" s="16" t="s">
        <v>9166</v>
      </c>
      <c r="E2066" s="38"/>
      <c r="F2066" s="38" t="s">
        <v>9145</v>
      </c>
      <c r="G2066" s="10" t="s">
        <v>9189</v>
      </c>
      <c r="H2066" s="12" t="s">
        <v>9167</v>
      </c>
      <c r="I2066" s="13" t="s">
        <v>9187</v>
      </c>
      <c r="J2066" s="15" t="s">
        <v>9219</v>
      </c>
      <c r="K2066" s="12"/>
      <c r="L2066" s="11" t="s">
        <v>36</v>
      </c>
      <c r="M2066" s="15" t="s">
        <v>3584</v>
      </c>
      <c r="N2066" s="17">
        <v>0</v>
      </c>
      <c r="O2066" s="17"/>
      <c r="P2066" s="17"/>
      <c r="Q2066" s="48" t="s">
        <v>8733</v>
      </c>
      <c r="R2066" s="11" t="s">
        <v>6847</v>
      </c>
      <c r="S2066" s="48"/>
      <c r="T2066" s="85" t="s">
        <v>9307</v>
      </c>
      <c r="U2066" s="88"/>
      <c r="V2066" s="32"/>
      <c r="W2066" s="25"/>
      <c r="X2066" s="11"/>
      <c r="Y2066" s="50"/>
      <c r="Z2066" s="50"/>
      <c r="AA2066" s="50"/>
      <c r="AB2066" s="50"/>
      <c r="AC2066" s="50"/>
      <c r="AD2066" s="50"/>
      <c r="AE2066" s="50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65"/>
      <c r="AP2066" s="69"/>
      <c r="AQ2066" s="62"/>
      <c r="AR2066" s="34"/>
    </row>
    <row r="2067" spans="1:44" customFormat="1">
      <c r="A2067" s="39">
        <v>45915</v>
      </c>
      <c r="B2067" s="11" t="s">
        <v>22</v>
      </c>
      <c r="C2067" s="16" t="s">
        <v>9168</v>
      </c>
      <c r="D2067" s="16" t="s">
        <v>9169</v>
      </c>
      <c r="E2067" s="38">
        <v>33618</v>
      </c>
      <c r="F2067" s="38" t="s">
        <v>9145</v>
      </c>
      <c r="G2067" s="10" t="s">
        <v>9170</v>
      </c>
      <c r="H2067" s="12" t="s">
        <v>9171</v>
      </c>
      <c r="I2067" s="13" t="s">
        <v>9188</v>
      </c>
      <c r="J2067" s="15" t="s">
        <v>9220</v>
      </c>
      <c r="K2067" s="12"/>
      <c r="L2067" s="11" t="s">
        <v>36</v>
      </c>
      <c r="M2067" s="15" t="s">
        <v>3599</v>
      </c>
      <c r="N2067" s="17">
        <v>0</v>
      </c>
      <c r="O2067" s="17"/>
      <c r="P2067" s="17"/>
      <c r="Q2067" s="48" t="s">
        <v>8733</v>
      </c>
      <c r="R2067" s="11" t="s">
        <v>6847</v>
      </c>
      <c r="S2067" s="48"/>
      <c r="T2067" s="85"/>
      <c r="U2067" s="88"/>
      <c r="V2067" s="32"/>
      <c r="W2067" s="25"/>
      <c r="X2067" s="11"/>
      <c r="Y2067" s="50"/>
      <c r="Z2067" s="50"/>
      <c r="AA2067" s="50"/>
      <c r="AB2067" s="50"/>
      <c r="AC2067" s="50"/>
      <c r="AD2067" s="50"/>
      <c r="AE2067" s="50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65"/>
      <c r="AP2067" s="69"/>
      <c r="AQ2067" s="62"/>
      <c r="AR2067" s="34"/>
    </row>
    <row r="2068" spans="1:44" customFormat="1">
      <c r="A2068" s="39">
        <v>45917</v>
      </c>
      <c r="B2068" s="11" t="s">
        <v>22</v>
      </c>
      <c r="C2068" s="16" t="s">
        <v>9172</v>
      </c>
      <c r="D2068" s="16" t="s">
        <v>9182</v>
      </c>
      <c r="E2068" s="38">
        <v>21519</v>
      </c>
      <c r="F2068" s="38" t="s">
        <v>9173</v>
      </c>
      <c r="G2068" s="10" t="s">
        <v>9190</v>
      </c>
      <c r="H2068" s="12" t="s">
        <v>9174</v>
      </c>
      <c r="I2068" s="13">
        <v>6</v>
      </c>
      <c r="J2068" s="15" t="s">
        <v>9175</v>
      </c>
      <c r="K2068" s="12"/>
      <c r="L2068" s="11" t="s">
        <v>36</v>
      </c>
      <c r="M2068" s="15" t="s">
        <v>3599</v>
      </c>
      <c r="N2068" s="17">
        <v>0</v>
      </c>
      <c r="O2068" s="17"/>
      <c r="P2068" s="17"/>
      <c r="Q2068" s="48" t="s">
        <v>8733</v>
      </c>
      <c r="R2068" s="11" t="s">
        <v>8503</v>
      </c>
      <c r="S2068" s="48" t="s">
        <v>8100</v>
      </c>
      <c r="T2068" s="85" t="s">
        <v>9288</v>
      </c>
      <c r="U2068" s="88"/>
      <c r="V2068" s="32"/>
      <c r="W2068" s="25"/>
      <c r="X2068" s="11"/>
      <c r="Y2068" s="50"/>
      <c r="Z2068" s="50"/>
      <c r="AA2068" s="50"/>
      <c r="AB2068" s="50"/>
      <c r="AC2068" s="50"/>
      <c r="AD2068" s="50"/>
      <c r="AE2068" s="50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65"/>
      <c r="AP2068" s="69"/>
      <c r="AQ2068" s="62"/>
      <c r="AR2068" s="34"/>
    </row>
    <row r="2069" spans="1:44" customFormat="1">
      <c r="A2069" s="39">
        <v>45919</v>
      </c>
      <c r="B2069" s="11" t="s">
        <v>22</v>
      </c>
      <c r="C2069" s="16" t="s">
        <v>9176</v>
      </c>
      <c r="D2069" s="16" t="s">
        <v>9177</v>
      </c>
      <c r="E2069" s="38">
        <v>33005</v>
      </c>
      <c r="F2069" s="38" t="s">
        <v>1910</v>
      </c>
      <c r="G2069" s="10" t="s">
        <v>9178</v>
      </c>
      <c r="H2069" s="12" t="s">
        <v>9179</v>
      </c>
      <c r="I2069" s="13" t="s">
        <v>9038</v>
      </c>
      <c r="J2069" s="15" t="s">
        <v>9180</v>
      </c>
      <c r="K2069" s="12"/>
      <c r="L2069" s="11" t="s">
        <v>36</v>
      </c>
      <c r="M2069" s="15" t="s">
        <v>3629</v>
      </c>
      <c r="N2069" s="17">
        <v>0</v>
      </c>
      <c r="O2069" s="17"/>
      <c r="P2069" s="17"/>
      <c r="Q2069" s="48" t="s">
        <v>8733</v>
      </c>
      <c r="R2069" s="11" t="s">
        <v>8503</v>
      </c>
      <c r="S2069" s="48" t="s">
        <v>8101</v>
      </c>
      <c r="T2069" s="85" t="s">
        <v>9287</v>
      </c>
      <c r="U2069" s="88"/>
      <c r="V2069" s="32"/>
      <c r="W2069" s="25" t="s">
        <v>9181</v>
      </c>
      <c r="X2069" s="11"/>
      <c r="Y2069" s="50"/>
      <c r="Z2069" s="50"/>
      <c r="AA2069" s="50"/>
      <c r="AB2069" s="50"/>
      <c r="AC2069" s="50"/>
      <c r="AD2069" s="50"/>
      <c r="AE2069" s="50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65"/>
      <c r="AP2069" s="69"/>
      <c r="AQ2069" s="62"/>
      <c r="AR2069" s="34"/>
    </row>
    <row r="2070" spans="1:44" customFormat="1">
      <c r="A2070" s="39">
        <v>45921</v>
      </c>
      <c r="B2070" s="11" t="s">
        <v>22</v>
      </c>
      <c r="C2070" s="16" t="s">
        <v>9191</v>
      </c>
      <c r="D2070" s="16" t="s">
        <v>9192</v>
      </c>
      <c r="E2070" s="38">
        <v>24015</v>
      </c>
      <c r="F2070" s="38" t="s">
        <v>9193</v>
      </c>
      <c r="G2070" s="10" t="s">
        <v>9194</v>
      </c>
      <c r="H2070" s="12" t="s">
        <v>9195</v>
      </c>
      <c r="I2070" s="13" t="s">
        <v>9210</v>
      </c>
      <c r="J2070" s="15" t="s">
        <v>9208</v>
      </c>
      <c r="K2070" s="46" t="s">
        <v>9212</v>
      </c>
      <c r="L2070" s="11" t="s">
        <v>34</v>
      </c>
      <c r="M2070" s="15" t="s">
        <v>3629</v>
      </c>
      <c r="N2070" s="17">
        <v>0</v>
      </c>
      <c r="O2070" s="17"/>
      <c r="P2070" s="17"/>
      <c r="Q2070" s="48" t="s">
        <v>8733</v>
      </c>
      <c r="R2070" s="11" t="s">
        <v>8837</v>
      </c>
      <c r="S2070" s="11" t="s">
        <v>8837</v>
      </c>
      <c r="T2070" s="87"/>
      <c r="U2070" s="88"/>
      <c r="V2070" s="32"/>
      <c r="W2070" s="25" t="s">
        <v>8950</v>
      </c>
      <c r="X2070" s="11" t="s">
        <v>9205</v>
      </c>
      <c r="Y2070" s="50"/>
      <c r="Z2070" s="50"/>
      <c r="AA2070" s="50"/>
      <c r="AB2070" s="50"/>
      <c r="AC2070" s="50"/>
      <c r="AD2070" s="50"/>
      <c r="AE2070" s="50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65"/>
      <c r="AP2070" s="69"/>
      <c r="AQ2070" s="62"/>
      <c r="AR2070" s="34"/>
    </row>
    <row r="2071" spans="1:44" customFormat="1">
      <c r="A2071" s="39">
        <v>45921</v>
      </c>
      <c r="B2071" s="11" t="s">
        <v>22</v>
      </c>
      <c r="C2071" s="16" t="s">
        <v>9198</v>
      </c>
      <c r="D2071" s="16" t="s">
        <v>9199</v>
      </c>
      <c r="E2071" s="38">
        <v>24860</v>
      </c>
      <c r="F2071" s="38" t="s">
        <v>9197</v>
      </c>
      <c r="G2071" s="10" t="s">
        <v>9194</v>
      </c>
      <c r="H2071" s="12" t="s">
        <v>9196</v>
      </c>
      <c r="I2071" s="13" t="s">
        <v>9210</v>
      </c>
      <c r="J2071" s="15" t="s">
        <v>9209</v>
      </c>
      <c r="K2071" s="46" t="s">
        <v>9213</v>
      </c>
      <c r="L2071" s="11" t="s">
        <v>34</v>
      </c>
      <c r="M2071" s="15" t="s">
        <v>3599</v>
      </c>
      <c r="N2071" s="17">
        <v>0</v>
      </c>
      <c r="O2071" s="17"/>
      <c r="P2071" s="17"/>
      <c r="Q2071" s="48" t="s">
        <v>8733</v>
      </c>
      <c r="R2071" s="11" t="s">
        <v>8837</v>
      </c>
      <c r="S2071" s="11" t="s">
        <v>8837</v>
      </c>
      <c r="T2071" s="85" t="s">
        <v>9206</v>
      </c>
      <c r="U2071" s="88"/>
      <c r="V2071" s="32"/>
      <c r="W2071" s="25" t="s">
        <v>8950</v>
      </c>
      <c r="X2071" s="11" t="s">
        <v>9205</v>
      </c>
      <c r="Y2071" s="50"/>
      <c r="Z2071" s="50"/>
      <c r="AA2071" s="50"/>
      <c r="AB2071" s="50"/>
      <c r="AC2071" s="50"/>
      <c r="AD2071" s="50"/>
      <c r="AE2071" s="50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65"/>
      <c r="AP2071" s="69"/>
      <c r="AQ2071" s="62"/>
      <c r="AR2071" s="34"/>
    </row>
    <row r="2072" spans="1:44" customFormat="1">
      <c r="A2072" s="39">
        <v>45921</v>
      </c>
      <c r="B2072" s="11" t="s">
        <v>22</v>
      </c>
      <c r="C2072" s="16" t="s">
        <v>9200</v>
      </c>
      <c r="D2072" s="16" t="s">
        <v>9201</v>
      </c>
      <c r="E2072" s="38">
        <v>30570</v>
      </c>
      <c r="F2072" s="38" t="s">
        <v>9197</v>
      </c>
      <c r="G2072" s="10" t="s">
        <v>9202</v>
      </c>
      <c r="H2072" s="12" t="s">
        <v>9203</v>
      </c>
      <c r="I2072" s="13" t="s">
        <v>9211</v>
      </c>
      <c r="J2072" s="15" t="s">
        <v>9204</v>
      </c>
      <c r="K2072" s="12"/>
      <c r="L2072" s="11" t="s">
        <v>36</v>
      </c>
      <c r="M2072" s="15" t="s">
        <v>3599</v>
      </c>
      <c r="N2072" s="267">
        <v>0</v>
      </c>
      <c r="O2072" s="17"/>
      <c r="P2072" s="17"/>
      <c r="Q2072" s="48" t="s">
        <v>8733</v>
      </c>
      <c r="R2072" s="11" t="s">
        <v>8837</v>
      </c>
      <c r="S2072" s="11" t="s">
        <v>8837</v>
      </c>
      <c r="T2072" s="85" t="s">
        <v>9207</v>
      </c>
      <c r="U2072" s="88"/>
      <c r="V2072" s="32"/>
      <c r="W2072" s="25" t="s">
        <v>6747</v>
      </c>
      <c r="X2072" s="11"/>
      <c r="Y2072" s="50"/>
      <c r="Z2072" s="50"/>
      <c r="AA2072" s="50"/>
      <c r="AB2072" s="50"/>
      <c r="AC2072" s="50"/>
      <c r="AD2072" s="50"/>
      <c r="AE2072" s="50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65"/>
      <c r="AP2072" s="69"/>
      <c r="AQ2072" s="62"/>
      <c r="AR2072" s="34"/>
    </row>
    <row r="2073" spans="1:44" customFormat="1">
      <c r="A2073" s="39">
        <v>45927</v>
      </c>
      <c r="B2073" s="11" t="s">
        <v>49</v>
      </c>
      <c r="C2073" s="16" t="s">
        <v>9222</v>
      </c>
      <c r="D2073" s="16" t="s">
        <v>9223</v>
      </c>
      <c r="E2073" s="38">
        <v>40437</v>
      </c>
      <c r="F2073" s="38" t="s">
        <v>9224</v>
      </c>
      <c r="G2073" s="10" t="s">
        <v>9225</v>
      </c>
      <c r="H2073" s="12" t="s">
        <v>9226</v>
      </c>
      <c r="I2073" s="13">
        <v>38</v>
      </c>
      <c r="J2073" s="15" t="s">
        <v>9227</v>
      </c>
      <c r="K2073" s="12"/>
      <c r="L2073" s="11" t="s">
        <v>38</v>
      </c>
      <c r="M2073" s="15" t="s">
        <v>3599</v>
      </c>
      <c r="N2073" s="17">
        <v>16500</v>
      </c>
      <c r="O2073" s="17" t="s">
        <v>8550</v>
      </c>
      <c r="P2073" s="17"/>
      <c r="Q2073" s="48" t="s">
        <v>8098</v>
      </c>
      <c r="R2073" s="11" t="s">
        <v>6847</v>
      </c>
      <c r="S2073" s="48"/>
      <c r="T2073" s="85"/>
      <c r="U2073" s="88"/>
      <c r="V2073" s="32"/>
      <c r="W2073" s="25"/>
      <c r="X2073" s="11"/>
      <c r="Y2073" s="50"/>
      <c r="Z2073" s="50"/>
      <c r="AA2073" s="50"/>
      <c r="AB2073" s="50"/>
      <c r="AC2073" s="50"/>
      <c r="AD2073" s="50"/>
      <c r="AE2073" s="50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65"/>
      <c r="AP2073" s="69"/>
      <c r="AQ2073" s="62"/>
      <c r="AR2073" s="34"/>
    </row>
    <row r="2074" spans="1:44" customFormat="1">
      <c r="A2074" s="39">
        <v>45927</v>
      </c>
      <c r="B2074" s="11" t="s">
        <v>22</v>
      </c>
      <c r="C2074" s="16" t="s">
        <v>9228</v>
      </c>
      <c r="D2074" s="16" t="s">
        <v>9230</v>
      </c>
      <c r="E2074" s="38">
        <v>27649</v>
      </c>
      <c r="F2074" s="38" t="s">
        <v>9232</v>
      </c>
      <c r="G2074" s="10" t="s">
        <v>9234</v>
      </c>
      <c r="H2074" s="12" t="s">
        <v>9235</v>
      </c>
      <c r="I2074" s="13">
        <v>3.9</v>
      </c>
      <c r="J2074" s="15" t="s">
        <v>9236</v>
      </c>
      <c r="K2074" s="46" t="s">
        <v>9238</v>
      </c>
      <c r="L2074" s="11" t="s">
        <v>36</v>
      </c>
      <c r="M2074" s="15" t="s">
        <v>3584</v>
      </c>
      <c r="N2074" s="17">
        <v>0</v>
      </c>
      <c r="O2074" s="17"/>
      <c r="P2074" s="17"/>
      <c r="Q2074" s="48" t="s">
        <v>8733</v>
      </c>
      <c r="R2074" s="11" t="s">
        <v>9271</v>
      </c>
      <c r="S2074" s="48"/>
      <c r="T2074" s="85" t="s">
        <v>9288</v>
      </c>
      <c r="U2074" s="88"/>
      <c r="V2074" s="32"/>
      <c r="W2074" s="25" t="s">
        <v>9240</v>
      </c>
      <c r="X2074" s="11"/>
      <c r="Y2074" s="50"/>
      <c r="Z2074" s="50"/>
      <c r="AA2074" s="50"/>
      <c r="AB2074" s="50"/>
      <c r="AC2074" s="50"/>
      <c r="AD2074" s="50"/>
      <c r="AE2074" s="50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65"/>
      <c r="AP2074" s="69"/>
      <c r="AQ2074" s="62"/>
      <c r="AR2074" s="34"/>
    </row>
    <row r="2075" spans="1:44" customFormat="1">
      <c r="A2075" s="39">
        <v>45927</v>
      </c>
      <c r="B2075" s="11" t="s">
        <v>22</v>
      </c>
      <c r="C2075" s="16" t="s">
        <v>9229</v>
      </c>
      <c r="D2075" s="16" t="s">
        <v>9231</v>
      </c>
      <c r="E2075" s="38">
        <v>27486</v>
      </c>
      <c r="F2075" s="38" t="s">
        <v>9233</v>
      </c>
      <c r="G2075" s="10" t="s">
        <v>9234</v>
      </c>
      <c r="H2075" s="12" t="s">
        <v>9235</v>
      </c>
      <c r="I2075" s="13">
        <v>3.9</v>
      </c>
      <c r="J2075" s="15" t="s">
        <v>9237</v>
      </c>
      <c r="K2075" s="268" t="s">
        <v>9239</v>
      </c>
      <c r="L2075" s="11" t="s">
        <v>37</v>
      </c>
      <c r="M2075" s="15" t="s">
        <v>3584</v>
      </c>
      <c r="N2075" s="17">
        <v>0</v>
      </c>
      <c r="O2075" s="17"/>
      <c r="P2075" s="17"/>
      <c r="Q2075" s="48" t="s">
        <v>8733</v>
      </c>
      <c r="R2075" s="11" t="s">
        <v>9271</v>
      </c>
      <c r="S2075" s="48"/>
      <c r="T2075" s="85" t="s">
        <v>9288</v>
      </c>
      <c r="U2075" s="88"/>
      <c r="V2075" s="32"/>
      <c r="W2075" s="25" t="s">
        <v>9240</v>
      </c>
      <c r="X2075" s="11"/>
      <c r="Y2075" s="50"/>
      <c r="Z2075" s="50"/>
      <c r="AA2075" s="50"/>
      <c r="AB2075" s="50"/>
      <c r="AC2075" s="50"/>
      <c r="AD2075" s="50"/>
      <c r="AE2075" s="50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65"/>
      <c r="AP2075" s="69"/>
      <c r="AQ2075" s="62"/>
      <c r="AR2075" s="34"/>
    </row>
    <row r="2076" spans="1:44" customFormat="1">
      <c r="A2076" s="39">
        <v>45928</v>
      </c>
      <c r="B2076" s="11" t="s">
        <v>22</v>
      </c>
      <c r="C2076" s="16" t="s">
        <v>9241</v>
      </c>
      <c r="D2076" s="16" t="s">
        <v>9242</v>
      </c>
      <c r="E2076" s="38">
        <v>30076</v>
      </c>
      <c r="F2076" s="38" t="s">
        <v>9243</v>
      </c>
      <c r="G2076" s="10" t="s">
        <v>9244</v>
      </c>
      <c r="H2076" s="12" t="s">
        <v>9245</v>
      </c>
      <c r="I2076" s="13">
        <v>1.8</v>
      </c>
      <c r="J2076" s="15" t="s">
        <v>9254</v>
      </c>
      <c r="K2076" s="46" t="s">
        <v>9246</v>
      </c>
      <c r="L2076" s="11"/>
      <c r="M2076" s="15"/>
      <c r="N2076" s="17">
        <v>0</v>
      </c>
      <c r="O2076" s="17"/>
      <c r="P2076" s="17"/>
      <c r="Q2076" s="48" t="s">
        <v>8733</v>
      </c>
      <c r="R2076" s="11" t="s">
        <v>6847</v>
      </c>
      <c r="S2076" s="48"/>
      <c r="T2076" s="85"/>
      <c r="U2076" s="88"/>
      <c r="V2076" s="32"/>
      <c r="W2076" s="25" t="s">
        <v>9247</v>
      </c>
      <c r="X2076" s="11"/>
      <c r="Y2076" s="50"/>
      <c r="Z2076" s="50"/>
      <c r="AA2076" s="50"/>
      <c r="AB2076" s="50"/>
      <c r="AC2076" s="50"/>
      <c r="AD2076" s="50"/>
      <c r="AE2076" s="50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65"/>
      <c r="AP2076" s="69"/>
      <c r="AQ2076" s="62"/>
      <c r="AR2076" s="34"/>
    </row>
    <row r="2077" spans="1:44" customFormat="1">
      <c r="A2077" s="39">
        <v>45928</v>
      </c>
      <c r="B2077" s="11" t="s">
        <v>49</v>
      </c>
      <c r="C2077" s="16" t="s">
        <v>9248</v>
      </c>
      <c r="D2077" s="16" t="s">
        <v>9249</v>
      </c>
      <c r="E2077" s="38">
        <v>40413</v>
      </c>
      <c r="F2077" s="38" t="s">
        <v>9250</v>
      </c>
      <c r="G2077" s="10" t="s">
        <v>9251</v>
      </c>
      <c r="H2077" s="12" t="s">
        <v>9252</v>
      </c>
      <c r="I2077" s="13" t="s">
        <v>9253</v>
      </c>
      <c r="J2077" s="15" t="s">
        <v>9255</v>
      </c>
      <c r="K2077" s="12"/>
      <c r="L2077" s="11" t="s">
        <v>38</v>
      </c>
      <c r="M2077" s="15" t="s">
        <v>3599</v>
      </c>
      <c r="N2077" s="17">
        <v>16500</v>
      </c>
      <c r="O2077" s="17"/>
      <c r="P2077" s="17"/>
      <c r="Q2077" s="48" t="s">
        <v>9256</v>
      </c>
      <c r="R2077" s="11" t="s">
        <v>6847</v>
      </c>
      <c r="S2077" s="48"/>
      <c r="T2077" s="85"/>
      <c r="U2077" s="88"/>
      <c r="V2077" s="32"/>
      <c r="W2077" s="25" t="s">
        <v>6747</v>
      </c>
      <c r="X2077" s="11"/>
      <c r="Y2077" s="50" t="s">
        <v>9257</v>
      </c>
      <c r="Z2077" s="50"/>
      <c r="AA2077" s="50"/>
      <c r="AB2077" s="50"/>
      <c r="AC2077" s="50"/>
      <c r="AD2077" s="50"/>
      <c r="AE2077" s="50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65"/>
      <c r="AP2077" s="69"/>
      <c r="AQ2077" s="62"/>
      <c r="AR2077" s="34"/>
    </row>
    <row r="2078" spans="1:44" customFormat="1">
      <c r="A2078" s="39">
        <v>45929</v>
      </c>
      <c r="B2078" s="11" t="s">
        <v>22</v>
      </c>
      <c r="C2078" s="16" t="s">
        <v>9258</v>
      </c>
      <c r="D2078" s="16" t="s">
        <v>9259</v>
      </c>
      <c r="E2078" s="38">
        <v>20042</v>
      </c>
      <c r="F2078" s="38" t="s">
        <v>9243</v>
      </c>
      <c r="G2078" s="10" t="s">
        <v>9260</v>
      </c>
      <c r="H2078" s="12" t="s">
        <v>9261</v>
      </c>
      <c r="I2078" s="13" t="s">
        <v>1663</v>
      </c>
      <c r="J2078" s="15" t="s">
        <v>9262</v>
      </c>
      <c r="K2078" s="12"/>
      <c r="L2078" s="11" t="s">
        <v>33</v>
      </c>
      <c r="M2078" s="15" t="s">
        <v>3599</v>
      </c>
      <c r="N2078" s="17">
        <v>0</v>
      </c>
      <c r="O2078" s="17"/>
      <c r="P2078" s="17"/>
      <c r="Q2078" s="48" t="s">
        <v>8733</v>
      </c>
      <c r="R2078" s="11" t="s">
        <v>9271</v>
      </c>
      <c r="S2078" s="48" t="s">
        <v>8101</v>
      </c>
      <c r="T2078" s="85"/>
      <c r="U2078" s="88"/>
      <c r="V2078" s="32"/>
      <c r="W2078" s="25" t="s">
        <v>9263</v>
      </c>
      <c r="X2078" s="11" t="s">
        <v>9264</v>
      </c>
      <c r="Y2078" s="50"/>
      <c r="Z2078" s="50"/>
      <c r="AA2078" s="50"/>
      <c r="AB2078" s="50"/>
      <c r="AC2078" s="50"/>
      <c r="AD2078" s="50"/>
      <c r="AE2078" s="50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65"/>
      <c r="AP2078" s="69"/>
      <c r="AQ2078" s="62"/>
      <c r="AR2078" s="34"/>
    </row>
    <row r="2079" spans="1:44" customFormat="1">
      <c r="A2079" s="39">
        <v>45929</v>
      </c>
      <c r="B2079" s="11" t="s">
        <v>22</v>
      </c>
      <c r="C2079" s="16" t="s">
        <v>9265</v>
      </c>
      <c r="D2079" s="16" t="s">
        <v>9266</v>
      </c>
      <c r="E2079" s="38">
        <v>22093</v>
      </c>
      <c r="F2079" s="38" t="s">
        <v>9243</v>
      </c>
      <c r="G2079" s="10" t="s">
        <v>9267</v>
      </c>
      <c r="H2079" s="12" t="s">
        <v>9268</v>
      </c>
      <c r="I2079" s="13">
        <v>6.8</v>
      </c>
      <c r="J2079" s="15" t="s">
        <v>9269</v>
      </c>
      <c r="K2079" s="46" t="s">
        <v>9270</v>
      </c>
      <c r="L2079" s="11"/>
      <c r="M2079" s="15"/>
      <c r="N2079" s="17">
        <v>0</v>
      </c>
      <c r="O2079" s="17"/>
      <c r="P2079" s="17"/>
      <c r="Q2079" s="48" t="s">
        <v>8733</v>
      </c>
      <c r="R2079" s="11" t="s">
        <v>8503</v>
      </c>
      <c r="S2079" s="48"/>
      <c r="T2079" s="85"/>
      <c r="U2079" s="88"/>
      <c r="V2079" s="32"/>
      <c r="W2079" s="25" t="s">
        <v>6747</v>
      </c>
      <c r="X2079" s="11"/>
      <c r="Y2079" s="50"/>
      <c r="Z2079" s="50"/>
      <c r="AA2079" s="50"/>
      <c r="AB2079" s="50"/>
      <c r="AC2079" s="50"/>
      <c r="AD2079" s="50"/>
      <c r="AE2079" s="50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65"/>
      <c r="AP2079" s="69"/>
      <c r="AQ2079" s="62"/>
      <c r="AR2079" s="34"/>
    </row>
    <row r="2080" spans="1:44" customFormat="1">
      <c r="A2080" s="39">
        <v>45931</v>
      </c>
      <c r="B2080" s="11" t="s">
        <v>49</v>
      </c>
      <c r="C2080" s="16" t="s">
        <v>2941</v>
      </c>
      <c r="D2080" s="16"/>
      <c r="E2080" s="38"/>
      <c r="F2080" s="38"/>
      <c r="G2080" s="10"/>
      <c r="H2080" s="12"/>
      <c r="I2080" s="13"/>
      <c r="J2080" s="15"/>
      <c r="K2080" s="12"/>
      <c r="L2080" s="11"/>
      <c r="M2080" s="15"/>
      <c r="N2080" s="17">
        <v>16500</v>
      </c>
      <c r="O2080" s="17"/>
      <c r="P2080" s="17"/>
      <c r="Q2080" s="48"/>
      <c r="R2080" s="11" t="s">
        <v>6847</v>
      </c>
      <c r="S2080" s="48"/>
      <c r="T2080" s="85" t="s">
        <v>9422</v>
      </c>
      <c r="U2080" s="88"/>
      <c r="V2080" s="32"/>
      <c r="W2080" s="25"/>
      <c r="X2080" s="11"/>
      <c r="Y2080" s="50"/>
      <c r="Z2080" s="50"/>
      <c r="AA2080" s="50"/>
      <c r="AB2080" s="50"/>
      <c r="AC2080" s="50"/>
      <c r="AD2080" s="50"/>
      <c r="AE2080" s="50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65"/>
      <c r="AP2080" s="69"/>
      <c r="AQ2080" s="62"/>
      <c r="AR2080" s="34"/>
    </row>
    <row r="2081" spans="1:44" customFormat="1">
      <c r="A2081" s="39">
        <v>45933</v>
      </c>
      <c r="B2081" s="11" t="s">
        <v>22</v>
      </c>
      <c r="C2081" s="16" t="s">
        <v>9273</v>
      </c>
      <c r="D2081" s="16" t="s">
        <v>9274</v>
      </c>
      <c r="E2081" s="38">
        <v>25452</v>
      </c>
      <c r="F2081" s="38" t="s">
        <v>9275</v>
      </c>
      <c r="G2081" s="10" t="s">
        <v>9276</v>
      </c>
      <c r="H2081" s="12" t="s">
        <v>9277</v>
      </c>
      <c r="I2081" s="13">
        <v>2.6</v>
      </c>
      <c r="J2081" s="15" t="s">
        <v>9278</v>
      </c>
      <c r="K2081" s="46" t="s">
        <v>9279</v>
      </c>
      <c r="L2081" s="11" t="s">
        <v>37</v>
      </c>
      <c r="M2081" s="15" t="s">
        <v>3599</v>
      </c>
      <c r="N2081" s="17">
        <v>0</v>
      </c>
      <c r="O2081" s="17"/>
      <c r="P2081" s="17"/>
      <c r="Q2081" s="48" t="s">
        <v>9280</v>
      </c>
      <c r="R2081" s="11" t="s">
        <v>8503</v>
      </c>
      <c r="S2081" s="48" t="s">
        <v>8102</v>
      </c>
      <c r="T2081" s="85" t="s">
        <v>9423</v>
      </c>
      <c r="U2081" s="88"/>
      <c r="V2081" s="32"/>
      <c r="W2081" s="25"/>
      <c r="X2081" s="11"/>
      <c r="Y2081" s="50"/>
      <c r="Z2081" s="50"/>
      <c r="AA2081" s="50"/>
      <c r="AB2081" s="50"/>
      <c r="AC2081" s="50"/>
      <c r="AD2081" s="50"/>
      <c r="AE2081" s="50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65"/>
      <c r="AP2081" s="69"/>
      <c r="AQ2081" s="62"/>
      <c r="AR2081" s="34"/>
    </row>
    <row r="2082" spans="1:44" customFormat="1">
      <c r="A2082" s="39">
        <v>45933</v>
      </c>
      <c r="B2082" s="11" t="s">
        <v>22</v>
      </c>
      <c r="C2082" s="16" t="s">
        <v>9283</v>
      </c>
      <c r="D2082" s="16" t="s">
        <v>9284</v>
      </c>
      <c r="E2082" s="38">
        <v>23982</v>
      </c>
      <c r="F2082" s="38" t="s">
        <v>9285</v>
      </c>
      <c r="G2082" s="10" t="s">
        <v>3572</v>
      </c>
      <c r="H2082" s="12" t="s">
        <v>9281</v>
      </c>
      <c r="I2082" s="13">
        <v>2.6</v>
      </c>
      <c r="J2082" s="15" t="s">
        <v>9286</v>
      </c>
      <c r="K2082" s="46" t="s">
        <v>9282</v>
      </c>
      <c r="L2082" s="11" t="s">
        <v>37</v>
      </c>
      <c r="M2082" s="15" t="s">
        <v>3599</v>
      </c>
      <c r="N2082" s="17">
        <v>0</v>
      </c>
      <c r="O2082" s="17"/>
      <c r="P2082" s="17"/>
      <c r="Q2082" s="48" t="s">
        <v>9280</v>
      </c>
      <c r="R2082" s="11" t="s">
        <v>9271</v>
      </c>
      <c r="S2082" s="48" t="s">
        <v>8102</v>
      </c>
      <c r="T2082" s="85" t="s">
        <v>9423</v>
      </c>
      <c r="U2082" s="88"/>
      <c r="V2082" s="32"/>
      <c r="W2082" s="25"/>
      <c r="X2082" s="11"/>
      <c r="Y2082" s="50"/>
      <c r="Z2082" s="50"/>
      <c r="AA2082" s="50"/>
      <c r="AB2082" s="50"/>
      <c r="AC2082" s="50"/>
      <c r="AD2082" s="50"/>
      <c r="AE2082" s="50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65"/>
      <c r="AP2082" s="69"/>
      <c r="AQ2082" s="62"/>
      <c r="AR2082" s="34"/>
    </row>
    <row r="2083" spans="1:44" customFormat="1">
      <c r="A2083" s="39">
        <v>45934</v>
      </c>
      <c r="B2083" s="11" t="s">
        <v>49</v>
      </c>
      <c r="C2083" s="16" t="s">
        <v>9289</v>
      </c>
      <c r="D2083" s="16" t="s">
        <v>9290</v>
      </c>
      <c r="E2083" s="38">
        <v>27491</v>
      </c>
      <c r="F2083" s="38" t="s">
        <v>9291</v>
      </c>
      <c r="G2083" s="10" t="s">
        <v>9292</v>
      </c>
      <c r="H2083" s="12" t="s">
        <v>9293</v>
      </c>
      <c r="I2083" s="13">
        <v>20.6</v>
      </c>
      <c r="J2083" s="15" t="s">
        <v>9294</v>
      </c>
      <c r="K2083" s="12"/>
      <c r="L2083" s="11" t="s">
        <v>36</v>
      </c>
      <c r="M2083" s="15" t="s">
        <v>3599</v>
      </c>
      <c r="N2083" s="17">
        <v>16500</v>
      </c>
      <c r="O2083" s="17"/>
      <c r="P2083" s="17"/>
      <c r="Q2083" s="48"/>
      <c r="R2083" s="11" t="s">
        <v>6847</v>
      </c>
      <c r="S2083" s="48"/>
      <c r="T2083" s="85"/>
      <c r="U2083" s="88"/>
      <c r="V2083" s="32"/>
      <c r="W2083" s="25" t="s">
        <v>8</v>
      </c>
      <c r="X2083" s="11"/>
      <c r="Y2083" s="50"/>
      <c r="Z2083" s="50"/>
      <c r="AA2083" s="50"/>
      <c r="AB2083" s="50"/>
      <c r="AC2083" s="50"/>
      <c r="AD2083" s="50"/>
      <c r="AE2083" s="50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65"/>
      <c r="AP2083" s="69"/>
      <c r="AQ2083" s="62"/>
      <c r="AR2083" s="34"/>
    </row>
    <row r="2084" spans="1:44" customFormat="1">
      <c r="A2084" s="39">
        <v>45934</v>
      </c>
      <c r="B2084" s="11" t="s">
        <v>49</v>
      </c>
      <c r="C2084" s="16" t="s">
        <v>9295</v>
      </c>
      <c r="D2084" s="16" t="s">
        <v>9296</v>
      </c>
      <c r="E2084" s="38">
        <v>28766</v>
      </c>
      <c r="F2084" s="38" t="s">
        <v>9291</v>
      </c>
      <c r="G2084" s="10" t="s">
        <v>9297</v>
      </c>
      <c r="H2084" s="12" t="s">
        <v>9298</v>
      </c>
      <c r="I2084" s="13">
        <v>13.8</v>
      </c>
      <c r="J2084" s="15" t="s">
        <v>9299</v>
      </c>
      <c r="K2084" s="12"/>
      <c r="L2084" s="11" t="s">
        <v>33</v>
      </c>
      <c r="M2084" s="15" t="s">
        <v>3599</v>
      </c>
      <c r="N2084" s="17">
        <v>16500</v>
      </c>
      <c r="O2084" s="17"/>
      <c r="P2084" s="17"/>
      <c r="Q2084" s="48"/>
      <c r="R2084" s="11" t="s">
        <v>6943</v>
      </c>
      <c r="S2084" s="48"/>
      <c r="T2084" s="85" t="s">
        <v>10012</v>
      </c>
      <c r="U2084" s="88"/>
      <c r="V2084" s="32"/>
      <c r="W2084" s="25" t="s">
        <v>8</v>
      </c>
      <c r="X2084" s="11"/>
      <c r="Y2084" s="50"/>
      <c r="Z2084" s="50"/>
      <c r="AA2084" s="50"/>
      <c r="AB2084" s="50"/>
      <c r="AC2084" s="50"/>
      <c r="AD2084" s="50"/>
      <c r="AE2084" s="50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65"/>
      <c r="AP2084" s="69"/>
      <c r="AQ2084" s="62"/>
      <c r="AR2084" s="34"/>
    </row>
    <row r="2085" spans="1:44" customFormat="1">
      <c r="A2085" s="39">
        <v>45934</v>
      </c>
      <c r="B2085" s="11" t="s">
        <v>22</v>
      </c>
      <c r="C2085" s="16" t="s">
        <v>9300</v>
      </c>
      <c r="D2085" s="16" t="s">
        <v>9301</v>
      </c>
      <c r="E2085" s="38">
        <v>31881</v>
      </c>
      <c r="F2085" s="38" t="s">
        <v>9302</v>
      </c>
      <c r="G2085" s="10" t="s">
        <v>9303</v>
      </c>
      <c r="H2085" s="12" t="s">
        <v>9304</v>
      </c>
      <c r="I2085" s="13">
        <v>1.2</v>
      </c>
      <c r="J2085" s="15" t="s">
        <v>9305</v>
      </c>
      <c r="K2085" s="12"/>
      <c r="L2085" s="11" t="s">
        <v>36</v>
      </c>
      <c r="M2085" s="15" t="s">
        <v>8550</v>
      </c>
      <c r="N2085" s="17">
        <v>0</v>
      </c>
      <c r="O2085" s="17"/>
      <c r="P2085" s="17"/>
      <c r="Q2085" s="48" t="s">
        <v>8733</v>
      </c>
      <c r="R2085" s="11" t="s">
        <v>9271</v>
      </c>
      <c r="S2085" s="48"/>
      <c r="T2085" s="85"/>
      <c r="U2085" s="88"/>
      <c r="V2085" s="32"/>
      <c r="W2085" s="25"/>
      <c r="X2085" s="11"/>
      <c r="Y2085" s="50"/>
      <c r="Z2085" s="50"/>
      <c r="AA2085" s="50"/>
      <c r="AB2085" s="50"/>
      <c r="AC2085" s="50"/>
      <c r="AD2085" s="50"/>
      <c r="AE2085" s="50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65"/>
      <c r="AP2085" s="69"/>
      <c r="AQ2085" s="62"/>
      <c r="AR2085" s="34"/>
    </row>
    <row r="2086" spans="1:44" customFormat="1">
      <c r="A2086" s="39">
        <v>45935</v>
      </c>
      <c r="B2086" s="11" t="s">
        <v>22</v>
      </c>
      <c r="C2086" s="16" t="s">
        <v>9311</v>
      </c>
      <c r="D2086" s="16" t="s">
        <v>9312</v>
      </c>
      <c r="E2086" s="38">
        <v>25132</v>
      </c>
      <c r="F2086" s="38" t="s">
        <v>9313</v>
      </c>
      <c r="G2086" s="10" t="s">
        <v>9314</v>
      </c>
      <c r="H2086" s="12" t="s">
        <v>9315</v>
      </c>
      <c r="I2086" s="13">
        <v>1.5</v>
      </c>
      <c r="J2086" s="15" t="s">
        <v>9316</v>
      </c>
      <c r="K2086" s="46" t="s">
        <v>9317</v>
      </c>
      <c r="L2086" s="11"/>
      <c r="M2086" s="15"/>
      <c r="N2086" s="17">
        <v>0</v>
      </c>
      <c r="O2086" s="17"/>
      <c r="P2086" s="17"/>
      <c r="Q2086" s="48" t="s">
        <v>8733</v>
      </c>
      <c r="R2086" s="11" t="s">
        <v>8837</v>
      </c>
      <c r="S2086" s="48"/>
      <c r="T2086" s="85"/>
      <c r="U2086" s="88"/>
      <c r="V2086" s="32"/>
      <c r="W2086" s="25"/>
      <c r="X2086" s="11"/>
      <c r="Y2086" s="50"/>
      <c r="Z2086" s="50"/>
      <c r="AA2086" s="50"/>
      <c r="AB2086" s="50"/>
      <c r="AC2086" s="50"/>
      <c r="AD2086" s="50"/>
      <c r="AE2086" s="50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65"/>
      <c r="AP2086" s="69"/>
      <c r="AQ2086" s="62"/>
      <c r="AR2086" s="34"/>
    </row>
    <row r="2087" spans="1:44" customFormat="1">
      <c r="A2087" s="39">
        <v>45938</v>
      </c>
      <c r="B2087" s="11" t="s">
        <v>49</v>
      </c>
      <c r="C2087" s="16" t="s">
        <v>9318</v>
      </c>
      <c r="D2087" s="16" t="s">
        <v>9319</v>
      </c>
      <c r="E2087" s="38">
        <v>28185</v>
      </c>
      <c r="F2087" s="38" t="s">
        <v>9320</v>
      </c>
      <c r="G2087" s="10" t="s">
        <v>9321</v>
      </c>
      <c r="H2087" s="12" t="s">
        <v>9322</v>
      </c>
      <c r="I2087" s="13">
        <v>50.4</v>
      </c>
      <c r="J2087" s="15" t="s">
        <v>9323</v>
      </c>
      <c r="K2087" s="12"/>
      <c r="L2087" s="11"/>
      <c r="M2087" s="15"/>
      <c r="N2087" s="17">
        <v>22000</v>
      </c>
      <c r="O2087" s="17"/>
      <c r="P2087" s="17"/>
      <c r="Q2087" s="48"/>
      <c r="R2087" s="11" t="s">
        <v>6847</v>
      </c>
      <c r="S2087" s="48"/>
      <c r="T2087" s="85"/>
      <c r="U2087" s="88"/>
      <c r="V2087" s="32"/>
      <c r="W2087" s="25"/>
      <c r="X2087" s="11"/>
      <c r="Y2087" s="50"/>
      <c r="Z2087" s="50"/>
      <c r="AA2087" s="50"/>
      <c r="AB2087" s="50"/>
      <c r="AC2087" s="50"/>
      <c r="AD2087" s="50"/>
      <c r="AE2087" s="50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65"/>
      <c r="AP2087" s="69"/>
      <c r="AQ2087" s="62"/>
      <c r="AR2087" s="34"/>
    </row>
    <row r="2088" spans="1:44" customFormat="1">
      <c r="A2088" s="39">
        <v>45939</v>
      </c>
      <c r="B2088" s="11" t="s">
        <v>22</v>
      </c>
      <c r="C2088" s="16" t="s">
        <v>9324</v>
      </c>
      <c r="D2088" s="16" t="s">
        <v>9325</v>
      </c>
      <c r="E2088" s="38">
        <v>23559</v>
      </c>
      <c r="F2088" s="38" t="s">
        <v>9326</v>
      </c>
      <c r="G2088" s="10" t="s">
        <v>9327</v>
      </c>
      <c r="H2088" s="12" t="s">
        <v>9328</v>
      </c>
      <c r="I2088" s="13">
        <v>1.7</v>
      </c>
      <c r="J2088" s="15" t="s">
        <v>9329</v>
      </c>
      <c r="K2088" s="46" t="s">
        <v>9330</v>
      </c>
      <c r="L2088" s="11" t="s">
        <v>35</v>
      </c>
      <c r="M2088" s="15" t="s">
        <v>3584</v>
      </c>
      <c r="N2088" s="17">
        <v>0</v>
      </c>
      <c r="O2088" s="17"/>
      <c r="P2088" s="17"/>
      <c r="Q2088" s="48" t="s">
        <v>8733</v>
      </c>
      <c r="R2088" s="11" t="s">
        <v>8503</v>
      </c>
      <c r="S2088" s="48" t="s">
        <v>8100</v>
      </c>
      <c r="T2088" s="85" t="s">
        <v>9331</v>
      </c>
      <c r="U2088" s="88"/>
      <c r="V2088" s="32"/>
      <c r="W2088" s="25"/>
      <c r="X2088" s="11"/>
      <c r="Y2088" s="50"/>
      <c r="Z2088" s="50"/>
      <c r="AA2088" s="50"/>
      <c r="AB2088" s="50"/>
      <c r="AC2088" s="50"/>
      <c r="AD2088" s="50"/>
      <c r="AE2088" s="50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65"/>
      <c r="AP2088" s="69"/>
      <c r="AQ2088" s="62"/>
      <c r="AR2088" s="34"/>
    </row>
    <row r="2089" spans="1:44" customFormat="1">
      <c r="A2089" s="39">
        <v>45941</v>
      </c>
      <c r="B2089" s="11" t="s">
        <v>49</v>
      </c>
      <c r="C2089" s="16" t="s">
        <v>7986</v>
      </c>
      <c r="D2089" s="16" t="s">
        <v>7987</v>
      </c>
      <c r="E2089" s="38">
        <v>22508</v>
      </c>
      <c r="F2089" s="38"/>
      <c r="G2089" s="59" t="s">
        <v>3026</v>
      </c>
      <c r="H2089" s="12" t="s">
        <v>7988</v>
      </c>
      <c r="I2089" s="13" t="s">
        <v>5963</v>
      </c>
      <c r="J2089" s="15" t="s">
        <v>7989</v>
      </c>
      <c r="K2089" s="12"/>
      <c r="L2089" s="11" t="s">
        <v>34</v>
      </c>
      <c r="M2089" s="15" t="s">
        <v>3599</v>
      </c>
      <c r="N2089" s="17">
        <v>16500</v>
      </c>
      <c r="O2089" s="17"/>
      <c r="P2089" s="17"/>
      <c r="Q2089" s="48"/>
      <c r="R2089" s="11" t="s">
        <v>6847</v>
      </c>
      <c r="S2089" s="48"/>
      <c r="T2089" s="85" t="s">
        <v>8073</v>
      </c>
      <c r="U2089" s="88"/>
      <c r="V2089" s="32" t="s">
        <v>6642</v>
      </c>
      <c r="W2089" s="25" t="s">
        <v>8</v>
      </c>
      <c r="X2089" s="11"/>
      <c r="Y2089" s="50"/>
      <c r="Z2089" s="50"/>
      <c r="AA2089" s="50"/>
      <c r="AB2089" s="50"/>
      <c r="AC2089" s="50"/>
      <c r="AD2089" s="50"/>
      <c r="AE2089" s="50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65"/>
      <c r="AP2089" s="69" t="s">
        <v>7990</v>
      </c>
      <c r="AQ2089" s="62"/>
      <c r="AR2089" s="34"/>
    </row>
    <row r="2090" spans="1:44" customFormat="1">
      <c r="A2090" s="39">
        <v>45942</v>
      </c>
      <c r="B2090" s="11" t="s">
        <v>22</v>
      </c>
      <c r="C2090" s="16" t="s">
        <v>9332</v>
      </c>
      <c r="D2090" s="16" t="s">
        <v>9333</v>
      </c>
      <c r="E2090" s="38">
        <v>21527</v>
      </c>
      <c r="F2090" s="38" t="s">
        <v>9334</v>
      </c>
      <c r="G2090" s="10" t="s">
        <v>9335</v>
      </c>
      <c r="H2090" s="12" t="s">
        <v>9336</v>
      </c>
      <c r="I2090" s="13">
        <v>2.9</v>
      </c>
      <c r="J2090" s="15" t="s">
        <v>9337</v>
      </c>
      <c r="K2090" s="46" t="s">
        <v>9338</v>
      </c>
      <c r="L2090" s="11"/>
      <c r="M2090" s="15"/>
      <c r="N2090" s="17">
        <v>0</v>
      </c>
      <c r="O2090" s="17"/>
      <c r="P2090" s="17"/>
      <c r="Q2090" s="48" t="s">
        <v>8733</v>
      </c>
      <c r="R2090" s="11" t="s">
        <v>6847</v>
      </c>
      <c r="S2090" s="48"/>
      <c r="T2090" s="85" t="s">
        <v>81</v>
      </c>
      <c r="U2090" s="88"/>
      <c r="V2090" s="32"/>
      <c r="W2090" s="25"/>
      <c r="X2090" s="11"/>
      <c r="Y2090" s="50"/>
      <c r="Z2090" s="50"/>
      <c r="AA2090" s="50"/>
      <c r="AB2090" s="50"/>
      <c r="AC2090" s="50"/>
      <c r="AD2090" s="50"/>
      <c r="AE2090" s="50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65"/>
      <c r="AP2090" s="69"/>
      <c r="AQ2090" s="62"/>
      <c r="AR2090" s="34"/>
    </row>
    <row r="2091" spans="1:44" customFormat="1">
      <c r="A2091" s="39">
        <v>45945</v>
      </c>
      <c r="B2091" s="11" t="s">
        <v>22</v>
      </c>
      <c r="C2091" s="16" t="s">
        <v>5345</v>
      </c>
      <c r="D2091" s="16" t="s">
        <v>9339</v>
      </c>
      <c r="E2091" s="38">
        <v>31182</v>
      </c>
      <c r="F2091" s="38" t="s">
        <v>9340</v>
      </c>
      <c r="G2091" s="10" t="s">
        <v>617</v>
      </c>
      <c r="H2091" s="12" t="s">
        <v>5346</v>
      </c>
      <c r="I2091" s="13">
        <v>4.5999999999999996</v>
      </c>
      <c r="J2091" s="15" t="s">
        <v>9341</v>
      </c>
      <c r="K2091" s="14" t="s">
        <v>5347</v>
      </c>
      <c r="L2091" s="11" t="s">
        <v>36</v>
      </c>
      <c r="M2091" s="15" t="s">
        <v>3584</v>
      </c>
      <c r="N2091" s="17">
        <v>0</v>
      </c>
      <c r="O2091" s="17"/>
      <c r="P2091" s="17"/>
      <c r="Q2091" s="48" t="s">
        <v>8733</v>
      </c>
      <c r="R2091" s="11" t="s">
        <v>8837</v>
      </c>
      <c r="S2091" s="48" t="s">
        <v>9342</v>
      </c>
      <c r="T2091" s="85" t="s">
        <v>81</v>
      </c>
      <c r="U2091" s="88"/>
      <c r="V2091" s="32"/>
      <c r="W2091" s="25" t="s">
        <v>10</v>
      </c>
      <c r="X2091" s="11"/>
      <c r="Y2091" s="50" t="s">
        <v>11</v>
      </c>
      <c r="Z2091" s="50"/>
      <c r="AA2091" s="50"/>
      <c r="AB2091" s="50"/>
      <c r="AC2091" s="50"/>
      <c r="AD2091" s="50"/>
      <c r="AE2091" s="50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65"/>
      <c r="AP2091" s="69"/>
      <c r="AQ2091" s="62"/>
      <c r="AR2091" s="34"/>
    </row>
    <row r="2092" spans="1:44" customFormat="1">
      <c r="A2092" s="39">
        <v>45945</v>
      </c>
      <c r="B2092" s="11" t="s">
        <v>22</v>
      </c>
      <c r="C2092" s="16" t="s">
        <v>9343</v>
      </c>
      <c r="D2092" s="16" t="s">
        <v>9344</v>
      </c>
      <c r="E2092" s="38">
        <v>21175</v>
      </c>
      <c r="F2092" s="38" t="s">
        <v>9345</v>
      </c>
      <c r="G2092" s="10" t="s">
        <v>9346</v>
      </c>
      <c r="H2092" s="12" t="s">
        <v>9347</v>
      </c>
      <c r="I2092" s="13" t="s">
        <v>9350</v>
      </c>
      <c r="J2092" s="15" t="s">
        <v>9348</v>
      </c>
      <c r="K2092" s="46" t="s">
        <v>9349</v>
      </c>
      <c r="L2092" s="11" t="s">
        <v>36</v>
      </c>
      <c r="M2092" s="15" t="s">
        <v>3584</v>
      </c>
      <c r="N2092" s="17">
        <v>0</v>
      </c>
      <c r="O2092" s="17"/>
      <c r="P2092" s="17"/>
      <c r="Q2092" s="48" t="s">
        <v>8733</v>
      </c>
      <c r="R2092" s="11" t="s">
        <v>6847</v>
      </c>
      <c r="S2092" s="48" t="s">
        <v>8101</v>
      </c>
      <c r="T2092" s="85"/>
      <c r="U2092" s="88"/>
      <c r="V2092" s="32"/>
      <c r="W2092" s="25"/>
      <c r="X2092" s="11"/>
      <c r="Y2092" s="50"/>
      <c r="Z2092" s="50"/>
      <c r="AA2092" s="50"/>
      <c r="AB2092" s="50"/>
      <c r="AC2092" s="50"/>
      <c r="AD2092" s="50"/>
      <c r="AE2092" s="50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65"/>
      <c r="AP2092" s="69"/>
      <c r="AQ2092" s="62"/>
      <c r="AR2092" s="34"/>
    </row>
    <row r="2093" spans="1:44" customFormat="1">
      <c r="A2093" s="39">
        <v>45948</v>
      </c>
      <c r="B2093" s="11" t="s">
        <v>22</v>
      </c>
      <c r="C2093" s="16" t="s">
        <v>9358</v>
      </c>
      <c r="D2093" s="16" t="s">
        <v>9359</v>
      </c>
      <c r="E2093" s="38">
        <v>24435</v>
      </c>
      <c r="F2093" s="38" t="s">
        <v>9360</v>
      </c>
      <c r="G2093" s="10" t="s">
        <v>9361</v>
      </c>
      <c r="H2093" s="12" t="s">
        <v>9362</v>
      </c>
      <c r="I2093" s="13" t="s">
        <v>1684</v>
      </c>
      <c r="J2093" s="15" t="s">
        <v>9363</v>
      </c>
      <c r="K2093" s="46" t="s">
        <v>9364</v>
      </c>
      <c r="L2093" s="11" t="s">
        <v>36</v>
      </c>
      <c r="M2093" s="15" t="s">
        <v>3629</v>
      </c>
      <c r="N2093" s="17">
        <v>0</v>
      </c>
      <c r="O2093" s="17"/>
      <c r="P2093" s="17"/>
      <c r="Q2093" s="48" t="s">
        <v>8733</v>
      </c>
      <c r="R2093" s="11" t="s">
        <v>6847</v>
      </c>
      <c r="S2093" s="48"/>
      <c r="T2093" s="85" t="s">
        <v>9424</v>
      </c>
      <c r="U2093" s="88"/>
      <c r="V2093" s="32"/>
      <c r="W2093" s="25"/>
      <c r="X2093" s="11"/>
      <c r="Y2093" s="50"/>
      <c r="Z2093" s="50"/>
      <c r="AA2093" s="50"/>
      <c r="AB2093" s="50"/>
      <c r="AC2093" s="50"/>
      <c r="AD2093" s="50"/>
      <c r="AE2093" s="50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65"/>
      <c r="AP2093" s="69"/>
      <c r="AQ2093" s="62"/>
      <c r="AR2093" s="34"/>
    </row>
    <row r="2094" spans="1:44" customFormat="1">
      <c r="A2094" s="39">
        <v>45948</v>
      </c>
      <c r="B2094" s="11" t="s">
        <v>22</v>
      </c>
      <c r="C2094" s="269" t="s">
        <v>9351</v>
      </c>
      <c r="D2094" s="16" t="s">
        <v>9354</v>
      </c>
      <c r="E2094" s="38">
        <v>33002</v>
      </c>
      <c r="F2094" s="38" t="s">
        <v>9353</v>
      </c>
      <c r="G2094" s="10" t="s">
        <v>9352</v>
      </c>
      <c r="H2094" s="12" t="s">
        <v>9355</v>
      </c>
      <c r="I2094" s="13" t="s">
        <v>9371</v>
      </c>
      <c r="J2094" s="15" t="s">
        <v>9356</v>
      </c>
      <c r="K2094" s="46" t="s">
        <v>9357</v>
      </c>
      <c r="L2094" s="11"/>
      <c r="M2094" s="15"/>
      <c r="N2094" s="17">
        <v>0</v>
      </c>
      <c r="O2094" s="17"/>
      <c r="P2094" s="17"/>
      <c r="Q2094" s="48" t="s">
        <v>8733</v>
      </c>
      <c r="R2094" s="11" t="s">
        <v>9271</v>
      </c>
      <c r="S2094" s="48"/>
      <c r="T2094" s="85"/>
      <c r="U2094" s="88"/>
      <c r="V2094" s="32"/>
      <c r="W2094" s="25"/>
      <c r="X2094" s="11"/>
      <c r="Y2094" s="50"/>
      <c r="Z2094" s="50"/>
      <c r="AA2094" s="50"/>
      <c r="AB2094" s="50"/>
      <c r="AC2094" s="50"/>
      <c r="AD2094" s="50"/>
      <c r="AE2094" s="50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65"/>
      <c r="AP2094" s="69"/>
      <c r="AQ2094" s="62"/>
      <c r="AR2094" s="34"/>
    </row>
    <row r="2095" spans="1:44" customFormat="1">
      <c r="A2095" s="39">
        <v>45949</v>
      </c>
      <c r="B2095" s="11" t="s">
        <v>22</v>
      </c>
      <c r="C2095" s="16" t="s">
        <v>9365</v>
      </c>
      <c r="D2095" s="16" t="s">
        <v>9366</v>
      </c>
      <c r="E2095" s="38">
        <v>26996</v>
      </c>
      <c r="F2095" s="38" t="s">
        <v>9367</v>
      </c>
      <c r="G2095" s="10" t="s">
        <v>9368</v>
      </c>
      <c r="H2095" s="12" t="s">
        <v>9369</v>
      </c>
      <c r="I2095" s="13" t="s">
        <v>9370</v>
      </c>
      <c r="J2095" s="15" t="s">
        <v>9372</v>
      </c>
      <c r="K2095" s="46" t="s">
        <v>9373</v>
      </c>
      <c r="L2095" s="11"/>
      <c r="M2095" s="15" t="s">
        <v>3599</v>
      </c>
      <c r="N2095" s="17">
        <v>0</v>
      </c>
      <c r="O2095" s="17"/>
      <c r="P2095" s="17"/>
      <c r="Q2095" s="48" t="s">
        <v>8733</v>
      </c>
      <c r="R2095" s="11" t="s">
        <v>6943</v>
      </c>
      <c r="S2095" s="48" t="s">
        <v>8101</v>
      </c>
      <c r="T2095" s="85" t="s">
        <v>9424</v>
      </c>
      <c r="U2095" s="88"/>
      <c r="V2095" s="32"/>
      <c r="W2095" s="25"/>
      <c r="X2095" s="11"/>
      <c r="Y2095" s="50"/>
      <c r="Z2095" s="50"/>
      <c r="AA2095" s="50"/>
      <c r="AB2095" s="50"/>
      <c r="AC2095" s="50"/>
      <c r="AD2095" s="50"/>
      <c r="AE2095" s="50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65"/>
      <c r="AP2095" s="69"/>
      <c r="AQ2095" s="62"/>
      <c r="AR2095" s="34"/>
    </row>
    <row r="2096" spans="1:44" customFormat="1">
      <c r="A2096" s="39">
        <v>45956</v>
      </c>
      <c r="B2096" s="11" t="s">
        <v>49</v>
      </c>
      <c r="C2096" s="16" t="s">
        <v>9381</v>
      </c>
      <c r="D2096" s="16" t="s">
        <v>9382</v>
      </c>
      <c r="E2096" s="38">
        <v>30895</v>
      </c>
      <c r="F2096" s="38" t="s">
        <v>9383</v>
      </c>
      <c r="G2096" s="10" t="s">
        <v>9384</v>
      </c>
      <c r="H2096" s="12" t="s">
        <v>9385</v>
      </c>
      <c r="I2096" s="13" t="s">
        <v>9417</v>
      </c>
      <c r="J2096" s="15" t="s">
        <v>9386</v>
      </c>
      <c r="K2096" s="46" t="s">
        <v>9387</v>
      </c>
      <c r="L2096" s="11" t="s">
        <v>36</v>
      </c>
      <c r="M2096" s="15" t="s">
        <v>3629</v>
      </c>
      <c r="N2096" s="17">
        <v>16500</v>
      </c>
      <c r="O2096" s="17"/>
      <c r="P2096" s="17"/>
      <c r="Q2096" s="48"/>
      <c r="R2096" s="11" t="s">
        <v>6847</v>
      </c>
      <c r="S2096" s="48"/>
      <c r="T2096" s="85" t="s">
        <v>9422</v>
      </c>
      <c r="U2096" s="88"/>
      <c r="V2096" s="32"/>
      <c r="W2096" s="25"/>
      <c r="X2096" s="11"/>
      <c r="Y2096" s="50"/>
      <c r="Z2096" s="50"/>
      <c r="AA2096" s="50"/>
      <c r="AB2096" s="50"/>
      <c r="AC2096" s="50"/>
      <c r="AD2096" s="50"/>
      <c r="AE2096" s="50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65"/>
      <c r="AP2096" s="69"/>
      <c r="AQ2096" s="62"/>
      <c r="AR2096" s="34"/>
    </row>
    <row r="2097" spans="1:44" customFormat="1">
      <c r="A2097" s="39">
        <v>45957</v>
      </c>
      <c r="B2097" s="11" t="s">
        <v>22</v>
      </c>
      <c r="C2097" s="16" t="s">
        <v>9374</v>
      </c>
      <c r="D2097" s="16" t="s">
        <v>9375</v>
      </c>
      <c r="E2097" s="38">
        <v>31991</v>
      </c>
      <c r="F2097" s="38" t="s">
        <v>9376</v>
      </c>
      <c r="G2097" s="10" t="s">
        <v>9377</v>
      </c>
      <c r="H2097" s="12" t="s">
        <v>9378</v>
      </c>
      <c r="I2097" s="13" t="s">
        <v>9379</v>
      </c>
      <c r="J2097" s="15" t="s">
        <v>9380</v>
      </c>
      <c r="K2097" s="12"/>
      <c r="L2097" s="11" t="s">
        <v>33</v>
      </c>
      <c r="M2097" s="15"/>
      <c r="N2097" s="17">
        <v>0</v>
      </c>
      <c r="O2097" s="17"/>
      <c r="P2097" s="17"/>
      <c r="Q2097" s="48" t="s">
        <v>8733</v>
      </c>
      <c r="R2097" s="11" t="s">
        <v>8837</v>
      </c>
      <c r="S2097" s="48"/>
      <c r="T2097" s="85"/>
      <c r="U2097" s="88"/>
      <c r="V2097" s="32"/>
      <c r="W2097" s="25" t="s">
        <v>6747</v>
      </c>
      <c r="X2097" s="11"/>
      <c r="Y2097" s="50"/>
      <c r="Z2097" s="50"/>
      <c r="AA2097" s="50"/>
      <c r="AB2097" s="50"/>
      <c r="AC2097" s="50"/>
      <c r="AD2097" s="50"/>
      <c r="AE2097" s="50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65"/>
      <c r="AP2097" s="69"/>
      <c r="AQ2097" s="62"/>
      <c r="AR2097" s="34"/>
    </row>
    <row r="2098" spans="1:44" customFormat="1">
      <c r="A2098" s="39">
        <v>45959</v>
      </c>
      <c r="B2098" s="11" t="s">
        <v>24</v>
      </c>
      <c r="C2098" s="16" t="s">
        <v>9388</v>
      </c>
      <c r="D2098" s="16" t="s">
        <v>9391</v>
      </c>
      <c r="E2098" s="38">
        <v>29981</v>
      </c>
      <c r="F2098" s="38" t="s">
        <v>9383</v>
      </c>
      <c r="G2098" s="10" t="s">
        <v>9392</v>
      </c>
      <c r="H2098" s="12" t="s">
        <v>9393</v>
      </c>
      <c r="I2098" s="13" t="s">
        <v>9418</v>
      </c>
      <c r="J2098" s="15" t="s">
        <v>9394</v>
      </c>
      <c r="K2098" s="12"/>
      <c r="L2098" s="11" t="s">
        <v>34</v>
      </c>
      <c r="M2098" s="15" t="s">
        <v>3680</v>
      </c>
      <c r="N2098" s="17">
        <v>5500</v>
      </c>
      <c r="O2098" s="17" t="s">
        <v>8203</v>
      </c>
      <c r="P2098" s="17"/>
      <c r="Q2098" s="48"/>
      <c r="R2098" s="11" t="s">
        <v>6847</v>
      </c>
      <c r="S2098" s="48" t="s">
        <v>8101</v>
      </c>
      <c r="T2098" s="85"/>
      <c r="U2098" s="88"/>
      <c r="V2098" s="32"/>
      <c r="W2098" s="25" t="s">
        <v>6747</v>
      </c>
      <c r="X2098" s="11"/>
      <c r="Y2098" s="50"/>
      <c r="Z2098" s="50"/>
      <c r="AA2098" s="50"/>
      <c r="AB2098" s="50"/>
      <c r="AC2098" s="50"/>
      <c r="AD2098" s="50"/>
      <c r="AE2098" s="50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65"/>
      <c r="AP2098" s="69"/>
      <c r="AQ2098" s="62"/>
      <c r="AR2098" s="34"/>
    </row>
    <row r="2099" spans="1:44" customFormat="1">
      <c r="A2099" s="39">
        <v>45959</v>
      </c>
      <c r="B2099" s="11" t="s">
        <v>22</v>
      </c>
      <c r="C2099" s="16" t="s">
        <v>9389</v>
      </c>
      <c r="D2099" s="16" t="s">
        <v>9390</v>
      </c>
      <c r="E2099" s="38">
        <v>32603</v>
      </c>
      <c r="F2099" s="38" t="s">
        <v>9383</v>
      </c>
      <c r="G2099" s="10" t="s">
        <v>9396</v>
      </c>
      <c r="H2099" s="12" t="s">
        <v>9397</v>
      </c>
      <c r="I2099" s="13" t="s">
        <v>1654</v>
      </c>
      <c r="J2099" s="15" t="s">
        <v>9398</v>
      </c>
      <c r="K2099" s="46" t="s">
        <v>9399</v>
      </c>
      <c r="L2099" s="11"/>
      <c r="M2099" s="15" t="s">
        <v>3584</v>
      </c>
      <c r="N2099" s="17">
        <v>0</v>
      </c>
      <c r="O2099" s="17"/>
      <c r="P2099" s="17"/>
      <c r="Q2099" s="48" t="s">
        <v>8733</v>
      </c>
      <c r="R2099" s="11" t="s">
        <v>6847</v>
      </c>
      <c r="S2099" s="48" t="s">
        <v>8101</v>
      </c>
      <c r="T2099" s="85"/>
      <c r="U2099" s="88"/>
      <c r="V2099" s="32"/>
      <c r="W2099" s="25" t="s">
        <v>9395</v>
      </c>
      <c r="X2099" s="11" t="s">
        <v>9419</v>
      </c>
      <c r="Y2099" s="50"/>
      <c r="Z2099" s="50"/>
      <c r="AA2099" s="50"/>
      <c r="AB2099" s="50"/>
      <c r="AC2099" s="50"/>
      <c r="AD2099" s="50"/>
      <c r="AE2099" s="50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65"/>
      <c r="AP2099" s="69"/>
      <c r="AQ2099" s="62"/>
      <c r="AR2099" s="34"/>
    </row>
    <row r="2100" spans="1:44" customFormat="1">
      <c r="A2100" s="39">
        <v>45960</v>
      </c>
      <c r="B2100" s="11" t="s">
        <v>22</v>
      </c>
      <c r="C2100" s="16" t="s">
        <v>9400</v>
      </c>
      <c r="D2100" s="16" t="s">
        <v>9401</v>
      </c>
      <c r="E2100" s="38">
        <v>27656</v>
      </c>
      <c r="F2100" s="38" t="s">
        <v>9402</v>
      </c>
      <c r="G2100" s="10" t="s">
        <v>9403</v>
      </c>
      <c r="H2100" s="12" t="s">
        <v>9404</v>
      </c>
      <c r="I2100" s="13" t="s">
        <v>9405</v>
      </c>
      <c r="J2100" s="15" t="s">
        <v>9406</v>
      </c>
      <c r="K2100" s="46" t="s">
        <v>9407</v>
      </c>
      <c r="L2100" s="11" t="s">
        <v>33</v>
      </c>
      <c r="M2100" s="15"/>
      <c r="N2100" s="17">
        <v>0</v>
      </c>
      <c r="O2100" s="17"/>
      <c r="P2100" s="17"/>
      <c r="Q2100" s="48" t="s">
        <v>8733</v>
      </c>
      <c r="R2100" s="11" t="s">
        <v>6848</v>
      </c>
      <c r="S2100" s="48" t="s">
        <v>8102</v>
      </c>
      <c r="T2100" s="85" t="s">
        <v>9410</v>
      </c>
      <c r="U2100" s="88"/>
      <c r="V2100" s="32"/>
      <c r="W2100" s="25" t="s">
        <v>9408</v>
      </c>
      <c r="X2100" s="11" t="s">
        <v>9409</v>
      </c>
      <c r="Y2100" s="50"/>
      <c r="Z2100" s="50"/>
      <c r="AA2100" s="50"/>
      <c r="AB2100" s="50"/>
      <c r="AC2100" s="50"/>
      <c r="AD2100" s="50"/>
      <c r="AE2100" s="50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65"/>
      <c r="AP2100" s="69"/>
      <c r="AQ2100" s="62"/>
      <c r="AR2100" s="34"/>
    </row>
    <row r="2101" spans="1:44" customFormat="1">
      <c r="A2101" s="39">
        <v>45962</v>
      </c>
      <c r="B2101" s="11" t="s">
        <v>22</v>
      </c>
      <c r="C2101" s="16" t="s">
        <v>9411</v>
      </c>
      <c r="D2101" s="16" t="s">
        <v>9412</v>
      </c>
      <c r="E2101" s="38">
        <v>29107</v>
      </c>
      <c r="F2101" s="38" t="s">
        <v>9413</v>
      </c>
      <c r="G2101" s="10" t="s">
        <v>9414</v>
      </c>
      <c r="H2101" s="12" t="s">
        <v>9415</v>
      </c>
      <c r="I2101" s="13" t="s">
        <v>9416</v>
      </c>
      <c r="J2101" s="15" t="s">
        <v>9420</v>
      </c>
      <c r="K2101" s="46" t="s">
        <v>9421</v>
      </c>
      <c r="L2101" s="11" t="s">
        <v>34</v>
      </c>
      <c r="M2101" s="15" t="s">
        <v>3584</v>
      </c>
      <c r="N2101" s="17">
        <v>0</v>
      </c>
      <c r="O2101" s="17"/>
      <c r="P2101" s="17"/>
      <c r="Q2101" s="48" t="s">
        <v>8733</v>
      </c>
      <c r="R2101" s="11" t="s">
        <v>8503</v>
      </c>
      <c r="S2101" s="48" t="s">
        <v>8101</v>
      </c>
      <c r="T2101" s="85"/>
      <c r="U2101" s="88"/>
      <c r="V2101" s="32"/>
      <c r="W2101" s="25"/>
      <c r="X2101" s="11"/>
      <c r="Y2101" s="50"/>
      <c r="Z2101" s="50"/>
      <c r="AA2101" s="50"/>
      <c r="AB2101" s="50"/>
      <c r="AC2101" s="50"/>
      <c r="AD2101" s="50"/>
      <c r="AE2101" s="50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65"/>
      <c r="AP2101" s="69"/>
      <c r="AQ2101" s="62"/>
      <c r="AR2101" s="34"/>
    </row>
    <row r="2102" spans="1:44" customFormat="1">
      <c r="A2102" s="39">
        <v>45962</v>
      </c>
      <c r="B2102" s="11" t="s">
        <v>22</v>
      </c>
      <c r="C2102" s="16" t="s">
        <v>9425</v>
      </c>
      <c r="D2102" s="16" t="s">
        <v>9426</v>
      </c>
      <c r="E2102" s="38">
        <v>27266</v>
      </c>
      <c r="F2102" s="38" t="s">
        <v>9427</v>
      </c>
      <c r="G2102" s="10" t="s">
        <v>9428</v>
      </c>
      <c r="H2102" s="12" t="s">
        <v>9429</v>
      </c>
      <c r="I2102" s="13" t="s">
        <v>9430</v>
      </c>
      <c r="J2102" s="15" t="s">
        <v>9431</v>
      </c>
      <c r="K2102" s="46" t="s">
        <v>9432</v>
      </c>
      <c r="L2102" s="11" t="s">
        <v>36</v>
      </c>
      <c r="M2102" s="15" t="s">
        <v>3584</v>
      </c>
      <c r="N2102" s="17">
        <v>0</v>
      </c>
      <c r="O2102" s="17"/>
      <c r="P2102" s="17"/>
      <c r="Q2102" s="48" t="s">
        <v>8733</v>
      </c>
      <c r="R2102" s="11" t="s">
        <v>8503</v>
      </c>
      <c r="S2102" s="48" t="s">
        <v>8101</v>
      </c>
      <c r="T2102" s="85"/>
      <c r="U2102" s="88"/>
      <c r="V2102" s="32"/>
      <c r="W2102" s="25"/>
      <c r="X2102" s="11"/>
      <c r="Y2102" s="50"/>
      <c r="Z2102" s="50"/>
      <c r="AA2102" s="50"/>
      <c r="AB2102" s="50"/>
      <c r="AC2102" s="50"/>
      <c r="AD2102" s="50"/>
      <c r="AE2102" s="50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65"/>
      <c r="AP2102" s="69"/>
      <c r="AQ2102" s="62"/>
      <c r="AR2102" s="34"/>
    </row>
    <row r="2103" spans="1:44" customFormat="1">
      <c r="A2103" s="39">
        <v>45962</v>
      </c>
      <c r="B2103" s="11" t="s">
        <v>22</v>
      </c>
      <c r="C2103" s="16" t="s">
        <v>9433</v>
      </c>
      <c r="D2103" s="16" t="s">
        <v>9434</v>
      </c>
      <c r="E2103" s="38">
        <v>25421</v>
      </c>
      <c r="F2103" s="38" t="s">
        <v>9435</v>
      </c>
      <c r="G2103" s="10" t="s">
        <v>9436</v>
      </c>
      <c r="H2103" s="12" t="s">
        <v>9437</v>
      </c>
      <c r="I2103" s="13" t="s">
        <v>1611</v>
      </c>
      <c r="J2103" s="15" t="s">
        <v>9438</v>
      </c>
      <c r="K2103" s="46" t="s">
        <v>9439</v>
      </c>
      <c r="L2103" s="11" t="s">
        <v>36</v>
      </c>
      <c r="M2103" s="15" t="s">
        <v>3584</v>
      </c>
      <c r="N2103" s="17">
        <v>0</v>
      </c>
      <c r="O2103" s="17"/>
      <c r="P2103" s="17"/>
      <c r="Q2103" s="48" t="s">
        <v>8733</v>
      </c>
      <c r="R2103" s="11" t="s">
        <v>6848</v>
      </c>
      <c r="S2103" s="48" t="s">
        <v>8101</v>
      </c>
      <c r="T2103" s="85"/>
      <c r="U2103" s="88"/>
      <c r="V2103" s="32"/>
      <c r="W2103" s="25"/>
      <c r="X2103" s="11"/>
      <c r="Y2103" s="50"/>
      <c r="Z2103" s="50"/>
      <c r="AA2103" s="50"/>
      <c r="AB2103" s="50"/>
      <c r="AC2103" s="50"/>
      <c r="AD2103" s="50"/>
      <c r="AE2103" s="50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65"/>
      <c r="AP2103" s="69"/>
      <c r="AQ2103" s="62"/>
      <c r="AR2103" s="34"/>
    </row>
    <row r="2104" spans="1:44" customFormat="1">
      <c r="A2104" s="39">
        <v>45963</v>
      </c>
      <c r="B2104" s="11" t="s">
        <v>49</v>
      </c>
      <c r="C2104" s="16" t="s">
        <v>9440</v>
      </c>
      <c r="D2104" s="16" t="s">
        <v>9441</v>
      </c>
      <c r="E2104" s="38">
        <v>45963</v>
      </c>
      <c r="F2104" s="38" t="s">
        <v>1910</v>
      </c>
      <c r="G2104" s="10" t="s">
        <v>9442</v>
      </c>
      <c r="H2104" s="12" t="s">
        <v>9445</v>
      </c>
      <c r="I2104" s="13">
        <v>30.4</v>
      </c>
      <c r="J2104" s="15" t="s">
        <v>9443</v>
      </c>
      <c r="K2104" s="12"/>
      <c r="L2104" s="11" t="s">
        <v>37</v>
      </c>
      <c r="M2104" s="15"/>
      <c r="N2104" s="17">
        <v>11000</v>
      </c>
      <c r="O2104" s="17"/>
      <c r="P2104" s="17"/>
      <c r="Q2104" s="48"/>
      <c r="R2104" s="11" t="s">
        <v>6847</v>
      </c>
      <c r="S2104" s="48" t="s">
        <v>8102</v>
      </c>
      <c r="T2104" s="85" t="s">
        <v>9444</v>
      </c>
      <c r="U2104" s="88"/>
      <c r="V2104" s="32"/>
      <c r="W2104" s="25"/>
      <c r="X2104" s="11"/>
      <c r="Y2104" s="50"/>
      <c r="Z2104" s="50"/>
      <c r="AA2104" s="50"/>
      <c r="AB2104" s="50"/>
      <c r="AC2104" s="50"/>
      <c r="AD2104" s="50"/>
      <c r="AE2104" s="50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65"/>
      <c r="AP2104" s="69"/>
      <c r="AQ2104" s="62"/>
      <c r="AR2104" s="34"/>
    </row>
    <row r="2105" spans="1:44" customFormat="1">
      <c r="A2105" s="39">
        <v>45964</v>
      </c>
      <c r="B2105" s="11" t="s">
        <v>22</v>
      </c>
      <c r="C2105" s="16" t="s">
        <v>9446</v>
      </c>
      <c r="D2105" s="16" t="s">
        <v>9447</v>
      </c>
      <c r="E2105" s="38">
        <v>25681</v>
      </c>
      <c r="F2105" s="38" t="s">
        <v>9448</v>
      </c>
      <c r="G2105" s="10" t="s">
        <v>9449</v>
      </c>
      <c r="H2105" s="12" t="s">
        <v>9450</v>
      </c>
      <c r="I2105" s="13" t="s">
        <v>1671</v>
      </c>
      <c r="J2105" s="15" t="s">
        <v>9451</v>
      </c>
      <c r="K2105" s="12"/>
      <c r="L2105" s="11"/>
      <c r="M2105" s="15" t="s">
        <v>3599</v>
      </c>
      <c r="N2105" s="17">
        <v>0</v>
      </c>
      <c r="O2105" s="17"/>
      <c r="P2105" s="17"/>
      <c r="Q2105" s="48" t="s">
        <v>8733</v>
      </c>
      <c r="R2105" s="11" t="s">
        <v>8837</v>
      </c>
      <c r="S2105" s="48" t="s">
        <v>8101</v>
      </c>
      <c r="T2105" s="85"/>
      <c r="U2105" s="88"/>
      <c r="V2105" s="32"/>
      <c r="W2105" s="25" t="s">
        <v>9452</v>
      </c>
      <c r="X2105" s="11"/>
      <c r="Y2105" s="50"/>
      <c r="Z2105" s="50"/>
      <c r="AA2105" s="50"/>
      <c r="AB2105" s="50"/>
      <c r="AC2105" s="50"/>
      <c r="AD2105" s="50"/>
      <c r="AE2105" s="50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65"/>
      <c r="AP2105" s="69"/>
      <c r="AQ2105" s="62"/>
      <c r="AR2105" s="34"/>
    </row>
    <row r="2106" spans="1:44" customFormat="1">
      <c r="A2106" s="39">
        <v>45966</v>
      </c>
      <c r="B2106" s="11" t="s">
        <v>49</v>
      </c>
      <c r="C2106" s="16" t="s">
        <v>9453</v>
      </c>
      <c r="D2106" s="16" t="s">
        <v>9454</v>
      </c>
      <c r="E2106" s="38">
        <v>31169</v>
      </c>
      <c r="F2106" s="38" t="s">
        <v>9455</v>
      </c>
      <c r="G2106" s="10" t="s">
        <v>9456</v>
      </c>
      <c r="H2106" s="12" t="s">
        <v>9582</v>
      </c>
      <c r="I2106" s="13" t="s">
        <v>9457</v>
      </c>
      <c r="J2106" s="15" t="s">
        <v>9458</v>
      </c>
      <c r="K2106" s="12"/>
      <c r="L2106" s="11" t="s">
        <v>33</v>
      </c>
      <c r="M2106" s="15" t="s">
        <v>3680</v>
      </c>
      <c r="N2106" s="17">
        <v>11000</v>
      </c>
      <c r="O2106" s="17"/>
      <c r="P2106" s="17"/>
      <c r="Q2106" s="48"/>
      <c r="R2106" s="11" t="s">
        <v>6847</v>
      </c>
      <c r="S2106" s="48" t="s">
        <v>8102</v>
      </c>
      <c r="T2106" s="85" t="s">
        <v>9459</v>
      </c>
      <c r="U2106" s="88"/>
      <c r="V2106" s="32"/>
      <c r="W2106" s="25" t="s">
        <v>8</v>
      </c>
      <c r="X2106" s="11" t="s">
        <v>9460</v>
      </c>
      <c r="Y2106" s="50"/>
      <c r="Z2106" s="50"/>
      <c r="AA2106" s="50"/>
      <c r="AB2106" s="50"/>
      <c r="AC2106" s="50"/>
      <c r="AD2106" s="50"/>
      <c r="AE2106" s="50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65"/>
      <c r="AP2106" s="69"/>
      <c r="AQ2106" s="62"/>
      <c r="AR2106" s="34"/>
    </row>
    <row r="2107" spans="1:44" customFormat="1">
      <c r="A2107" s="39">
        <v>45967</v>
      </c>
      <c r="B2107" s="11" t="s">
        <v>22</v>
      </c>
      <c r="C2107" s="16" t="s">
        <v>9461</v>
      </c>
      <c r="D2107" s="16" t="s">
        <v>9471</v>
      </c>
      <c r="E2107" s="38">
        <v>24272</v>
      </c>
      <c r="F2107" s="38" t="s">
        <v>9462</v>
      </c>
      <c r="G2107" s="10" t="s">
        <v>9463</v>
      </c>
      <c r="H2107" s="12" t="s">
        <v>9464</v>
      </c>
      <c r="I2107" s="13" t="s">
        <v>9468</v>
      </c>
      <c r="J2107" s="15" t="s">
        <v>9465</v>
      </c>
      <c r="K2107" s="46" t="s">
        <v>9466</v>
      </c>
      <c r="L2107" s="11"/>
      <c r="M2107" s="15"/>
      <c r="N2107" s="17">
        <v>0</v>
      </c>
      <c r="O2107" s="17"/>
      <c r="P2107" s="17"/>
      <c r="Q2107" s="48" t="s">
        <v>8733</v>
      </c>
      <c r="R2107" s="11" t="s">
        <v>6847</v>
      </c>
      <c r="S2107" s="48" t="s">
        <v>8101</v>
      </c>
      <c r="T2107" s="85"/>
      <c r="U2107" s="88"/>
      <c r="V2107" s="32"/>
      <c r="W2107" s="25" t="s">
        <v>9467</v>
      </c>
      <c r="X2107" s="11"/>
      <c r="Y2107" s="50"/>
      <c r="Z2107" s="50"/>
      <c r="AA2107" s="50"/>
      <c r="AB2107" s="50"/>
      <c r="AC2107" s="50"/>
      <c r="AD2107" s="50"/>
      <c r="AE2107" s="50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65"/>
      <c r="AP2107" s="69"/>
      <c r="AQ2107" s="62"/>
      <c r="AR2107" s="34"/>
    </row>
    <row r="2108" spans="1:44" customFormat="1">
      <c r="A2108" s="39">
        <v>45968</v>
      </c>
      <c r="B2108" s="11" t="s">
        <v>22</v>
      </c>
      <c r="C2108" s="16" t="s">
        <v>9469</v>
      </c>
      <c r="D2108" s="16" t="s">
        <v>9470</v>
      </c>
      <c r="E2108" s="38">
        <v>33379</v>
      </c>
      <c r="F2108" s="38" t="s">
        <v>9472</v>
      </c>
      <c r="G2108" s="10" t="s">
        <v>9473</v>
      </c>
      <c r="H2108" s="12" t="s">
        <v>9474</v>
      </c>
      <c r="I2108" s="13" t="s">
        <v>9475</v>
      </c>
      <c r="J2108" s="15" t="s">
        <v>9476</v>
      </c>
      <c r="K2108" s="46" t="s">
        <v>9477</v>
      </c>
      <c r="L2108" s="11" t="s">
        <v>35</v>
      </c>
      <c r="M2108" s="15" t="s">
        <v>3584</v>
      </c>
      <c r="N2108" s="17">
        <v>0</v>
      </c>
      <c r="O2108" s="17"/>
      <c r="P2108" s="17"/>
      <c r="Q2108" s="48" t="s">
        <v>8733</v>
      </c>
      <c r="R2108" s="11" t="s">
        <v>6943</v>
      </c>
      <c r="S2108" s="48" t="s">
        <v>8101</v>
      </c>
      <c r="T2108" s="85" t="s">
        <v>9483</v>
      </c>
      <c r="U2108" s="88"/>
      <c r="V2108" s="32"/>
      <c r="W2108" s="25" t="s">
        <v>9408</v>
      </c>
      <c r="X2108" s="11" t="s">
        <v>9478</v>
      </c>
      <c r="Y2108" s="50"/>
      <c r="Z2108" s="50"/>
      <c r="AA2108" s="50"/>
      <c r="AB2108" s="50"/>
      <c r="AC2108" s="50"/>
      <c r="AD2108" s="50"/>
      <c r="AE2108" s="50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65"/>
      <c r="AP2108" s="69"/>
      <c r="AQ2108" s="62"/>
      <c r="AR2108" s="34"/>
    </row>
    <row r="2109" spans="1:44" customFormat="1">
      <c r="A2109" s="39">
        <v>45968</v>
      </c>
      <c r="B2109" s="11" t="s">
        <v>22</v>
      </c>
      <c r="C2109" s="16" t="s">
        <v>9479</v>
      </c>
      <c r="D2109" s="16" t="s">
        <v>9480</v>
      </c>
      <c r="E2109" s="38">
        <v>26632</v>
      </c>
      <c r="F2109" s="38" t="s">
        <v>9472</v>
      </c>
      <c r="G2109" s="10" t="s">
        <v>9487</v>
      </c>
      <c r="H2109" s="12" t="s">
        <v>9486</v>
      </c>
      <c r="I2109" s="13" t="s">
        <v>9485</v>
      </c>
      <c r="J2109" s="15" t="s">
        <v>9481</v>
      </c>
      <c r="K2109" s="12"/>
      <c r="L2109" s="11"/>
      <c r="M2109" s="15"/>
      <c r="N2109" s="17">
        <v>0</v>
      </c>
      <c r="O2109" s="17"/>
      <c r="P2109" s="17"/>
      <c r="Q2109" s="48" t="s">
        <v>8733</v>
      </c>
      <c r="R2109" s="11" t="s">
        <v>8503</v>
      </c>
      <c r="S2109" s="48" t="s">
        <v>8101</v>
      </c>
      <c r="T2109" s="85" t="s">
        <v>9482</v>
      </c>
      <c r="U2109" s="88"/>
      <c r="V2109" s="32"/>
      <c r="W2109" s="25" t="s">
        <v>9484</v>
      </c>
      <c r="X2109" s="11" t="s">
        <v>9409</v>
      </c>
      <c r="Y2109" s="50"/>
      <c r="Z2109" s="50"/>
      <c r="AA2109" s="50"/>
      <c r="AB2109" s="50"/>
      <c r="AC2109" s="50"/>
      <c r="AD2109" s="50"/>
      <c r="AE2109" s="50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65"/>
      <c r="AP2109" s="69"/>
      <c r="AQ2109" s="62"/>
      <c r="AR2109" s="34"/>
    </row>
    <row r="2110" spans="1:44" customFormat="1">
      <c r="A2110" s="39">
        <v>45968</v>
      </c>
      <c r="B2110" s="11" t="s">
        <v>22</v>
      </c>
      <c r="C2110" s="16" t="s">
        <v>9488</v>
      </c>
      <c r="D2110" s="16" t="s">
        <v>9489</v>
      </c>
      <c r="E2110" s="38">
        <v>32976</v>
      </c>
      <c r="F2110" s="38" t="s">
        <v>1910</v>
      </c>
      <c r="G2110" s="10" t="s">
        <v>69</v>
      </c>
      <c r="H2110" s="12" t="s">
        <v>9378</v>
      </c>
      <c r="I2110" s="13" t="s">
        <v>5594</v>
      </c>
      <c r="J2110" s="15" t="s">
        <v>9490</v>
      </c>
      <c r="K2110" s="46" t="s">
        <v>9491</v>
      </c>
      <c r="L2110" s="11" t="s">
        <v>33</v>
      </c>
      <c r="M2110" s="15" t="s">
        <v>3599</v>
      </c>
      <c r="N2110" s="17">
        <v>0</v>
      </c>
      <c r="O2110" s="17"/>
      <c r="P2110" s="17"/>
      <c r="Q2110" s="48" t="s">
        <v>8733</v>
      </c>
      <c r="R2110" s="11" t="s">
        <v>8503</v>
      </c>
      <c r="S2110" s="48"/>
      <c r="T2110" s="85"/>
      <c r="U2110" s="88"/>
      <c r="V2110" s="32"/>
      <c r="W2110" s="25" t="s">
        <v>6747</v>
      </c>
      <c r="X2110" s="11"/>
      <c r="Y2110" s="50"/>
      <c r="Z2110" s="50"/>
      <c r="AA2110" s="50"/>
      <c r="AB2110" s="50"/>
      <c r="AC2110" s="50"/>
      <c r="AD2110" s="50"/>
      <c r="AE2110" s="50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65"/>
      <c r="AP2110" s="69"/>
      <c r="AQ2110" s="62"/>
      <c r="AR2110" s="34"/>
    </row>
    <row r="2111" spans="1:44" customFormat="1">
      <c r="A2111" s="39">
        <v>45970</v>
      </c>
      <c r="B2111" s="11" t="s">
        <v>22</v>
      </c>
      <c r="C2111" s="16" t="s">
        <v>9492</v>
      </c>
      <c r="D2111" s="16" t="s">
        <v>9494</v>
      </c>
      <c r="E2111" s="38">
        <v>25149</v>
      </c>
      <c r="F2111" s="38" t="s">
        <v>9496</v>
      </c>
      <c r="G2111" s="10" t="s">
        <v>9497</v>
      </c>
      <c r="H2111" s="12" t="s">
        <v>9499</v>
      </c>
      <c r="I2111" s="13">
        <v>2.1</v>
      </c>
      <c r="J2111" s="15" t="s">
        <v>9501</v>
      </c>
      <c r="K2111" s="12"/>
      <c r="L2111" s="11"/>
      <c r="M2111" s="15" t="s">
        <v>3584</v>
      </c>
      <c r="N2111" s="17">
        <v>0</v>
      </c>
      <c r="O2111" s="17"/>
      <c r="P2111" s="17"/>
      <c r="Q2111" s="48" t="s">
        <v>8733</v>
      </c>
      <c r="R2111" s="11" t="s">
        <v>6847</v>
      </c>
      <c r="S2111" s="48" t="s">
        <v>8102</v>
      </c>
      <c r="T2111" s="85"/>
      <c r="U2111" s="88"/>
      <c r="V2111" s="32"/>
      <c r="W2111" s="25" t="s">
        <v>3282</v>
      </c>
      <c r="X2111" s="11"/>
      <c r="Y2111" s="50"/>
      <c r="Z2111" s="50"/>
      <c r="AA2111" s="50"/>
      <c r="AB2111" s="50"/>
      <c r="AC2111" s="50"/>
      <c r="AD2111" s="50"/>
      <c r="AE2111" s="50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65"/>
      <c r="AP2111" s="69"/>
      <c r="AQ2111" s="62"/>
      <c r="AR2111" s="34"/>
    </row>
    <row r="2112" spans="1:44" customFormat="1">
      <c r="A2112" s="39">
        <v>45970</v>
      </c>
      <c r="B2112" s="11" t="s">
        <v>22</v>
      </c>
      <c r="C2112" s="16" t="s">
        <v>9493</v>
      </c>
      <c r="D2112" s="16" t="s">
        <v>9495</v>
      </c>
      <c r="E2112" s="38">
        <v>28373</v>
      </c>
      <c r="F2112" s="38" t="s">
        <v>9496</v>
      </c>
      <c r="G2112" s="10" t="s">
        <v>9498</v>
      </c>
      <c r="H2112" s="12" t="s">
        <v>9500</v>
      </c>
      <c r="I2112" s="13">
        <v>5.4</v>
      </c>
      <c r="J2112" s="15" t="s">
        <v>9502</v>
      </c>
      <c r="K2112" s="12"/>
      <c r="L2112" s="11" t="s">
        <v>34</v>
      </c>
      <c r="M2112" s="15" t="s">
        <v>3680</v>
      </c>
      <c r="N2112" s="17">
        <v>0</v>
      </c>
      <c r="O2112" s="17"/>
      <c r="P2112" s="17"/>
      <c r="Q2112" s="48" t="s">
        <v>8733</v>
      </c>
      <c r="R2112" s="11" t="s">
        <v>6847</v>
      </c>
      <c r="S2112" s="48" t="s">
        <v>8102</v>
      </c>
      <c r="T2112" s="85"/>
      <c r="U2112" s="88"/>
      <c r="V2112" s="32"/>
      <c r="W2112" s="25" t="s">
        <v>3282</v>
      </c>
      <c r="X2112" s="11"/>
      <c r="Y2112" s="50"/>
      <c r="Z2112" s="50"/>
      <c r="AA2112" s="50"/>
      <c r="AB2112" s="50"/>
      <c r="AC2112" s="50"/>
      <c r="AD2112" s="50"/>
      <c r="AE2112" s="50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65"/>
      <c r="AP2112" s="69"/>
      <c r="AQ2112" s="62"/>
      <c r="AR2112" s="34"/>
    </row>
    <row r="2113" spans="1:44" customFormat="1">
      <c r="A2113" s="39">
        <v>45970</v>
      </c>
      <c r="B2113" s="11" t="s">
        <v>49</v>
      </c>
      <c r="C2113" s="16" t="s">
        <v>9503</v>
      </c>
      <c r="D2113" s="16" t="s">
        <v>9504</v>
      </c>
      <c r="E2113" s="38">
        <v>26630</v>
      </c>
      <c r="F2113" s="38" t="s">
        <v>9496</v>
      </c>
      <c r="G2113" s="10" t="s">
        <v>9505</v>
      </c>
      <c r="H2113" s="12" t="s">
        <v>9506</v>
      </c>
      <c r="I2113" s="13">
        <v>9.9</v>
      </c>
      <c r="J2113" s="15" t="s">
        <v>9507</v>
      </c>
      <c r="K2113" s="46" t="s">
        <v>9508</v>
      </c>
      <c r="L2113" s="11" t="s">
        <v>33</v>
      </c>
      <c r="M2113" s="15" t="s">
        <v>8550</v>
      </c>
      <c r="N2113" s="17">
        <v>8250</v>
      </c>
      <c r="O2113" s="17" t="s">
        <v>8234</v>
      </c>
      <c r="P2113" s="17"/>
      <c r="Q2113" s="48" t="s">
        <v>9509</v>
      </c>
      <c r="R2113" s="11" t="s">
        <v>6847</v>
      </c>
      <c r="S2113" s="48"/>
      <c r="T2113" s="85"/>
      <c r="U2113" s="88"/>
      <c r="V2113" s="32"/>
      <c r="W2113" s="25" t="s">
        <v>8</v>
      </c>
      <c r="X2113" s="11" t="s">
        <v>9510</v>
      </c>
      <c r="Y2113" s="50"/>
      <c r="Z2113" s="50"/>
      <c r="AA2113" s="50"/>
      <c r="AB2113" s="50"/>
      <c r="AC2113" s="50"/>
      <c r="AD2113" s="50"/>
      <c r="AE2113" s="50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65"/>
      <c r="AP2113" s="69"/>
      <c r="AQ2113" s="62"/>
      <c r="AR2113" s="34"/>
    </row>
    <row r="2114" spans="1:44" customFormat="1">
      <c r="A2114" s="39">
        <v>45971</v>
      </c>
      <c r="B2114" s="11" t="s">
        <v>49</v>
      </c>
      <c r="C2114" s="16" t="s">
        <v>9511</v>
      </c>
      <c r="D2114" s="16" t="s">
        <v>9512</v>
      </c>
      <c r="E2114" s="38">
        <v>34276</v>
      </c>
      <c r="F2114" s="38" t="s">
        <v>1909</v>
      </c>
      <c r="G2114" s="10" t="s">
        <v>9513</v>
      </c>
      <c r="H2114" s="12" t="s">
        <v>9514</v>
      </c>
      <c r="I2114" s="13">
        <v>7.2</v>
      </c>
      <c r="J2114" s="15" t="s">
        <v>9515</v>
      </c>
      <c r="K2114" s="12"/>
      <c r="L2114" s="11" t="s">
        <v>33</v>
      </c>
      <c r="M2114" s="15"/>
      <c r="N2114" s="17"/>
      <c r="O2114" s="17"/>
      <c r="P2114" s="17"/>
      <c r="Q2114" s="48"/>
      <c r="R2114" s="11" t="s">
        <v>6847</v>
      </c>
      <c r="S2114" s="48"/>
      <c r="T2114" s="85"/>
      <c r="U2114" s="88"/>
      <c r="V2114" s="32"/>
      <c r="W2114" s="25"/>
      <c r="X2114" s="11"/>
      <c r="Y2114" s="50"/>
      <c r="Z2114" s="50"/>
      <c r="AA2114" s="50"/>
      <c r="AB2114" s="50"/>
      <c r="AC2114" s="50"/>
      <c r="AD2114" s="50"/>
      <c r="AE2114" s="50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65"/>
      <c r="AP2114" s="69"/>
      <c r="AQ2114" s="62"/>
      <c r="AR2114" s="34"/>
    </row>
    <row r="2115" spans="1:44" customFormat="1">
      <c r="A2115" s="39">
        <v>45975</v>
      </c>
      <c r="B2115" s="11" t="s">
        <v>22</v>
      </c>
      <c r="C2115" s="16" t="s">
        <v>9516</v>
      </c>
      <c r="D2115" s="16" t="s">
        <v>9517</v>
      </c>
      <c r="E2115" s="38">
        <v>22805</v>
      </c>
      <c r="F2115" s="38" t="s">
        <v>9518</v>
      </c>
      <c r="G2115" s="10" t="s">
        <v>9519</v>
      </c>
      <c r="H2115" s="12" t="s">
        <v>9520</v>
      </c>
      <c r="I2115" s="13" t="s">
        <v>9521</v>
      </c>
      <c r="J2115" s="15" t="s">
        <v>9522</v>
      </c>
      <c r="K2115" s="46" t="s">
        <v>9523</v>
      </c>
      <c r="L2115" s="11" t="s">
        <v>34</v>
      </c>
      <c r="M2115" s="15" t="s">
        <v>3584</v>
      </c>
      <c r="N2115" s="17">
        <v>0</v>
      </c>
      <c r="O2115" s="17"/>
      <c r="P2115" s="17"/>
      <c r="Q2115" s="48" t="s">
        <v>8733</v>
      </c>
      <c r="R2115" s="11" t="s">
        <v>8837</v>
      </c>
      <c r="S2115" s="48" t="s">
        <v>8101</v>
      </c>
      <c r="T2115" s="85" t="s">
        <v>9524</v>
      </c>
      <c r="U2115" s="88"/>
      <c r="V2115" s="32"/>
      <c r="W2115" s="25" t="s">
        <v>9525</v>
      </c>
      <c r="X2115" s="11"/>
      <c r="Y2115" s="50"/>
      <c r="Z2115" s="50"/>
      <c r="AA2115" s="50"/>
      <c r="AB2115" s="50"/>
      <c r="AC2115" s="50"/>
      <c r="AD2115" s="50"/>
      <c r="AE2115" s="50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65"/>
      <c r="AP2115" s="69"/>
      <c r="AQ2115" s="62"/>
      <c r="AR2115" s="34"/>
    </row>
    <row r="2116" spans="1:44" customFormat="1">
      <c r="A2116" s="39">
        <v>45975</v>
      </c>
      <c r="B2116" s="11" t="s">
        <v>2171</v>
      </c>
      <c r="C2116" s="16" t="s">
        <v>5817</v>
      </c>
      <c r="D2116" s="16"/>
      <c r="E2116" s="38"/>
      <c r="F2116" s="38"/>
      <c r="G2116" s="10"/>
      <c r="H2116" s="12"/>
      <c r="I2116" s="13"/>
      <c r="J2116" s="15"/>
      <c r="K2116" s="12"/>
      <c r="L2116" s="11"/>
      <c r="M2116" s="2"/>
      <c r="N2116" s="17">
        <v>3300</v>
      </c>
      <c r="O2116" s="17"/>
      <c r="P2116" s="17"/>
      <c r="Q2116" s="48" t="s">
        <v>8098</v>
      </c>
      <c r="R2116" s="11"/>
      <c r="S2116" s="48"/>
      <c r="T2116" s="85"/>
      <c r="U2116" s="88"/>
      <c r="V2116" s="32"/>
      <c r="W2116" s="25"/>
      <c r="X2116" s="11"/>
      <c r="Y2116" s="50"/>
      <c r="Z2116" s="50"/>
      <c r="AA2116" s="50"/>
      <c r="AB2116" s="50"/>
      <c r="AC2116" s="50"/>
      <c r="AD2116" s="50"/>
      <c r="AE2116" s="50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65"/>
      <c r="AP2116" s="69"/>
      <c r="AQ2116" s="62"/>
      <c r="AR2116" s="34"/>
    </row>
    <row r="2117" spans="1:44" customFormat="1">
      <c r="A2117" s="39">
        <v>45975</v>
      </c>
      <c r="B2117" s="11" t="s">
        <v>22</v>
      </c>
      <c r="C2117" s="16" t="s">
        <v>9526</v>
      </c>
      <c r="D2117" s="16" t="s">
        <v>9527</v>
      </c>
      <c r="E2117" s="38">
        <v>34447</v>
      </c>
      <c r="F2117" s="38" t="s">
        <v>9528</v>
      </c>
      <c r="G2117" s="10" t="s">
        <v>9529</v>
      </c>
      <c r="H2117" s="12" t="s">
        <v>9530</v>
      </c>
      <c r="I2117" s="13">
        <v>1.2</v>
      </c>
      <c r="J2117" s="15" t="s">
        <v>9531</v>
      </c>
      <c r="K2117" s="46" t="s">
        <v>9532</v>
      </c>
      <c r="L2117" s="11" t="s">
        <v>36</v>
      </c>
      <c r="M2117" s="15" t="s">
        <v>3584</v>
      </c>
      <c r="N2117" s="17">
        <v>0</v>
      </c>
      <c r="O2117" s="17"/>
      <c r="P2117" s="17"/>
      <c r="Q2117" s="48" t="s">
        <v>8733</v>
      </c>
      <c r="R2117" s="11" t="s">
        <v>8503</v>
      </c>
      <c r="S2117" s="48"/>
      <c r="T2117" s="85" t="s">
        <v>9533</v>
      </c>
      <c r="U2117" s="88"/>
      <c r="V2117" s="32"/>
      <c r="W2117" s="25" t="s">
        <v>9408</v>
      </c>
      <c r="X2117" s="11"/>
      <c r="Y2117" s="50"/>
      <c r="Z2117" s="50"/>
      <c r="AA2117" s="50"/>
      <c r="AB2117" s="50"/>
      <c r="AC2117" s="50"/>
      <c r="AD2117" s="50"/>
      <c r="AE2117" s="50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65"/>
      <c r="AP2117" s="69"/>
      <c r="AQ2117" s="62"/>
      <c r="AR2117" s="34"/>
    </row>
    <row r="2118" spans="1:44" customFormat="1">
      <c r="A2118" s="39">
        <v>45976</v>
      </c>
      <c r="B2118" s="11" t="s">
        <v>22</v>
      </c>
      <c r="C2118" s="16" t="s">
        <v>9534</v>
      </c>
      <c r="D2118" s="16" t="s">
        <v>9535</v>
      </c>
      <c r="E2118" s="38">
        <v>24176</v>
      </c>
      <c r="F2118" s="38" t="s">
        <v>9536</v>
      </c>
      <c r="G2118" s="10" t="s">
        <v>9537</v>
      </c>
      <c r="H2118" s="12" t="s">
        <v>9538</v>
      </c>
      <c r="I2118" s="13">
        <v>17</v>
      </c>
      <c r="J2118" s="15" t="s">
        <v>9539</v>
      </c>
      <c r="K2118" s="12"/>
      <c r="L2118" s="11" t="s">
        <v>36</v>
      </c>
      <c r="M2118" s="15" t="s">
        <v>3629</v>
      </c>
      <c r="N2118" s="17">
        <v>0</v>
      </c>
      <c r="O2118" s="17"/>
      <c r="P2118" s="17"/>
      <c r="Q2118" s="48" t="s">
        <v>8733</v>
      </c>
      <c r="R2118" s="11" t="s">
        <v>8503</v>
      </c>
      <c r="S2118" s="48"/>
      <c r="T2118" s="85"/>
      <c r="U2118" s="88"/>
      <c r="V2118" s="32"/>
      <c r="W2118" s="25"/>
      <c r="X2118" s="11"/>
      <c r="Y2118" s="50"/>
      <c r="Z2118" s="50"/>
      <c r="AA2118" s="50"/>
      <c r="AB2118" s="50"/>
      <c r="AC2118" s="50"/>
      <c r="AD2118" s="50"/>
      <c r="AE2118" s="50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65"/>
      <c r="AP2118" s="69"/>
      <c r="AQ2118" s="62"/>
      <c r="AR2118" s="34"/>
    </row>
    <row r="2119" spans="1:44" customFormat="1">
      <c r="A2119" s="39">
        <v>45977</v>
      </c>
      <c r="B2119" s="11" t="s">
        <v>22</v>
      </c>
      <c r="C2119" s="16" t="s">
        <v>9540</v>
      </c>
      <c r="D2119" s="16" t="s">
        <v>9551</v>
      </c>
      <c r="E2119" s="38">
        <v>23828</v>
      </c>
      <c r="F2119" s="38" t="s">
        <v>9546</v>
      </c>
      <c r="G2119" s="10" t="s">
        <v>9552</v>
      </c>
      <c r="H2119" s="12" t="s">
        <v>9553</v>
      </c>
      <c r="I2119" s="13" t="s">
        <v>9556</v>
      </c>
      <c r="J2119" s="15" t="s">
        <v>9554</v>
      </c>
      <c r="K2119" s="46" t="s">
        <v>9555</v>
      </c>
      <c r="L2119" s="11" t="s">
        <v>34</v>
      </c>
      <c r="M2119" s="15" t="s">
        <v>3584</v>
      </c>
      <c r="N2119" s="17">
        <v>0</v>
      </c>
      <c r="O2119" s="17"/>
      <c r="P2119" s="17"/>
      <c r="Q2119" s="48" t="s">
        <v>8733</v>
      </c>
      <c r="R2119" s="11" t="s">
        <v>6943</v>
      </c>
      <c r="S2119" s="48"/>
      <c r="T2119" s="85" t="s">
        <v>9541</v>
      </c>
      <c r="U2119" s="88"/>
      <c r="V2119" s="32"/>
      <c r="W2119" s="25" t="s">
        <v>9542</v>
      </c>
      <c r="X2119" s="11" t="s">
        <v>9543</v>
      </c>
      <c r="Y2119" s="50"/>
      <c r="Z2119" s="50"/>
      <c r="AA2119" s="50"/>
      <c r="AB2119" s="50"/>
      <c r="AC2119" s="50"/>
      <c r="AD2119" s="50"/>
      <c r="AE2119" s="50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65"/>
      <c r="AP2119" s="69"/>
      <c r="AQ2119" s="62"/>
      <c r="AR2119" s="34"/>
    </row>
    <row r="2120" spans="1:44" customFormat="1">
      <c r="A2120" s="39">
        <v>45977</v>
      </c>
      <c r="B2120" s="11" t="s">
        <v>22</v>
      </c>
      <c r="C2120" s="16" t="s">
        <v>9544</v>
      </c>
      <c r="D2120" s="16" t="s">
        <v>9545</v>
      </c>
      <c r="E2120" s="38">
        <v>25431</v>
      </c>
      <c r="F2120" s="38" t="s">
        <v>9546</v>
      </c>
      <c r="G2120" s="10" t="s">
        <v>9547</v>
      </c>
      <c r="H2120" s="12" t="s">
        <v>9548</v>
      </c>
      <c r="I2120" s="13">
        <v>3.4</v>
      </c>
      <c r="J2120" s="15" t="s">
        <v>9549</v>
      </c>
      <c r="K2120" s="46" t="s">
        <v>9550</v>
      </c>
      <c r="L2120" s="11" t="s">
        <v>36</v>
      </c>
      <c r="M2120" s="15" t="s">
        <v>3584</v>
      </c>
      <c r="N2120" s="17">
        <v>0</v>
      </c>
      <c r="O2120" s="17"/>
      <c r="P2120" s="17"/>
      <c r="Q2120" s="48" t="s">
        <v>8733</v>
      </c>
      <c r="R2120" s="11" t="s">
        <v>8837</v>
      </c>
      <c r="S2120" s="48"/>
      <c r="T2120" s="85" t="s">
        <v>9424</v>
      </c>
      <c r="U2120" s="88"/>
      <c r="V2120" s="32"/>
      <c r="W2120" s="25" t="s">
        <v>3282</v>
      </c>
      <c r="X2120" s="11"/>
      <c r="Y2120" s="50"/>
      <c r="Z2120" s="50"/>
      <c r="AA2120" s="50"/>
      <c r="AB2120" s="50"/>
      <c r="AC2120" s="50"/>
      <c r="AD2120" s="50"/>
      <c r="AE2120" s="50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65"/>
      <c r="AP2120" s="69"/>
      <c r="AQ2120" s="62"/>
      <c r="AR2120" s="34"/>
    </row>
    <row r="2121" spans="1:44" customFormat="1">
      <c r="A2121" s="39">
        <v>45978</v>
      </c>
      <c r="B2121" s="11" t="s">
        <v>49</v>
      </c>
      <c r="C2121" s="16" t="s">
        <v>9557</v>
      </c>
      <c r="D2121" s="16" t="s">
        <v>9558</v>
      </c>
      <c r="E2121" s="38">
        <v>31542</v>
      </c>
      <c r="F2121" s="38" t="s">
        <v>9559</v>
      </c>
      <c r="G2121" s="10" t="s">
        <v>9560</v>
      </c>
      <c r="H2121" s="12" t="s">
        <v>9561</v>
      </c>
      <c r="I2121" s="13">
        <v>8.3000000000000007</v>
      </c>
      <c r="J2121" s="15" t="s">
        <v>9562</v>
      </c>
      <c r="K2121" s="46" t="s">
        <v>9563</v>
      </c>
      <c r="L2121" s="11" t="s">
        <v>36</v>
      </c>
      <c r="M2121" s="15" t="s">
        <v>3584</v>
      </c>
      <c r="N2121" s="17">
        <v>16500</v>
      </c>
      <c r="O2121" s="17"/>
      <c r="P2121" s="17"/>
      <c r="Q2121" s="48" t="s">
        <v>9564</v>
      </c>
      <c r="R2121" s="11" t="s">
        <v>6847</v>
      </c>
      <c r="S2121" s="48" t="s">
        <v>8102</v>
      </c>
      <c r="T2121" s="85"/>
      <c r="U2121" s="88"/>
      <c r="V2121" s="32"/>
      <c r="W2121" s="25" t="s">
        <v>6747</v>
      </c>
      <c r="X2121" s="11"/>
      <c r="Y2121" s="50"/>
      <c r="Z2121" s="50"/>
      <c r="AA2121" s="50"/>
      <c r="AB2121" s="50"/>
      <c r="AC2121" s="50"/>
      <c r="AD2121" s="50"/>
      <c r="AE2121" s="50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65"/>
      <c r="AP2121" s="69"/>
      <c r="AQ2121" s="62"/>
      <c r="AR2121" s="34"/>
    </row>
    <row r="2122" spans="1:44" customFormat="1">
      <c r="A2122" s="39">
        <v>45981</v>
      </c>
      <c r="B2122" s="11" t="s">
        <v>49</v>
      </c>
      <c r="C2122" s="16" t="s">
        <v>3971</v>
      </c>
      <c r="D2122" s="16" t="s">
        <v>9565</v>
      </c>
      <c r="E2122" s="38">
        <v>24749</v>
      </c>
      <c r="F2122" s="38" t="s">
        <v>9566</v>
      </c>
      <c r="G2122" s="10" t="s">
        <v>52</v>
      </c>
      <c r="H2122" s="12" t="s">
        <v>3972</v>
      </c>
      <c r="I2122" s="13" t="s">
        <v>3973</v>
      </c>
      <c r="J2122" s="15" t="s">
        <v>3974</v>
      </c>
      <c r="K2122" s="12"/>
      <c r="L2122" s="11" t="s">
        <v>33</v>
      </c>
      <c r="M2122" s="15"/>
      <c r="N2122" s="17">
        <v>16500</v>
      </c>
      <c r="O2122" s="17"/>
      <c r="P2122" s="17"/>
      <c r="Q2122" s="48" t="s">
        <v>8098</v>
      </c>
      <c r="R2122" s="11" t="s">
        <v>9567</v>
      </c>
      <c r="S2122" s="48" t="s">
        <v>9568</v>
      </c>
      <c r="T2122" s="85" t="s">
        <v>9576</v>
      </c>
      <c r="U2122" s="88"/>
      <c r="V2122" s="32"/>
      <c r="W2122" s="25" t="s">
        <v>48</v>
      </c>
      <c r="X2122" s="11"/>
      <c r="Y2122" s="50"/>
      <c r="Z2122" s="50"/>
      <c r="AA2122" s="50"/>
      <c r="AB2122" s="50"/>
      <c r="AC2122" s="50"/>
      <c r="AD2122" s="50"/>
      <c r="AE2122" s="50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65"/>
      <c r="AP2122" s="69"/>
      <c r="AQ2122" s="62"/>
      <c r="AR2122" s="34"/>
    </row>
    <row r="2123" spans="1:44" customFormat="1">
      <c r="A2123" s="39">
        <v>45981</v>
      </c>
      <c r="B2123" s="11" t="s">
        <v>49</v>
      </c>
      <c r="C2123" s="16" t="s">
        <v>9569</v>
      </c>
      <c r="D2123" s="16" t="s">
        <v>9570</v>
      </c>
      <c r="E2123" s="38">
        <v>23292</v>
      </c>
      <c r="F2123" s="38" t="s">
        <v>9571</v>
      </c>
      <c r="G2123" s="10" t="s">
        <v>9573</v>
      </c>
      <c r="H2123" s="12" t="s">
        <v>9572</v>
      </c>
      <c r="I2123" s="13">
        <v>33.5</v>
      </c>
      <c r="J2123" s="15" t="s">
        <v>9574</v>
      </c>
      <c r="K2123" s="12"/>
      <c r="L2123" s="11" t="s">
        <v>33</v>
      </c>
      <c r="M2123" s="15"/>
      <c r="N2123" s="17">
        <v>11000</v>
      </c>
      <c r="O2123" s="17"/>
      <c r="P2123" s="17"/>
      <c r="Q2123" s="48" t="s">
        <v>8098</v>
      </c>
      <c r="R2123" s="11" t="s">
        <v>6847</v>
      </c>
      <c r="S2123" s="48" t="s">
        <v>8101</v>
      </c>
      <c r="T2123" s="85"/>
      <c r="U2123" s="88"/>
      <c r="V2123" s="32"/>
      <c r="W2123" s="25" t="s">
        <v>8</v>
      </c>
      <c r="X2123" s="48" t="s">
        <v>9575</v>
      </c>
      <c r="Y2123" s="50"/>
      <c r="Z2123" s="50"/>
      <c r="AA2123" s="50"/>
      <c r="AB2123" s="50"/>
      <c r="AC2123" s="50"/>
      <c r="AD2123" s="50"/>
      <c r="AE2123" s="50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65"/>
      <c r="AP2123" s="69"/>
      <c r="AQ2123" s="62"/>
      <c r="AR2123" s="34"/>
    </row>
    <row r="2124" spans="1:44" customFormat="1">
      <c r="A2124" s="39">
        <v>45982</v>
      </c>
      <c r="B2124" s="11" t="s">
        <v>22</v>
      </c>
      <c r="C2124" s="16" t="s">
        <v>9453</v>
      </c>
      <c r="D2124" s="16" t="s">
        <v>9454</v>
      </c>
      <c r="E2124" s="38">
        <v>31169</v>
      </c>
      <c r="F2124" s="38" t="s">
        <v>1909</v>
      </c>
      <c r="G2124" s="10" t="s">
        <v>9456</v>
      </c>
      <c r="H2124" s="12" t="s">
        <v>9582</v>
      </c>
      <c r="I2124" s="13" t="s">
        <v>9457</v>
      </c>
      <c r="J2124" s="15" t="s">
        <v>9458</v>
      </c>
      <c r="K2124" s="12"/>
      <c r="L2124" s="11" t="s">
        <v>33</v>
      </c>
      <c r="M2124" s="15" t="s">
        <v>3680</v>
      </c>
      <c r="N2124" s="17">
        <v>0</v>
      </c>
      <c r="O2124" s="17"/>
      <c r="P2124" s="17"/>
      <c r="Q2124" s="48" t="s">
        <v>8733</v>
      </c>
      <c r="R2124" s="11" t="s">
        <v>8503</v>
      </c>
      <c r="S2124" s="48" t="s">
        <v>8101</v>
      </c>
      <c r="T2124" s="85" t="s">
        <v>9640</v>
      </c>
      <c r="U2124" s="88"/>
      <c r="V2124" s="32"/>
      <c r="W2124" s="25" t="s">
        <v>9408</v>
      </c>
      <c r="X2124" s="11" t="s">
        <v>9460</v>
      </c>
      <c r="Y2124" s="50"/>
      <c r="Z2124" s="50"/>
      <c r="AA2124" s="50"/>
      <c r="AB2124" s="50"/>
      <c r="AC2124" s="50"/>
      <c r="AD2124" s="50"/>
      <c r="AE2124" s="50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65"/>
      <c r="AP2124" s="69"/>
      <c r="AQ2124" s="62"/>
      <c r="AR2124" s="34"/>
    </row>
    <row r="2125" spans="1:44" customFormat="1">
      <c r="A2125" s="39">
        <v>45982</v>
      </c>
      <c r="B2125" s="11" t="s">
        <v>22</v>
      </c>
      <c r="C2125" s="16" t="s">
        <v>9577</v>
      </c>
      <c r="D2125" s="16" t="s">
        <v>9578</v>
      </c>
      <c r="E2125" s="38">
        <v>30244</v>
      </c>
      <c r="F2125" s="38" t="s">
        <v>9579</v>
      </c>
      <c r="G2125" s="10" t="s">
        <v>9580</v>
      </c>
      <c r="H2125" s="12" t="s">
        <v>9581</v>
      </c>
      <c r="I2125" s="13">
        <v>46.1</v>
      </c>
      <c r="J2125" s="15" t="s">
        <v>9583</v>
      </c>
      <c r="K2125" s="12"/>
      <c r="L2125" s="11"/>
      <c r="M2125" s="15"/>
      <c r="N2125" s="17">
        <v>0</v>
      </c>
      <c r="O2125" s="17"/>
      <c r="P2125" s="17"/>
      <c r="Q2125" s="48" t="s">
        <v>8733</v>
      </c>
      <c r="R2125" s="11" t="s">
        <v>8503</v>
      </c>
      <c r="S2125" s="48" t="s">
        <v>8101</v>
      </c>
      <c r="T2125" s="85"/>
      <c r="U2125" s="88"/>
      <c r="V2125" s="32"/>
      <c r="W2125" s="25" t="s">
        <v>9408</v>
      </c>
      <c r="X2125" s="11" t="s">
        <v>9584</v>
      </c>
      <c r="Y2125" s="50"/>
      <c r="Z2125" s="50"/>
      <c r="AA2125" s="50"/>
      <c r="AB2125" s="50"/>
      <c r="AC2125" s="50"/>
      <c r="AD2125" s="50"/>
      <c r="AE2125" s="50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65"/>
      <c r="AP2125" s="69"/>
      <c r="AQ2125" s="62"/>
      <c r="AR2125" s="34"/>
    </row>
    <row r="2126" spans="1:44" customFormat="1">
      <c r="A2126" s="39">
        <v>45983</v>
      </c>
      <c r="B2126" s="11" t="s">
        <v>22</v>
      </c>
      <c r="C2126" s="16" t="s">
        <v>9585</v>
      </c>
      <c r="D2126" s="16" t="s">
        <v>9586</v>
      </c>
      <c r="E2126" s="38">
        <v>28082</v>
      </c>
      <c r="F2126" s="38" t="s">
        <v>9587</v>
      </c>
      <c r="G2126" s="10" t="s">
        <v>9588</v>
      </c>
      <c r="H2126" s="12" t="s">
        <v>9589</v>
      </c>
      <c r="I2126" s="13">
        <v>3.5</v>
      </c>
      <c r="J2126" s="15" t="s">
        <v>9590</v>
      </c>
      <c r="K2126" s="12"/>
      <c r="L2126" s="11" t="s">
        <v>36</v>
      </c>
      <c r="M2126" s="15" t="s">
        <v>3629</v>
      </c>
      <c r="N2126" s="17">
        <v>0</v>
      </c>
      <c r="O2126" s="17"/>
      <c r="P2126" s="17"/>
      <c r="Q2126" s="48" t="s">
        <v>8733</v>
      </c>
      <c r="R2126" s="11" t="s">
        <v>8837</v>
      </c>
      <c r="S2126" s="48"/>
      <c r="T2126" s="85"/>
      <c r="U2126" s="88"/>
      <c r="V2126" s="32"/>
      <c r="W2126" s="25" t="s">
        <v>4073</v>
      </c>
      <c r="X2126" s="11"/>
      <c r="Y2126" s="50"/>
      <c r="Z2126" s="50"/>
      <c r="AA2126" s="50"/>
      <c r="AB2126" s="50"/>
      <c r="AC2126" s="50"/>
      <c r="AD2126" s="50"/>
      <c r="AE2126" s="50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65"/>
      <c r="AP2126" s="69"/>
      <c r="AQ2126" s="62"/>
      <c r="AR2126" s="34"/>
    </row>
    <row r="2127" spans="1:44" customFormat="1">
      <c r="A2127" s="39">
        <v>45983</v>
      </c>
      <c r="B2127" s="11" t="s">
        <v>22</v>
      </c>
      <c r="C2127" s="16" t="s">
        <v>9591</v>
      </c>
      <c r="D2127" s="16" t="s">
        <v>9592</v>
      </c>
      <c r="E2127" s="38">
        <v>27836</v>
      </c>
      <c r="F2127" s="38" t="s">
        <v>9593</v>
      </c>
      <c r="G2127" s="10" t="s">
        <v>9594</v>
      </c>
      <c r="H2127" s="12" t="s">
        <v>9595</v>
      </c>
      <c r="I2127" s="13">
        <v>7.4</v>
      </c>
      <c r="J2127" s="15" t="s">
        <v>9596</v>
      </c>
      <c r="K2127" s="46" t="s">
        <v>9597</v>
      </c>
      <c r="L2127" s="11" t="s">
        <v>36</v>
      </c>
      <c r="M2127" s="15" t="s">
        <v>3584</v>
      </c>
      <c r="N2127" s="17">
        <v>0</v>
      </c>
      <c r="O2127" s="17"/>
      <c r="P2127" s="17"/>
      <c r="Q2127" s="48" t="s">
        <v>8733</v>
      </c>
      <c r="R2127" s="11" t="s">
        <v>8837</v>
      </c>
      <c r="S2127" s="48"/>
      <c r="T2127" s="85"/>
      <c r="U2127" s="88"/>
      <c r="V2127" s="32"/>
      <c r="W2127" s="25" t="s">
        <v>9408</v>
      </c>
      <c r="X2127" s="11" t="s">
        <v>9598</v>
      </c>
      <c r="Y2127" s="50"/>
      <c r="Z2127" s="50"/>
      <c r="AA2127" s="50"/>
      <c r="AB2127" s="50"/>
      <c r="AC2127" s="50"/>
      <c r="AD2127" s="50"/>
      <c r="AE2127" s="50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65"/>
      <c r="AP2127" s="69"/>
      <c r="AQ2127" s="62"/>
      <c r="AR2127" s="34"/>
    </row>
    <row r="2128" spans="1:44" customFormat="1">
      <c r="A2128" s="39">
        <v>45984</v>
      </c>
      <c r="B2128" s="11" t="s">
        <v>22</v>
      </c>
      <c r="C2128" s="16" t="s">
        <v>9599</v>
      </c>
      <c r="D2128" s="16" t="s">
        <v>9600</v>
      </c>
      <c r="E2128" s="38">
        <v>35696</v>
      </c>
      <c r="F2128" s="38" t="s">
        <v>9601</v>
      </c>
      <c r="G2128" s="10" t="s">
        <v>9602</v>
      </c>
      <c r="H2128" s="12" t="s">
        <v>9603</v>
      </c>
      <c r="I2128" s="13">
        <v>41.2</v>
      </c>
      <c r="J2128" s="15" t="s">
        <v>9604</v>
      </c>
      <c r="K2128" s="46" t="s">
        <v>9605</v>
      </c>
      <c r="L2128" s="11" t="s">
        <v>33</v>
      </c>
      <c r="M2128" s="15" t="s">
        <v>3584</v>
      </c>
      <c r="N2128" s="17">
        <v>0</v>
      </c>
      <c r="O2128" s="17"/>
      <c r="P2128" s="17"/>
      <c r="Q2128" s="48" t="s">
        <v>8733</v>
      </c>
      <c r="R2128" s="11" t="s">
        <v>8837</v>
      </c>
      <c r="S2128" s="48"/>
      <c r="T2128" s="85"/>
      <c r="U2128" s="88"/>
      <c r="V2128" s="32"/>
      <c r="W2128" s="25" t="s">
        <v>9606</v>
      </c>
      <c r="X2128" s="11" t="s">
        <v>9607</v>
      </c>
      <c r="Y2128" s="50"/>
      <c r="Z2128" s="50"/>
      <c r="AA2128" s="50"/>
      <c r="AB2128" s="50"/>
      <c r="AC2128" s="50"/>
      <c r="AD2128" s="50"/>
      <c r="AE2128" s="50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65"/>
      <c r="AP2128" s="69"/>
      <c r="AQ2128" s="62"/>
      <c r="AR2128" s="34"/>
    </row>
    <row r="2129" spans="1:44" customFormat="1">
      <c r="A2129" s="39">
        <v>45987</v>
      </c>
      <c r="B2129" s="11" t="s">
        <v>49</v>
      </c>
      <c r="C2129" s="16" t="s">
        <v>9608</v>
      </c>
      <c r="D2129" s="16" t="s">
        <v>9609</v>
      </c>
      <c r="E2129" s="38">
        <v>21152</v>
      </c>
      <c r="F2129" s="38" t="s">
        <v>9610</v>
      </c>
      <c r="G2129" s="10" t="s">
        <v>9611</v>
      </c>
      <c r="H2129" s="12" t="s">
        <v>9612</v>
      </c>
      <c r="I2129" s="13">
        <v>5.3</v>
      </c>
      <c r="J2129" s="15" t="s">
        <v>9613</v>
      </c>
      <c r="K2129" s="46" t="s">
        <v>9614</v>
      </c>
      <c r="L2129" s="11" t="s">
        <v>39</v>
      </c>
      <c r="M2129" s="15" t="s">
        <v>3584</v>
      </c>
      <c r="N2129" s="17">
        <v>16500</v>
      </c>
      <c r="O2129" s="17"/>
      <c r="P2129" s="17"/>
      <c r="Q2129" s="48" t="s">
        <v>9615</v>
      </c>
      <c r="R2129" s="11" t="s">
        <v>6847</v>
      </c>
      <c r="S2129" s="48"/>
      <c r="T2129" s="85" t="s">
        <v>9616</v>
      </c>
      <c r="U2129" s="88"/>
      <c r="V2129" s="32"/>
      <c r="W2129" s="25" t="s">
        <v>48</v>
      </c>
      <c r="X2129" s="11"/>
      <c r="Y2129" s="50"/>
      <c r="Z2129" s="50"/>
      <c r="AA2129" s="50"/>
      <c r="AB2129" s="50"/>
      <c r="AC2129" s="50"/>
      <c r="AD2129" s="50"/>
      <c r="AE2129" s="50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65"/>
      <c r="AP2129" s="69"/>
      <c r="AQ2129" s="62"/>
      <c r="AR2129" s="34"/>
    </row>
    <row r="2130" spans="1:44" customFormat="1">
      <c r="A2130" s="39">
        <v>45989</v>
      </c>
      <c r="B2130" s="11" t="s">
        <v>22</v>
      </c>
      <c r="C2130" s="16" t="s">
        <v>9617</v>
      </c>
      <c r="D2130" s="16" t="s">
        <v>9618</v>
      </c>
      <c r="E2130" s="38">
        <v>27010</v>
      </c>
      <c r="F2130" s="38" t="s">
        <v>9619</v>
      </c>
      <c r="G2130" s="10" t="s">
        <v>9620</v>
      </c>
      <c r="H2130" s="12" t="s">
        <v>9621</v>
      </c>
      <c r="I2130" s="13">
        <v>2.6</v>
      </c>
      <c r="J2130" s="15" t="s">
        <v>9629</v>
      </c>
      <c r="K2130" s="12"/>
      <c r="L2130" s="11" t="s">
        <v>39</v>
      </c>
      <c r="M2130" s="15" t="s">
        <v>3629</v>
      </c>
      <c r="N2130" s="17">
        <v>0</v>
      </c>
      <c r="O2130" s="17"/>
      <c r="P2130" s="17"/>
      <c r="Q2130" s="48" t="s">
        <v>8733</v>
      </c>
      <c r="R2130" s="11" t="s">
        <v>8837</v>
      </c>
      <c r="S2130" s="48"/>
      <c r="T2130" s="85"/>
      <c r="U2130" s="88"/>
      <c r="V2130" s="32"/>
      <c r="W2130" s="25" t="s">
        <v>9622</v>
      </c>
      <c r="X2130" s="11" t="s">
        <v>9623</v>
      </c>
      <c r="Y2130" s="50"/>
      <c r="Z2130" s="50"/>
      <c r="AA2130" s="50"/>
      <c r="AB2130" s="50"/>
      <c r="AC2130" s="50"/>
      <c r="AD2130" s="50"/>
      <c r="AE2130" s="50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65"/>
      <c r="AP2130" s="69"/>
      <c r="AQ2130" s="62"/>
      <c r="AR2130" s="34"/>
    </row>
    <row r="2131" spans="1:44" customFormat="1">
      <c r="A2131" s="39">
        <v>45991</v>
      </c>
      <c r="B2131" s="11" t="s">
        <v>49</v>
      </c>
      <c r="C2131" s="16" t="s">
        <v>9624</v>
      </c>
      <c r="D2131" s="16" t="s">
        <v>9625</v>
      </c>
      <c r="E2131" s="38">
        <v>33235</v>
      </c>
      <c r="F2131" s="38" t="s">
        <v>9626</v>
      </c>
      <c r="G2131" s="10" t="s">
        <v>9627</v>
      </c>
      <c r="H2131" s="12" t="s">
        <v>9628</v>
      </c>
      <c r="I2131" s="13">
        <v>11.8</v>
      </c>
      <c r="J2131" s="15" t="s">
        <v>9630</v>
      </c>
      <c r="K2131" s="12"/>
      <c r="L2131" s="11" t="s">
        <v>36</v>
      </c>
      <c r="M2131" s="15" t="s">
        <v>3599</v>
      </c>
      <c r="N2131" s="17">
        <v>16500</v>
      </c>
      <c r="O2131" s="17"/>
      <c r="P2131" s="17"/>
      <c r="Q2131" s="48" t="s">
        <v>9631</v>
      </c>
      <c r="R2131" s="11" t="s">
        <v>6848</v>
      </c>
      <c r="S2131" s="48"/>
      <c r="T2131" s="85"/>
      <c r="U2131" s="88"/>
      <c r="V2131" s="32"/>
      <c r="W2131" s="25" t="s">
        <v>48</v>
      </c>
      <c r="X2131" s="11"/>
      <c r="Y2131" s="50"/>
      <c r="Z2131" s="50"/>
      <c r="AA2131" s="50"/>
      <c r="AB2131" s="50"/>
      <c r="AC2131" s="50"/>
      <c r="AD2131" s="50"/>
      <c r="AE2131" s="50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65"/>
      <c r="AP2131" s="69"/>
      <c r="AQ2131" s="62"/>
      <c r="AR2131" s="34"/>
    </row>
    <row r="2132" spans="1:44" customFormat="1">
      <c r="A2132" s="39">
        <v>45991</v>
      </c>
      <c r="B2132" s="11" t="s">
        <v>22</v>
      </c>
      <c r="C2132" s="16" t="s">
        <v>9632</v>
      </c>
      <c r="D2132" s="16" t="s">
        <v>9633</v>
      </c>
      <c r="E2132" s="38">
        <v>25441</v>
      </c>
      <c r="F2132" s="38" t="s">
        <v>9634</v>
      </c>
      <c r="G2132" s="10" t="s">
        <v>9635</v>
      </c>
      <c r="H2132" s="12" t="s">
        <v>9636</v>
      </c>
      <c r="I2132" s="13">
        <v>2.9</v>
      </c>
      <c r="J2132" s="15" t="s">
        <v>9637</v>
      </c>
      <c r="K2132" s="46" t="s">
        <v>9638</v>
      </c>
      <c r="L2132" s="11"/>
      <c r="M2132" s="15" t="s">
        <v>3584</v>
      </c>
      <c r="N2132" s="17">
        <v>0</v>
      </c>
      <c r="O2132" s="17"/>
      <c r="P2132" s="17"/>
      <c r="Q2132" s="48" t="s">
        <v>8733</v>
      </c>
      <c r="R2132" s="11" t="s">
        <v>6848</v>
      </c>
      <c r="S2132" s="48"/>
      <c r="T2132" s="85" t="s">
        <v>9640</v>
      </c>
      <c r="U2132" s="88"/>
      <c r="V2132" s="32"/>
      <c r="W2132" s="25" t="s">
        <v>39</v>
      </c>
      <c r="X2132" s="11" t="s">
        <v>9639</v>
      </c>
      <c r="Y2132" s="50"/>
      <c r="Z2132" s="50"/>
      <c r="AA2132" s="50"/>
      <c r="AB2132" s="50"/>
      <c r="AC2132" s="50"/>
      <c r="AD2132" s="50"/>
      <c r="AE2132" s="50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65"/>
      <c r="AP2132" s="69"/>
      <c r="AQ2132" s="62"/>
      <c r="AR2132" s="34"/>
    </row>
    <row r="2133" spans="1:44" customFormat="1">
      <c r="A2133" s="39">
        <v>45994</v>
      </c>
      <c r="B2133" s="11" t="s">
        <v>49</v>
      </c>
      <c r="C2133" s="16" t="s">
        <v>5773</v>
      </c>
      <c r="D2133" s="16" t="s">
        <v>9641</v>
      </c>
      <c r="E2133" s="38">
        <v>30723</v>
      </c>
      <c r="F2133" s="38" t="s">
        <v>9642</v>
      </c>
      <c r="G2133" s="10" t="s">
        <v>9643</v>
      </c>
      <c r="H2133" s="12" t="s">
        <v>6436</v>
      </c>
      <c r="I2133" s="13" t="s">
        <v>9644</v>
      </c>
      <c r="J2133" s="15" t="s">
        <v>9645</v>
      </c>
      <c r="K2133" s="46" t="s">
        <v>5776</v>
      </c>
      <c r="L2133" s="11"/>
      <c r="M2133" s="15" t="s">
        <v>3584</v>
      </c>
      <c r="N2133" s="17">
        <v>16500</v>
      </c>
      <c r="O2133" s="17"/>
      <c r="P2133" s="17"/>
      <c r="Q2133" s="48" t="s">
        <v>8098</v>
      </c>
      <c r="R2133" s="11" t="s">
        <v>6847</v>
      </c>
      <c r="S2133" s="48"/>
      <c r="T2133" s="85" t="s">
        <v>8073</v>
      </c>
      <c r="U2133" s="88"/>
      <c r="V2133" s="32"/>
      <c r="W2133" s="25"/>
      <c r="X2133" s="11"/>
      <c r="Y2133" s="50"/>
      <c r="Z2133" s="50"/>
      <c r="AA2133" s="50"/>
      <c r="AB2133" s="50"/>
      <c r="AC2133" s="50"/>
      <c r="AD2133" s="50"/>
      <c r="AE2133" s="50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65"/>
      <c r="AP2133" s="69"/>
      <c r="AQ2133" s="62"/>
      <c r="AR2133" s="34"/>
    </row>
    <row r="2134" spans="1:44" customFormat="1">
      <c r="A2134" s="39">
        <v>45997</v>
      </c>
      <c r="B2134" s="11" t="s">
        <v>22</v>
      </c>
      <c r="C2134" s="16" t="s">
        <v>9646</v>
      </c>
      <c r="D2134" s="16" t="s">
        <v>9647</v>
      </c>
      <c r="E2134" s="38">
        <v>21552</v>
      </c>
      <c r="F2134" s="38" t="s">
        <v>9648</v>
      </c>
      <c r="G2134" s="10" t="s">
        <v>9649</v>
      </c>
      <c r="H2134" s="12" t="s">
        <v>9650</v>
      </c>
      <c r="I2134" s="13">
        <v>5.2</v>
      </c>
      <c r="J2134" s="15" t="s">
        <v>9651</v>
      </c>
      <c r="K2134" s="46" t="s">
        <v>9652</v>
      </c>
      <c r="L2134" s="11" t="s">
        <v>34</v>
      </c>
      <c r="M2134" s="15" t="s">
        <v>3584</v>
      </c>
      <c r="N2134" s="17">
        <v>0</v>
      </c>
      <c r="O2134" s="17"/>
      <c r="P2134" s="17"/>
      <c r="Q2134" s="48" t="s">
        <v>8733</v>
      </c>
      <c r="R2134" s="11" t="s">
        <v>6847</v>
      </c>
      <c r="S2134" s="48"/>
      <c r="T2134" s="85" t="s">
        <v>81</v>
      </c>
      <c r="U2134" s="88"/>
      <c r="V2134" s="32"/>
      <c r="W2134" s="25" t="s">
        <v>9653</v>
      </c>
      <c r="X2134" s="11"/>
      <c r="Y2134" s="50"/>
      <c r="Z2134" s="50"/>
      <c r="AA2134" s="50"/>
      <c r="AB2134" s="50"/>
      <c r="AC2134" s="50"/>
      <c r="AD2134" s="50"/>
      <c r="AE2134" s="50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65"/>
      <c r="AP2134" s="69"/>
      <c r="AQ2134" s="62"/>
      <c r="AR2134" s="34"/>
    </row>
    <row r="2135" spans="1:44" customFormat="1">
      <c r="A2135" s="39">
        <v>45999</v>
      </c>
      <c r="B2135" s="11" t="s">
        <v>22</v>
      </c>
      <c r="C2135" s="16" t="s">
        <v>9654</v>
      </c>
      <c r="D2135" s="16"/>
      <c r="E2135" s="38">
        <v>32315</v>
      </c>
      <c r="F2135" s="38" t="s">
        <v>9655</v>
      </c>
      <c r="G2135" s="10" t="s">
        <v>9656</v>
      </c>
      <c r="H2135" s="12" t="s">
        <v>9657</v>
      </c>
      <c r="I2135" s="13">
        <v>4.2</v>
      </c>
      <c r="J2135" s="15" t="s">
        <v>9658</v>
      </c>
      <c r="K2135" s="46" t="s">
        <v>9659</v>
      </c>
      <c r="L2135" s="11" t="s">
        <v>36</v>
      </c>
      <c r="M2135" s="15" t="s">
        <v>3584</v>
      </c>
      <c r="N2135" s="17">
        <v>0</v>
      </c>
      <c r="O2135" s="17"/>
      <c r="P2135" s="17"/>
      <c r="Q2135" s="48" t="s">
        <v>8733</v>
      </c>
      <c r="R2135" s="11" t="s">
        <v>6847</v>
      </c>
      <c r="S2135" s="48"/>
      <c r="T2135" s="85" t="s">
        <v>81</v>
      </c>
      <c r="U2135" s="88"/>
      <c r="V2135" s="32"/>
      <c r="W2135" s="25" t="s">
        <v>39</v>
      </c>
      <c r="X2135" s="11" t="s">
        <v>9660</v>
      </c>
      <c r="Y2135" s="50"/>
      <c r="Z2135" s="50"/>
      <c r="AA2135" s="50"/>
      <c r="AB2135" s="50"/>
      <c r="AC2135" s="50"/>
      <c r="AD2135" s="50"/>
      <c r="AE2135" s="50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65"/>
      <c r="AP2135" s="69"/>
      <c r="AQ2135" s="62"/>
      <c r="AR2135" s="34"/>
    </row>
    <row r="2136" spans="1:44" customFormat="1">
      <c r="A2136" s="39">
        <v>46001</v>
      </c>
      <c r="B2136" s="11" t="s">
        <v>49</v>
      </c>
      <c r="C2136" s="16" t="s">
        <v>9661</v>
      </c>
      <c r="D2136" s="16" t="s">
        <v>9662</v>
      </c>
      <c r="E2136" s="38">
        <v>28185</v>
      </c>
      <c r="F2136" s="38" t="s">
        <v>1910</v>
      </c>
      <c r="G2136" s="10" t="s">
        <v>9321</v>
      </c>
      <c r="H2136" s="12" t="s">
        <v>9322</v>
      </c>
      <c r="I2136" s="13">
        <v>50.4</v>
      </c>
      <c r="J2136" s="15" t="s">
        <v>9323</v>
      </c>
      <c r="K2136" s="12"/>
      <c r="L2136" s="11"/>
      <c r="M2136" s="15"/>
      <c r="N2136" s="17">
        <v>22000</v>
      </c>
      <c r="O2136" s="17" t="s">
        <v>8506</v>
      </c>
      <c r="P2136" s="270">
        <v>45938</v>
      </c>
      <c r="Q2136" s="48" t="s">
        <v>9663</v>
      </c>
      <c r="R2136" s="11" t="s">
        <v>6847</v>
      </c>
      <c r="S2136" s="48"/>
      <c r="T2136" s="85"/>
      <c r="U2136" s="88"/>
      <c r="V2136" s="32"/>
      <c r="W2136" s="25"/>
      <c r="X2136" s="11"/>
      <c r="Y2136" s="50"/>
      <c r="Z2136" s="50"/>
      <c r="AA2136" s="50"/>
      <c r="AB2136" s="50"/>
      <c r="AC2136" s="50"/>
      <c r="AD2136" s="50"/>
      <c r="AE2136" s="50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65"/>
      <c r="AP2136" s="69"/>
      <c r="AQ2136" s="62"/>
      <c r="AR2136" s="34"/>
    </row>
    <row r="2137" spans="1:44" customFormat="1">
      <c r="A2137" s="39">
        <v>46001</v>
      </c>
      <c r="B2137" s="11" t="s">
        <v>22</v>
      </c>
      <c r="C2137" s="16" t="s">
        <v>9664</v>
      </c>
      <c r="D2137" s="16" t="s">
        <v>9665</v>
      </c>
      <c r="E2137" s="38">
        <v>34997</v>
      </c>
      <c r="F2137" s="38" t="s">
        <v>9666</v>
      </c>
      <c r="G2137" s="10" t="s">
        <v>9669</v>
      </c>
      <c r="H2137" s="12" t="s">
        <v>9667</v>
      </c>
      <c r="I2137" s="13">
        <v>2.6</v>
      </c>
      <c r="J2137" s="15" t="s">
        <v>9668</v>
      </c>
      <c r="K2137" s="12"/>
      <c r="L2137" s="11" t="s">
        <v>36</v>
      </c>
      <c r="M2137" s="15" t="s">
        <v>3584</v>
      </c>
      <c r="N2137" s="17">
        <v>0</v>
      </c>
      <c r="O2137" s="17"/>
      <c r="P2137" s="17"/>
      <c r="Q2137" s="48" t="s">
        <v>8733</v>
      </c>
      <c r="R2137" s="11" t="s">
        <v>6847</v>
      </c>
      <c r="S2137" s="48"/>
      <c r="T2137" s="85"/>
      <c r="U2137" s="88"/>
      <c r="V2137" s="32"/>
      <c r="W2137" s="25" t="s">
        <v>48</v>
      </c>
      <c r="X2137" s="11"/>
      <c r="Y2137" s="50"/>
      <c r="Z2137" s="50"/>
      <c r="AA2137" s="50"/>
      <c r="AB2137" s="50"/>
      <c r="AC2137" s="50"/>
      <c r="AD2137" s="50"/>
      <c r="AE2137" s="50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65"/>
      <c r="AP2137" s="69"/>
      <c r="AQ2137" s="62"/>
      <c r="AR2137" s="34"/>
    </row>
    <row r="2138" spans="1:44" customFormat="1">
      <c r="A2138" s="39">
        <v>46003</v>
      </c>
      <c r="B2138" s="11" t="s">
        <v>22</v>
      </c>
      <c r="C2138" s="16" t="s">
        <v>9670</v>
      </c>
      <c r="D2138" s="271" t="s">
        <v>9671</v>
      </c>
      <c r="E2138" s="38">
        <v>22417</v>
      </c>
      <c r="F2138" s="38" t="s">
        <v>9672</v>
      </c>
      <c r="G2138" s="10" t="s">
        <v>9673</v>
      </c>
      <c r="H2138" s="12" t="s">
        <v>9674</v>
      </c>
      <c r="I2138" s="13">
        <v>11.7</v>
      </c>
      <c r="J2138" s="15" t="s">
        <v>9675</v>
      </c>
      <c r="K2138" s="46" t="s">
        <v>9676</v>
      </c>
      <c r="L2138" s="11" t="s">
        <v>33</v>
      </c>
      <c r="M2138" s="15" t="s">
        <v>3599</v>
      </c>
      <c r="N2138" s="17">
        <v>0</v>
      </c>
      <c r="O2138" s="17"/>
      <c r="P2138" s="17"/>
      <c r="Q2138" s="48" t="s">
        <v>8733</v>
      </c>
      <c r="R2138" s="11" t="s">
        <v>6848</v>
      </c>
      <c r="S2138" s="48" t="s">
        <v>8101</v>
      </c>
      <c r="T2138" s="85" t="s">
        <v>81</v>
      </c>
      <c r="U2138" s="88"/>
      <c r="V2138" s="32"/>
      <c r="W2138" s="25" t="s">
        <v>9677</v>
      </c>
      <c r="X2138" s="11" t="s">
        <v>9678</v>
      </c>
      <c r="Y2138" s="50"/>
      <c r="Z2138" s="50"/>
      <c r="AA2138" s="50"/>
      <c r="AB2138" s="50"/>
      <c r="AC2138" s="50"/>
      <c r="AD2138" s="50"/>
      <c r="AE2138" s="50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65"/>
      <c r="AP2138" s="69"/>
      <c r="AQ2138" s="62"/>
      <c r="AR2138" s="34"/>
    </row>
    <row r="2139" spans="1:44" customFormat="1">
      <c r="A2139" s="39">
        <v>46004</v>
      </c>
      <c r="B2139" s="11" t="s">
        <v>22</v>
      </c>
      <c r="C2139" s="16" t="s">
        <v>9679</v>
      </c>
      <c r="D2139" s="16" t="s">
        <v>9680</v>
      </c>
      <c r="E2139" s="38">
        <v>36627</v>
      </c>
      <c r="F2139" s="38" t="s">
        <v>9681</v>
      </c>
      <c r="G2139" s="10" t="s">
        <v>9682</v>
      </c>
      <c r="H2139" s="12" t="s">
        <v>9683</v>
      </c>
      <c r="I2139" s="13">
        <v>5</v>
      </c>
      <c r="J2139" s="15" t="s">
        <v>9684</v>
      </c>
      <c r="K2139" s="46" t="s">
        <v>9685</v>
      </c>
      <c r="L2139" s="11" t="s">
        <v>36</v>
      </c>
      <c r="M2139" s="15" t="s">
        <v>3584</v>
      </c>
      <c r="N2139" s="17">
        <v>0</v>
      </c>
      <c r="O2139" s="17"/>
      <c r="P2139" s="17"/>
      <c r="Q2139" s="48" t="s">
        <v>8733</v>
      </c>
      <c r="R2139" s="11" t="s">
        <v>9271</v>
      </c>
      <c r="S2139" s="48"/>
      <c r="T2139" s="85"/>
      <c r="U2139" s="88"/>
      <c r="V2139" s="32"/>
      <c r="W2139" s="25" t="s">
        <v>4073</v>
      </c>
      <c r="X2139" s="11"/>
      <c r="Y2139" s="50"/>
      <c r="Z2139" s="50"/>
      <c r="AA2139" s="50"/>
      <c r="AB2139" s="50"/>
      <c r="AC2139" s="50"/>
      <c r="AD2139" s="50"/>
      <c r="AE2139" s="50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65"/>
      <c r="AP2139" s="69"/>
      <c r="AQ2139" s="62"/>
      <c r="AR2139" s="34"/>
    </row>
    <row r="2140" spans="1:44" customFormat="1">
      <c r="A2140" s="39">
        <v>46005</v>
      </c>
      <c r="B2140" s="11" t="s">
        <v>22</v>
      </c>
      <c r="C2140" s="16" t="s">
        <v>9686</v>
      </c>
      <c r="D2140" s="16" t="s">
        <v>9687</v>
      </c>
      <c r="E2140" s="38">
        <v>26005</v>
      </c>
      <c r="F2140" s="38" t="s">
        <v>9688</v>
      </c>
      <c r="G2140" s="10" t="s">
        <v>9689</v>
      </c>
      <c r="H2140" s="12" t="s">
        <v>9690</v>
      </c>
      <c r="I2140" s="13" t="s">
        <v>5963</v>
      </c>
      <c r="J2140" s="15" t="s">
        <v>9691</v>
      </c>
      <c r="K2140" s="12" t="s">
        <v>9692</v>
      </c>
      <c r="L2140" s="11" t="s">
        <v>36</v>
      </c>
      <c r="M2140" s="15" t="s">
        <v>3584</v>
      </c>
      <c r="N2140" s="17">
        <v>0</v>
      </c>
      <c r="O2140" s="17"/>
      <c r="P2140" s="17"/>
      <c r="Q2140" s="48" t="s">
        <v>8733</v>
      </c>
      <c r="R2140" s="11" t="s">
        <v>6847</v>
      </c>
      <c r="S2140" s="11" t="s">
        <v>6847</v>
      </c>
      <c r="T2140" s="85" t="s">
        <v>81</v>
      </c>
      <c r="U2140" s="88"/>
      <c r="V2140" s="32"/>
      <c r="W2140" s="25" t="s">
        <v>48</v>
      </c>
      <c r="X2140" s="11"/>
      <c r="Y2140" s="50"/>
      <c r="Z2140" s="50"/>
      <c r="AA2140" s="50"/>
      <c r="AB2140" s="50"/>
      <c r="AC2140" s="50"/>
      <c r="AD2140" s="50"/>
      <c r="AE2140" s="50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65"/>
      <c r="AP2140" s="69"/>
      <c r="AQ2140" s="62"/>
      <c r="AR2140" s="34"/>
    </row>
    <row r="2141" spans="1:44" customFormat="1">
      <c r="A2141" s="39">
        <v>46006</v>
      </c>
      <c r="B2141" s="11" t="s">
        <v>24</v>
      </c>
      <c r="C2141" s="16" t="s">
        <v>9693</v>
      </c>
      <c r="D2141" s="16" t="s">
        <v>9694</v>
      </c>
      <c r="E2141" s="38">
        <v>28840</v>
      </c>
      <c r="F2141" s="38" t="s">
        <v>9695</v>
      </c>
      <c r="G2141" s="10" t="s">
        <v>9696</v>
      </c>
      <c r="H2141" s="12" t="s">
        <v>9711</v>
      </c>
      <c r="I2141" s="13">
        <v>14.1</v>
      </c>
      <c r="J2141" s="15" t="s">
        <v>9697</v>
      </c>
      <c r="K2141" s="12"/>
      <c r="L2141" s="11" t="s">
        <v>34</v>
      </c>
      <c r="M2141" s="15" t="s">
        <v>3629</v>
      </c>
      <c r="N2141" s="17">
        <v>5500</v>
      </c>
      <c r="O2141" s="17"/>
      <c r="P2141" s="17"/>
      <c r="Q2141" s="48" t="s">
        <v>8098</v>
      </c>
      <c r="R2141" s="11" t="s">
        <v>6847</v>
      </c>
      <c r="S2141" s="48" t="s">
        <v>8101</v>
      </c>
      <c r="T2141" s="85" t="s">
        <v>9712</v>
      </c>
      <c r="U2141" s="88"/>
      <c r="V2141" s="32"/>
      <c r="W2141" s="25" t="s">
        <v>9698</v>
      </c>
      <c r="X2141" s="11"/>
      <c r="Y2141" s="50"/>
      <c r="Z2141" s="50"/>
      <c r="AA2141" s="50"/>
      <c r="AB2141" s="50"/>
      <c r="AC2141" s="50"/>
      <c r="AD2141" s="50"/>
      <c r="AE2141" s="50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65"/>
      <c r="AP2141" s="69"/>
      <c r="AQ2141" s="62"/>
      <c r="AR2141" s="34"/>
    </row>
    <row r="2142" spans="1:44" customFormat="1">
      <c r="A2142" s="39">
        <v>46006</v>
      </c>
      <c r="B2142" s="11" t="s">
        <v>24</v>
      </c>
      <c r="C2142" s="16" t="s">
        <v>9699</v>
      </c>
      <c r="D2142" s="16" t="s">
        <v>9700</v>
      </c>
      <c r="E2142" s="38">
        <v>28847</v>
      </c>
      <c r="F2142" s="38" t="s">
        <v>9695</v>
      </c>
      <c r="G2142" s="10" t="s">
        <v>9701</v>
      </c>
      <c r="H2142" s="12" t="s">
        <v>9710</v>
      </c>
      <c r="I2142" s="13">
        <v>21.7</v>
      </c>
      <c r="J2142" s="15" t="s">
        <v>9702</v>
      </c>
      <c r="K2142" s="12"/>
      <c r="L2142" s="11" t="s">
        <v>34</v>
      </c>
      <c r="M2142" s="15"/>
      <c r="N2142" s="17">
        <v>5500</v>
      </c>
      <c r="O2142" s="17"/>
      <c r="P2142" s="17"/>
      <c r="Q2142" s="48"/>
      <c r="R2142" s="11" t="s">
        <v>6847</v>
      </c>
      <c r="S2142" s="48" t="s">
        <v>8101</v>
      </c>
      <c r="T2142" s="85" t="s">
        <v>9712</v>
      </c>
      <c r="U2142" s="88"/>
      <c r="V2142" s="32"/>
      <c r="W2142" s="25"/>
      <c r="X2142" s="11"/>
      <c r="Y2142" s="50"/>
      <c r="Z2142" s="50"/>
      <c r="AA2142" s="50"/>
      <c r="AB2142" s="50"/>
      <c r="AC2142" s="50"/>
      <c r="AD2142" s="50"/>
      <c r="AE2142" s="50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65"/>
      <c r="AP2142" s="69"/>
      <c r="AQ2142" s="62"/>
      <c r="AR2142" s="34"/>
    </row>
    <row r="2143" spans="1:44" customFormat="1">
      <c r="A2143" s="39">
        <v>46006</v>
      </c>
      <c r="B2143" s="11" t="s">
        <v>22</v>
      </c>
      <c r="C2143" s="16" t="s">
        <v>9703</v>
      </c>
      <c r="D2143" s="16" t="s">
        <v>9704</v>
      </c>
      <c r="E2143" s="38">
        <v>20846</v>
      </c>
      <c r="F2143" s="38" t="s">
        <v>9695</v>
      </c>
      <c r="G2143" s="10" t="s">
        <v>9705</v>
      </c>
      <c r="H2143" s="12" t="s">
        <v>9706</v>
      </c>
      <c r="I2143" s="13">
        <v>4.5</v>
      </c>
      <c r="J2143" s="15" t="s">
        <v>9707</v>
      </c>
      <c r="K2143" s="46" t="s">
        <v>9708</v>
      </c>
      <c r="L2143" s="11" t="s">
        <v>34</v>
      </c>
      <c r="M2143" s="15" t="s">
        <v>3584</v>
      </c>
      <c r="N2143" s="17">
        <v>0</v>
      </c>
      <c r="O2143" s="17"/>
      <c r="P2143" s="17"/>
      <c r="Q2143" s="48" t="s">
        <v>8733</v>
      </c>
      <c r="R2143" s="11" t="s">
        <v>8837</v>
      </c>
      <c r="S2143" s="48" t="s">
        <v>8101</v>
      </c>
      <c r="T2143" s="85" t="s">
        <v>9709</v>
      </c>
      <c r="U2143" s="88"/>
      <c r="V2143" s="32"/>
      <c r="W2143" s="25" t="s">
        <v>4073</v>
      </c>
      <c r="X2143" s="11"/>
      <c r="Y2143" s="50"/>
      <c r="Z2143" s="50"/>
      <c r="AA2143" s="50"/>
      <c r="AB2143" s="50"/>
      <c r="AC2143" s="50"/>
      <c r="AD2143" s="50"/>
      <c r="AE2143" s="50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65"/>
      <c r="AP2143" s="69"/>
      <c r="AQ2143" s="62"/>
      <c r="AR2143" s="34"/>
    </row>
    <row r="2144" spans="1:44" customFormat="1">
      <c r="A2144" s="39">
        <v>46011</v>
      </c>
      <c r="B2144" s="11" t="s">
        <v>49</v>
      </c>
      <c r="C2144" s="16" t="s">
        <v>9713</v>
      </c>
      <c r="D2144" s="16" t="s">
        <v>9714</v>
      </c>
      <c r="E2144" s="38">
        <v>34435</v>
      </c>
      <c r="F2144" s="38" t="s">
        <v>9715</v>
      </c>
      <c r="G2144" s="10" t="s">
        <v>8191</v>
      </c>
      <c r="H2144" s="22" t="s">
        <v>8192</v>
      </c>
      <c r="I2144" s="13">
        <v>69.2</v>
      </c>
      <c r="J2144" s="15" t="s">
        <v>8193</v>
      </c>
      <c r="K2144" s="12"/>
      <c r="L2144" s="11" t="s">
        <v>36</v>
      </c>
      <c r="M2144" s="15" t="s">
        <v>3599</v>
      </c>
      <c r="N2144" s="17">
        <v>11000</v>
      </c>
      <c r="O2144" s="17" t="s">
        <v>8506</v>
      </c>
      <c r="P2144" s="270">
        <v>45676</v>
      </c>
      <c r="Q2144" s="48" t="s">
        <v>8098</v>
      </c>
      <c r="R2144" s="11" t="s">
        <v>6848</v>
      </c>
      <c r="S2144" s="48"/>
      <c r="T2144" s="85" t="s">
        <v>8073</v>
      </c>
      <c r="U2144" s="88"/>
      <c r="V2144" s="32"/>
      <c r="W2144" s="25"/>
      <c r="X2144" s="11"/>
      <c r="Y2144" s="50"/>
      <c r="Z2144" s="50"/>
      <c r="AA2144" s="50"/>
      <c r="AB2144" s="50"/>
      <c r="AC2144" s="50"/>
      <c r="AD2144" s="50"/>
      <c r="AE2144" s="50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65"/>
      <c r="AP2144" s="69"/>
      <c r="AQ2144" s="62"/>
      <c r="AR2144" s="34"/>
    </row>
    <row r="2145" spans="1:44" customFormat="1">
      <c r="A2145" s="39">
        <v>46012</v>
      </c>
      <c r="B2145" s="11" t="s">
        <v>22</v>
      </c>
      <c r="C2145" s="16" t="s">
        <v>9716</v>
      </c>
      <c r="D2145" s="16" t="s">
        <v>9717</v>
      </c>
      <c r="E2145" s="38">
        <v>35594</v>
      </c>
      <c r="F2145" s="38" t="s">
        <v>9718</v>
      </c>
      <c r="G2145" s="10" t="s">
        <v>9719</v>
      </c>
      <c r="H2145" s="12" t="s">
        <v>9722</v>
      </c>
      <c r="I2145" s="13" t="s">
        <v>9723</v>
      </c>
      <c r="J2145" s="15" t="s">
        <v>9720</v>
      </c>
      <c r="K2145" s="46" t="s">
        <v>9721</v>
      </c>
      <c r="L2145" s="11" t="s">
        <v>36</v>
      </c>
      <c r="M2145" s="15" t="s">
        <v>3584</v>
      </c>
      <c r="N2145" s="17">
        <v>0</v>
      </c>
      <c r="O2145" s="17"/>
      <c r="P2145" s="17"/>
      <c r="Q2145" s="48" t="s">
        <v>8733</v>
      </c>
      <c r="R2145" s="11" t="s">
        <v>6848</v>
      </c>
      <c r="S2145" s="48"/>
      <c r="T2145" s="85" t="s">
        <v>81</v>
      </c>
      <c r="U2145" s="88"/>
      <c r="V2145" s="32"/>
      <c r="W2145" s="25" t="s">
        <v>6747</v>
      </c>
      <c r="X2145" s="11"/>
      <c r="Y2145" s="50"/>
      <c r="Z2145" s="50"/>
      <c r="AA2145" s="50"/>
      <c r="AB2145" s="50"/>
      <c r="AC2145" s="50"/>
      <c r="AD2145" s="50"/>
      <c r="AE2145" s="50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65"/>
      <c r="AP2145" s="69"/>
      <c r="AQ2145" s="62"/>
      <c r="AR2145" s="34"/>
    </row>
    <row r="2146" spans="1:44" customFormat="1">
      <c r="A2146" s="39">
        <v>46012</v>
      </c>
      <c r="B2146" s="11" t="s">
        <v>49</v>
      </c>
      <c r="C2146" s="16" t="s">
        <v>9724</v>
      </c>
      <c r="D2146" s="16" t="s">
        <v>9725</v>
      </c>
      <c r="E2146" s="38"/>
      <c r="F2146" s="38" t="s">
        <v>9726</v>
      </c>
      <c r="G2146" s="10" t="s">
        <v>9727</v>
      </c>
      <c r="H2146" s="12" t="s">
        <v>9728</v>
      </c>
      <c r="I2146" s="13">
        <v>8</v>
      </c>
      <c r="J2146" s="15" t="s">
        <v>9729</v>
      </c>
      <c r="K2146" s="12"/>
      <c r="L2146" s="11" t="s">
        <v>33</v>
      </c>
      <c r="M2146" s="15" t="s">
        <v>3629</v>
      </c>
      <c r="N2146" s="17">
        <v>16500</v>
      </c>
      <c r="O2146" s="17"/>
      <c r="P2146" s="17"/>
      <c r="Q2146" s="48" t="s">
        <v>8098</v>
      </c>
      <c r="R2146" s="11" t="s">
        <v>6847</v>
      </c>
      <c r="S2146" s="48"/>
      <c r="T2146" s="85"/>
      <c r="U2146" s="88"/>
      <c r="V2146" s="32"/>
      <c r="W2146" s="25" t="s">
        <v>8</v>
      </c>
      <c r="X2146" s="11"/>
      <c r="Y2146" s="50"/>
      <c r="Z2146" s="50"/>
      <c r="AA2146" s="50"/>
      <c r="AB2146" s="50"/>
      <c r="AC2146" s="50"/>
      <c r="AD2146" s="50"/>
      <c r="AE2146" s="50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65"/>
      <c r="AP2146" s="69"/>
      <c r="AQ2146" s="62"/>
      <c r="AR2146" s="34"/>
    </row>
    <row r="2147" spans="1:44" customFormat="1">
      <c r="A2147" s="39">
        <v>46012</v>
      </c>
      <c r="B2147" s="11" t="s">
        <v>49</v>
      </c>
      <c r="C2147" s="16" t="s">
        <v>9753</v>
      </c>
      <c r="D2147" s="16" t="s">
        <v>9730</v>
      </c>
      <c r="E2147" s="38">
        <v>29661</v>
      </c>
      <c r="F2147" s="38" t="s">
        <v>9731</v>
      </c>
      <c r="G2147" s="10" t="s">
        <v>9732</v>
      </c>
      <c r="H2147" s="12" t="s">
        <v>9736</v>
      </c>
      <c r="I2147" s="13">
        <v>18.7</v>
      </c>
      <c r="J2147" s="15" t="s">
        <v>9733</v>
      </c>
      <c r="K2147" s="46" t="s">
        <v>9734</v>
      </c>
      <c r="L2147" s="11" t="s">
        <v>36</v>
      </c>
      <c r="M2147" s="15" t="s">
        <v>3599</v>
      </c>
      <c r="N2147" s="17">
        <v>11000</v>
      </c>
      <c r="O2147" s="17"/>
      <c r="P2147" s="17"/>
      <c r="Q2147" s="48" t="s">
        <v>9735</v>
      </c>
      <c r="R2147" s="11" t="s">
        <v>6847</v>
      </c>
      <c r="S2147" s="48"/>
      <c r="T2147" s="85" t="s">
        <v>8073</v>
      </c>
      <c r="U2147" s="88"/>
      <c r="V2147" s="32"/>
      <c r="W2147" s="25" t="s">
        <v>8</v>
      </c>
      <c r="X2147" s="11" t="s">
        <v>9737</v>
      </c>
      <c r="Y2147" s="50"/>
      <c r="Z2147" s="50"/>
      <c r="AA2147" s="50"/>
      <c r="AB2147" s="50"/>
      <c r="AC2147" s="50"/>
      <c r="AD2147" s="50"/>
      <c r="AE2147" s="50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65"/>
      <c r="AP2147" s="69"/>
      <c r="AQ2147" s="62"/>
      <c r="AR2147" s="34"/>
    </row>
    <row r="2148" spans="1:44" customFormat="1">
      <c r="A2148" s="39">
        <v>46013</v>
      </c>
      <c r="B2148" s="11" t="s">
        <v>49</v>
      </c>
      <c r="C2148" s="16" t="s">
        <v>9752</v>
      </c>
      <c r="D2148" s="16" t="s">
        <v>9738</v>
      </c>
      <c r="E2148" s="38"/>
      <c r="F2148" s="38" t="s">
        <v>9739</v>
      </c>
      <c r="G2148" s="10" t="s">
        <v>9740</v>
      </c>
      <c r="H2148" s="12" t="s">
        <v>9741</v>
      </c>
      <c r="I2148" s="13">
        <v>8.6999999999999993</v>
      </c>
      <c r="J2148" s="15" t="s">
        <v>9742</v>
      </c>
      <c r="K2148" s="12"/>
      <c r="L2148" s="11"/>
      <c r="M2148" s="15"/>
      <c r="N2148" s="17">
        <v>0</v>
      </c>
      <c r="O2148" s="17"/>
      <c r="P2148" s="17"/>
      <c r="Q2148" s="48"/>
      <c r="R2148" s="11" t="s">
        <v>6847</v>
      </c>
      <c r="S2148" s="48"/>
      <c r="T2148" s="85" t="s">
        <v>9743</v>
      </c>
      <c r="U2148" s="88"/>
      <c r="V2148" s="32"/>
      <c r="W2148" s="25"/>
      <c r="X2148" s="11" t="s">
        <v>9744</v>
      </c>
      <c r="Y2148" s="50"/>
      <c r="Z2148" s="50"/>
      <c r="AA2148" s="50"/>
      <c r="AB2148" s="50"/>
      <c r="AC2148" s="50"/>
      <c r="AD2148" s="50"/>
      <c r="AE2148" s="50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65"/>
      <c r="AP2148" s="69"/>
      <c r="AQ2148" s="62"/>
      <c r="AR2148" s="34"/>
    </row>
    <row r="2149" spans="1:44" customFormat="1">
      <c r="A2149" s="39">
        <v>46013</v>
      </c>
      <c r="B2149" s="11" t="s">
        <v>49</v>
      </c>
      <c r="C2149" s="16" t="s">
        <v>9745</v>
      </c>
      <c r="D2149" s="16" t="s">
        <v>9746</v>
      </c>
      <c r="E2149" s="38">
        <v>28669</v>
      </c>
      <c r="F2149" s="38" t="s">
        <v>9739</v>
      </c>
      <c r="G2149" s="10" t="s">
        <v>9747</v>
      </c>
      <c r="H2149" s="12" t="s">
        <v>9748</v>
      </c>
      <c r="I2149" s="13">
        <v>9.3000000000000007</v>
      </c>
      <c r="J2149" s="15" t="s">
        <v>9749</v>
      </c>
      <c r="K2149" s="46" t="s">
        <v>9750</v>
      </c>
      <c r="L2149" s="11" t="s">
        <v>33</v>
      </c>
      <c r="M2149" s="15" t="s">
        <v>3629</v>
      </c>
      <c r="N2149" s="17">
        <v>16500</v>
      </c>
      <c r="O2149" s="17"/>
      <c r="P2149" s="17"/>
      <c r="Q2149" s="48" t="s">
        <v>9751</v>
      </c>
      <c r="R2149" s="11" t="s">
        <v>6847</v>
      </c>
      <c r="S2149" s="48"/>
      <c r="T2149" s="85" t="s">
        <v>9743</v>
      </c>
      <c r="U2149" s="88"/>
      <c r="V2149" s="32"/>
      <c r="W2149" s="25"/>
      <c r="X2149" s="11"/>
      <c r="Y2149" s="50"/>
      <c r="Z2149" s="50"/>
      <c r="AA2149" s="50"/>
      <c r="AB2149" s="50"/>
      <c r="AC2149" s="50"/>
      <c r="AD2149" s="50"/>
      <c r="AE2149" s="50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65"/>
      <c r="AP2149" s="69"/>
      <c r="AQ2149" s="62"/>
      <c r="AR2149" s="34"/>
    </row>
    <row r="2150" spans="1:44" customFormat="1">
      <c r="A2150" s="39">
        <v>46016</v>
      </c>
      <c r="B2150" s="11" t="s">
        <v>22</v>
      </c>
      <c r="C2150" s="16" t="s">
        <v>9754</v>
      </c>
      <c r="D2150" s="16" t="s">
        <v>9755</v>
      </c>
      <c r="E2150" s="38">
        <v>33371</v>
      </c>
      <c r="F2150" s="38" t="s">
        <v>9756</v>
      </c>
      <c r="G2150" s="10" t="s">
        <v>9757</v>
      </c>
      <c r="H2150" s="12" t="s">
        <v>9758</v>
      </c>
      <c r="I2150" s="13">
        <v>7.5</v>
      </c>
      <c r="J2150" s="15" t="s">
        <v>9759</v>
      </c>
      <c r="K2150" s="46" t="s">
        <v>9760</v>
      </c>
      <c r="L2150" s="11" t="s">
        <v>33</v>
      </c>
      <c r="M2150" s="15" t="s">
        <v>3584</v>
      </c>
      <c r="N2150" s="17">
        <v>0</v>
      </c>
      <c r="O2150" s="17"/>
      <c r="P2150" s="17"/>
      <c r="Q2150" s="48" t="s">
        <v>8733</v>
      </c>
      <c r="R2150" s="11" t="s">
        <v>8503</v>
      </c>
      <c r="S2150" s="48"/>
      <c r="T2150" s="85"/>
      <c r="U2150" s="88"/>
      <c r="V2150" s="32"/>
      <c r="W2150" s="25" t="s">
        <v>6747</v>
      </c>
      <c r="X2150" s="11"/>
      <c r="Y2150" s="50"/>
      <c r="Z2150" s="50"/>
      <c r="AA2150" s="50"/>
      <c r="AB2150" s="50"/>
      <c r="AC2150" s="50"/>
      <c r="AD2150" s="50"/>
      <c r="AE2150" s="50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65"/>
      <c r="AP2150" s="69"/>
      <c r="AQ2150" s="62"/>
      <c r="AR2150" s="34"/>
    </row>
    <row r="2151" spans="1:44" customFormat="1">
      <c r="A2151" s="39">
        <v>46016</v>
      </c>
      <c r="B2151" s="11" t="s">
        <v>24</v>
      </c>
      <c r="C2151" s="16" t="s">
        <v>9761</v>
      </c>
      <c r="D2151" s="16" t="s">
        <v>9762</v>
      </c>
      <c r="E2151" s="38">
        <v>28800</v>
      </c>
      <c r="F2151" s="38" t="s">
        <v>9763</v>
      </c>
      <c r="G2151" s="10" t="s">
        <v>9764</v>
      </c>
      <c r="H2151" s="12" t="s">
        <v>9765</v>
      </c>
      <c r="I2151" s="13">
        <v>21.7</v>
      </c>
      <c r="J2151" s="15" t="s">
        <v>9766</v>
      </c>
      <c r="K2151" s="12"/>
      <c r="L2151" s="11"/>
      <c r="M2151" s="15"/>
      <c r="N2151" s="17">
        <v>5500</v>
      </c>
      <c r="O2151" s="17"/>
      <c r="P2151" s="17"/>
      <c r="Q2151" s="48" t="s">
        <v>9767</v>
      </c>
      <c r="R2151" s="11" t="s">
        <v>6847</v>
      </c>
      <c r="S2151" s="48"/>
      <c r="T2151" s="85"/>
      <c r="U2151" s="88"/>
      <c r="V2151" s="32"/>
      <c r="W2151" s="25"/>
      <c r="X2151" s="11" t="s">
        <v>9768</v>
      </c>
      <c r="Y2151" s="50"/>
      <c r="Z2151" s="50"/>
      <c r="AA2151" s="50"/>
      <c r="AB2151" s="50"/>
      <c r="AC2151" s="50"/>
      <c r="AD2151" s="50"/>
      <c r="AE2151" s="50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65"/>
      <c r="AP2151" s="69"/>
      <c r="AQ2151" s="62"/>
      <c r="AR2151" s="34"/>
    </row>
    <row r="2152" spans="1:44" customFormat="1">
      <c r="A2152" s="39">
        <v>46026</v>
      </c>
      <c r="B2152" s="11" t="s">
        <v>22</v>
      </c>
      <c r="C2152" s="16" t="s">
        <v>9769</v>
      </c>
      <c r="D2152" s="16" t="s">
        <v>9772</v>
      </c>
      <c r="E2152" s="38">
        <v>26638</v>
      </c>
      <c r="F2152" s="38" t="s">
        <v>9773</v>
      </c>
      <c r="G2152" s="10" t="s">
        <v>9774</v>
      </c>
      <c r="H2152" s="12" t="s">
        <v>9775</v>
      </c>
      <c r="I2152" s="13">
        <v>14.9</v>
      </c>
      <c r="J2152" s="15" t="s">
        <v>9777</v>
      </c>
      <c r="K2152" s="46" t="s">
        <v>9778</v>
      </c>
      <c r="L2152" s="11" t="s">
        <v>33</v>
      </c>
      <c r="M2152" s="15" t="s">
        <v>3599</v>
      </c>
      <c r="N2152" s="17">
        <v>0</v>
      </c>
      <c r="O2152" s="17"/>
      <c r="P2152" s="17"/>
      <c r="Q2152" s="48" t="s">
        <v>8733</v>
      </c>
      <c r="R2152" s="11" t="s">
        <v>8503</v>
      </c>
      <c r="S2152" s="48" t="s">
        <v>8101</v>
      </c>
      <c r="T2152" s="85"/>
      <c r="U2152" s="88"/>
      <c r="V2152" s="32"/>
      <c r="W2152" s="25" t="s">
        <v>9408</v>
      </c>
      <c r="X2152" s="11" t="s">
        <v>9779</v>
      </c>
      <c r="Y2152" s="50"/>
      <c r="Z2152" s="50"/>
      <c r="AA2152" s="50"/>
      <c r="AB2152" s="50"/>
      <c r="AC2152" s="50"/>
      <c r="AD2152" s="50"/>
      <c r="AE2152" s="50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65"/>
      <c r="AP2152" s="69"/>
      <c r="AQ2152" s="62"/>
      <c r="AR2152" s="34"/>
    </row>
    <row r="2153" spans="1:44" customFormat="1">
      <c r="A2153" s="39">
        <v>46026</v>
      </c>
      <c r="B2153" s="11" t="s">
        <v>22</v>
      </c>
      <c r="C2153" s="16" t="s">
        <v>9770</v>
      </c>
      <c r="D2153" s="16" t="s">
        <v>9771</v>
      </c>
      <c r="E2153" s="38">
        <v>37347</v>
      </c>
      <c r="F2153" s="38" t="s">
        <v>9773</v>
      </c>
      <c r="G2153" s="10" t="s">
        <v>9774</v>
      </c>
      <c r="H2153" s="12" t="s">
        <v>9775</v>
      </c>
      <c r="I2153" s="13">
        <v>14.9</v>
      </c>
      <c r="J2153" s="15" t="s">
        <v>9776</v>
      </c>
      <c r="K2153" s="12"/>
      <c r="L2153" s="11" t="s">
        <v>36</v>
      </c>
      <c r="M2153" s="15"/>
      <c r="N2153" s="17">
        <v>0</v>
      </c>
      <c r="O2153" s="17"/>
      <c r="P2153" s="17"/>
      <c r="Q2153" s="48" t="s">
        <v>8733</v>
      </c>
      <c r="R2153" s="11" t="s">
        <v>8503</v>
      </c>
      <c r="S2153" s="48" t="s">
        <v>8101</v>
      </c>
      <c r="T2153" s="85"/>
      <c r="U2153" s="88"/>
      <c r="V2153" s="32"/>
      <c r="W2153" s="25" t="s">
        <v>9408</v>
      </c>
      <c r="X2153" s="11" t="s">
        <v>9779</v>
      </c>
      <c r="Y2153" s="50"/>
      <c r="Z2153" s="50"/>
      <c r="AA2153" s="50"/>
      <c r="AB2153" s="50"/>
      <c r="AC2153" s="50"/>
      <c r="AD2153" s="50"/>
      <c r="AE2153" s="50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65"/>
      <c r="AP2153" s="69"/>
      <c r="AQ2153" s="62"/>
      <c r="AR2153" s="34"/>
    </row>
    <row r="2154" spans="1:44" customFormat="1">
      <c r="A2154" s="39">
        <v>46029</v>
      </c>
      <c r="B2154" s="11" t="s">
        <v>22</v>
      </c>
      <c r="C2154" s="16" t="s">
        <v>9780</v>
      </c>
      <c r="D2154" s="16" t="s">
        <v>9781</v>
      </c>
      <c r="E2154" s="38">
        <v>25214</v>
      </c>
      <c r="F2154" s="38" t="s">
        <v>1909</v>
      </c>
      <c r="G2154" s="10" t="s">
        <v>9782</v>
      </c>
      <c r="H2154" s="12" t="s">
        <v>9783</v>
      </c>
      <c r="I2154" s="13">
        <v>6.2</v>
      </c>
      <c r="J2154" s="15" t="s">
        <v>9784</v>
      </c>
      <c r="K2154" s="46" t="s">
        <v>9785</v>
      </c>
      <c r="L2154" s="11" t="s">
        <v>33</v>
      </c>
      <c r="M2154" s="15" t="s">
        <v>3599</v>
      </c>
      <c r="N2154" s="17">
        <v>0</v>
      </c>
      <c r="O2154" s="17"/>
      <c r="P2154" s="17"/>
      <c r="Q2154" s="48" t="s">
        <v>8733</v>
      </c>
      <c r="R2154" s="11" t="s">
        <v>8503</v>
      </c>
      <c r="S2154" s="48" t="s">
        <v>8101</v>
      </c>
      <c r="T2154" s="85" t="s">
        <v>9810</v>
      </c>
      <c r="U2154" s="88"/>
      <c r="V2154" s="32"/>
      <c r="W2154" s="25" t="s">
        <v>6747</v>
      </c>
      <c r="X2154" s="11"/>
      <c r="Y2154" s="50"/>
      <c r="Z2154" s="50"/>
      <c r="AA2154" s="50"/>
      <c r="AB2154" s="50"/>
      <c r="AC2154" s="50"/>
      <c r="AD2154" s="50"/>
      <c r="AE2154" s="50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65"/>
      <c r="AP2154" s="69"/>
      <c r="AQ2154" s="62"/>
      <c r="AR2154" s="34"/>
    </row>
    <row r="2155" spans="1:44" customFormat="1">
      <c r="A2155" s="39">
        <v>46031</v>
      </c>
      <c r="B2155" s="11" t="s">
        <v>22</v>
      </c>
      <c r="C2155" s="16" t="s">
        <v>9912</v>
      </c>
      <c r="D2155" s="16" t="s">
        <v>9913</v>
      </c>
      <c r="E2155" s="38">
        <v>18649</v>
      </c>
      <c r="F2155" s="38" t="s">
        <v>9914</v>
      </c>
      <c r="G2155" s="10" t="s">
        <v>9915</v>
      </c>
      <c r="H2155" s="12" t="s">
        <v>9917</v>
      </c>
      <c r="I2155" s="13">
        <v>6</v>
      </c>
      <c r="J2155" s="15" t="s">
        <v>9916</v>
      </c>
      <c r="K2155" s="46"/>
      <c r="L2155" s="11"/>
      <c r="M2155" s="15"/>
      <c r="N2155" s="17">
        <v>0</v>
      </c>
      <c r="O2155" s="17"/>
      <c r="P2155" s="17"/>
      <c r="Q2155" s="48" t="s">
        <v>8733</v>
      </c>
      <c r="R2155" s="11" t="s">
        <v>9271</v>
      </c>
      <c r="S2155" s="48"/>
      <c r="T2155" s="85" t="s">
        <v>9918</v>
      </c>
      <c r="U2155" s="88"/>
      <c r="V2155" s="32"/>
      <c r="W2155" s="25" t="s">
        <v>3282</v>
      </c>
      <c r="X2155" s="11"/>
      <c r="Y2155" s="50"/>
      <c r="Z2155" s="50"/>
      <c r="AA2155" s="50"/>
      <c r="AB2155" s="50"/>
      <c r="AC2155" s="50"/>
      <c r="AD2155" s="50"/>
      <c r="AE2155" s="50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65"/>
      <c r="AP2155" s="69"/>
      <c r="AQ2155" s="62"/>
      <c r="AR2155" s="34"/>
    </row>
    <row r="2156" spans="1:44" customFormat="1">
      <c r="A2156" s="39">
        <v>46034</v>
      </c>
      <c r="B2156" s="11" t="s">
        <v>49</v>
      </c>
      <c r="C2156" s="16" t="s">
        <v>9786</v>
      </c>
      <c r="D2156" s="16" t="s">
        <v>9787</v>
      </c>
      <c r="E2156" s="38">
        <v>30944</v>
      </c>
      <c r="F2156" s="38" t="s">
        <v>9788</v>
      </c>
      <c r="G2156" s="10" t="s">
        <v>9789</v>
      </c>
      <c r="H2156" s="12" t="s">
        <v>9790</v>
      </c>
      <c r="I2156" s="13">
        <v>90.3</v>
      </c>
      <c r="J2156" s="15" t="s">
        <v>9791</v>
      </c>
      <c r="K2156" s="12"/>
      <c r="L2156" s="11" t="s">
        <v>36</v>
      </c>
      <c r="M2156" s="15"/>
      <c r="N2156" s="17">
        <v>16500</v>
      </c>
      <c r="O2156" s="17"/>
      <c r="P2156" s="17"/>
      <c r="Q2156" s="48" t="s">
        <v>9792</v>
      </c>
      <c r="R2156" s="11" t="s">
        <v>6848</v>
      </c>
      <c r="S2156" s="48"/>
      <c r="T2156" s="85" t="s">
        <v>8073</v>
      </c>
      <c r="U2156" s="88"/>
      <c r="V2156" s="32"/>
      <c r="W2156" s="25" t="s">
        <v>9793</v>
      </c>
      <c r="X2156" s="11" t="s">
        <v>9794</v>
      </c>
      <c r="Y2156" s="50"/>
      <c r="Z2156" s="50"/>
      <c r="AA2156" s="50"/>
      <c r="AB2156" s="50"/>
      <c r="AC2156" s="50"/>
      <c r="AD2156" s="50"/>
      <c r="AE2156" s="50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65"/>
      <c r="AP2156" s="69"/>
      <c r="AQ2156" s="62"/>
      <c r="AR2156" s="34"/>
    </row>
    <row r="2157" spans="1:44" customFormat="1">
      <c r="A2157" s="39">
        <v>46036</v>
      </c>
      <c r="B2157" s="11" t="s">
        <v>22</v>
      </c>
      <c r="C2157" s="16" t="s">
        <v>9795</v>
      </c>
      <c r="D2157" s="16" t="s">
        <v>9796</v>
      </c>
      <c r="E2157" s="38">
        <v>34644</v>
      </c>
      <c r="F2157" s="38" t="s">
        <v>9797</v>
      </c>
      <c r="G2157" s="10" t="s">
        <v>9798</v>
      </c>
      <c r="H2157" s="12" t="s">
        <v>9799</v>
      </c>
      <c r="I2157" s="13">
        <v>11.5</v>
      </c>
      <c r="J2157" s="15" t="s">
        <v>9800</v>
      </c>
      <c r="K2157" s="12"/>
      <c r="L2157" s="11" t="s">
        <v>36</v>
      </c>
      <c r="M2157" s="15"/>
      <c r="N2157" s="17">
        <v>0</v>
      </c>
      <c r="O2157" s="17"/>
      <c r="P2157" s="17"/>
      <c r="Q2157" s="48" t="s">
        <v>9801</v>
      </c>
      <c r="R2157" s="11" t="s">
        <v>8837</v>
      </c>
      <c r="S2157" s="48" t="s">
        <v>8101</v>
      </c>
      <c r="T2157" s="85"/>
      <c r="U2157" s="88"/>
      <c r="V2157" s="32"/>
      <c r="W2157" s="25" t="s">
        <v>9408</v>
      </c>
      <c r="X2157" s="11" t="s">
        <v>9607</v>
      </c>
      <c r="Y2157" s="50"/>
      <c r="Z2157" s="50"/>
      <c r="AA2157" s="50"/>
      <c r="AB2157" s="50"/>
      <c r="AC2157" s="50"/>
      <c r="AD2157" s="50"/>
      <c r="AE2157" s="50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65"/>
      <c r="AP2157" s="69"/>
      <c r="AQ2157" s="62"/>
      <c r="AR2157" s="34"/>
    </row>
    <row r="2158" spans="1:44" customFormat="1">
      <c r="A2158" s="39">
        <v>46036</v>
      </c>
      <c r="B2158" s="11" t="s">
        <v>22</v>
      </c>
      <c r="C2158" s="16" t="s">
        <v>9802</v>
      </c>
      <c r="D2158" s="16" t="s">
        <v>9804</v>
      </c>
      <c r="E2158" s="38">
        <v>22381</v>
      </c>
      <c r="F2158" s="38" t="s">
        <v>9805</v>
      </c>
      <c r="G2158" s="10" t="s">
        <v>9806</v>
      </c>
      <c r="H2158" s="12" t="s">
        <v>9803</v>
      </c>
      <c r="I2158" s="13">
        <v>2.2999999999999998</v>
      </c>
      <c r="J2158" s="15" t="s">
        <v>9807</v>
      </c>
      <c r="K2158" s="46" t="s">
        <v>9808</v>
      </c>
      <c r="L2158" s="11" t="s">
        <v>33</v>
      </c>
      <c r="M2158" s="15" t="s">
        <v>3584</v>
      </c>
      <c r="N2158" s="17">
        <v>0</v>
      </c>
      <c r="O2158" s="17"/>
      <c r="P2158" s="17"/>
      <c r="Q2158" s="48" t="s">
        <v>9801</v>
      </c>
      <c r="R2158" s="11" t="s">
        <v>6848</v>
      </c>
      <c r="S2158" s="48" t="s">
        <v>8101</v>
      </c>
      <c r="T2158" s="85" t="s">
        <v>9810</v>
      </c>
      <c r="U2158" s="88"/>
      <c r="V2158" s="32"/>
      <c r="W2158" s="25" t="s">
        <v>9809</v>
      </c>
      <c r="X2158" s="11"/>
      <c r="Y2158" s="50"/>
      <c r="Z2158" s="50"/>
      <c r="AA2158" s="50"/>
      <c r="AB2158" s="50"/>
      <c r="AC2158" s="50"/>
      <c r="AD2158" s="50"/>
      <c r="AE2158" s="50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65"/>
      <c r="AP2158" s="69"/>
      <c r="AQ2158" s="62"/>
      <c r="AR2158" s="34"/>
    </row>
    <row r="2159" spans="1:44" customFormat="1">
      <c r="A2159" s="39">
        <v>46036</v>
      </c>
      <c r="B2159" s="11" t="s">
        <v>49</v>
      </c>
      <c r="C2159" s="16" t="s">
        <v>9812</v>
      </c>
      <c r="D2159" s="16" t="s">
        <v>9813</v>
      </c>
      <c r="E2159" s="38">
        <v>34360</v>
      </c>
      <c r="F2159" s="38" t="s">
        <v>9805</v>
      </c>
      <c r="G2159" s="10" t="s">
        <v>9814</v>
      </c>
      <c r="H2159" s="12" t="s">
        <v>9815</v>
      </c>
      <c r="I2159" s="13">
        <v>51.2</v>
      </c>
      <c r="J2159" s="15" t="s">
        <v>9816</v>
      </c>
      <c r="K2159" s="46" t="s">
        <v>9817</v>
      </c>
      <c r="L2159" s="11" t="s">
        <v>33</v>
      </c>
      <c r="M2159" s="15" t="s">
        <v>3584</v>
      </c>
      <c r="N2159" s="17">
        <v>0</v>
      </c>
      <c r="O2159" s="17"/>
      <c r="P2159" s="17"/>
      <c r="Q2159" s="48" t="s">
        <v>9801</v>
      </c>
      <c r="R2159" s="11" t="s">
        <v>8837</v>
      </c>
      <c r="S2159" s="48"/>
      <c r="T2159" s="85" t="s">
        <v>9811</v>
      </c>
      <c r="U2159" s="88"/>
      <c r="V2159" s="32"/>
      <c r="W2159" s="25"/>
      <c r="X2159" s="11" t="s">
        <v>9737</v>
      </c>
      <c r="Y2159" s="50"/>
      <c r="Z2159" s="50"/>
      <c r="AA2159" s="50"/>
      <c r="AB2159" s="50"/>
      <c r="AC2159" s="50"/>
      <c r="AD2159" s="50"/>
      <c r="AE2159" s="50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65"/>
      <c r="AP2159" s="69"/>
      <c r="AQ2159" s="62"/>
      <c r="AR2159" s="34"/>
    </row>
    <row r="2160" spans="1:44" customFormat="1">
      <c r="A2160" s="39">
        <v>46037</v>
      </c>
      <c r="B2160" s="11" t="s">
        <v>22</v>
      </c>
      <c r="C2160" s="16" t="s">
        <v>9818</v>
      </c>
      <c r="D2160" s="16" t="s">
        <v>9819</v>
      </c>
      <c r="E2160" s="38">
        <v>25420</v>
      </c>
      <c r="F2160" s="38" t="s">
        <v>1909</v>
      </c>
      <c r="G2160" s="10" t="s">
        <v>9820</v>
      </c>
      <c r="H2160" s="12" t="s">
        <v>9821</v>
      </c>
      <c r="I2160" s="13" t="s">
        <v>9822</v>
      </c>
      <c r="J2160" s="15" t="s">
        <v>9823</v>
      </c>
      <c r="K2160" s="12"/>
      <c r="L2160" s="11" t="s">
        <v>33</v>
      </c>
      <c r="M2160" s="15" t="s">
        <v>3629</v>
      </c>
      <c r="N2160" s="17">
        <v>0</v>
      </c>
      <c r="O2160" s="17"/>
      <c r="P2160" s="17"/>
      <c r="Q2160" s="48" t="s">
        <v>9801</v>
      </c>
      <c r="R2160" s="11" t="s">
        <v>8837</v>
      </c>
      <c r="S2160" s="48"/>
      <c r="T2160" s="85"/>
      <c r="U2160" s="88"/>
      <c r="V2160" s="32"/>
      <c r="W2160" s="25"/>
      <c r="X2160" s="11" t="s">
        <v>9607</v>
      </c>
      <c r="Y2160" s="50"/>
      <c r="Z2160" s="50"/>
      <c r="AA2160" s="50"/>
      <c r="AB2160" s="50"/>
      <c r="AC2160" s="50"/>
      <c r="AD2160" s="50"/>
      <c r="AE2160" s="50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65"/>
      <c r="AP2160" s="69"/>
      <c r="AQ2160" s="62"/>
      <c r="AR2160" s="34"/>
    </row>
    <row r="2161" spans="1:45" customFormat="1">
      <c r="A2161" s="39">
        <v>46038</v>
      </c>
      <c r="B2161" s="11" t="s">
        <v>22</v>
      </c>
      <c r="C2161" s="16" t="s">
        <v>9824</v>
      </c>
      <c r="D2161" s="16" t="s">
        <v>9825</v>
      </c>
      <c r="E2161" s="38">
        <v>17445</v>
      </c>
      <c r="F2161" s="38" t="s">
        <v>9826</v>
      </c>
      <c r="G2161" s="10" t="s">
        <v>9827</v>
      </c>
      <c r="H2161" s="12" t="s">
        <v>9828</v>
      </c>
      <c r="I2161" s="13">
        <v>5.6</v>
      </c>
      <c r="J2161" s="15" t="s">
        <v>9829</v>
      </c>
      <c r="K2161" s="46" t="s">
        <v>9830</v>
      </c>
      <c r="L2161" s="11" t="s">
        <v>34</v>
      </c>
      <c r="M2161" s="15" t="s">
        <v>3599</v>
      </c>
      <c r="N2161" s="17">
        <v>0</v>
      </c>
      <c r="O2161" s="17"/>
      <c r="P2161" s="17"/>
      <c r="Q2161" s="48" t="s">
        <v>9801</v>
      </c>
      <c r="R2161" s="11" t="s">
        <v>8837</v>
      </c>
      <c r="S2161" s="48"/>
      <c r="T2161" s="85" t="s">
        <v>9831</v>
      </c>
      <c r="U2161" s="88"/>
      <c r="V2161" s="32"/>
      <c r="W2161" s="25" t="s">
        <v>9832</v>
      </c>
      <c r="X2161" s="11"/>
      <c r="Y2161" s="50"/>
      <c r="Z2161" s="50"/>
      <c r="AA2161" s="50"/>
      <c r="AB2161" s="50"/>
      <c r="AC2161" s="50"/>
      <c r="AD2161" s="50"/>
      <c r="AE2161" s="50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65"/>
      <c r="AP2161" s="69"/>
      <c r="AQ2161" s="62"/>
      <c r="AR2161" s="34"/>
    </row>
    <row r="2162" spans="1:45" customFormat="1">
      <c r="A2162" s="39">
        <v>46039</v>
      </c>
      <c r="B2162" s="11" t="s">
        <v>22</v>
      </c>
      <c r="C2162" s="16" t="s">
        <v>9833</v>
      </c>
      <c r="D2162" s="16" t="s">
        <v>9834</v>
      </c>
      <c r="E2162" s="38">
        <v>18708</v>
      </c>
      <c r="F2162" s="38" t="s">
        <v>1909</v>
      </c>
      <c r="G2162" s="10" t="s">
        <v>9840</v>
      </c>
      <c r="H2162" s="12" t="s">
        <v>9835</v>
      </c>
      <c r="I2162" s="13" t="s">
        <v>9843</v>
      </c>
      <c r="J2162" s="15" t="s">
        <v>9836</v>
      </c>
      <c r="K2162" s="12"/>
      <c r="L2162" s="11" t="s">
        <v>33</v>
      </c>
      <c r="M2162" s="15" t="s">
        <v>3599</v>
      </c>
      <c r="N2162" s="17">
        <v>0</v>
      </c>
      <c r="O2162" s="17"/>
      <c r="P2162" s="17"/>
      <c r="Q2162" s="48" t="s">
        <v>9801</v>
      </c>
      <c r="R2162" s="11" t="s">
        <v>8837</v>
      </c>
      <c r="S2162" s="48"/>
      <c r="T2162" s="85"/>
      <c r="U2162" s="88"/>
      <c r="V2162" s="32"/>
      <c r="W2162" s="25" t="s">
        <v>4073</v>
      </c>
      <c r="X2162" s="11"/>
      <c r="Y2162" s="50"/>
      <c r="Z2162" s="50"/>
      <c r="AA2162" s="50"/>
      <c r="AB2162" s="50"/>
      <c r="AC2162" s="50"/>
      <c r="AD2162" s="50"/>
      <c r="AE2162" s="50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65"/>
      <c r="AP2162" s="69"/>
      <c r="AQ2162" s="62"/>
      <c r="AR2162" s="34"/>
    </row>
    <row r="2163" spans="1:45" customFormat="1">
      <c r="A2163" s="39">
        <v>46039</v>
      </c>
      <c r="B2163" s="11" t="s">
        <v>22</v>
      </c>
      <c r="C2163" s="16" t="s">
        <v>9838</v>
      </c>
      <c r="D2163" s="16" t="s">
        <v>9839</v>
      </c>
      <c r="E2163" s="38">
        <v>18362</v>
      </c>
      <c r="F2163" s="38" t="s">
        <v>9837</v>
      </c>
      <c r="G2163" s="10" t="s">
        <v>9840</v>
      </c>
      <c r="H2163" s="12" t="s">
        <v>9835</v>
      </c>
      <c r="I2163" s="13" t="s">
        <v>9843</v>
      </c>
      <c r="J2163" s="15" t="s">
        <v>9841</v>
      </c>
      <c r="K2163" s="46" t="s">
        <v>9842</v>
      </c>
      <c r="L2163" s="11" t="s">
        <v>37</v>
      </c>
      <c r="M2163" s="15"/>
      <c r="N2163" s="17">
        <v>0</v>
      </c>
      <c r="O2163" s="17"/>
      <c r="P2163" s="17"/>
      <c r="Q2163" s="48" t="s">
        <v>9801</v>
      </c>
      <c r="R2163" s="11" t="s">
        <v>8837</v>
      </c>
      <c r="S2163" s="48"/>
      <c r="T2163" s="85" t="s">
        <v>81</v>
      </c>
      <c r="U2163" s="88"/>
      <c r="V2163" s="32"/>
      <c r="W2163" s="25" t="s">
        <v>4073</v>
      </c>
      <c r="X2163" s="11"/>
      <c r="Y2163" s="50"/>
      <c r="Z2163" s="50"/>
      <c r="AA2163" s="50"/>
      <c r="AB2163" s="50"/>
      <c r="AC2163" s="50"/>
      <c r="AD2163" s="50"/>
      <c r="AE2163" s="50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65"/>
      <c r="AP2163" s="69"/>
      <c r="AQ2163" s="62"/>
      <c r="AR2163" s="34"/>
    </row>
    <row r="2164" spans="1:45" customFormat="1">
      <c r="A2164" s="39">
        <v>46039</v>
      </c>
      <c r="B2164" s="11" t="s">
        <v>22</v>
      </c>
      <c r="C2164" s="16" t="s">
        <v>9844</v>
      </c>
      <c r="D2164" s="16" t="s">
        <v>9845</v>
      </c>
      <c r="E2164" s="38">
        <v>17863</v>
      </c>
      <c r="F2164" s="38" t="s">
        <v>1909</v>
      </c>
      <c r="G2164" s="10" t="s">
        <v>9846</v>
      </c>
      <c r="H2164" s="12" t="s">
        <v>9847</v>
      </c>
      <c r="I2164" s="13">
        <v>5.0999999999999996</v>
      </c>
      <c r="J2164" s="15" t="s">
        <v>9848</v>
      </c>
      <c r="K2164" s="46" t="s">
        <v>9849</v>
      </c>
      <c r="L2164" s="11" t="s">
        <v>39</v>
      </c>
      <c r="M2164" s="15" t="s">
        <v>3584</v>
      </c>
      <c r="N2164" s="17">
        <v>0</v>
      </c>
      <c r="O2164" s="17"/>
      <c r="P2164" s="17"/>
      <c r="Q2164" s="48" t="s">
        <v>9801</v>
      </c>
      <c r="R2164" s="11" t="s">
        <v>6848</v>
      </c>
      <c r="S2164" s="48"/>
      <c r="T2164" s="85" t="s">
        <v>9856</v>
      </c>
      <c r="U2164" s="88"/>
      <c r="V2164" s="32"/>
      <c r="W2164" s="25" t="s">
        <v>3282</v>
      </c>
      <c r="X2164" s="11"/>
      <c r="Y2164" s="50"/>
      <c r="Z2164" s="50"/>
      <c r="AA2164" s="50"/>
      <c r="AB2164" s="50"/>
      <c r="AC2164" s="50"/>
      <c r="AD2164" s="50"/>
      <c r="AE2164" s="50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65"/>
      <c r="AP2164" s="69"/>
      <c r="AQ2164" s="62"/>
      <c r="AR2164" s="34"/>
    </row>
    <row r="2165" spans="1:45" customFormat="1">
      <c r="A2165" s="39">
        <v>46039</v>
      </c>
      <c r="B2165" s="11" t="s">
        <v>22</v>
      </c>
      <c r="C2165" s="16" t="s">
        <v>9850</v>
      </c>
      <c r="D2165" s="16" t="s">
        <v>9851</v>
      </c>
      <c r="E2165" s="38">
        <v>23167</v>
      </c>
      <c r="F2165" s="38" t="s">
        <v>1909</v>
      </c>
      <c r="G2165" s="10" t="s">
        <v>9852</v>
      </c>
      <c r="H2165" s="12" t="s">
        <v>9853</v>
      </c>
      <c r="I2165" s="13">
        <v>2</v>
      </c>
      <c r="J2165" s="15" t="s">
        <v>9854</v>
      </c>
      <c r="K2165" s="46" t="s">
        <v>9855</v>
      </c>
      <c r="L2165" s="11" t="s">
        <v>33</v>
      </c>
      <c r="M2165" s="15" t="s">
        <v>3584</v>
      </c>
      <c r="N2165" s="17">
        <v>0</v>
      </c>
      <c r="O2165" s="17"/>
      <c r="P2165" s="17"/>
      <c r="Q2165" s="48" t="s">
        <v>8733</v>
      </c>
      <c r="R2165" s="11" t="s">
        <v>6848</v>
      </c>
      <c r="S2165" s="48"/>
      <c r="T2165" s="85" t="s">
        <v>81</v>
      </c>
      <c r="U2165" s="88"/>
      <c r="V2165" s="32"/>
      <c r="W2165" s="25"/>
      <c r="X2165" s="11"/>
      <c r="Y2165" s="50"/>
      <c r="Z2165" s="50"/>
      <c r="AA2165" s="50"/>
      <c r="AB2165" s="50"/>
      <c r="AC2165" s="50"/>
      <c r="AD2165" s="50"/>
      <c r="AE2165" s="50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65"/>
      <c r="AP2165" s="69"/>
      <c r="AQ2165" s="62"/>
      <c r="AR2165" s="34"/>
    </row>
    <row r="2166" spans="1:45" customFormat="1">
      <c r="A2166" s="39">
        <v>46040</v>
      </c>
      <c r="B2166" s="11" t="s">
        <v>49</v>
      </c>
      <c r="C2166" s="16" t="s">
        <v>9857</v>
      </c>
      <c r="D2166" s="16" t="s">
        <v>9858</v>
      </c>
      <c r="E2166" s="38">
        <v>26310</v>
      </c>
      <c r="F2166" s="38" t="s">
        <v>9859</v>
      </c>
      <c r="G2166" s="10" t="s">
        <v>9860</v>
      </c>
      <c r="H2166" s="12" t="s">
        <v>9861</v>
      </c>
      <c r="I2166" s="13">
        <v>46.9</v>
      </c>
      <c r="J2166" s="15" t="s">
        <v>9862</v>
      </c>
      <c r="K2166" s="46" t="s">
        <v>9863</v>
      </c>
      <c r="L2166" s="11" t="s">
        <v>33</v>
      </c>
      <c r="M2166" s="15" t="s">
        <v>3584</v>
      </c>
      <c r="N2166" s="17">
        <v>11000</v>
      </c>
      <c r="O2166" s="17"/>
      <c r="P2166" s="17"/>
      <c r="Q2166" s="48" t="s">
        <v>9864</v>
      </c>
      <c r="R2166" s="11" t="s">
        <v>6847</v>
      </c>
      <c r="S2166" s="48" t="s">
        <v>9865</v>
      </c>
      <c r="T2166" s="85"/>
      <c r="U2166" s="88"/>
      <c r="V2166" s="32"/>
      <c r="W2166" s="25" t="s">
        <v>9866</v>
      </c>
      <c r="X2166" s="11" t="s">
        <v>9867</v>
      </c>
      <c r="Y2166" s="50"/>
      <c r="Z2166" s="50"/>
      <c r="AA2166" s="50"/>
      <c r="AB2166" s="50"/>
      <c r="AC2166" s="50"/>
      <c r="AD2166" s="50"/>
      <c r="AE2166" s="50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65"/>
      <c r="AP2166" s="69"/>
      <c r="AQ2166" s="62"/>
      <c r="AR2166" s="34"/>
    </row>
    <row r="2167" spans="1:45" customFormat="1">
      <c r="A2167" s="39">
        <v>46041</v>
      </c>
      <c r="B2167" s="11" t="s">
        <v>22</v>
      </c>
      <c r="C2167" s="16" t="s">
        <v>9868</v>
      </c>
      <c r="D2167" s="16" t="s">
        <v>9869</v>
      </c>
      <c r="E2167" s="38">
        <v>29370</v>
      </c>
      <c r="F2167" s="38" t="s">
        <v>9870</v>
      </c>
      <c r="G2167" s="10" t="s">
        <v>9871</v>
      </c>
      <c r="H2167" s="12" t="s">
        <v>9872</v>
      </c>
      <c r="I2167" s="13">
        <v>5.8</v>
      </c>
      <c r="J2167" s="15" t="s">
        <v>9873</v>
      </c>
      <c r="K2167" s="46" t="s">
        <v>9874</v>
      </c>
      <c r="L2167" s="11" t="s">
        <v>36</v>
      </c>
      <c r="M2167" s="15" t="s">
        <v>3584</v>
      </c>
      <c r="N2167" s="17">
        <v>0</v>
      </c>
      <c r="O2167" s="17"/>
      <c r="P2167" s="17"/>
      <c r="Q2167" s="48" t="s">
        <v>8733</v>
      </c>
      <c r="R2167" s="11" t="s">
        <v>6847</v>
      </c>
      <c r="S2167" s="48" t="s">
        <v>8101</v>
      </c>
      <c r="T2167" s="85" t="s">
        <v>9887</v>
      </c>
      <c r="U2167" s="88"/>
      <c r="V2167" s="32"/>
      <c r="W2167" s="25" t="s">
        <v>9875</v>
      </c>
      <c r="X2167" s="11"/>
      <c r="Y2167" s="50"/>
      <c r="Z2167" s="50"/>
      <c r="AA2167" s="50"/>
      <c r="AB2167" s="50"/>
      <c r="AC2167" s="50"/>
      <c r="AD2167" s="50"/>
      <c r="AE2167" s="50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65"/>
      <c r="AP2167" s="69"/>
      <c r="AQ2167" s="62"/>
      <c r="AR2167" s="34"/>
    </row>
    <row r="2168" spans="1:45" customFormat="1">
      <c r="A2168" s="39">
        <v>46043</v>
      </c>
      <c r="B2168" s="11" t="s">
        <v>22</v>
      </c>
      <c r="C2168" s="16" t="s">
        <v>9876</v>
      </c>
      <c r="D2168" s="16" t="s">
        <v>9877</v>
      </c>
      <c r="E2168" s="38">
        <v>27649</v>
      </c>
      <c r="F2168" s="38" t="s">
        <v>9878</v>
      </c>
      <c r="G2168" s="10" t="s">
        <v>9879</v>
      </c>
      <c r="H2168" s="12" t="s">
        <v>9880</v>
      </c>
      <c r="I2168" s="13">
        <v>3.9</v>
      </c>
      <c r="J2168" s="15" t="s">
        <v>9881</v>
      </c>
      <c r="K2168" s="46" t="s">
        <v>9882</v>
      </c>
      <c r="L2168" s="11" t="s">
        <v>33</v>
      </c>
      <c r="M2168" s="15" t="s">
        <v>3629</v>
      </c>
      <c r="N2168" s="17">
        <v>0</v>
      </c>
      <c r="O2168" s="17"/>
      <c r="P2168" s="17"/>
      <c r="Q2168" s="48" t="s">
        <v>8733</v>
      </c>
      <c r="R2168" s="11" t="s">
        <v>6847</v>
      </c>
      <c r="S2168" s="48" t="s">
        <v>8101</v>
      </c>
      <c r="T2168" s="85" t="s">
        <v>81</v>
      </c>
      <c r="U2168" s="88"/>
      <c r="V2168" s="32"/>
      <c r="W2168" s="25" t="s">
        <v>6747</v>
      </c>
      <c r="X2168" s="11"/>
      <c r="Y2168" s="50"/>
      <c r="Z2168" s="50"/>
      <c r="AA2168" s="50"/>
      <c r="AB2168" s="50"/>
      <c r="AC2168" s="50"/>
      <c r="AD2168" s="50"/>
      <c r="AE2168" s="50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65"/>
      <c r="AP2168" s="69"/>
      <c r="AQ2168" s="62"/>
      <c r="AR2168" s="34"/>
    </row>
    <row r="2169" spans="1:45" customFormat="1">
      <c r="A2169" s="39">
        <v>46043</v>
      </c>
      <c r="B2169" s="11" t="s">
        <v>49</v>
      </c>
      <c r="C2169" s="16" t="s">
        <v>9883</v>
      </c>
      <c r="D2169" s="16" t="s">
        <v>9888</v>
      </c>
      <c r="E2169" s="38">
        <v>24161</v>
      </c>
      <c r="F2169" s="38" t="s">
        <v>9878</v>
      </c>
      <c r="G2169" s="10" t="s">
        <v>9884</v>
      </c>
      <c r="H2169" s="12" t="s">
        <v>9885</v>
      </c>
      <c r="I2169" s="13">
        <v>174</v>
      </c>
      <c r="J2169" s="15" t="s">
        <v>9886</v>
      </c>
      <c r="K2169" s="46" t="s">
        <v>9889</v>
      </c>
      <c r="L2169" s="11" t="s">
        <v>33</v>
      </c>
      <c r="M2169" s="15" t="s">
        <v>3584</v>
      </c>
      <c r="N2169" s="17">
        <v>0</v>
      </c>
      <c r="O2169" s="17"/>
      <c r="P2169" s="17"/>
      <c r="Q2169" s="48" t="s">
        <v>8733</v>
      </c>
      <c r="R2169" s="11" t="s">
        <v>8837</v>
      </c>
      <c r="S2169" s="48"/>
      <c r="T2169" s="85"/>
      <c r="U2169" s="88"/>
      <c r="V2169" s="32"/>
      <c r="W2169" s="25"/>
      <c r="X2169" s="11" t="s">
        <v>9607</v>
      </c>
      <c r="Y2169" s="50"/>
      <c r="Z2169" s="50"/>
      <c r="AA2169" s="50"/>
      <c r="AB2169" s="50"/>
      <c r="AC2169" s="50"/>
      <c r="AD2169" s="50"/>
      <c r="AE2169" s="50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65"/>
      <c r="AP2169" s="69"/>
      <c r="AQ2169" s="62"/>
      <c r="AR2169" s="34"/>
    </row>
    <row r="2170" spans="1:45" customFormat="1">
      <c r="A2170" s="39">
        <v>46044</v>
      </c>
      <c r="B2170" s="11" t="s">
        <v>22</v>
      </c>
      <c r="C2170" s="16" t="s">
        <v>9890</v>
      </c>
      <c r="D2170" s="16" t="s">
        <v>9891</v>
      </c>
      <c r="E2170" s="38">
        <v>35608</v>
      </c>
      <c r="F2170" s="38" t="s">
        <v>1909</v>
      </c>
      <c r="G2170" s="10" t="s">
        <v>9892</v>
      </c>
      <c r="H2170" s="12" t="s">
        <v>9893</v>
      </c>
      <c r="I2170" s="13" t="s">
        <v>1640</v>
      </c>
      <c r="J2170" s="15" t="s">
        <v>9894</v>
      </c>
      <c r="K2170" s="12" t="s">
        <v>9895</v>
      </c>
      <c r="L2170" s="11" t="s">
        <v>36</v>
      </c>
      <c r="M2170" s="15" t="s">
        <v>3629</v>
      </c>
      <c r="N2170" s="17"/>
      <c r="O2170" s="17"/>
      <c r="P2170" s="17"/>
      <c r="Q2170" s="48" t="s">
        <v>8733</v>
      </c>
      <c r="R2170" s="11" t="s">
        <v>9271</v>
      </c>
      <c r="S2170" s="48"/>
      <c r="T2170" s="85"/>
      <c r="U2170" s="88"/>
      <c r="V2170" s="32"/>
      <c r="W2170" s="25"/>
      <c r="X2170" s="11"/>
      <c r="Y2170" s="50"/>
      <c r="Z2170" s="50"/>
      <c r="AA2170" s="50"/>
      <c r="AB2170" s="50"/>
      <c r="AC2170" s="50"/>
      <c r="AD2170" s="50"/>
      <c r="AE2170" s="50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65"/>
      <c r="AP2170" s="69"/>
      <c r="AQ2170" s="62"/>
      <c r="AR2170" s="34"/>
    </row>
    <row r="2171" spans="1:45" customFormat="1">
      <c r="A2171" s="39">
        <v>46047</v>
      </c>
      <c r="B2171" s="11" t="s">
        <v>49</v>
      </c>
      <c r="C2171" s="16" t="s">
        <v>9896</v>
      </c>
      <c r="D2171" s="16" t="s">
        <v>9897</v>
      </c>
      <c r="E2171" s="38">
        <v>39296</v>
      </c>
      <c r="F2171" s="38" t="s">
        <v>9898</v>
      </c>
      <c r="G2171" s="10" t="s">
        <v>9899</v>
      </c>
      <c r="H2171" s="12" t="s">
        <v>9900</v>
      </c>
      <c r="I2171" s="13">
        <v>25.1</v>
      </c>
      <c r="J2171" s="15" t="s">
        <v>9901</v>
      </c>
      <c r="K2171" s="46" t="s">
        <v>9902</v>
      </c>
      <c r="L2171" s="11" t="s">
        <v>38</v>
      </c>
      <c r="M2171" s="15" t="s">
        <v>3584</v>
      </c>
      <c r="N2171" s="17">
        <v>21450</v>
      </c>
      <c r="O2171" s="17" t="s">
        <v>8203</v>
      </c>
      <c r="P2171" s="17"/>
      <c r="Q2171" s="48" t="s">
        <v>8098</v>
      </c>
      <c r="R2171" s="11" t="s">
        <v>6847</v>
      </c>
      <c r="S2171" s="48"/>
      <c r="T2171" s="85"/>
      <c r="U2171" s="88"/>
      <c r="V2171" s="32"/>
      <c r="W2171" s="25" t="s">
        <v>9903</v>
      </c>
      <c r="X2171" s="11"/>
      <c r="Y2171" s="50"/>
      <c r="Z2171" s="50"/>
      <c r="AA2171" s="50"/>
      <c r="AB2171" s="50"/>
      <c r="AC2171" s="50"/>
      <c r="AD2171" s="50"/>
      <c r="AE2171" s="50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65"/>
      <c r="AP2171" s="69"/>
      <c r="AQ2171" s="62"/>
      <c r="AR2171" s="34"/>
      <c r="AS2171" t="s">
        <v>9904</v>
      </c>
    </row>
    <row r="2172" spans="1:45" customFormat="1">
      <c r="A2172" s="39">
        <v>46050</v>
      </c>
      <c r="B2172" s="11" t="s">
        <v>22</v>
      </c>
      <c r="C2172" s="16" t="s">
        <v>9905</v>
      </c>
      <c r="D2172" s="16" t="s">
        <v>9906</v>
      </c>
      <c r="E2172" s="38">
        <v>35399</v>
      </c>
      <c r="F2172" s="38" t="s">
        <v>9907</v>
      </c>
      <c r="G2172" s="10" t="s">
        <v>9908</v>
      </c>
      <c r="H2172" s="12" t="s">
        <v>9909</v>
      </c>
      <c r="I2172" s="13">
        <v>2</v>
      </c>
      <c r="J2172" s="15" t="s">
        <v>9910</v>
      </c>
      <c r="K2172" s="46" t="s">
        <v>9911</v>
      </c>
      <c r="L2172" s="11" t="s">
        <v>36</v>
      </c>
      <c r="M2172" s="15" t="s">
        <v>3584</v>
      </c>
      <c r="N2172" s="17">
        <v>0</v>
      </c>
      <c r="O2172" s="17"/>
      <c r="P2172" s="17"/>
      <c r="Q2172" s="48" t="s">
        <v>8733</v>
      </c>
      <c r="R2172" s="11" t="s">
        <v>6847</v>
      </c>
      <c r="S2172" s="48" t="s">
        <v>8101</v>
      </c>
      <c r="T2172" s="85"/>
      <c r="U2172" s="88"/>
      <c r="V2172" s="32"/>
      <c r="W2172" s="25"/>
      <c r="X2172" s="11"/>
      <c r="Y2172" s="50"/>
      <c r="Z2172" s="50"/>
      <c r="AA2172" s="50"/>
      <c r="AB2172" s="50"/>
      <c r="AC2172" s="50"/>
      <c r="AD2172" s="50"/>
      <c r="AE2172" s="50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65"/>
      <c r="AP2172" s="69"/>
      <c r="AQ2172" s="62"/>
      <c r="AR2172" s="34"/>
    </row>
    <row r="2173" spans="1:45" customFormat="1">
      <c r="A2173" s="39">
        <v>46052</v>
      </c>
      <c r="B2173" s="11" t="s">
        <v>49</v>
      </c>
      <c r="C2173" s="16" t="s">
        <v>9919</v>
      </c>
      <c r="D2173" s="16" t="s">
        <v>9920</v>
      </c>
      <c r="E2173" s="38">
        <v>26996</v>
      </c>
      <c r="F2173" s="38" t="s">
        <v>1909</v>
      </c>
      <c r="G2173" s="10" t="s">
        <v>9921</v>
      </c>
      <c r="H2173" s="12" t="s">
        <v>9922</v>
      </c>
      <c r="I2173" s="13" t="s">
        <v>9923</v>
      </c>
      <c r="J2173" s="15" t="s">
        <v>9924</v>
      </c>
      <c r="K2173" s="46" t="s">
        <v>9925</v>
      </c>
      <c r="L2173" s="11"/>
      <c r="M2173" s="15"/>
      <c r="N2173" s="17"/>
      <c r="O2173" s="17"/>
      <c r="P2173" s="17"/>
      <c r="Q2173" s="48"/>
      <c r="R2173" s="11"/>
      <c r="S2173" s="48"/>
      <c r="T2173" s="85" t="s">
        <v>8073</v>
      </c>
      <c r="U2173" s="88"/>
      <c r="V2173" s="32"/>
      <c r="W2173" s="25"/>
      <c r="X2173" s="11"/>
      <c r="Y2173" s="50"/>
      <c r="Z2173" s="50"/>
      <c r="AA2173" s="50"/>
      <c r="AB2173" s="50"/>
      <c r="AC2173" s="50"/>
      <c r="AD2173" s="50"/>
      <c r="AE2173" s="50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65"/>
      <c r="AP2173" s="69"/>
      <c r="AQ2173" s="62"/>
      <c r="AR2173" s="34"/>
    </row>
    <row r="2174" spans="1:45" customFormat="1">
      <c r="A2174" s="39">
        <v>46053</v>
      </c>
      <c r="B2174" s="11" t="s">
        <v>22</v>
      </c>
      <c r="C2174" s="16" t="s">
        <v>9926</v>
      </c>
      <c r="D2174" s="16" t="s">
        <v>9927</v>
      </c>
      <c r="E2174" s="38">
        <v>33173</v>
      </c>
      <c r="F2174" s="38" t="s">
        <v>9928</v>
      </c>
      <c r="G2174" s="10" t="s">
        <v>9929</v>
      </c>
      <c r="H2174" s="12" t="s">
        <v>9930</v>
      </c>
      <c r="I2174" s="13" t="s">
        <v>9933</v>
      </c>
      <c r="J2174" s="15" t="s">
        <v>9931</v>
      </c>
      <c r="K2174" s="46" t="s">
        <v>9932</v>
      </c>
      <c r="L2174" s="11"/>
      <c r="M2174" s="15" t="s">
        <v>3584</v>
      </c>
      <c r="N2174" s="17">
        <v>0</v>
      </c>
      <c r="O2174" s="17"/>
      <c r="P2174" s="17"/>
      <c r="Q2174" s="48" t="s">
        <v>8733</v>
      </c>
      <c r="R2174" s="11" t="s">
        <v>8503</v>
      </c>
      <c r="S2174" s="48"/>
      <c r="T2174" s="85" t="s">
        <v>81</v>
      </c>
      <c r="U2174" s="88"/>
      <c r="V2174" s="32"/>
      <c r="W2174" s="25"/>
      <c r="X2174" s="11"/>
      <c r="Y2174" s="50"/>
      <c r="Z2174" s="50"/>
      <c r="AA2174" s="50"/>
      <c r="AB2174" s="50"/>
      <c r="AC2174" s="50"/>
      <c r="AD2174" s="50"/>
      <c r="AE2174" s="50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65"/>
      <c r="AP2174" s="69"/>
      <c r="AQ2174" s="62"/>
      <c r="AR2174" s="34"/>
    </row>
    <row r="2175" spans="1:45" customFormat="1">
      <c r="A2175" s="39">
        <v>46053</v>
      </c>
      <c r="B2175" s="11" t="s">
        <v>22</v>
      </c>
      <c r="C2175" s="16" t="s">
        <v>9934</v>
      </c>
      <c r="D2175" s="16" t="s">
        <v>9935</v>
      </c>
      <c r="E2175" s="38">
        <v>27991</v>
      </c>
      <c r="F2175" s="38" t="s">
        <v>9928</v>
      </c>
      <c r="G2175" s="10" t="s">
        <v>9936</v>
      </c>
      <c r="H2175" s="12" t="s">
        <v>9937</v>
      </c>
      <c r="I2175" s="13" t="s">
        <v>9940</v>
      </c>
      <c r="J2175" s="15" t="s">
        <v>9938</v>
      </c>
      <c r="K2175" s="46" t="s">
        <v>9939</v>
      </c>
      <c r="L2175" s="11" t="s">
        <v>36</v>
      </c>
      <c r="M2175" s="15" t="s">
        <v>3584</v>
      </c>
      <c r="N2175" s="17">
        <v>0</v>
      </c>
      <c r="O2175" s="17"/>
      <c r="P2175" s="17"/>
      <c r="Q2175" s="48" t="s">
        <v>8733</v>
      </c>
      <c r="R2175" s="11" t="s">
        <v>6847</v>
      </c>
      <c r="S2175" s="48"/>
      <c r="T2175" s="85"/>
      <c r="U2175" s="88"/>
      <c r="V2175" s="32"/>
      <c r="W2175" s="25"/>
      <c r="X2175" s="11"/>
      <c r="Y2175" s="50"/>
      <c r="Z2175" s="50"/>
      <c r="AA2175" s="50"/>
      <c r="AB2175" s="50"/>
      <c r="AC2175" s="50"/>
      <c r="AD2175" s="50"/>
      <c r="AE2175" s="50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65"/>
      <c r="AP2175" s="69"/>
      <c r="AQ2175" s="62"/>
      <c r="AR2175" s="34"/>
    </row>
    <row r="2176" spans="1:45" customFormat="1">
      <c r="A2176" s="39">
        <v>46053</v>
      </c>
      <c r="B2176" s="11" t="s">
        <v>22</v>
      </c>
      <c r="C2176" s="16" t="s">
        <v>9941</v>
      </c>
      <c r="D2176" s="16"/>
      <c r="E2176" s="38">
        <v>26141</v>
      </c>
      <c r="F2176" s="38" t="s">
        <v>1909</v>
      </c>
      <c r="G2176" s="10" t="s">
        <v>9942</v>
      </c>
      <c r="H2176" s="12" t="s">
        <v>9943</v>
      </c>
      <c r="I2176" s="13" t="s">
        <v>9946</v>
      </c>
      <c r="J2176" s="15" t="s">
        <v>9944</v>
      </c>
      <c r="K2176" s="46" t="s">
        <v>9945</v>
      </c>
      <c r="L2176" s="11" t="s">
        <v>36</v>
      </c>
      <c r="M2176" s="15" t="s">
        <v>3629</v>
      </c>
      <c r="N2176" s="17">
        <v>0</v>
      </c>
      <c r="O2176" s="17"/>
      <c r="P2176" s="17"/>
      <c r="Q2176" s="48" t="s">
        <v>8733</v>
      </c>
      <c r="R2176" s="11" t="s">
        <v>8503</v>
      </c>
      <c r="S2176" s="48"/>
      <c r="T2176" s="85"/>
      <c r="U2176" s="88"/>
      <c r="V2176" s="32"/>
      <c r="W2176" s="25"/>
      <c r="X2176" s="11"/>
      <c r="Y2176" s="50"/>
      <c r="Z2176" s="50"/>
      <c r="AA2176" s="50"/>
      <c r="AB2176" s="50"/>
      <c r="AC2176" s="50"/>
      <c r="AD2176" s="50"/>
      <c r="AE2176" s="50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65"/>
      <c r="AP2176" s="69"/>
      <c r="AQ2176" s="62"/>
      <c r="AR2176" s="34"/>
    </row>
    <row r="2177" spans="1:44" customFormat="1">
      <c r="A2177" s="39">
        <v>46057</v>
      </c>
      <c r="B2177" s="11" t="s">
        <v>22</v>
      </c>
      <c r="C2177" s="16" t="s">
        <v>9947</v>
      </c>
      <c r="D2177" s="16" t="s">
        <v>9948</v>
      </c>
      <c r="E2177" s="38">
        <v>26857</v>
      </c>
      <c r="F2177" s="38" t="s">
        <v>9949</v>
      </c>
      <c r="G2177" s="10" t="s">
        <v>9950</v>
      </c>
      <c r="H2177" s="12" t="s">
        <v>9951</v>
      </c>
      <c r="I2177" s="13">
        <v>6.8</v>
      </c>
      <c r="J2177" s="15" t="s">
        <v>9952</v>
      </c>
      <c r="K2177" s="46" t="s">
        <v>9953</v>
      </c>
      <c r="L2177" s="11"/>
      <c r="M2177" s="15" t="s">
        <v>3584</v>
      </c>
      <c r="N2177" s="17">
        <v>0</v>
      </c>
      <c r="O2177" s="17"/>
      <c r="P2177" s="17"/>
      <c r="Q2177" s="48" t="s">
        <v>8733</v>
      </c>
      <c r="R2177" s="11" t="s">
        <v>8837</v>
      </c>
      <c r="S2177" s="48" t="s">
        <v>8101</v>
      </c>
      <c r="T2177" s="85"/>
      <c r="U2177" s="88"/>
      <c r="V2177" s="32"/>
      <c r="W2177" s="25" t="s">
        <v>4073</v>
      </c>
      <c r="X2177" s="11"/>
      <c r="Y2177" s="50"/>
      <c r="Z2177" s="50"/>
      <c r="AA2177" s="50"/>
      <c r="AB2177" s="50"/>
      <c r="AC2177" s="50"/>
      <c r="AD2177" s="50"/>
      <c r="AE2177" s="50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65"/>
      <c r="AP2177" s="69"/>
      <c r="AQ2177" s="62"/>
      <c r="AR2177" s="34"/>
    </row>
    <row r="2178" spans="1:44" customFormat="1">
      <c r="A2178" s="39">
        <v>46058</v>
      </c>
      <c r="B2178" s="11" t="s">
        <v>22</v>
      </c>
      <c r="C2178" s="16" t="s">
        <v>9954</v>
      </c>
      <c r="D2178" s="16" t="s">
        <v>9955</v>
      </c>
      <c r="E2178" s="38">
        <v>21892</v>
      </c>
      <c r="F2178" s="38" t="s">
        <v>9956</v>
      </c>
      <c r="G2178" s="10" t="s">
        <v>9957</v>
      </c>
      <c r="H2178" s="12" t="s">
        <v>9958</v>
      </c>
      <c r="I2178" s="13" t="s">
        <v>9961</v>
      </c>
      <c r="J2178" s="15" t="s">
        <v>9959</v>
      </c>
      <c r="K2178" s="12" t="s">
        <v>9960</v>
      </c>
      <c r="L2178" s="11" t="s">
        <v>36</v>
      </c>
      <c r="M2178" s="15" t="s">
        <v>3584</v>
      </c>
      <c r="N2178" s="17">
        <v>0</v>
      </c>
      <c r="O2178" s="17"/>
      <c r="P2178" s="17"/>
      <c r="Q2178" s="48" t="s">
        <v>8733</v>
      </c>
      <c r="R2178" s="11" t="s">
        <v>8837</v>
      </c>
      <c r="S2178" s="48"/>
      <c r="T2178" s="85"/>
      <c r="U2178" s="88"/>
      <c r="V2178" s="32"/>
      <c r="W2178" s="25" t="s">
        <v>4073</v>
      </c>
      <c r="X2178" s="11"/>
      <c r="Y2178" s="50"/>
      <c r="Z2178" s="50"/>
      <c r="AA2178" s="50"/>
      <c r="AB2178" s="50"/>
      <c r="AC2178" s="50"/>
      <c r="AD2178" s="50"/>
      <c r="AE2178" s="50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65"/>
      <c r="AP2178" s="69"/>
      <c r="AQ2178" s="62"/>
      <c r="AR2178" s="34"/>
    </row>
    <row r="2179" spans="1:44" customFormat="1">
      <c r="A2179" s="39">
        <v>46058</v>
      </c>
      <c r="B2179" s="11" t="s">
        <v>22</v>
      </c>
      <c r="C2179" s="16" t="s">
        <v>9962</v>
      </c>
      <c r="D2179" s="16" t="s">
        <v>9963</v>
      </c>
      <c r="E2179" s="38">
        <v>29350</v>
      </c>
      <c r="F2179" s="38" t="s">
        <v>9964</v>
      </c>
      <c r="G2179" s="10" t="s">
        <v>9965</v>
      </c>
      <c r="H2179" s="12" t="s">
        <v>9966</v>
      </c>
      <c r="I2179" s="13" t="s">
        <v>2580</v>
      </c>
      <c r="J2179" s="15" t="s">
        <v>9967</v>
      </c>
      <c r="K2179" s="2" t="s">
        <v>9974</v>
      </c>
      <c r="L2179" s="11" t="s">
        <v>34</v>
      </c>
      <c r="M2179" s="15" t="s">
        <v>3584</v>
      </c>
      <c r="N2179" s="17">
        <v>0</v>
      </c>
      <c r="O2179" s="17"/>
      <c r="P2179" s="17"/>
      <c r="Q2179" s="48" t="s">
        <v>9801</v>
      </c>
      <c r="R2179" s="11" t="s">
        <v>6848</v>
      </c>
      <c r="S2179" s="48"/>
      <c r="T2179" s="85" t="s">
        <v>10016</v>
      </c>
      <c r="U2179" s="88"/>
      <c r="V2179" s="32"/>
      <c r="W2179" s="25" t="s">
        <v>4073</v>
      </c>
      <c r="X2179" s="11"/>
      <c r="Y2179" s="50"/>
      <c r="Z2179" s="50"/>
      <c r="AA2179" s="50"/>
      <c r="AB2179" s="50"/>
      <c r="AC2179" s="50"/>
      <c r="AD2179" s="50"/>
      <c r="AE2179" s="50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65"/>
      <c r="AP2179" s="69"/>
      <c r="AQ2179" s="62"/>
      <c r="AR2179" s="34"/>
    </row>
    <row r="2180" spans="1:44" customFormat="1">
      <c r="A2180" s="39">
        <v>46058</v>
      </c>
      <c r="B2180" s="11" t="s">
        <v>22</v>
      </c>
      <c r="C2180" s="16" t="s">
        <v>9969</v>
      </c>
      <c r="D2180" s="16" t="s">
        <v>9970</v>
      </c>
      <c r="E2180" s="38">
        <v>26074</v>
      </c>
      <c r="F2180" s="38" t="s">
        <v>9964</v>
      </c>
      <c r="G2180" s="10" t="s">
        <v>9971</v>
      </c>
      <c r="H2180" s="12" t="s">
        <v>9972</v>
      </c>
      <c r="I2180" s="13">
        <v>3.5</v>
      </c>
      <c r="J2180" s="15" t="s">
        <v>9973</v>
      </c>
      <c r="K2180" s="12" t="s">
        <v>9968</v>
      </c>
      <c r="L2180" s="11" t="s">
        <v>36</v>
      </c>
      <c r="M2180" s="15" t="s">
        <v>3584</v>
      </c>
      <c r="N2180" s="17">
        <v>0</v>
      </c>
      <c r="O2180" s="17"/>
      <c r="P2180" s="17"/>
      <c r="Q2180" s="48" t="s">
        <v>9801</v>
      </c>
      <c r="R2180" s="11" t="s">
        <v>6848</v>
      </c>
      <c r="S2180" s="48"/>
      <c r="T2180" s="85" t="s">
        <v>10115</v>
      </c>
      <c r="U2180" s="88"/>
      <c r="V2180" s="32"/>
      <c r="W2180" s="25" t="s">
        <v>6747</v>
      </c>
      <c r="X2180" s="11"/>
      <c r="Y2180" s="50"/>
      <c r="Z2180" s="50"/>
      <c r="AA2180" s="50"/>
      <c r="AB2180" s="50"/>
      <c r="AC2180" s="50"/>
      <c r="AD2180" s="50"/>
      <c r="AE2180" s="50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65"/>
      <c r="AP2180" s="69"/>
      <c r="AQ2180" s="62"/>
      <c r="AR2180" s="34"/>
    </row>
    <row r="2181" spans="1:44" customFormat="1">
      <c r="A2181" s="39">
        <v>46059</v>
      </c>
      <c r="B2181" s="11" t="s">
        <v>22</v>
      </c>
      <c r="C2181" s="16" t="s">
        <v>9975</v>
      </c>
      <c r="D2181" s="16" t="s">
        <v>9977</v>
      </c>
      <c r="E2181" s="38">
        <v>19954</v>
      </c>
      <c r="F2181" s="38" t="s">
        <v>9979</v>
      </c>
      <c r="G2181" s="10" t="s">
        <v>610</v>
      </c>
      <c r="H2181" s="12" t="s">
        <v>9981</v>
      </c>
      <c r="I2181" s="13">
        <v>7.5</v>
      </c>
      <c r="J2181" s="15" t="s">
        <v>9982</v>
      </c>
      <c r="K2181" s="12"/>
      <c r="L2181" s="11" t="s">
        <v>34</v>
      </c>
      <c r="M2181" s="15"/>
      <c r="N2181" s="17">
        <v>0</v>
      </c>
      <c r="O2181" s="17"/>
      <c r="P2181" s="17"/>
      <c r="Q2181" s="48" t="s">
        <v>9801</v>
      </c>
      <c r="R2181" s="11" t="s">
        <v>6847</v>
      </c>
      <c r="S2181" s="48"/>
      <c r="T2181" s="85" t="s">
        <v>9983</v>
      </c>
      <c r="U2181" s="88"/>
      <c r="V2181" s="32"/>
      <c r="W2181" s="25" t="s">
        <v>6747</v>
      </c>
      <c r="X2181" s="11"/>
      <c r="Y2181" s="50"/>
      <c r="Z2181" s="50"/>
      <c r="AA2181" s="50"/>
      <c r="AB2181" s="50"/>
      <c r="AC2181" s="50"/>
      <c r="AD2181" s="50"/>
      <c r="AE2181" s="50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65"/>
      <c r="AP2181" s="69"/>
      <c r="AQ2181" s="62"/>
      <c r="AR2181" s="34"/>
    </row>
    <row r="2182" spans="1:44" customFormat="1">
      <c r="A2182" s="39">
        <v>46059</v>
      </c>
      <c r="B2182" s="11" t="s">
        <v>22</v>
      </c>
      <c r="C2182" s="16" t="s">
        <v>9976</v>
      </c>
      <c r="D2182" s="16" t="s">
        <v>9978</v>
      </c>
      <c r="E2182" s="38"/>
      <c r="F2182" s="38" t="s">
        <v>9980</v>
      </c>
      <c r="G2182" s="10" t="s">
        <v>610</v>
      </c>
      <c r="H2182" s="12" t="s">
        <v>9981</v>
      </c>
      <c r="I2182" s="13">
        <v>7.5</v>
      </c>
      <c r="J2182" s="15"/>
      <c r="K2182" s="12"/>
      <c r="L2182" s="11"/>
      <c r="M2182" s="15"/>
      <c r="N2182" s="17">
        <v>0</v>
      </c>
      <c r="O2182" s="17"/>
      <c r="P2182" s="17"/>
      <c r="Q2182" s="48" t="s">
        <v>9801</v>
      </c>
      <c r="R2182" s="11" t="s">
        <v>6847</v>
      </c>
      <c r="S2182" s="48"/>
      <c r="T2182" s="85" t="s">
        <v>9983</v>
      </c>
      <c r="U2182" s="88"/>
      <c r="V2182" s="32"/>
      <c r="W2182" s="25" t="s">
        <v>6747</v>
      </c>
      <c r="X2182" s="11"/>
      <c r="Y2182" s="50"/>
      <c r="Z2182" s="50"/>
      <c r="AA2182" s="50"/>
      <c r="AB2182" s="50"/>
      <c r="AC2182" s="50"/>
      <c r="AD2182" s="50"/>
      <c r="AE2182" s="50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65"/>
      <c r="AP2182" s="69"/>
      <c r="AQ2182" s="62"/>
      <c r="AR2182" s="34"/>
    </row>
    <row r="2183" spans="1:44" customFormat="1">
      <c r="A2183" s="39">
        <v>46060</v>
      </c>
      <c r="B2183" s="11" t="s">
        <v>22</v>
      </c>
      <c r="C2183" s="16" t="s">
        <v>9984</v>
      </c>
      <c r="D2183" s="16" t="s">
        <v>9985</v>
      </c>
      <c r="E2183" s="38">
        <v>26468</v>
      </c>
      <c r="F2183" s="38" t="s">
        <v>9980</v>
      </c>
      <c r="G2183" s="10" t="s">
        <v>9986</v>
      </c>
      <c r="H2183" s="12" t="s">
        <v>9987</v>
      </c>
      <c r="I2183" s="13">
        <v>2.2999999999999998</v>
      </c>
      <c r="J2183" s="15" t="s">
        <v>9988</v>
      </c>
      <c r="K2183" s="46" t="s">
        <v>9989</v>
      </c>
      <c r="L2183" s="11" t="s">
        <v>36</v>
      </c>
      <c r="M2183" s="15" t="s">
        <v>3584</v>
      </c>
      <c r="N2183" s="17">
        <v>0</v>
      </c>
      <c r="O2183" s="17"/>
      <c r="P2183" s="17"/>
      <c r="Q2183" s="48" t="s">
        <v>9801</v>
      </c>
      <c r="R2183" s="11" t="s">
        <v>8837</v>
      </c>
      <c r="S2183" s="48"/>
      <c r="T2183" s="85" t="s">
        <v>9983</v>
      </c>
      <c r="U2183" s="88"/>
      <c r="V2183" s="32"/>
      <c r="W2183" s="25" t="s">
        <v>6747</v>
      </c>
      <c r="X2183" s="11"/>
      <c r="Y2183" s="50"/>
      <c r="Z2183" s="50"/>
      <c r="AA2183" s="50"/>
      <c r="AB2183" s="50"/>
      <c r="AC2183" s="50"/>
      <c r="AD2183" s="50"/>
      <c r="AE2183" s="50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65"/>
      <c r="AP2183" s="69"/>
      <c r="AQ2183" s="62"/>
      <c r="AR2183" s="34"/>
    </row>
    <row r="2184" spans="1:44" customFormat="1">
      <c r="A2184" s="39">
        <v>46062</v>
      </c>
      <c r="B2184" s="11" t="s">
        <v>22</v>
      </c>
      <c r="C2184" s="16" t="s">
        <v>9990</v>
      </c>
      <c r="D2184" s="16" t="s">
        <v>9991</v>
      </c>
      <c r="E2184" s="38">
        <v>39031</v>
      </c>
      <c r="F2184" s="38" t="s">
        <v>9992</v>
      </c>
      <c r="G2184" s="10" t="s">
        <v>9993</v>
      </c>
      <c r="H2184" s="12" t="s">
        <v>9994</v>
      </c>
      <c r="I2184" s="13">
        <v>5.3</v>
      </c>
      <c r="J2184" s="15" t="s">
        <v>9995</v>
      </c>
      <c r="K2184" s="46" t="s">
        <v>9996</v>
      </c>
      <c r="L2184" s="11" t="s">
        <v>38</v>
      </c>
      <c r="M2184" s="15" t="s">
        <v>3584</v>
      </c>
      <c r="N2184" s="17">
        <v>0</v>
      </c>
      <c r="O2184" s="17"/>
      <c r="P2184" s="17"/>
      <c r="Q2184" s="48" t="s">
        <v>9801</v>
      </c>
      <c r="R2184" s="11" t="s">
        <v>8837</v>
      </c>
      <c r="S2184" s="48" t="s">
        <v>8102</v>
      </c>
      <c r="T2184" s="85" t="s">
        <v>81</v>
      </c>
      <c r="U2184" s="88"/>
      <c r="V2184" s="32"/>
      <c r="W2184" s="25" t="s">
        <v>6747</v>
      </c>
      <c r="X2184" s="11"/>
      <c r="Y2184" s="50"/>
      <c r="Z2184" s="50"/>
      <c r="AA2184" s="50"/>
      <c r="AB2184" s="50"/>
      <c r="AC2184" s="50"/>
      <c r="AD2184" s="50"/>
      <c r="AE2184" s="50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65"/>
      <c r="AP2184" s="69"/>
      <c r="AQ2184" s="62"/>
      <c r="AR2184" s="34"/>
    </row>
    <row r="2185" spans="1:44" customFormat="1">
      <c r="A2185" s="39">
        <v>46066</v>
      </c>
      <c r="B2185" s="11" t="s">
        <v>22</v>
      </c>
      <c r="C2185" s="16" t="s">
        <v>9997</v>
      </c>
      <c r="D2185" s="16" t="s">
        <v>9998</v>
      </c>
      <c r="E2185" s="38">
        <v>29513</v>
      </c>
      <c r="F2185" s="38" t="s">
        <v>1909</v>
      </c>
      <c r="G2185" s="10" t="s">
        <v>9999</v>
      </c>
      <c r="H2185" s="12" t="s">
        <v>10000</v>
      </c>
      <c r="I2185" s="13">
        <v>67.5</v>
      </c>
      <c r="J2185" s="15" t="s">
        <v>10001</v>
      </c>
      <c r="K2185" s="46" t="s">
        <v>10002</v>
      </c>
      <c r="L2185" s="11" t="s">
        <v>36</v>
      </c>
      <c r="M2185" s="15" t="s">
        <v>3584</v>
      </c>
      <c r="N2185" s="17">
        <v>0</v>
      </c>
      <c r="O2185" s="17"/>
      <c r="P2185" s="17"/>
      <c r="Q2185" s="48" t="s">
        <v>9801</v>
      </c>
      <c r="R2185" s="11" t="s">
        <v>6943</v>
      </c>
      <c r="S2185" s="48" t="s">
        <v>8101</v>
      </c>
      <c r="T2185" s="85"/>
      <c r="U2185" s="88"/>
      <c r="V2185" s="32"/>
      <c r="W2185" s="25" t="s">
        <v>10075</v>
      </c>
      <c r="X2185" s="11" t="s">
        <v>10003</v>
      </c>
      <c r="Y2185" s="50"/>
      <c r="Z2185" s="50"/>
      <c r="AA2185" s="50"/>
      <c r="AB2185" s="50"/>
      <c r="AC2185" s="50"/>
      <c r="AD2185" s="50"/>
      <c r="AE2185" s="50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65"/>
      <c r="AP2185" s="69"/>
      <c r="AQ2185" s="62"/>
      <c r="AR2185" s="34"/>
    </row>
    <row r="2186" spans="1:44" customFormat="1">
      <c r="A2186" s="39">
        <v>46067</v>
      </c>
      <c r="B2186" s="11" t="s">
        <v>22</v>
      </c>
      <c r="C2186" s="16" t="s">
        <v>10004</v>
      </c>
      <c r="D2186" s="16" t="s">
        <v>10005</v>
      </c>
      <c r="E2186" s="38">
        <v>35181</v>
      </c>
      <c r="F2186" s="38" t="s">
        <v>10006</v>
      </c>
      <c r="G2186" s="10" t="s">
        <v>10007</v>
      </c>
      <c r="H2186" s="12" t="s">
        <v>10008</v>
      </c>
      <c r="I2186" s="13">
        <v>3.9</v>
      </c>
      <c r="J2186" s="15" t="s">
        <v>10009</v>
      </c>
      <c r="K2186" s="46" t="s">
        <v>10010</v>
      </c>
      <c r="L2186" s="11" t="s">
        <v>39</v>
      </c>
      <c r="M2186" s="15" t="s">
        <v>3584</v>
      </c>
      <c r="N2186" s="17">
        <v>0</v>
      </c>
      <c r="O2186" s="17"/>
      <c r="P2186" s="17"/>
      <c r="Q2186" s="48" t="s">
        <v>9801</v>
      </c>
      <c r="R2186" s="11" t="s">
        <v>8837</v>
      </c>
      <c r="S2186" s="48"/>
      <c r="T2186" s="85"/>
      <c r="U2186" s="88"/>
      <c r="V2186" s="32"/>
      <c r="W2186" s="25" t="s">
        <v>6747</v>
      </c>
      <c r="X2186" s="11"/>
      <c r="Y2186" s="50"/>
      <c r="Z2186" s="50"/>
      <c r="AA2186" s="50"/>
      <c r="AB2186" s="50"/>
      <c r="AC2186" s="50"/>
      <c r="AD2186" s="50"/>
      <c r="AE2186" s="50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65"/>
      <c r="AP2186" s="69"/>
      <c r="AQ2186" s="62"/>
      <c r="AR2186" s="34"/>
    </row>
    <row r="2187" spans="1:44" customFormat="1">
      <c r="A2187" s="39">
        <v>46067</v>
      </c>
      <c r="B2187" s="11" t="s">
        <v>2170</v>
      </c>
      <c r="C2187" s="16" t="s">
        <v>9833</v>
      </c>
      <c r="D2187" s="16" t="s">
        <v>9834</v>
      </c>
      <c r="E2187" s="38">
        <v>18708</v>
      </c>
      <c r="F2187" s="38" t="s">
        <v>1909</v>
      </c>
      <c r="G2187" s="10" t="s">
        <v>751</v>
      </c>
      <c r="H2187" s="12" t="s">
        <v>9835</v>
      </c>
      <c r="I2187" s="13" t="s">
        <v>1875</v>
      </c>
      <c r="J2187" s="15" t="s">
        <v>9836</v>
      </c>
      <c r="K2187" s="12"/>
      <c r="L2187" s="11" t="s">
        <v>33</v>
      </c>
      <c r="M2187" s="15" t="s">
        <v>3599</v>
      </c>
      <c r="N2187" s="17">
        <v>3300</v>
      </c>
      <c r="O2187" s="17"/>
      <c r="P2187" s="17"/>
      <c r="Q2187" s="48"/>
      <c r="R2187" s="11"/>
      <c r="S2187" s="48"/>
      <c r="T2187" s="85"/>
      <c r="U2187" s="88"/>
      <c r="V2187" s="32"/>
      <c r="W2187" s="25" t="s">
        <v>4073</v>
      </c>
      <c r="X2187" s="11" t="s">
        <v>10011</v>
      </c>
      <c r="Y2187" s="50"/>
      <c r="Z2187" s="50"/>
      <c r="AA2187" s="50"/>
      <c r="AB2187" s="50"/>
      <c r="AC2187" s="50"/>
      <c r="AD2187" s="50"/>
      <c r="AE2187" s="50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65"/>
      <c r="AP2187" s="69"/>
      <c r="AQ2187" s="62"/>
      <c r="AR2187" s="34"/>
    </row>
    <row r="2188" spans="1:44" customFormat="1">
      <c r="A2188" s="39">
        <v>46069</v>
      </c>
      <c r="B2188" s="11" t="s">
        <v>49</v>
      </c>
      <c r="C2188" s="16" t="s">
        <v>10013</v>
      </c>
      <c r="D2188" s="16" t="s">
        <v>10014</v>
      </c>
      <c r="E2188" s="38" t="s">
        <v>7040</v>
      </c>
      <c r="F2188" s="38"/>
      <c r="G2188" s="38"/>
      <c r="H2188" s="38"/>
      <c r="I2188" s="38"/>
      <c r="J2188" s="38"/>
      <c r="K2188" s="38"/>
      <c r="L2188" s="38"/>
      <c r="M2188" s="38"/>
      <c r="N2188" s="17">
        <v>10000</v>
      </c>
      <c r="O2188" s="38"/>
      <c r="P2188" s="38"/>
      <c r="Q2188" s="48"/>
      <c r="R2188" s="11" t="s">
        <v>6848</v>
      </c>
      <c r="S2188" s="48"/>
      <c r="T2188" s="85" t="s">
        <v>10012</v>
      </c>
      <c r="U2188" s="88"/>
      <c r="V2188" s="32"/>
      <c r="W2188" s="25"/>
      <c r="X2188" s="11"/>
      <c r="Y2188" s="50"/>
      <c r="Z2188" s="50"/>
      <c r="AA2188" s="50"/>
      <c r="AB2188" s="50"/>
      <c r="AC2188" s="50"/>
      <c r="AD2188" s="50"/>
      <c r="AE2188" s="50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65"/>
      <c r="AP2188" s="69"/>
      <c r="AQ2188" s="62"/>
      <c r="AR2188" s="34"/>
    </row>
    <row r="2189" spans="1:44" customFormat="1">
      <c r="A2189" s="39">
        <v>46073</v>
      </c>
      <c r="B2189" s="11" t="s">
        <v>22</v>
      </c>
      <c r="C2189" s="16" t="s">
        <v>10017</v>
      </c>
      <c r="D2189" s="16" t="s">
        <v>10021</v>
      </c>
      <c r="E2189" s="38">
        <v>28878</v>
      </c>
      <c r="F2189" s="38" t="s">
        <v>1909</v>
      </c>
      <c r="G2189" s="10" t="s">
        <v>10025</v>
      </c>
      <c r="H2189" s="12" t="s">
        <v>10030</v>
      </c>
      <c r="I2189" s="259">
        <v>3</v>
      </c>
      <c r="J2189" s="15" t="s">
        <v>10031</v>
      </c>
      <c r="K2189" s="46" t="s">
        <v>10036</v>
      </c>
      <c r="L2189" s="11" t="s">
        <v>36</v>
      </c>
      <c r="M2189" s="15" t="s">
        <v>3584</v>
      </c>
      <c r="N2189" s="17">
        <v>0</v>
      </c>
      <c r="O2189" s="17"/>
      <c r="P2189" s="17"/>
      <c r="Q2189" s="48" t="s">
        <v>9801</v>
      </c>
      <c r="R2189" s="11" t="s">
        <v>9271</v>
      </c>
      <c r="S2189" s="48" t="s">
        <v>8101</v>
      </c>
      <c r="T2189" s="85"/>
      <c r="U2189" s="88"/>
      <c r="V2189" s="32"/>
      <c r="W2189" s="25" t="s">
        <v>4073</v>
      </c>
      <c r="X2189" s="11"/>
      <c r="Y2189" s="50"/>
      <c r="Z2189" s="50"/>
      <c r="AA2189" s="50"/>
      <c r="AB2189" s="50"/>
      <c r="AC2189" s="50"/>
      <c r="AD2189" s="50"/>
      <c r="AE2189" s="50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65"/>
      <c r="AP2189" s="69"/>
      <c r="AQ2189" s="62"/>
      <c r="AR2189" s="34"/>
    </row>
    <row r="2190" spans="1:44" customFormat="1">
      <c r="A2190" s="39">
        <v>46073</v>
      </c>
      <c r="B2190" s="11" t="s">
        <v>22</v>
      </c>
      <c r="C2190" s="16" t="s">
        <v>10018</v>
      </c>
      <c r="D2190" s="16" t="s">
        <v>10022</v>
      </c>
      <c r="E2190" s="38">
        <v>37158</v>
      </c>
      <c r="F2190" s="38" t="s">
        <v>1909</v>
      </c>
      <c r="G2190" s="10" t="s">
        <v>10026</v>
      </c>
      <c r="H2190" s="12" t="s">
        <v>10034</v>
      </c>
      <c r="I2190" s="259">
        <v>1.1000000000000001</v>
      </c>
      <c r="J2190" s="15" t="s">
        <v>10032</v>
      </c>
      <c r="K2190" s="46" t="s">
        <v>10037</v>
      </c>
      <c r="L2190" s="11" t="s">
        <v>35</v>
      </c>
      <c r="M2190" s="15" t="s">
        <v>3584</v>
      </c>
      <c r="N2190" s="17">
        <v>0</v>
      </c>
      <c r="O2190" s="17"/>
      <c r="P2190" s="17"/>
      <c r="Q2190" s="48" t="s">
        <v>9801</v>
      </c>
      <c r="R2190" s="11" t="s">
        <v>6847</v>
      </c>
      <c r="S2190" s="48" t="s">
        <v>8101</v>
      </c>
      <c r="T2190" s="85" t="s">
        <v>10015</v>
      </c>
      <c r="U2190" s="88"/>
      <c r="V2190" s="32"/>
      <c r="W2190" s="25" t="s">
        <v>4073</v>
      </c>
      <c r="X2190" s="11"/>
      <c r="Y2190" s="50"/>
      <c r="Z2190" s="50"/>
      <c r="AA2190" s="50"/>
      <c r="AB2190" s="50"/>
      <c r="AC2190" s="50"/>
      <c r="AD2190" s="50"/>
      <c r="AE2190" s="50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65"/>
      <c r="AP2190" s="69"/>
      <c r="AQ2190" s="62"/>
      <c r="AR2190" s="34"/>
    </row>
    <row r="2191" spans="1:44" customFormat="1">
      <c r="A2191" s="39">
        <v>46073</v>
      </c>
      <c r="B2191" s="11" t="s">
        <v>22</v>
      </c>
      <c r="C2191" s="16" t="s">
        <v>10019</v>
      </c>
      <c r="D2191" s="16" t="s">
        <v>10023</v>
      </c>
      <c r="E2191" s="38">
        <v>23177</v>
      </c>
      <c r="F2191" s="38" t="s">
        <v>1909</v>
      </c>
      <c r="G2191" s="10" t="s">
        <v>10038</v>
      </c>
      <c r="H2191" s="12" t="s">
        <v>10035</v>
      </c>
      <c r="I2191" s="259">
        <v>4.3</v>
      </c>
      <c r="J2191" s="15" t="s">
        <v>10033</v>
      </c>
      <c r="K2191" s="12"/>
      <c r="L2191" s="11" t="s">
        <v>36</v>
      </c>
      <c r="M2191" s="15" t="s">
        <v>3599</v>
      </c>
      <c r="N2191" s="17">
        <v>0</v>
      </c>
      <c r="O2191" s="17"/>
      <c r="P2191" s="17"/>
      <c r="Q2191" s="48" t="s">
        <v>9801</v>
      </c>
      <c r="R2191" s="11" t="s">
        <v>8837</v>
      </c>
      <c r="S2191" s="48" t="s">
        <v>8101</v>
      </c>
      <c r="T2191" s="85" t="s">
        <v>10028</v>
      </c>
      <c r="U2191" s="88"/>
      <c r="V2191" s="32"/>
      <c r="W2191" s="25" t="s">
        <v>10029</v>
      </c>
      <c r="X2191" s="11" t="s">
        <v>10027</v>
      </c>
      <c r="Y2191" s="50"/>
      <c r="Z2191" s="50"/>
      <c r="AA2191" s="50"/>
      <c r="AB2191" s="50"/>
      <c r="AC2191" s="50"/>
      <c r="AD2191" s="50"/>
      <c r="AE2191" s="50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65"/>
      <c r="AP2191" s="69"/>
      <c r="AQ2191" s="62"/>
      <c r="AR2191" s="34"/>
    </row>
    <row r="2192" spans="1:44" customFormat="1">
      <c r="A2192" s="39">
        <v>46073</v>
      </c>
      <c r="B2192" s="11" t="s">
        <v>49</v>
      </c>
      <c r="C2192" s="16" t="s">
        <v>10020</v>
      </c>
      <c r="D2192" s="16" t="s">
        <v>10024</v>
      </c>
      <c r="E2192" s="38"/>
      <c r="F2192" s="38"/>
      <c r="G2192" s="10"/>
      <c r="H2192" s="12"/>
      <c r="I2192" s="13"/>
      <c r="J2192" s="15"/>
      <c r="K2192" s="12"/>
      <c r="L2192" s="11"/>
      <c r="M2192" s="15"/>
      <c r="N2192" s="17">
        <v>0</v>
      </c>
      <c r="O2192" s="17"/>
      <c r="P2192" s="17"/>
      <c r="Q2192" s="48"/>
      <c r="R2192" s="11" t="s">
        <v>8837</v>
      </c>
      <c r="S2192" s="48" t="s">
        <v>8101</v>
      </c>
      <c r="T2192" s="85" t="s">
        <v>8073</v>
      </c>
      <c r="U2192" s="88"/>
      <c r="V2192" s="32"/>
      <c r="W2192" s="25"/>
      <c r="X2192" s="11"/>
      <c r="Y2192" s="50"/>
      <c r="Z2192" s="50"/>
      <c r="AA2192" s="50"/>
      <c r="AB2192" s="50"/>
      <c r="AC2192" s="50"/>
      <c r="AD2192" s="50"/>
      <c r="AE2192" s="50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65"/>
      <c r="AP2192" s="69"/>
      <c r="AQ2192" s="62"/>
      <c r="AR2192" s="34"/>
    </row>
    <row r="2193" spans="1:44" customFormat="1">
      <c r="A2193" s="39">
        <v>46075</v>
      </c>
      <c r="B2193" s="11" t="s">
        <v>22</v>
      </c>
      <c r="C2193" s="16" t="s">
        <v>10039</v>
      </c>
      <c r="D2193" s="16" t="s">
        <v>10040</v>
      </c>
      <c r="E2193" s="38">
        <v>33959</v>
      </c>
      <c r="F2193" s="38" t="s">
        <v>10041</v>
      </c>
      <c r="G2193" s="10" t="s">
        <v>10042</v>
      </c>
      <c r="H2193" s="12" t="s">
        <v>10043</v>
      </c>
      <c r="I2193" s="13" t="s">
        <v>10045</v>
      </c>
      <c r="J2193" s="15" t="s">
        <v>10044</v>
      </c>
      <c r="K2193" s="12"/>
      <c r="L2193" s="11" t="s">
        <v>37</v>
      </c>
      <c r="M2193" s="15" t="s">
        <v>3629</v>
      </c>
      <c r="N2193" s="17">
        <v>0</v>
      </c>
      <c r="O2193" s="17"/>
      <c r="P2193" s="17"/>
      <c r="Q2193" s="48" t="s">
        <v>9801</v>
      </c>
      <c r="R2193" s="11" t="s">
        <v>6848</v>
      </c>
      <c r="S2193" s="48"/>
      <c r="T2193" s="85"/>
      <c r="U2193" s="88"/>
      <c r="V2193" s="32"/>
      <c r="W2193" s="25" t="s">
        <v>10046</v>
      </c>
      <c r="X2193" s="11"/>
      <c r="Y2193" s="50"/>
      <c r="Z2193" s="50"/>
      <c r="AA2193" s="50"/>
      <c r="AB2193" s="50"/>
      <c r="AC2193" s="50"/>
      <c r="AD2193" s="50"/>
      <c r="AE2193" s="50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65"/>
      <c r="AP2193" s="69"/>
      <c r="AQ2193" s="62"/>
      <c r="AR2193" s="34"/>
    </row>
    <row r="2194" spans="1:44" customFormat="1">
      <c r="A2194" s="39">
        <v>46078</v>
      </c>
      <c r="B2194" s="11" t="s">
        <v>22</v>
      </c>
      <c r="C2194" s="16" t="s">
        <v>10049</v>
      </c>
      <c r="D2194" s="16" t="s">
        <v>10050</v>
      </c>
      <c r="E2194" s="38">
        <v>35908</v>
      </c>
      <c r="F2194" s="38" t="s">
        <v>1909</v>
      </c>
      <c r="G2194" s="10" t="s">
        <v>10051</v>
      </c>
      <c r="H2194" s="12" t="s">
        <v>10052</v>
      </c>
      <c r="I2194" s="13" t="s">
        <v>10060</v>
      </c>
      <c r="J2194" s="15" t="s">
        <v>10053</v>
      </c>
      <c r="K2194" s="46" t="s">
        <v>10054</v>
      </c>
      <c r="L2194" s="11" t="s">
        <v>34</v>
      </c>
      <c r="M2194" s="15" t="s">
        <v>3584</v>
      </c>
      <c r="N2194" s="17">
        <v>0</v>
      </c>
      <c r="O2194" s="17"/>
      <c r="P2194" s="17"/>
      <c r="Q2194" s="48" t="s">
        <v>9801</v>
      </c>
      <c r="R2194" s="11" t="s">
        <v>6943</v>
      </c>
      <c r="S2194" s="48"/>
      <c r="T2194" s="85" t="s">
        <v>10047</v>
      </c>
      <c r="U2194" s="88"/>
      <c r="V2194" s="32"/>
      <c r="W2194" s="25" t="s">
        <v>10048</v>
      </c>
      <c r="X2194" s="11"/>
      <c r="Y2194" s="50"/>
      <c r="Z2194" s="50"/>
      <c r="AA2194" s="50"/>
      <c r="AB2194" s="50"/>
      <c r="AC2194" s="50"/>
      <c r="AD2194" s="50"/>
      <c r="AE2194" s="50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65"/>
      <c r="AP2194" s="69"/>
      <c r="AQ2194" s="62"/>
      <c r="AR2194" s="34"/>
    </row>
    <row r="2195" spans="1:44" customFormat="1">
      <c r="A2195" s="39">
        <v>46078</v>
      </c>
      <c r="B2195" s="11" t="s">
        <v>22</v>
      </c>
      <c r="C2195" s="16" t="s">
        <v>10055</v>
      </c>
      <c r="D2195" s="16" t="s">
        <v>10056</v>
      </c>
      <c r="E2195" s="38">
        <v>34084</v>
      </c>
      <c r="F2195" s="38" t="s">
        <v>10057</v>
      </c>
      <c r="G2195" s="10" t="s">
        <v>10058</v>
      </c>
      <c r="H2195" s="12" t="s">
        <v>10059</v>
      </c>
      <c r="I2195" s="13" t="s">
        <v>10061</v>
      </c>
      <c r="J2195" s="15" t="s">
        <v>10062</v>
      </c>
      <c r="K2195" s="12"/>
      <c r="L2195" s="11" t="s">
        <v>36</v>
      </c>
      <c r="M2195" s="15"/>
      <c r="N2195" s="17">
        <v>0</v>
      </c>
      <c r="O2195" s="17"/>
      <c r="P2195" s="17"/>
      <c r="Q2195" s="48" t="s">
        <v>9801</v>
      </c>
      <c r="R2195" s="11" t="s">
        <v>6847</v>
      </c>
      <c r="S2195" s="48"/>
      <c r="T2195" s="85"/>
      <c r="U2195" s="88"/>
      <c r="V2195" s="32"/>
      <c r="W2195" s="25" t="s">
        <v>3140</v>
      </c>
      <c r="X2195" s="11"/>
      <c r="Y2195" s="50"/>
      <c r="Z2195" s="50"/>
      <c r="AA2195" s="50"/>
      <c r="AB2195" s="50"/>
      <c r="AC2195" s="50"/>
      <c r="AD2195" s="50"/>
      <c r="AE2195" s="50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65"/>
      <c r="AP2195" s="69"/>
      <c r="AQ2195" s="62"/>
      <c r="AR2195" s="34"/>
    </row>
    <row r="2196" spans="1:44" customFormat="1">
      <c r="A2196" s="39">
        <v>46078</v>
      </c>
      <c r="B2196" s="11" t="s">
        <v>22</v>
      </c>
      <c r="C2196" s="16" t="s">
        <v>10063</v>
      </c>
      <c r="D2196" s="16" t="s">
        <v>10064</v>
      </c>
      <c r="E2196" s="38">
        <v>32059</v>
      </c>
      <c r="F2196" s="38" t="s">
        <v>1909</v>
      </c>
      <c r="G2196" s="10" t="s">
        <v>10065</v>
      </c>
      <c r="H2196" s="12" t="s">
        <v>10066</v>
      </c>
      <c r="I2196" s="13" t="s">
        <v>10068</v>
      </c>
      <c r="J2196" s="15" t="s">
        <v>10067</v>
      </c>
      <c r="K2196" s="12"/>
      <c r="L2196" s="11" t="s">
        <v>33</v>
      </c>
      <c r="M2196" s="15"/>
      <c r="N2196" s="17">
        <v>0</v>
      </c>
      <c r="O2196" s="17"/>
      <c r="P2196" s="17"/>
      <c r="Q2196" s="48" t="s">
        <v>9801</v>
      </c>
      <c r="R2196" s="11" t="s">
        <v>6847</v>
      </c>
      <c r="S2196" s="48"/>
      <c r="T2196" s="85"/>
      <c r="U2196" s="88"/>
      <c r="V2196" s="32"/>
      <c r="W2196" s="25" t="s">
        <v>3140</v>
      </c>
      <c r="X2196" s="11"/>
      <c r="Y2196" s="50"/>
      <c r="Z2196" s="50"/>
      <c r="AA2196" s="50"/>
      <c r="AB2196" s="50"/>
      <c r="AC2196" s="50"/>
      <c r="AD2196" s="50"/>
      <c r="AE2196" s="50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65"/>
      <c r="AP2196" s="69"/>
      <c r="AQ2196" s="62"/>
      <c r="AR2196" s="34"/>
    </row>
    <row r="2197" spans="1:44" customFormat="1">
      <c r="A2197" s="39">
        <v>46078</v>
      </c>
      <c r="B2197" s="11" t="s">
        <v>22</v>
      </c>
      <c r="C2197" s="16" t="s">
        <v>10069</v>
      </c>
      <c r="D2197" s="16" t="s">
        <v>10070</v>
      </c>
      <c r="E2197" s="38">
        <v>31114</v>
      </c>
      <c r="F2197" s="38" t="s">
        <v>1910</v>
      </c>
      <c r="G2197" s="10" t="s">
        <v>10071</v>
      </c>
      <c r="H2197" s="12" t="s">
        <v>10072</v>
      </c>
      <c r="I2197" s="13" t="s">
        <v>10073</v>
      </c>
      <c r="J2197" s="15" t="s">
        <v>10074</v>
      </c>
      <c r="K2197" s="12"/>
      <c r="L2197" s="11"/>
      <c r="M2197" s="15"/>
      <c r="N2197" s="17">
        <v>0</v>
      </c>
      <c r="O2197" s="17"/>
      <c r="P2197" s="17"/>
      <c r="Q2197" s="48" t="s">
        <v>9801</v>
      </c>
      <c r="R2197" s="11" t="s">
        <v>6847</v>
      </c>
      <c r="S2197" s="48"/>
      <c r="T2197" s="85"/>
      <c r="U2197" s="88"/>
      <c r="V2197" s="32"/>
      <c r="W2197" s="25" t="s">
        <v>3140</v>
      </c>
      <c r="X2197" s="11"/>
      <c r="Y2197" s="50"/>
      <c r="Z2197" s="50"/>
      <c r="AA2197" s="50"/>
      <c r="AB2197" s="50"/>
      <c r="AC2197" s="50"/>
      <c r="AD2197" s="50"/>
      <c r="AE2197" s="50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65"/>
      <c r="AP2197" s="69"/>
      <c r="AQ2197" s="62"/>
      <c r="AR2197" s="34"/>
    </row>
    <row r="2198" spans="1:44" customFormat="1">
      <c r="A2198" s="39">
        <v>46081</v>
      </c>
      <c r="B2198" s="11" t="s">
        <v>22</v>
      </c>
      <c r="C2198" s="16" t="s">
        <v>10076</v>
      </c>
      <c r="D2198" s="16" t="s">
        <v>10077</v>
      </c>
      <c r="E2198" s="38">
        <v>23867</v>
      </c>
      <c r="F2198" s="38" t="s">
        <v>10078</v>
      </c>
      <c r="G2198" s="10" t="s">
        <v>10079</v>
      </c>
      <c r="H2198" s="12" t="s">
        <v>10080</v>
      </c>
      <c r="I2198" s="13"/>
      <c r="J2198" s="15" t="s">
        <v>10081</v>
      </c>
      <c r="K2198" s="12"/>
      <c r="L2198" s="11" t="s">
        <v>36</v>
      </c>
      <c r="M2198" s="15" t="s">
        <v>3599</v>
      </c>
      <c r="N2198" s="17">
        <v>0</v>
      </c>
      <c r="O2198" s="17"/>
      <c r="P2198" s="17"/>
      <c r="Q2198" s="48" t="s">
        <v>9801</v>
      </c>
      <c r="R2198" s="11" t="s">
        <v>9271</v>
      </c>
      <c r="S2198" s="48" t="s">
        <v>8102</v>
      </c>
      <c r="T2198" s="85"/>
      <c r="U2198" s="88"/>
      <c r="V2198" s="32"/>
      <c r="W2198" s="25" t="s">
        <v>10099</v>
      </c>
      <c r="X2198" s="11"/>
      <c r="Y2198" s="50"/>
      <c r="Z2198" s="50"/>
      <c r="AA2198" s="50"/>
      <c r="AB2198" s="50"/>
      <c r="AC2198" s="50"/>
      <c r="AD2198" s="50"/>
      <c r="AE2198" s="50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65"/>
      <c r="AP2198" s="69"/>
      <c r="AQ2198" s="62"/>
      <c r="AR2198" s="34"/>
    </row>
    <row r="2199" spans="1:44" customFormat="1">
      <c r="A2199" s="39">
        <v>46081</v>
      </c>
      <c r="B2199" s="11" t="s">
        <v>22</v>
      </c>
      <c r="C2199" s="16" t="s">
        <v>10083</v>
      </c>
      <c r="D2199" s="16" t="s">
        <v>10084</v>
      </c>
      <c r="E2199" s="38">
        <v>24303</v>
      </c>
      <c r="F2199" s="38" t="s">
        <v>1910</v>
      </c>
      <c r="G2199" s="10" t="s">
        <v>10079</v>
      </c>
      <c r="H2199" s="12" t="s">
        <v>10080</v>
      </c>
      <c r="I2199" s="13"/>
      <c r="J2199" s="15" t="s">
        <v>10085</v>
      </c>
      <c r="K2199" s="46" t="s">
        <v>10086</v>
      </c>
      <c r="L2199" s="11" t="s">
        <v>36</v>
      </c>
      <c r="M2199" s="15" t="s">
        <v>3584</v>
      </c>
      <c r="N2199" s="17">
        <v>0</v>
      </c>
      <c r="O2199" s="17"/>
      <c r="P2199" s="17"/>
      <c r="Q2199" s="48" t="s">
        <v>9801</v>
      </c>
      <c r="R2199" s="11" t="s">
        <v>9271</v>
      </c>
      <c r="S2199" s="48" t="s">
        <v>8102</v>
      </c>
      <c r="T2199" s="85"/>
      <c r="U2199" s="25" t="s">
        <v>10082</v>
      </c>
      <c r="V2199" s="32"/>
      <c r="W2199" s="25" t="s">
        <v>10099</v>
      </c>
      <c r="X2199" s="11"/>
      <c r="Y2199" s="50"/>
      <c r="Z2199" s="50"/>
      <c r="AA2199" s="50"/>
      <c r="AB2199" s="50"/>
      <c r="AC2199" s="50"/>
      <c r="AD2199" s="50"/>
      <c r="AE2199" s="50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65"/>
      <c r="AP2199" s="69"/>
      <c r="AQ2199" s="62"/>
      <c r="AR2199" s="34"/>
    </row>
    <row r="2200" spans="1:44" customFormat="1">
      <c r="A2200" s="39">
        <v>46081</v>
      </c>
      <c r="B2200" s="11" t="s">
        <v>22</v>
      </c>
      <c r="C2200" s="16" t="s">
        <v>10087</v>
      </c>
      <c r="D2200" s="16" t="s">
        <v>10088</v>
      </c>
      <c r="E2200" s="38">
        <v>32976</v>
      </c>
      <c r="F2200" s="38" t="s">
        <v>1910</v>
      </c>
      <c r="G2200" s="10" t="s">
        <v>10089</v>
      </c>
      <c r="H2200" s="12" t="s">
        <v>10090</v>
      </c>
      <c r="I2200" s="13"/>
      <c r="J2200" s="15" t="s">
        <v>10091</v>
      </c>
      <c r="K2200" s="46" t="s">
        <v>10092</v>
      </c>
      <c r="L2200" s="11" t="s">
        <v>36</v>
      </c>
      <c r="M2200" s="15" t="s">
        <v>3584</v>
      </c>
      <c r="N2200" s="17">
        <v>0</v>
      </c>
      <c r="O2200" s="17"/>
      <c r="P2200" s="17"/>
      <c r="Q2200" s="48" t="s">
        <v>9801</v>
      </c>
      <c r="R2200" s="11" t="s">
        <v>9271</v>
      </c>
      <c r="S2200" s="48" t="s">
        <v>8102</v>
      </c>
      <c r="T2200" s="85"/>
      <c r="U2200" s="25" t="s">
        <v>10082</v>
      </c>
      <c r="V2200" s="32"/>
      <c r="W2200" s="25" t="s">
        <v>10099</v>
      </c>
      <c r="X2200" s="11"/>
      <c r="Y2200" s="50"/>
      <c r="Z2200" s="50"/>
      <c r="AA2200" s="50"/>
      <c r="AB2200" s="50"/>
      <c r="AC2200" s="50"/>
      <c r="AD2200" s="50"/>
      <c r="AE2200" s="50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65"/>
      <c r="AP2200" s="69"/>
      <c r="AQ2200" s="62"/>
      <c r="AR2200" s="34"/>
    </row>
    <row r="2201" spans="1:44" customFormat="1">
      <c r="A2201" s="39">
        <v>46082</v>
      </c>
      <c r="B2201" s="11" t="s">
        <v>49</v>
      </c>
      <c r="C2201" s="16" t="s">
        <v>10093</v>
      </c>
      <c r="D2201" s="16" t="s">
        <v>8877</v>
      </c>
      <c r="E2201" s="38">
        <v>33217</v>
      </c>
      <c r="F2201" s="38" t="s">
        <v>10094</v>
      </c>
      <c r="G2201" s="10" t="s">
        <v>10095</v>
      </c>
      <c r="H2201" s="12" t="s">
        <v>10096</v>
      </c>
      <c r="I2201" s="13" t="s">
        <v>10097</v>
      </c>
      <c r="J2201" s="15" t="s">
        <v>10098</v>
      </c>
      <c r="K2201" s="12"/>
      <c r="L2201" s="11" t="s">
        <v>36</v>
      </c>
      <c r="M2201" s="15"/>
      <c r="N2201" s="17">
        <v>0</v>
      </c>
      <c r="O2201" s="17" t="s">
        <v>8506</v>
      </c>
      <c r="P2201" s="17" t="s">
        <v>10100</v>
      </c>
      <c r="Q2201" s="48"/>
      <c r="R2201" s="11" t="s">
        <v>6849</v>
      </c>
      <c r="S2201" s="48"/>
      <c r="T2201" s="85" t="s">
        <v>10204</v>
      </c>
      <c r="U2201" s="88"/>
      <c r="V2201" s="32"/>
      <c r="W2201" s="25"/>
      <c r="X2201" s="11" t="s">
        <v>10205</v>
      </c>
      <c r="Y2201" s="50"/>
      <c r="Z2201" s="50"/>
      <c r="AA2201" s="50"/>
      <c r="AB2201" s="50"/>
      <c r="AC2201" s="50"/>
      <c r="AD2201" s="50"/>
      <c r="AE2201" s="50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65"/>
      <c r="AP2201" s="69"/>
      <c r="AQ2201" s="62"/>
      <c r="AR2201" s="34"/>
    </row>
    <row r="2202" spans="1:44" customFormat="1">
      <c r="A2202" s="39">
        <v>46086</v>
      </c>
      <c r="B2202" s="11" t="s">
        <v>22</v>
      </c>
      <c r="C2202" s="16" t="s">
        <v>10101</v>
      </c>
      <c r="D2202" s="16" t="s">
        <v>10102</v>
      </c>
      <c r="E2202" s="38">
        <v>28068</v>
      </c>
      <c r="F2202" s="38" t="s">
        <v>10103</v>
      </c>
      <c r="G2202" s="10" t="s">
        <v>10105</v>
      </c>
      <c r="H2202" s="12" t="s">
        <v>10106</v>
      </c>
      <c r="I2202" s="13">
        <v>2.8</v>
      </c>
      <c r="J2202" s="15" t="s">
        <v>10104</v>
      </c>
      <c r="K2202" s="12" t="s">
        <v>10107</v>
      </c>
      <c r="L2202" s="11" t="s">
        <v>36</v>
      </c>
      <c r="M2202" s="15" t="s">
        <v>3584</v>
      </c>
      <c r="N2202" s="17">
        <v>0</v>
      </c>
      <c r="O2202" s="17"/>
      <c r="P2202" s="17"/>
      <c r="Q2202" s="48" t="s">
        <v>9801</v>
      </c>
      <c r="R2202" s="11" t="s">
        <v>6847</v>
      </c>
      <c r="S2202" s="48" t="s">
        <v>8101</v>
      </c>
      <c r="T2202" s="85"/>
      <c r="U2202" s="88"/>
      <c r="V2202" s="32"/>
      <c r="W2202" s="25" t="s">
        <v>4073</v>
      </c>
      <c r="X2202" s="11"/>
      <c r="Y2202" s="50"/>
      <c r="Z2202" s="50"/>
      <c r="AA2202" s="50"/>
      <c r="AB2202" s="50"/>
      <c r="AC2202" s="50"/>
      <c r="AD2202" s="50"/>
      <c r="AE2202" s="50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65"/>
      <c r="AP2202" s="69"/>
      <c r="AQ2202" s="62"/>
      <c r="AR2202" s="34"/>
    </row>
    <row r="2203" spans="1:44" customFormat="1">
      <c r="A2203" s="39">
        <v>46087</v>
      </c>
      <c r="B2203" s="11" t="s">
        <v>22</v>
      </c>
      <c r="C2203" s="16" t="s">
        <v>10108</v>
      </c>
      <c r="D2203" s="16" t="s">
        <v>10109</v>
      </c>
      <c r="E2203" s="38">
        <v>36135</v>
      </c>
      <c r="F2203" s="38" t="s">
        <v>10110</v>
      </c>
      <c r="G2203" s="10" t="s">
        <v>344</v>
      </c>
      <c r="H2203" s="12" t="s">
        <v>10111</v>
      </c>
      <c r="I2203" s="13">
        <v>2.9</v>
      </c>
      <c r="J2203" s="15" t="s">
        <v>10112</v>
      </c>
      <c r="K2203" s="46" t="s">
        <v>10113</v>
      </c>
      <c r="L2203" s="11" t="s">
        <v>36</v>
      </c>
      <c r="M2203" s="15" t="s">
        <v>3584</v>
      </c>
      <c r="N2203" s="17">
        <v>0</v>
      </c>
      <c r="O2203" s="17"/>
      <c r="P2203" s="17"/>
      <c r="Q2203" s="48" t="s">
        <v>9801</v>
      </c>
      <c r="R2203" s="11" t="s">
        <v>6847</v>
      </c>
      <c r="S2203" s="48" t="s">
        <v>8102</v>
      </c>
      <c r="T2203" s="85" t="s">
        <v>10114</v>
      </c>
      <c r="U2203" s="88"/>
      <c r="V2203" s="32"/>
      <c r="W2203" s="25" t="s">
        <v>4073</v>
      </c>
      <c r="X2203" s="11"/>
      <c r="Y2203" s="50"/>
      <c r="Z2203" s="50"/>
      <c r="AA2203" s="50"/>
      <c r="AB2203" s="50"/>
      <c r="AC2203" s="50"/>
      <c r="AD2203" s="50"/>
      <c r="AE2203" s="50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65"/>
      <c r="AP2203" s="69"/>
      <c r="AQ2203" s="62"/>
      <c r="AR2203" s="34"/>
    </row>
    <row r="2204" spans="1:44" customFormat="1">
      <c r="A2204" s="39">
        <v>46089</v>
      </c>
      <c r="B2204" s="11" t="s">
        <v>22</v>
      </c>
      <c r="C2204" s="16" t="s">
        <v>10116</v>
      </c>
      <c r="D2204" s="16" t="s">
        <v>10117</v>
      </c>
      <c r="E2204" s="38">
        <v>37203</v>
      </c>
      <c r="F2204" s="38" t="s">
        <v>10118</v>
      </c>
      <c r="G2204" s="10" t="s">
        <v>10119</v>
      </c>
      <c r="H2204" s="12" t="s">
        <v>10120</v>
      </c>
      <c r="I2204" s="13">
        <v>2</v>
      </c>
      <c r="J2204" s="15" t="s">
        <v>10121</v>
      </c>
      <c r="K2204" s="46" t="s">
        <v>10122</v>
      </c>
      <c r="L2204" s="11" t="s">
        <v>36</v>
      </c>
      <c r="M2204" s="15" t="s">
        <v>3584</v>
      </c>
      <c r="N2204" s="17">
        <v>0</v>
      </c>
      <c r="O2204" s="17"/>
      <c r="P2204" s="17"/>
      <c r="Q2204" s="48" t="s">
        <v>9801</v>
      </c>
      <c r="R2204" s="11" t="s">
        <v>8837</v>
      </c>
      <c r="S2204" s="48" t="s">
        <v>8101</v>
      </c>
      <c r="T2204" s="85"/>
      <c r="U2204" s="88"/>
      <c r="V2204" s="32"/>
      <c r="W2204" s="25" t="s">
        <v>10029</v>
      </c>
      <c r="X2204" s="11" t="s">
        <v>10123</v>
      </c>
      <c r="Y2204" s="50"/>
      <c r="Z2204" s="50"/>
      <c r="AA2204" s="50"/>
      <c r="AB2204" s="50"/>
      <c r="AC2204" s="50"/>
      <c r="AD2204" s="50"/>
      <c r="AE2204" s="50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65"/>
      <c r="AP2204" s="69"/>
      <c r="AQ2204" s="62"/>
      <c r="AR2204" s="34"/>
    </row>
    <row r="2205" spans="1:44" customFormat="1">
      <c r="A2205" s="39">
        <v>46090</v>
      </c>
      <c r="B2205" s="11" t="s">
        <v>22</v>
      </c>
      <c r="C2205" s="16" t="s">
        <v>10127</v>
      </c>
      <c r="D2205" s="16" t="s">
        <v>10128</v>
      </c>
      <c r="E2205" s="38">
        <v>28291</v>
      </c>
      <c r="F2205" s="38" t="s">
        <v>10129</v>
      </c>
      <c r="G2205" s="10" t="s">
        <v>10130</v>
      </c>
      <c r="H2205" s="12" t="s">
        <v>10131</v>
      </c>
      <c r="I2205" s="13">
        <v>5.0999999999999996</v>
      </c>
      <c r="J2205" s="15" t="s">
        <v>10132</v>
      </c>
      <c r="K2205" s="46" t="s">
        <v>10133</v>
      </c>
      <c r="L2205" s="11" t="s">
        <v>36</v>
      </c>
      <c r="M2205" s="15" t="s">
        <v>3584</v>
      </c>
      <c r="N2205" s="17">
        <v>0</v>
      </c>
      <c r="O2205" s="17"/>
      <c r="P2205" s="17"/>
      <c r="Q2205" s="48" t="s">
        <v>9801</v>
      </c>
      <c r="R2205" s="11" t="s">
        <v>9271</v>
      </c>
      <c r="S2205" s="48"/>
      <c r="T2205" s="85"/>
      <c r="U2205" s="88"/>
      <c r="V2205" s="32"/>
      <c r="W2205" s="25" t="s">
        <v>4073</v>
      </c>
      <c r="X2205" s="11"/>
      <c r="Y2205" s="50"/>
      <c r="Z2205" s="50"/>
      <c r="AA2205" s="50"/>
      <c r="AB2205" s="50"/>
      <c r="AC2205" s="50"/>
      <c r="AD2205" s="50"/>
      <c r="AE2205" s="50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65"/>
      <c r="AP2205" s="69"/>
      <c r="AQ2205" s="62"/>
      <c r="AR2205" s="34"/>
    </row>
    <row r="2206" spans="1:44" customFormat="1">
      <c r="A2206" s="39">
        <v>46094</v>
      </c>
      <c r="B2206" s="11" t="s">
        <v>49</v>
      </c>
      <c r="C2206" s="16" t="s">
        <v>10134</v>
      </c>
      <c r="D2206" s="16" t="s">
        <v>10135</v>
      </c>
      <c r="E2206" s="38">
        <v>38925</v>
      </c>
      <c r="F2206" s="38" t="s">
        <v>1909</v>
      </c>
      <c r="G2206" s="10" t="s">
        <v>10136</v>
      </c>
      <c r="H2206" s="12" t="s">
        <v>10137</v>
      </c>
      <c r="I2206" s="13">
        <v>108</v>
      </c>
      <c r="J2206" s="15" t="s">
        <v>10138</v>
      </c>
      <c r="K2206" s="12"/>
      <c r="L2206" s="11" t="s">
        <v>38</v>
      </c>
      <c r="M2206" s="15" t="s">
        <v>3599</v>
      </c>
      <c r="N2206" s="17">
        <v>0</v>
      </c>
      <c r="O2206" s="17"/>
      <c r="P2206" s="17"/>
      <c r="Q2206" s="48"/>
      <c r="R2206" s="11" t="s">
        <v>6847</v>
      </c>
      <c r="S2206" s="48" t="s">
        <v>8101</v>
      </c>
      <c r="T2206" s="85"/>
      <c r="U2206" s="88"/>
      <c r="V2206" s="32"/>
      <c r="W2206" s="25" t="s">
        <v>10029</v>
      </c>
      <c r="X2206" s="11" t="s">
        <v>10139</v>
      </c>
      <c r="Y2206" s="50"/>
      <c r="Z2206" s="50"/>
      <c r="AA2206" s="50"/>
      <c r="AB2206" s="50"/>
      <c r="AC2206" s="50"/>
      <c r="AD2206" s="50"/>
      <c r="AE2206" s="50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65"/>
      <c r="AP2206" s="69"/>
      <c r="AQ2206" s="62"/>
      <c r="AR2206" s="34"/>
    </row>
    <row r="2207" spans="1:44" customFormat="1">
      <c r="A2207" s="39">
        <v>46094</v>
      </c>
      <c r="B2207" s="11" t="s">
        <v>22</v>
      </c>
      <c r="C2207" s="16" t="s">
        <v>10140</v>
      </c>
      <c r="D2207" s="16" t="s">
        <v>10203</v>
      </c>
      <c r="E2207" s="38">
        <v>30852</v>
      </c>
      <c r="F2207" s="38" t="s">
        <v>10141</v>
      </c>
      <c r="G2207" s="10" t="s">
        <v>10142</v>
      </c>
      <c r="H2207" s="12" t="s">
        <v>10143</v>
      </c>
      <c r="I2207" s="13">
        <v>4.5999999999999996</v>
      </c>
      <c r="J2207" s="15" t="s">
        <v>10144</v>
      </c>
      <c r="K2207" s="46" t="s">
        <v>10145</v>
      </c>
      <c r="L2207" s="11" t="s">
        <v>33</v>
      </c>
      <c r="M2207" s="15" t="s">
        <v>3584</v>
      </c>
      <c r="N2207" s="17">
        <v>0</v>
      </c>
      <c r="O2207" s="17"/>
      <c r="P2207" s="17"/>
      <c r="Q2207" s="48"/>
      <c r="R2207" s="11" t="s">
        <v>8503</v>
      </c>
      <c r="S2207" s="48" t="s">
        <v>8100</v>
      </c>
      <c r="T2207" s="85" t="s">
        <v>81</v>
      </c>
      <c r="U2207" s="88"/>
      <c r="V2207" s="32"/>
      <c r="W2207" s="25" t="s">
        <v>10146</v>
      </c>
      <c r="X2207" s="11"/>
      <c r="Y2207" s="50"/>
      <c r="Z2207" s="50"/>
      <c r="AA2207" s="50"/>
      <c r="AB2207" s="50"/>
      <c r="AC2207" s="50"/>
      <c r="AD2207" s="50"/>
      <c r="AE2207" s="50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65"/>
      <c r="AP2207" s="69"/>
      <c r="AQ2207" s="62"/>
      <c r="AR2207" s="34"/>
    </row>
    <row r="2208" spans="1:44" customFormat="1">
      <c r="A2208" s="39">
        <v>46096</v>
      </c>
      <c r="B2208" s="11" t="s">
        <v>22</v>
      </c>
      <c r="C2208" s="16" t="s">
        <v>10147</v>
      </c>
      <c r="D2208" s="16" t="s">
        <v>10148</v>
      </c>
      <c r="E2208" s="38">
        <v>29901</v>
      </c>
      <c r="F2208" s="38" t="s">
        <v>1909</v>
      </c>
      <c r="G2208" s="10" t="s">
        <v>10149</v>
      </c>
      <c r="H2208" s="12" t="s">
        <v>10150</v>
      </c>
      <c r="I2208" s="13">
        <v>2.9</v>
      </c>
      <c r="J2208" s="15" t="s">
        <v>10151</v>
      </c>
      <c r="K2208" s="46" t="s">
        <v>10152</v>
      </c>
      <c r="L2208" s="11" t="s">
        <v>36</v>
      </c>
      <c r="M2208" s="15" t="s">
        <v>3584</v>
      </c>
      <c r="N2208" s="17">
        <v>0</v>
      </c>
      <c r="O2208" s="17"/>
      <c r="P2208" s="17"/>
      <c r="Q2208" s="48" t="s">
        <v>9801</v>
      </c>
      <c r="R2208" s="11"/>
      <c r="S2208" s="48"/>
      <c r="T2208" s="85" t="s">
        <v>81</v>
      </c>
      <c r="U2208" s="88"/>
      <c r="V2208" s="32"/>
      <c r="W2208" s="25" t="s">
        <v>4073</v>
      </c>
      <c r="X2208" s="11"/>
      <c r="Y2208" s="50"/>
      <c r="Z2208" s="50"/>
      <c r="AA2208" s="50"/>
      <c r="AB2208" s="50"/>
      <c r="AC2208" s="50"/>
      <c r="AD2208" s="50"/>
      <c r="AE2208" s="50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65"/>
      <c r="AP2208" s="69"/>
      <c r="AQ2208" s="62"/>
      <c r="AR2208" s="34"/>
    </row>
    <row r="2209" spans="1:44" customFormat="1">
      <c r="A2209" s="39">
        <v>46096</v>
      </c>
      <c r="B2209" s="11" t="s">
        <v>49</v>
      </c>
      <c r="C2209" s="16" t="s">
        <v>10153</v>
      </c>
      <c r="D2209" s="16" t="s">
        <v>10154</v>
      </c>
      <c r="E2209" s="38">
        <v>30676</v>
      </c>
      <c r="F2209" s="38" t="s">
        <v>1909</v>
      </c>
      <c r="G2209" s="10" t="s">
        <v>10155</v>
      </c>
      <c r="H2209" s="12" t="s">
        <v>10156</v>
      </c>
      <c r="I2209" s="13">
        <v>15.9</v>
      </c>
      <c r="J2209" s="15" t="s">
        <v>10157</v>
      </c>
      <c r="K2209" s="12"/>
      <c r="L2209" s="11"/>
      <c r="M2209" s="15" t="s">
        <v>3584</v>
      </c>
      <c r="N2209" s="17">
        <v>0</v>
      </c>
      <c r="O2209" s="17"/>
      <c r="P2209" s="17"/>
      <c r="Q2209" s="48"/>
      <c r="R2209" s="11" t="s">
        <v>8837</v>
      </c>
      <c r="S2209" s="48"/>
      <c r="T2209" s="85" t="s">
        <v>8073</v>
      </c>
      <c r="U2209" s="88"/>
      <c r="V2209" s="32"/>
      <c r="W2209" s="25"/>
      <c r="X2209" s="11"/>
      <c r="Y2209" s="50"/>
      <c r="Z2209" s="50"/>
      <c r="AA2209" s="50"/>
      <c r="AB2209" s="50"/>
      <c r="AC2209" s="50"/>
      <c r="AD2209" s="50"/>
      <c r="AE2209" s="50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65"/>
      <c r="AP2209" s="69"/>
      <c r="AQ2209" s="62"/>
      <c r="AR2209" s="34"/>
    </row>
    <row r="2210" spans="1:44" customFormat="1">
      <c r="A2210" s="39">
        <v>46097</v>
      </c>
      <c r="B2210" s="11" t="s">
        <v>22</v>
      </c>
      <c r="C2210" s="16" t="s">
        <v>10158</v>
      </c>
      <c r="D2210" s="16" t="s">
        <v>10159</v>
      </c>
      <c r="E2210" s="38" t="s">
        <v>10160</v>
      </c>
      <c r="F2210" s="38" t="s">
        <v>10161</v>
      </c>
      <c r="G2210" s="10" t="s">
        <v>10162</v>
      </c>
      <c r="H2210" s="12" t="s">
        <v>10163</v>
      </c>
      <c r="I2210" s="13">
        <v>4.0999999999999996</v>
      </c>
      <c r="J2210" s="15" t="s">
        <v>10164</v>
      </c>
      <c r="K2210" s="46" t="s">
        <v>10165</v>
      </c>
      <c r="L2210" s="11"/>
      <c r="M2210" s="15" t="s">
        <v>3629</v>
      </c>
      <c r="N2210" s="17">
        <v>0</v>
      </c>
      <c r="O2210" s="17"/>
      <c r="P2210" s="17"/>
      <c r="Q2210" s="48" t="s">
        <v>9801</v>
      </c>
      <c r="R2210" s="11" t="s">
        <v>8503</v>
      </c>
      <c r="S2210" s="48" t="s">
        <v>8100</v>
      </c>
      <c r="T2210" s="85" t="s">
        <v>81</v>
      </c>
      <c r="U2210" s="88"/>
      <c r="V2210" s="32"/>
      <c r="W2210" s="25" t="s">
        <v>4073</v>
      </c>
      <c r="X2210" s="11"/>
      <c r="Y2210" s="50"/>
      <c r="Z2210" s="50"/>
      <c r="AA2210" s="50"/>
      <c r="AB2210" s="50"/>
      <c r="AC2210" s="50"/>
      <c r="AD2210" s="50"/>
      <c r="AE2210" s="50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65"/>
      <c r="AP2210" s="69"/>
      <c r="AQ2210" s="62"/>
      <c r="AR2210" s="34"/>
    </row>
    <row r="2211" spans="1:44" customFormat="1">
      <c r="A2211" s="39">
        <v>46101</v>
      </c>
      <c r="B2211" s="11" t="s">
        <v>22</v>
      </c>
      <c r="C2211" s="16" t="s">
        <v>10166</v>
      </c>
      <c r="D2211" s="16" t="s">
        <v>10167</v>
      </c>
      <c r="E2211" s="38">
        <v>36556</v>
      </c>
      <c r="F2211" s="38" t="s">
        <v>10161</v>
      </c>
      <c r="G2211" s="10" t="s">
        <v>10168</v>
      </c>
      <c r="H2211" s="12" t="s">
        <v>10169</v>
      </c>
      <c r="I2211" s="13" t="s">
        <v>10170</v>
      </c>
      <c r="J2211" s="15" t="s">
        <v>10171</v>
      </c>
      <c r="K2211" s="46" t="s">
        <v>10172</v>
      </c>
      <c r="L2211" s="11"/>
      <c r="M2211" s="15" t="s">
        <v>3584</v>
      </c>
      <c r="N2211" s="17">
        <v>0</v>
      </c>
      <c r="O2211" s="17"/>
      <c r="P2211" s="17"/>
      <c r="Q2211" s="48" t="s">
        <v>9801</v>
      </c>
      <c r="R2211" s="11"/>
      <c r="S2211" s="48" t="s">
        <v>8101</v>
      </c>
      <c r="T2211" s="85"/>
      <c r="U2211" s="88"/>
      <c r="V2211" s="32"/>
      <c r="W2211" s="25" t="s">
        <v>6747</v>
      </c>
      <c r="X2211" s="11"/>
      <c r="Y2211" s="50"/>
      <c r="Z2211" s="50"/>
      <c r="AA2211" s="50"/>
      <c r="AB2211" s="50"/>
      <c r="AC2211" s="50"/>
      <c r="AD2211" s="50"/>
      <c r="AE2211" s="50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65"/>
      <c r="AP2211" s="69"/>
      <c r="AQ2211" s="62"/>
      <c r="AR2211" s="34"/>
    </row>
    <row r="2212" spans="1:44" customFormat="1">
      <c r="A2212" s="39">
        <v>46101</v>
      </c>
      <c r="B2212" s="11" t="s">
        <v>22</v>
      </c>
      <c r="C2212" s="16" t="s">
        <v>10173</v>
      </c>
      <c r="D2212" s="16" t="s">
        <v>10202</v>
      </c>
      <c r="E2212" s="38">
        <v>42419</v>
      </c>
      <c r="F2212" s="38" t="s">
        <v>1909</v>
      </c>
      <c r="G2212" s="10" t="s">
        <v>10174</v>
      </c>
      <c r="H2212" s="12" t="s">
        <v>10175</v>
      </c>
      <c r="I2212" s="13">
        <v>4.5</v>
      </c>
      <c r="J2212" s="15" t="s">
        <v>10176</v>
      </c>
      <c r="K2212" s="12" t="s">
        <v>10177</v>
      </c>
      <c r="L2212" s="11" t="s">
        <v>38</v>
      </c>
      <c r="M2212" s="15"/>
      <c r="N2212" s="17">
        <v>0</v>
      </c>
      <c r="O2212" s="17"/>
      <c r="P2212" s="17"/>
      <c r="Q2212" s="48" t="s">
        <v>9801</v>
      </c>
      <c r="R2212" s="11" t="s">
        <v>8837</v>
      </c>
      <c r="S2212" s="48"/>
      <c r="T2212" s="85" t="s">
        <v>10178</v>
      </c>
      <c r="U2212" s="88"/>
      <c r="V2212" s="32"/>
      <c r="W2212" s="25" t="s">
        <v>6747</v>
      </c>
      <c r="X2212" s="11"/>
      <c r="Y2212" s="50"/>
      <c r="Z2212" s="50"/>
      <c r="AA2212" s="50"/>
      <c r="AB2212" s="50"/>
      <c r="AC2212" s="50"/>
      <c r="AD2212" s="50"/>
      <c r="AE2212" s="50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65"/>
      <c r="AP2212" s="69"/>
      <c r="AQ2212" s="62"/>
      <c r="AR2212" s="34"/>
    </row>
    <row r="2213" spans="1:44" customFormat="1">
      <c r="A2213" s="39">
        <v>46106</v>
      </c>
      <c r="B2213" s="11" t="s">
        <v>22</v>
      </c>
      <c r="C2213" s="16" t="s">
        <v>10185</v>
      </c>
      <c r="D2213" s="16" t="s">
        <v>10182</v>
      </c>
      <c r="E2213" s="38">
        <v>28469</v>
      </c>
      <c r="F2213" s="38" t="s">
        <v>10183</v>
      </c>
      <c r="G2213" s="10" t="s">
        <v>10184</v>
      </c>
      <c r="H2213" s="12" t="s">
        <v>10179</v>
      </c>
      <c r="I2213" s="13">
        <v>3</v>
      </c>
      <c r="J2213" s="15" t="s">
        <v>10180</v>
      </c>
      <c r="K2213" s="46" t="s">
        <v>10181</v>
      </c>
      <c r="L2213" s="11" t="s">
        <v>36</v>
      </c>
      <c r="M2213" s="15" t="s">
        <v>3584</v>
      </c>
      <c r="N2213" s="17">
        <v>0</v>
      </c>
      <c r="O2213" s="17"/>
      <c r="P2213" s="17"/>
      <c r="Q2213" s="48" t="s">
        <v>9801</v>
      </c>
      <c r="R2213" s="11" t="s">
        <v>6848</v>
      </c>
      <c r="S2213" s="48"/>
      <c r="T2213" s="85"/>
      <c r="U2213" s="88"/>
      <c r="V2213" s="32"/>
      <c r="W2213" s="25" t="s">
        <v>6747</v>
      </c>
      <c r="X2213" s="11"/>
      <c r="Y2213" s="50"/>
      <c r="Z2213" s="50"/>
      <c r="AA2213" s="50"/>
      <c r="AB2213" s="50"/>
      <c r="AC2213" s="50"/>
      <c r="AD2213" s="50"/>
      <c r="AE2213" s="50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65"/>
      <c r="AP2213" s="69"/>
      <c r="AQ2213" s="62"/>
      <c r="AR2213" s="34"/>
    </row>
    <row r="2214" spans="1:44" customFormat="1">
      <c r="A2214" s="39">
        <v>46106</v>
      </c>
      <c r="B2214" s="11" t="s">
        <v>22</v>
      </c>
      <c r="C2214" s="16" t="s">
        <v>10186</v>
      </c>
      <c r="D2214" s="16" t="s">
        <v>10187</v>
      </c>
      <c r="E2214" s="38">
        <v>26916</v>
      </c>
      <c r="F2214" s="38" t="s">
        <v>10188</v>
      </c>
      <c r="G2214" s="10" t="s">
        <v>10189</v>
      </c>
      <c r="H2214" s="12" t="s">
        <v>10190</v>
      </c>
      <c r="I2214" s="13">
        <v>7.7</v>
      </c>
      <c r="J2214" s="15" t="s">
        <v>10191</v>
      </c>
      <c r="K2214" s="46" t="s">
        <v>10192</v>
      </c>
      <c r="L2214" s="11" t="s">
        <v>36</v>
      </c>
      <c r="M2214" s="15" t="s">
        <v>3584</v>
      </c>
      <c r="N2214" s="17">
        <v>0</v>
      </c>
      <c r="O2214" s="17"/>
      <c r="P2214" s="17"/>
      <c r="Q2214" s="48" t="s">
        <v>9801</v>
      </c>
      <c r="R2214" s="11" t="s">
        <v>6847</v>
      </c>
      <c r="S2214" s="48"/>
      <c r="T2214" s="85" t="s">
        <v>81</v>
      </c>
      <c r="U2214" s="88"/>
      <c r="V2214" s="32"/>
      <c r="W2214" s="25" t="s">
        <v>10193</v>
      </c>
      <c r="X2214" s="11"/>
      <c r="Y2214" s="50"/>
      <c r="Z2214" s="50"/>
      <c r="AA2214" s="50"/>
      <c r="AB2214" s="50"/>
      <c r="AC2214" s="50"/>
      <c r="AD2214" s="50"/>
      <c r="AE2214" s="50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65"/>
      <c r="AP2214" s="69"/>
      <c r="AQ2214" s="62"/>
      <c r="AR2214" s="34"/>
    </row>
    <row r="2215" spans="1:44" customFormat="1">
      <c r="A2215" s="39">
        <v>46107</v>
      </c>
      <c r="B2215" s="11" t="s">
        <v>22</v>
      </c>
      <c r="C2215" s="16" t="s">
        <v>10194</v>
      </c>
      <c r="D2215" s="16" t="s">
        <v>10195</v>
      </c>
      <c r="E2215" s="38">
        <v>25011</v>
      </c>
      <c r="F2215" s="38" t="s">
        <v>1909</v>
      </c>
      <c r="G2215" s="10" t="s">
        <v>10196</v>
      </c>
      <c r="H2215" s="12" t="s">
        <v>10197</v>
      </c>
      <c r="I2215" s="13">
        <v>8.1999999999999993</v>
      </c>
      <c r="J2215" s="15" t="s">
        <v>10198</v>
      </c>
      <c r="K2215" s="46" t="s">
        <v>10199</v>
      </c>
      <c r="L2215" s="11" t="s">
        <v>34</v>
      </c>
      <c r="M2215" s="15" t="s">
        <v>3584</v>
      </c>
      <c r="N2215" s="17">
        <v>0</v>
      </c>
      <c r="O2215" s="17"/>
      <c r="P2215" s="17"/>
      <c r="Q2215" s="48" t="s">
        <v>9801</v>
      </c>
      <c r="R2215" s="11" t="s">
        <v>8503</v>
      </c>
      <c r="S2215" s="48" t="s">
        <v>8101</v>
      </c>
      <c r="T2215" s="85" t="s">
        <v>10200</v>
      </c>
      <c r="U2215" s="88"/>
      <c r="V2215" s="32"/>
      <c r="W2215" s="25" t="s">
        <v>10266</v>
      </c>
      <c r="X2215" s="25" t="s">
        <v>10201</v>
      </c>
      <c r="Y2215" s="50"/>
      <c r="Z2215" s="50"/>
      <c r="AA2215" s="50"/>
      <c r="AB2215" s="50"/>
      <c r="AC2215" s="50"/>
      <c r="AD2215" s="50"/>
      <c r="AE2215" s="50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65"/>
      <c r="AP2215" s="69"/>
      <c r="AQ2215" s="62"/>
      <c r="AR2215" s="34"/>
    </row>
    <row r="2216" spans="1:44" customFormat="1">
      <c r="A2216" s="39">
        <v>46109</v>
      </c>
      <c r="B2216" s="11" t="s">
        <v>49</v>
      </c>
      <c r="C2216" s="16" t="s">
        <v>10206</v>
      </c>
      <c r="D2216" s="16" t="s">
        <v>10207</v>
      </c>
      <c r="E2216" s="38">
        <v>23748</v>
      </c>
      <c r="F2216" s="38" t="s">
        <v>10208</v>
      </c>
      <c r="G2216" s="10" t="s">
        <v>10209</v>
      </c>
      <c r="H2216" s="12" t="s">
        <v>10210</v>
      </c>
      <c r="I2216" s="13">
        <v>6</v>
      </c>
      <c r="J2216" s="15" t="s">
        <v>10211</v>
      </c>
      <c r="K2216" s="46" t="s">
        <v>10212</v>
      </c>
      <c r="L2216" s="11" t="s">
        <v>36</v>
      </c>
      <c r="M2216" s="15" t="s">
        <v>3599</v>
      </c>
      <c r="N2216" s="17">
        <v>16500</v>
      </c>
      <c r="O2216" s="17"/>
      <c r="P2216" s="17"/>
      <c r="Q2216" s="48"/>
      <c r="R2216" s="11" t="s">
        <v>6847</v>
      </c>
      <c r="S2216" s="48"/>
      <c r="T2216" s="85" t="s">
        <v>10213</v>
      </c>
      <c r="U2216" s="88"/>
      <c r="V2216" s="32"/>
      <c r="W2216" s="25" t="s">
        <v>10214</v>
      </c>
      <c r="X2216" s="11"/>
      <c r="Y2216" s="50"/>
      <c r="Z2216" s="50"/>
      <c r="AA2216" s="50"/>
      <c r="AB2216" s="50"/>
      <c r="AC2216" s="50"/>
      <c r="AD2216" s="50"/>
      <c r="AE2216" s="50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65"/>
      <c r="AP2216" s="69"/>
      <c r="AQ2216" s="62"/>
      <c r="AR2216" s="34"/>
    </row>
    <row r="2217" spans="1:44" customFormat="1">
      <c r="A2217" s="39">
        <v>46113</v>
      </c>
      <c r="B2217" s="11" t="s">
        <v>49</v>
      </c>
      <c r="C2217" s="16" t="s">
        <v>10291</v>
      </c>
      <c r="D2217" s="16" t="s">
        <v>7777</v>
      </c>
      <c r="E2217" s="38">
        <v>26171</v>
      </c>
      <c r="F2217" s="38" t="s">
        <v>10215</v>
      </c>
      <c r="G2217" s="10" t="s">
        <v>10216</v>
      </c>
      <c r="H2217" s="12" t="s">
        <v>10287</v>
      </c>
      <c r="I2217" s="13">
        <v>9.3000000000000007</v>
      </c>
      <c r="J2217" s="15" t="s">
        <v>10217</v>
      </c>
      <c r="K2217" s="46" t="s">
        <v>10218</v>
      </c>
      <c r="L2217" s="11" t="s">
        <v>34</v>
      </c>
      <c r="M2217" s="15"/>
      <c r="N2217" s="17">
        <v>16500</v>
      </c>
      <c r="O2217" s="17"/>
      <c r="P2217" s="17" t="s">
        <v>10290</v>
      </c>
      <c r="Q2217" s="48"/>
      <c r="R2217" s="11" t="s">
        <v>6848</v>
      </c>
      <c r="S2217" s="48"/>
      <c r="T2217" s="85" t="s">
        <v>8073</v>
      </c>
      <c r="U2217" s="88"/>
      <c r="V2217" s="32"/>
      <c r="W2217" s="25"/>
      <c r="X2217" s="11"/>
      <c r="Y2217" s="50"/>
      <c r="Z2217" s="50"/>
      <c r="AA2217" s="50"/>
      <c r="AB2217" s="50"/>
      <c r="AC2217" s="50"/>
      <c r="AD2217" s="50"/>
      <c r="AE2217" s="50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65"/>
      <c r="AP2217" s="69"/>
      <c r="AQ2217" s="62"/>
      <c r="AR2217" s="34"/>
    </row>
    <row r="2218" spans="1:44" customFormat="1">
      <c r="A2218" s="39">
        <v>46116</v>
      </c>
      <c r="B2218" s="11" t="s">
        <v>22</v>
      </c>
      <c r="C2218" s="16" t="s">
        <v>10219</v>
      </c>
      <c r="D2218" s="16" t="s">
        <v>10220</v>
      </c>
      <c r="E2218" s="38">
        <v>35697</v>
      </c>
      <c r="F2218" s="38" t="s">
        <v>1909</v>
      </c>
      <c r="G2218" s="10" t="s">
        <v>10221</v>
      </c>
      <c r="H2218" s="12" t="s">
        <v>10288</v>
      </c>
      <c r="I2218" s="13">
        <v>3.8</v>
      </c>
      <c r="J2218" s="15" t="s">
        <v>10222</v>
      </c>
      <c r="K2218" s="46" t="s">
        <v>10223</v>
      </c>
      <c r="L2218" s="11" t="s">
        <v>35</v>
      </c>
      <c r="M2218" s="15" t="s">
        <v>3584</v>
      </c>
      <c r="N2218" s="17">
        <v>0</v>
      </c>
      <c r="O2218" s="17"/>
      <c r="P2218" s="17"/>
      <c r="Q2218" s="48" t="s">
        <v>9801</v>
      </c>
      <c r="R2218" s="11" t="s">
        <v>9271</v>
      </c>
      <c r="S2218" s="48"/>
      <c r="T2218" s="85" t="s">
        <v>10285</v>
      </c>
      <c r="U2218" s="88"/>
      <c r="V2218" s="32"/>
      <c r="W2218" s="25"/>
      <c r="X2218" s="11"/>
      <c r="Y2218" s="50"/>
      <c r="Z2218" s="50"/>
      <c r="AA2218" s="50"/>
      <c r="AB2218" s="50"/>
      <c r="AC2218" s="50"/>
      <c r="AD2218" s="50"/>
      <c r="AE2218" s="50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65"/>
      <c r="AP2218" s="69"/>
      <c r="AQ2218" s="62"/>
      <c r="AR2218" s="34"/>
    </row>
    <row r="2219" spans="1:44" customFormat="1">
      <c r="A2219" s="39">
        <v>46117</v>
      </c>
      <c r="B2219" s="11" t="s">
        <v>49</v>
      </c>
      <c r="C2219" s="16" t="s">
        <v>10278</v>
      </c>
      <c r="D2219" s="16" t="s">
        <v>10279</v>
      </c>
      <c r="E2219" s="38">
        <v>10994</v>
      </c>
      <c r="F2219" s="38" t="s">
        <v>10280</v>
      </c>
      <c r="G2219" s="10" t="s">
        <v>10281</v>
      </c>
      <c r="H2219" s="12" t="s">
        <v>10289</v>
      </c>
      <c r="I2219" s="13">
        <v>12.7</v>
      </c>
      <c r="J2219" s="15" t="s">
        <v>10282</v>
      </c>
      <c r="K2219" s="46" t="s">
        <v>10283</v>
      </c>
      <c r="L2219" s="11" t="s">
        <v>33</v>
      </c>
      <c r="M2219" s="15" t="s">
        <v>3584</v>
      </c>
      <c r="N2219" s="17">
        <v>0</v>
      </c>
      <c r="O2219" s="17" t="s">
        <v>10286</v>
      </c>
      <c r="P2219" s="17"/>
      <c r="Q2219" s="48"/>
      <c r="R2219" s="11" t="s">
        <v>8837</v>
      </c>
      <c r="S2219" s="48" t="s">
        <v>8101</v>
      </c>
      <c r="T2219" s="85" t="s">
        <v>10284</v>
      </c>
      <c r="U2219" s="88"/>
      <c r="V2219" s="32"/>
      <c r="W2219" s="25" t="s">
        <v>8</v>
      </c>
      <c r="X2219" s="11"/>
      <c r="Y2219" s="50"/>
      <c r="Z2219" s="50"/>
      <c r="AA2219" s="50"/>
      <c r="AB2219" s="50"/>
      <c r="AC2219" s="50"/>
      <c r="AD2219" s="50"/>
      <c r="AE2219" s="50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65"/>
      <c r="AP2219" s="69"/>
      <c r="AQ2219" s="62"/>
      <c r="AR2219" s="34"/>
    </row>
    <row r="2220" spans="1:44" customFormat="1">
      <c r="A2220" s="39">
        <v>46121</v>
      </c>
      <c r="B2220" s="11" t="s">
        <v>49</v>
      </c>
      <c r="C2220" s="16" t="s">
        <v>10292</v>
      </c>
      <c r="D2220" s="16" t="s">
        <v>10293</v>
      </c>
      <c r="E2220" s="38">
        <v>22612</v>
      </c>
      <c r="F2220" s="38" t="s">
        <v>10294</v>
      </c>
      <c r="G2220" s="10" t="s">
        <v>10295</v>
      </c>
      <c r="H2220" s="12" t="s">
        <v>10296</v>
      </c>
      <c r="I2220" s="13">
        <v>10.3</v>
      </c>
      <c r="J2220" s="15" t="s">
        <v>10297</v>
      </c>
      <c r="K2220" s="46" t="s">
        <v>10298</v>
      </c>
      <c r="L2220" s="11" t="s">
        <v>33</v>
      </c>
      <c r="M2220" s="15" t="s">
        <v>3584</v>
      </c>
      <c r="N2220" s="17">
        <v>11000</v>
      </c>
      <c r="O2220" s="17" t="s">
        <v>8234</v>
      </c>
      <c r="P2220" s="17"/>
      <c r="Q2220" s="48"/>
      <c r="R2220" s="11" t="s">
        <v>6847</v>
      </c>
      <c r="S2220" s="48" t="s">
        <v>8101</v>
      </c>
      <c r="T2220" s="85" t="s">
        <v>8073</v>
      </c>
      <c r="U2220" s="88"/>
      <c r="V2220" s="32"/>
      <c r="W2220" s="25" t="s">
        <v>8</v>
      </c>
      <c r="X2220" s="11"/>
      <c r="Y2220" s="50"/>
      <c r="Z2220" s="50"/>
      <c r="AA2220" s="50"/>
      <c r="AB2220" s="50"/>
      <c r="AC2220" s="50"/>
      <c r="AD2220" s="50"/>
      <c r="AE2220" s="50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65"/>
      <c r="AP2220" s="69"/>
      <c r="AQ2220" s="62"/>
      <c r="AR2220" s="34"/>
    </row>
    <row r="2221" spans="1:44" customFormat="1">
      <c r="A2221" s="39">
        <v>46123</v>
      </c>
      <c r="B2221" s="11" t="s">
        <v>22</v>
      </c>
      <c r="C2221" s="16" t="s">
        <v>10299</v>
      </c>
      <c r="D2221" s="16" t="s">
        <v>10300</v>
      </c>
      <c r="E2221" s="38">
        <v>36053</v>
      </c>
      <c r="F2221" s="38" t="s">
        <v>10301</v>
      </c>
      <c r="G2221" s="10" t="s">
        <v>10302</v>
      </c>
      <c r="H2221" s="12" t="s">
        <v>10303</v>
      </c>
      <c r="I2221" s="13">
        <v>3.9</v>
      </c>
      <c r="J2221" s="15" t="s">
        <v>10304</v>
      </c>
      <c r="K2221" s="46" t="s">
        <v>10305</v>
      </c>
      <c r="L2221" s="11" t="s">
        <v>36</v>
      </c>
      <c r="M2221" s="15" t="s">
        <v>3629</v>
      </c>
      <c r="N2221" s="17">
        <v>0</v>
      </c>
      <c r="O2221" s="17"/>
      <c r="P2221" s="17"/>
      <c r="Q2221" s="48" t="s">
        <v>9801</v>
      </c>
      <c r="R2221" s="11" t="s">
        <v>9271</v>
      </c>
      <c r="S2221" s="48"/>
      <c r="T2221" s="85"/>
      <c r="U2221" s="88"/>
      <c r="V2221" s="32"/>
      <c r="W2221" s="25" t="s">
        <v>4073</v>
      </c>
      <c r="X2221" s="11"/>
      <c r="Y2221" s="50"/>
      <c r="Z2221" s="50"/>
      <c r="AA2221" s="50"/>
      <c r="AB2221" s="50"/>
      <c r="AC2221" s="50"/>
      <c r="AD2221" s="50"/>
      <c r="AE2221" s="50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65"/>
      <c r="AP2221" s="69"/>
      <c r="AQ2221" s="62"/>
      <c r="AR2221" s="34"/>
    </row>
    <row r="2222" spans="1:44" customFormat="1">
      <c r="A2222" s="39">
        <v>46124</v>
      </c>
      <c r="B2222" s="11" t="s">
        <v>22</v>
      </c>
      <c r="C2222" s="16" t="s">
        <v>10306</v>
      </c>
      <c r="D2222" s="16" t="s">
        <v>10307</v>
      </c>
      <c r="E2222" s="38">
        <v>26702</v>
      </c>
      <c r="F2222" s="38" t="s">
        <v>10308</v>
      </c>
      <c r="G2222" s="10" t="s">
        <v>10309</v>
      </c>
      <c r="H2222" s="12" t="s">
        <v>10310</v>
      </c>
      <c r="I2222" s="13">
        <v>19.8</v>
      </c>
      <c r="J2222" s="15" t="s">
        <v>10311</v>
      </c>
      <c r="K2222" s="46" t="s">
        <v>10312</v>
      </c>
      <c r="L2222" s="11"/>
      <c r="M2222" s="15" t="s">
        <v>3584</v>
      </c>
      <c r="N2222" s="17">
        <v>0</v>
      </c>
      <c r="O2222" s="17"/>
      <c r="P2222" s="17"/>
      <c r="Q2222" s="48" t="s">
        <v>9801</v>
      </c>
      <c r="R2222" s="11" t="s">
        <v>9271</v>
      </c>
      <c r="S2222" s="48"/>
      <c r="T2222" s="85"/>
      <c r="U2222" s="88"/>
      <c r="V2222" s="32"/>
      <c r="W2222" s="25" t="s">
        <v>8</v>
      </c>
      <c r="X2222" s="11"/>
      <c r="Y2222" s="50"/>
      <c r="Z2222" s="50"/>
      <c r="AA2222" s="50"/>
      <c r="AB2222" s="50"/>
      <c r="AC2222" s="50"/>
      <c r="AD2222" s="50"/>
      <c r="AE2222" s="50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65"/>
      <c r="AP2222" s="69"/>
      <c r="AQ2222" s="62"/>
      <c r="AR2222" s="34"/>
    </row>
    <row r="2223" spans="1:44" customFormat="1">
      <c r="A2223" s="39">
        <v>46124</v>
      </c>
      <c r="B2223" s="11" t="s">
        <v>22</v>
      </c>
      <c r="C2223" s="16" t="s">
        <v>10313</v>
      </c>
      <c r="D2223" s="16" t="s">
        <v>10314</v>
      </c>
      <c r="E2223" s="38">
        <v>27294</v>
      </c>
      <c r="F2223" s="38" t="s">
        <v>10308</v>
      </c>
      <c r="G2223" s="10" t="s">
        <v>10315</v>
      </c>
      <c r="H2223" s="12" t="s">
        <v>10316</v>
      </c>
      <c r="I2223" s="13">
        <v>5.4</v>
      </c>
      <c r="J2223" s="15" t="s">
        <v>10317</v>
      </c>
      <c r="K2223" s="46" t="s">
        <v>10318</v>
      </c>
      <c r="L2223" s="11"/>
      <c r="M2223" s="15" t="s">
        <v>3629</v>
      </c>
      <c r="N2223" s="17">
        <v>0</v>
      </c>
      <c r="O2223" s="17"/>
      <c r="P2223" s="17"/>
      <c r="Q2223" s="48" t="s">
        <v>9801</v>
      </c>
      <c r="R2223" s="11" t="s">
        <v>9271</v>
      </c>
      <c r="S2223" s="48"/>
      <c r="T2223" s="85"/>
      <c r="U2223" s="88"/>
      <c r="V2223" s="32"/>
      <c r="W2223" s="25" t="s">
        <v>8</v>
      </c>
      <c r="X2223" s="11"/>
      <c r="Y2223" s="50"/>
      <c r="Z2223" s="50"/>
      <c r="AA2223" s="50"/>
      <c r="AB2223" s="50"/>
      <c r="AC2223" s="50"/>
      <c r="AD2223" s="50"/>
      <c r="AE2223" s="50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65"/>
      <c r="AP2223" s="69"/>
      <c r="AQ2223" s="62"/>
      <c r="AR2223" s="34"/>
    </row>
    <row r="2224" spans="1:44" customFormat="1">
      <c r="A2224" s="39">
        <v>46124</v>
      </c>
      <c r="B2224" s="11" t="s">
        <v>49</v>
      </c>
      <c r="C2224" s="16" t="s">
        <v>10326</v>
      </c>
      <c r="D2224" s="16" t="s">
        <v>10319</v>
      </c>
      <c r="E2224" s="38">
        <v>22647</v>
      </c>
      <c r="F2224" s="38" t="s">
        <v>10320</v>
      </c>
      <c r="G2224" s="10" t="s">
        <v>10321</v>
      </c>
      <c r="H2224" s="12" t="s">
        <v>10322</v>
      </c>
      <c r="I2224" s="13">
        <v>102</v>
      </c>
      <c r="J2224" s="15" t="s">
        <v>10323</v>
      </c>
      <c r="K2224" s="46" t="s">
        <v>10324</v>
      </c>
      <c r="L2224" s="11" t="s">
        <v>33</v>
      </c>
      <c r="M2224" s="15" t="s">
        <v>3584</v>
      </c>
      <c r="N2224" s="17">
        <v>11000</v>
      </c>
      <c r="O2224" s="17" t="s">
        <v>8234</v>
      </c>
      <c r="P2224" s="17"/>
      <c r="Q2224" s="48"/>
      <c r="R2224" s="11" t="s">
        <v>6847</v>
      </c>
      <c r="S2224" s="48"/>
      <c r="T2224" s="85" t="s">
        <v>10325</v>
      </c>
      <c r="U2224" s="88"/>
      <c r="V2224" s="32"/>
      <c r="W2224" s="25" t="s">
        <v>8</v>
      </c>
      <c r="X2224" s="11"/>
      <c r="Y2224" s="50"/>
      <c r="Z2224" s="50"/>
      <c r="AA2224" s="50"/>
      <c r="AB2224" s="50"/>
      <c r="AC2224" s="50"/>
      <c r="AD2224" s="50"/>
      <c r="AE2224" s="50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65"/>
      <c r="AP2224" s="69"/>
      <c r="AQ2224" s="62"/>
      <c r="AR2224" s="34"/>
    </row>
    <row r="2225" spans="1:44" customFormat="1">
      <c r="A2225" s="39">
        <v>46128</v>
      </c>
      <c r="B2225" s="11" t="s">
        <v>22</v>
      </c>
      <c r="C2225" s="16" t="s">
        <v>10327</v>
      </c>
      <c r="D2225" s="16" t="s">
        <v>10333</v>
      </c>
      <c r="E2225" s="38">
        <v>25915</v>
      </c>
      <c r="F2225" s="38" t="s">
        <v>1909</v>
      </c>
      <c r="G2225" s="10" t="s">
        <v>10335</v>
      </c>
      <c r="H2225" s="12" t="s">
        <v>10328</v>
      </c>
      <c r="I2225" s="13">
        <v>3</v>
      </c>
      <c r="J2225" s="15" t="s">
        <v>10329</v>
      </c>
      <c r="K2225" s="12"/>
      <c r="L2225" s="11" t="s">
        <v>36</v>
      </c>
      <c r="M2225" s="15" t="s">
        <v>3629</v>
      </c>
      <c r="N2225" s="17">
        <v>0</v>
      </c>
      <c r="O2225" s="17"/>
      <c r="P2225" s="17"/>
      <c r="Q2225" s="48" t="s">
        <v>9801</v>
      </c>
      <c r="R2225" s="11" t="s">
        <v>6847</v>
      </c>
      <c r="S2225" s="48" t="s">
        <v>8101</v>
      </c>
      <c r="T2225" s="85" t="s">
        <v>10383</v>
      </c>
      <c r="U2225" s="88"/>
      <c r="V2225" s="32"/>
      <c r="W2225" s="25" t="s">
        <v>8</v>
      </c>
      <c r="X2225" s="11" t="s">
        <v>10382</v>
      </c>
      <c r="Y2225" s="50"/>
      <c r="Z2225" s="50"/>
      <c r="AA2225" s="50"/>
      <c r="AB2225" s="50"/>
      <c r="AC2225" s="50"/>
      <c r="AD2225" s="50"/>
      <c r="AE2225" s="50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65"/>
      <c r="AP2225" s="69"/>
      <c r="AQ2225" s="62"/>
      <c r="AR2225" s="34"/>
    </row>
    <row r="2226" spans="1:44" customFormat="1">
      <c r="A2226" s="39">
        <v>46128</v>
      </c>
      <c r="B2226" s="11" t="s">
        <v>22</v>
      </c>
      <c r="C2226" s="16" t="s">
        <v>10331</v>
      </c>
      <c r="D2226" s="16" t="s">
        <v>10332</v>
      </c>
      <c r="E2226" s="38">
        <v>33708</v>
      </c>
      <c r="F2226" s="38" t="s">
        <v>1909</v>
      </c>
      <c r="G2226" s="10" t="s">
        <v>10336</v>
      </c>
      <c r="H2226" s="12" t="s">
        <v>10337</v>
      </c>
      <c r="I2226" s="13">
        <v>2</v>
      </c>
      <c r="J2226" s="15" t="s">
        <v>10338</v>
      </c>
      <c r="K2226" s="46" t="s">
        <v>10339</v>
      </c>
      <c r="L2226" s="11" t="s">
        <v>36</v>
      </c>
      <c r="M2226" s="15" t="s">
        <v>3584</v>
      </c>
      <c r="N2226" s="17">
        <v>0</v>
      </c>
      <c r="O2226" s="17"/>
      <c r="P2226" s="17"/>
      <c r="Q2226" s="48" t="s">
        <v>9801</v>
      </c>
      <c r="R2226" s="11" t="s">
        <v>9271</v>
      </c>
      <c r="S2226" s="48" t="s">
        <v>8101</v>
      </c>
      <c r="T2226" s="85"/>
      <c r="U2226" s="88"/>
      <c r="V2226" s="32"/>
      <c r="W2226" s="25" t="s">
        <v>8</v>
      </c>
      <c r="X2226" s="11"/>
      <c r="Y2226" s="50"/>
      <c r="Z2226" s="50"/>
      <c r="AA2226" s="50"/>
      <c r="AB2226" s="50"/>
      <c r="AC2226" s="50"/>
      <c r="AD2226" s="50"/>
      <c r="AE2226" s="50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65"/>
      <c r="AP2226" s="69"/>
      <c r="AQ2226" s="62"/>
      <c r="AR2226" s="34"/>
    </row>
    <row r="2227" spans="1:44" customFormat="1">
      <c r="A2227" s="39">
        <v>46128</v>
      </c>
      <c r="B2227" s="11" t="s">
        <v>49</v>
      </c>
      <c r="C2227" s="16" t="s">
        <v>10004</v>
      </c>
      <c r="D2227" s="16" t="s">
        <v>7777</v>
      </c>
      <c r="E2227" s="38"/>
      <c r="F2227" s="38" t="s">
        <v>1909</v>
      </c>
      <c r="G2227" s="10"/>
      <c r="H2227" s="12"/>
      <c r="I2227" s="13"/>
      <c r="J2227" s="15"/>
      <c r="K2227" s="12"/>
      <c r="L2227" s="11"/>
      <c r="M2227" s="15"/>
      <c r="N2227" s="17">
        <v>16500</v>
      </c>
      <c r="O2227" s="17"/>
      <c r="P2227" s="17"/>
      <c r="Q2227" s="48"/>
      <c r="R2227" s="11" t="s">
        <v>6847</v>
      </c>
      <c r="S2227" s="48" t="s">
        <v>8101</v>
      </c>
      <c r="T2227" s="85" t="s">
        <v>8073</v>
      </c>
      <c r="U2227" s="88"/>
      <c r="V2227" s="32"/>
      <c r="W2227" s="25"/>
      <c r="X2227" s="11"/>
      <c r="Y2227" s="50"/>
      <c r="Z2227" s="50"/>
      <c r="AA2227" s="50"/>
      <c r="AB2227" s="50"/>
      <c r="AC2227" s="50"/>
      <c r="AD2227" s="50"/>
      <c r="AE2227" s="50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65"/>
      <c r="AP2227" s="69"/>
      <c r="AQ2227" s="62"/>
      <c r="AR2227" s="34"/>
    </row>
    <row r="2228" spans="1:44" customFormat="1">
      <c r="A2228" s="39">
        <v>46129</v>
      </c>
      <c r="B2228" s="11" t="s">
        <v>22</v>
      </c>
      <c r="C2228" s="16" t="s">
        <v>10330</v>
      </c>
      <c r="D2228" s="16" t="s">
        <v>10334</v>
      </c>
      <c r="E2228" s="38">
        <v>20870</v>
      </c>
      <c r="F2228" s="38" t="s">
        <v>1909</v>
      </c>
      <c r="G2228" s="10" t="s">
        <v>10342</v>
      </c>
      <c r="H2228" s="12" t="s">
        <v>10343</v>
      </c>
      <c r="I2228" s="13">
        <v>5.7</v>
      </c>
      <c r="J2228" s="15" t="s">
        <v>10344</v>
      </c>
      <c r="K2228" s="46" t="s">
        <v>10345</v>
      </c>
      <c r="L2228" s="11" t="s">
        <v>39</v>
      </c>
      <c r="M2228" s="15" t="s">
        <v>3584</v>
      </c>
      <c r="N2228" s="17">
        <v>0</v>
      </c>
      <c r="O2228" s="17"/>
      <c r="P2228" s="17"/>
      <c r="Q2228" s="48" t="s">
        <v>9801</v>
      </c>
      <c r="R2228" s="11" t="s">
        <v>9271</v>
      </c>
      <c r="S2228" s="48" t="s">
        <v>8101</v>
      </c>
      <c r="T2228" s="85" t="s">
        <v>10340</v>
      </c>
      <c r="U2228" s="88"/>
      <c r="V2228" s="32"/>
      <c r="W2228" s="25" t="s">
        <v>8</v>
      </c>
      <c r="X2228" s="11" t="s">
        <v>10341</v>
      </c>
      <c r="Y2228" s="50"/>
      <c r="Z2228" s="50"/>
      <c r="AA2228" s="50"/>
      <c r="AB2228" s="50"/>
      <c r="AC2228" s="50"/>
      <c r="AD2228" s="50"/>
      <c r="AE2228" s="50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65"/>
      <c r="AP2228" s="69"/>
      <c r="AQ2228" s="62"/>
      <c r="AR2228" s="34"/>
    </row>
    <row r="2229" spans="1:44" customFormat="1">
      <c r="A2229" s="39">
        <v>46129</v>
      </c>
      <c r="B2229" s="11" t="s">
        <v>49</v>
      </c>
      <c r="C2229" s="16" t="s">
        <v>10346</v>
      </c>
      <c r="D2229" s="16" t="s">
        <v>10347</v>
      </c>
      <c r="E2229" s="38">
        <v>24354</v>
      </c>
      <c r="F2229" s="38" t="s">
        <v>10348</v>
      </c>
      <c r="G2229" s="10" t="s">
        <v>10349</v>
      </c>
      <c r="H2229" s="12" t="s">
        <v>10350</v>
      </c>
      <c r="I2229" s="13" t="s">
        <v>10351</v>
      </c>
      <c r="J2229" s="15" t="s">
        <v>10352</v>
      </c>
      <c r="K2229" s="46" t="s">
        <v>10353</v>
      </c>
      <c r="L2229" s="11" t="s">
        <v>33</v>
      </c>
      <c r="M2229" s="15" t="s">
        <v>3584</v>
      </c>
      <c r="N2229" s="17">
        <v>0</v>
      </c>
      <c r="O2229" s="17"/>
      <c r="P2229" s="17"/>
      <c r="Q2229" s="48"/>
      <c r="R2229" s="11" t="s">
        <v>6847</v>
      </c>
      <c r="S2229" s="48" t="s">
        <v>8102</v>
      </c>
      <c r="T2229" s="85"/>
      <c r="U2229" s="88"/>
      <c r="V2229" s="32"/>
      <c r="W2229" s="25" t="s">
        <v>8</v>
      </c>
      <c r="X2229" s="11" t="s">
        <v>10381</v>
      </c>
      <c r="Y2229" s="50"/>
      <c r="Z2229" s="50"/>
      <c r="AA2229" s="50"/>
      <c r="AB2229" s="50"/>
      <c r="AC2229" s="50"/>
      <c r="AD2229" s="50"/>
      <c r="AE2229" s="50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65"/>
      <c r="AP2229" s="69"/>
      <c r="AQ2229" s="62"/>
      <c r="AR2229" s="34"/>
    </row>
    <row r="2230" spans="1:44" customFormat="1">
      <c r="A2230" s="39">
        <v>46134</v>
      </c>
      <c r="B2230" s="11" t="s">
        <v>49</v>
      </c>
      <c r="C2230" s="16" t="s">
        <v>10354</v>
      </c>
      <c r="D2230" s="16" t="s">
        <v>10355</v>
      </c>
      <c r="E2230" s="38">
        <v>28685</v>
      </c>
      <c r="F2230" s="38" t="s">
        <v>10356</v>
      </c>
      <c r="G2230" s="10" t="s">
        <v>10357</v>
      </c>
      <c r="H2230" s="12" t="s">
        <v>10358</v>
      </c>
      <c r="I2230" s="13">
        <v>41.3</v>
      </c>
      <c r="J2230" s="15" t="s">
        <v>10359</v>
      </c>
      <c r="K2230" s="12"/>
      <c r="L2230" s="11" t="s">
        <v>36</v>
      </c>
      <c r="M2230" s="15" t="s">
        <v>3629</v>
      </c>
      <c r="N2230" s="17">
        <v>11000</v>
      </c>
      <c r="O2230" s="17"/>
      <c r="P2230" s="17"/>
      <c r="Q2230" s="48"/>
      <c r="R2230" s="11" t="s">
        <v>6847</v>
      </c>
      <c r="S2230" s="48" t="s">
        <v>8101</v>
      </c>
      <c r="T2230" s="85" t="s">
        <v>8073</v>
      </c>
      <c r="U2230" s="88"/>
      <c r="V2230" s="32"/>
      <c r="W2230" s="25"/>
      <c r="X2230" s="11"/>
      <c r="Y2230" s="50"/>
      <c r="Z2230" s="50"/>
      <c r="AA2230" s="50"/>
      <c r="AB2230" s="50"/>
      <c r="AC2230" s="50"/>
      <c r="AD2230" s="50"/>
      <c r="AE2230" s="50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65"/>
      <c r="AP2230" s="69"/>
      <c r="AQ2230" s="62"/>
      <c r="AR2230" s="34"/>
    </row>
    <row r="2231" spans="1:44" customFormat="1">
      <c r="A2231" s="39">
        <v>46135</v>
      </c>
      <c r="B2231" s="11" t="s">
        <v>49</v>
      </c>
      <c r="C2231" s="16" t="s">
        <v>5824</v>
      </c>
      <c r="D2231" s="16" t="s">
        <v>5825</v>
      </c>
      <c r="E2231" s="39">
        <v>30324</v>
      </c>
      <c r="F2231" s="39" t="s">
        <v>10356</v>
      </c>
      <c r="G2231" s="11" t="s">
        <v>5826</v>
      </c>
      <c r="H2231" s="12" t="s">
        <v>5827</v>
      </c>
      <c r="I2231" s="13">
        <v>78</v>
      </c>
      <c r="J2231" s="12" t="s">
        <v>5828</v>
      </c>
      <c r="K2231" s="12"/>
      <c r="L2231" s="11" t="s">
        <v>36</v>
      </c>
      <c r="M2231" s="15" t="s">
        <v>3584</v>
      </c>
      <c r="N2231" s="17">
        <v>16500</v>
      </c>
      <c r="O2231" s="17"/>
      <c r="P2231" s="17" t="s">
        <v>10380</v>
      </c>
      <c r="Q2231" s="48"/>
      <c r="R2231" s="11" t="s">
        <v>6847</v>
      </c>
      <c r="S2231" s="48" t="s">
        <v>8101</v>
      </c>
      <c r="T2231" s="85"/>
      <c r="U2231" s="85"/>
      <c r="V2231" s="32"/>
      <c r="W2231" s="25" t="s">
        <v>48</v>
      </c>
      <c r="X2231" s="11"/>
      <c r="Y2231" s="50" t="s">
        <v>13</v>
      </c>
      <c r="Z2231" s="50"/>
      <c r="AA2231" s="50"/>
      <c r="AB2231" s="50"/>
      <c r="AC2231" s="50"/>
      <c r="AD2231" s="50"/>
      <c r="AE2231" s="50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65" t="s">
        <v>5822</v>
      </c>
      <c r="AP2231" s="69"/>
      <c r="AQ2231" s="62" t="s">
        <v>8079</v>
      </c>
      <c r="AR2231" s="81">
        <v>44940</v>
      </c>
    </row>
    <row r="2232" spans="1:44" customFormat="1">
      <c r="A2232" s="39">
        <v>46137</v>
      </c>
      <c r="B2232" s="11" t="s">
        <v>22</v>
      </c>
      <c r="C2232" s="16" t="s">
        <v>10360</v>
      </c>
      <c r="D2232" s="16" t="s">
        <v>10361</v>
      </c>
      <c r="E2232" s="38">
        <v>38023</v>
      </c>
      <c r="F2232" s="38" t="s">
        <v>10362</v>
      </c>
      <c r="G2232" s="10" t="s">
        <v>10363</v>
      </c>
      <c r="H2232" s="12" t="s">
        <v>10364</v>
      </c>
      <c r="I2232" s="13">
        <v>5.2</v>
      </c>
      <c r="J2232" s="15" t="s">
        <v>10365</v>
      </c>
      <c r="K2232" s="46" t="s">
        <v>10366</v>
      </c>
      <c r="L2232" s="11"/>
      <c r="M2232" s="15" t="s">
        <v>3584</v>
      </c>
      <c r="N2232" s="17">
        <v>0</v>
      </c>
      <c r="O2232" s="17"/>
      <c r="P2232" s="17"/>
      <c r="Q2232" s="48" t="s">
        <v>9801</v>
      </c>
      <c r="R2232" s="11" t="s">
        <v>6848</v>
      </c>
      <c r="S2232" s="11" t="s">
        <v>6848</v>
      </c>
      <c r="T2232" s="85"/>
      <c r="U2232" s="88"/>
      <c r="V2232" s="32"/>
      <c r="W2232" s="25"/>
      <c r="X2232" s="11"/>
      <c r="Y2232" s="50"/>
      <c r="Z2232" s="50"/>
      <c r="AA2232" s="50"/>
      <c r="AB2232" s="50"/>
      <c r="AC2232" s="50"/>
      <c r="AD2232" s="50"/>
      <c r="AE2232" s="50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65"/>
      <c r="AP2232" s="69"/>
      <c r="AQ2232" s="62"/>
      <c r="AR2232" s="34"/>
    </row>
    <row r="2233" spans="1:44" customFormat="1">
      <c r="A2233" s="39">
        <v>46137</v>
      </c>
      <c r="B2233" s="11" t="s">
        <v>22</v>
      </c>
      <c r="C2233" s="16" t="s">
        <v>10367</v>
      </c>
      <c r="D2233" s="16" t="s">
        <v>10368</v>
      </c>
      <c r="E2233" s="38">
        <v>29957</v>
      </c>
      <c r="F2233" s="38" t="s">
        <v>10369</v>
      </c>
      <c r="G2233" s="10" t="s">
        <v>10370</v>
      </c>
      <c r="H2233" s="12" t="s">
        <v>10371</v>
      </c>
      <c r="I2233" s="13">
        <v>11.3</v>
      </c>
      <c r="J2233" s="15" t="s">
        <v>10372</v>
      </c>
      <c r="K2233" s="12"/>
      <c r="L2233" s="11" t="s">
        <v>36</v>
      </c>
      <c r="M2233" s="15" t="s">
        <v>3629</v>
      </c>
      <c r="N2233" s="17">
        <v>0</v>
      </c>
      <c r="O2233" s="17"/>
      <c r="P2233" s="17"/>
      <c r="Q2233" s="48" t="s">
        <v>9801</v>
      </c>
      <c r="R2233" s="11" t="s">
        <v>9271</v>
      </c>
      <c r="S2233" s="11" t="s">
        <v>6848</v>
      </c>
      <c r="T2233" s="85"/>
      <c r="U2233" s="88"/>
      <c r="V2233" s="32"/>
      <c r="W2233" s="25" t="s">
        <v>10385</v>
      </c>
      <c r="X2233" s="11" t="s">
        <v>10384</v>
      </c>
      <c r="Y2233" s="50"/>
      <c r="Z2233" s="50"/>
      <c r="AA2233" s="50"/>
      <c r="AB2233" s="50"/>
      <c r="AC2233" s="50"/>
      <c r="AD2233" s="50"/>
      <c r="AE2233" s="50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65"/>
      <c r="AP2233" s="69"/>
      <c r="AQ2233" s="62"/>
      <c r="AR2233" s="34"/>
    </row>
    <row r="2234" spans="1:44" customFormat="1">
      <c r="A2234" s="39">
        <v>46138</v>
      </c>
      <c r="B2234" s="11" t="s">
        <v>22</v>
      </c>
      <c r="C2234" s="16" t="s">
        <v>10373</v>
      </c>
      <c r="D2234" s="16" t="s">
        <v>10374</v>
      </c>
      <c r="E2234" s="38">
        <v>37485</v>
      </c>
      <c r="F2234" s="38" t="s">
        <v>10375</v>
      </c>
      <c r="G2234" s="10" t="s">
        <v>10376</v>
      </c>
      <c r="H2234" s="12" t="s">
        <v>10377</v>
      </c>
      <c r="I2234" s="13">
        <v>8.1</v>
      </c>
      <c r="J2234" s="15" t="s">
        <v>10378</v>
      </c>
      <c r="K2234" s="46" t="s">
        <v>10379</v>
      </c>
      <c r="L2234" s="11" t="s">
        <v>36</v>
      </c>
      <c r="M2234" s="15" t="s">
        <v>3584</v>
      </c>
      <c r="N2234" s="17">
        <v>0</v>
      </c>
      <c r="O2234" s="17"/>
      <c r="P2234" s="17"/>
      <c r="Q2234" s="48" t="s">
        <v>9801</v>
      </c>
      <c r="R2234" s="11" t="s">
        <v>6848</v>
      </c>
      <c r="S2234" s="48" t="s">
        <v>8101</v>
      </c>
      <c r="T2234" s="85"/>
      <c r="U2234" s="88"/>
      <c r="V2234" s="32"/>
      <c r="W2234" s="25"/>
      <c r="X2234" s="11"/>
      <c r="Y2234" s="50"/>
      <c r="Z2234" s="50"/>
      <c r="AA2234" s="50"/>
      <c r="AB2234" s="50"/>
      <c r="AC2234" s="50"/>
      <c r="AD2234" s="50"/>
      <c r="AE2234" s="50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65"/>
      <c r="AP2234" s="69"/>
      <c r="AQ2234" s="62"/>
      <c r="AR2234" s="34"/>
    </row>
    <row r="2235" spans="1:44" customFormat="1">
      <c r="A2235" s="39">
        <v>46143</v>
      </c>
      <c r="B2235" s="11" t="s">
        <v>22</v>
      </c>
      <c r="C2235" s="16" t="s">
        <v>10386</v>
      </c>
      <c r="D2235" s="16" t="s">
        <v>10387</v>
      </c>
      <c r="E2235" s="38">
        <v>16978</v>
      </c>
      <c r="F2235" s="38" t="s">
        <v>10388</v>
      </c>
      <c r="G2235" s="10" t="s">
        <v>10504</v>
      </c>
      <c r="H2235" s="12" t="s">
        <v>10389</v>
      </c>
      <c r="I2235" s="13">
        <v>1.7</v>
      </c>
      <c r="J2235" s="15" t="s">
        <v>10390</v>
      </c>
      <c r="K2235" s="46" t="s">
        <v>10391</v>
      </c>
      <c r="L2235" s="11" t="s">
        <v>39</v>
      </c>
      <c r="M2235" s="15" t="s">
        <v>3584</v>
      </c>
      <c r="N2235" s="17">
        <v>0</v>
      </c>
      <c r="O2235" s="17"/>
      <c r="P2235" s="17"/>
      <c r="Q2235" s="48" t="s">
        <v>9801</v>
      </c>
      <c r="R2235" s="11" t="s">
        <v>6848</v>
      </c>
      <c r="S2235" s="48" t="s">
        <v>8101</v>
      </c>
      <c r="T2235" s="85"/>
      <c r="U2235" s="88"/>
      <c r="V2235" s="32"/>
      <c r="W2235" s="25" t="s">
        <v>10392</v>
      </c>
      <c r="X2235" s="29" t="s">
        <v>10393</v>
      </c>
      <c r="Y2235" s="50"/>
      <c r="Z2235" s="50"/>
      <c r="AA2235" s="50"/>
      <c r="AB2235" s="50"/>
      <c r="AC2235" s="50"/>
      <c r="AD2235" s="50"/>
      <c r="AE2235" s="50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65"/>
      <c r="AP2235" s="69"/>
      <c r="AQ2235" s="62"/>
      <c r="AR2235" s="34"/>
    </row>
    <row r="2236" spans="1:44" customFormat="1">
      <c r="A2236" s="39">
        <v>46144</v>
      </c>
      <c r="B2236" s="11" t="s">
        <v>22</v>
      </c>
      <c r="C2236" s="16" t="s">
        <v>10394</v>
      </c>
      <c r="D2236" s="16" t="s">
        <v>10395</v>
      </c>
      <c r="E2236" s="38">
        <v>24300</v>
      </c>
      <c r="F2236" s="38" t="s">
        <v>10396</v>
      </c>
      <c r="G2236" s="10" t="s">
        <v>10397</v>
      </c>
      <c r="H2236" s="12" t="s">
        <v>10398</v>
      </c>
      <c r="I2236" s="13">
        <v>6.3</v>
      </c>
      <c r="J2236" s="15" t="s">
        <v>10399</v>
      </c>
      <c r="K2236" s="46" t="s">
        <v>10400</v>
      </c>
      <c r="L2236" s="11" t="s">
        <v>36</v>
      </c>
      <c r="M2236" s="15" t="s">
        <v>3584</v>
      </c>
      <c r="N2236" s="17">
        <v>0</v>
      </c>
      <c r="O2236" s="17"/>
      <c r="P2236" s="17"/>
      <c r="Q2236" s="48" t="s">
        <v>9801</v>
      </c>
      <c r="R2236" s="11" t="s">
        <v>8503</v>
      </c>
      <c r="S2236" s="48" t="s">
        <v>8100</v>
      </c>
      <c r="T2236" s="85" t="s">
        <v>81</v>
      </c>
      <c r="U2236" s="88"/>
      <c r="V2236" s="32"/>
      <c r="W2236" s="25" t="s">
        <v>48</v>
      </c>
      <c r="X2236" s="11"/>
      <c r="Y2236" s="50"/>
      <c r="Z2236" s="50"/>
      <c r="AA2236" s="50"/>
      <c r="AB2236" s="50"/>
      <c r="AC2236" s="50"/>
      <c r="AD2236" s="50"/>
      <c r="AE2236" s="50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65"/>
      <c r="AP2236" s="69"/>
      <c r="AQ2236" s="62"/>
      <c r="AR2236" s="34"/>
    </row>
    <row r="2237" spans="1:44" customFormat="1">
      <c r="A2237" s="39">
        <v>46145</v>
      </c>
      <c r="B2237" s="11" t="s">
        <v>22</v>
      </c>
      <c r="C2237" s="16" t="s">
        <v>10401</v>
      </c>
      <c r="D2237" s="16" t="s">
        <v>10402</v>
      </c>
      <c r="E2237" s="38">
        <v>25609</v>
      </c>
      <c r="F2237" s="38" t="s">
        <v>10403</v>
      </c>
      <c r="G2237" s="10" t="s">
        <v>10404</v>
      </c>
      <c r="H2237" s="12" t="s">
        <v>10405</v>
      </c>
      <c r="I2237" s="13">
        <v>3.8</v>
      </c>
      <c r="J2237" s="15" t="s">
        <v>10406</v>
      </c>
      <c r="K2237" s="46" t="s">
        <v>10407</v>
      </c>
      <c r="L2237" s="11" t="s">
        <v>36</v>
      </c>
      <c r="M2237" s="15" t="s">
        <v>3584</v>
      </c>
      <c r="N2237" s="17">
        <v>0</v>
      </c>
      <c r="O2237" s="17"/>
      <c r="P2237" s="17"/>
      <c r="Q2237" s="48" t="s">
        <v>8733</v>
      </c>
      <c r="R2237" s="11" t="s">
        <v>6848</v>
      </c>
      <c r="S2237" s="11" t="s">
        <v>6848</v>
      </c>
      <c r="T2237" s="85"/>
      <c r="U2237" s="88"/>
      <c r="V2237" s="32"/>
      <c r="W2237" s="25" t="s">
        <v>10408</v>
      </c>
      <c r="X2237" s="11"/>
      <c r="Y2237" s="50"/>
      <c r="Z2237" s="50"/>
      <c r="AA2237" s="50"/>
      <c r="AB2237" s="50"/>
      <c r="AC2237" s="50"/>
      <c r="AD2237" s="50"/>
      <c r="AE2237" s="50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65"/>
      <c r="AP2237" s="69"/>
      <c r="AQ2237" s="62"/>
      <c r="AR2237" s="34"/>
    </row>
    <row r="2238" spans="1:44" customFormat="1">
      <c r="A2238" s="39">
        <v>46147</v>
      </c>
      <c r="B2238" s="11" t="s">
        <v>22</v>
      </c>
      <c r="C2238" s="16" t="s">
        <v>10409</v>
      </c>
      <c r="D2238" s="16" t="s">
        <v>10412</v>
      </c>
      <c r="E2238" s="38">
        <v>31239</v>
      </c>
      <c r="F2238" s="38" t="s">
        <v>10413</v>
      </c>
      <c r="G2238" s="10" t="s">
        <v>10414</v>
      </c>
      <c r="H2238" s="12" t="s">
        <v>10415</v>
      </c>
      <c r="I2238" s="13">
        <v>13.7</v>
      </c>
      <c r="J2238" s="15" t="s">
        <v>10416</v>
      </c>
      <c r="K2238" s="12" t="s">
        <v>10417</v>
      </c>
      <c r="L2238" s="11"/>
      <c r="M2238" s="15"/>
      <c r="N2238" s="17">
        <v>0</v>
      </c>
      <c r="O2238" s="17"/>
      <c r="P2238" s="17"/>
      <c r="Q2238" s="48" t="s">
        <v>8733</v>
      </c>
      <c r="R2238" s="11" t="s">
        <v>6847</v>
      </c>
      <c r="S2238" s="11" t="s">
        <v>6847</v>
      </c>
      <c r="T2238" s="85" t="s">
        <v>10411</v>
      </c>
      <c r="U2238" s="88"/>
      <c r="V2238" s="32"/>
      <c r="W2238" s="25"/>
      <c r="X2238" s="11"/>
      <c r="Y2238" s="50"/>
      <c r="Z2238" s="50"/>
      <c r="AA2238" s="50"/>
      <c r="AB2238" s="50"/>
      <c r="AC2238" s="50"/>
      <c r="AD2238" s="50"/>
      <c r="AE2238" s="50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65"/>
      <c r="AP2238" s="69"/>
      <c r="AQ2238" s="62"/>
      <c r="AR2238" s="34"/>
    </row>
    <row r="2239" spans="1:44" customFormat="1">
      <c r="A2239" s="39">
        <v>46147</v>
      </c>
      <c r="B2239" s="11" t="s">
        <v>22</v>
      </c>
      <c r="C2239" s="16" t="s">
        <v>10418</v>
      </c>
      <c r="D2239" s="16" t="s">
        <v>10419</v>
      </c>
      <c r="E2239" s="38">
        <v>26471</v>
      </c>
      <c r="F2239" s="38" t="s">
        <v>10420</v>
      </c>
      <c r="G2239" s="10" t="s">
        <v>10421</v>
      </c>
      <c r="H2239" s="12" t="s">
        <v>10422</v>
      </c>
      <c r="I2239" s="13">
        <v>1.8</v>
      </c>
      <c r="J2239" s="15" t="s">
        <v>10423</v>
      </c>
      <c r="K2239" s="12"/>
      <c r="L2239" s="11"/>
      <c r="M2239" s="15"/>
      <c r="N2239" s="17">
        <v>0</v>
      </c>
      <c r="O2239" s="17"/>
      <c r="P2239" s="17"/>
      <c r="Q2239" s="48" t="s">
        <v>8733</v>
      </c>
      <c r="R2239" s="11" t="s">
        <v>6847</v>
      </c>
      <c r="S2239" s="11" t="s">
        <v>6847</v>
      </c>
      <c r="T2239" s="85" t="s">
        <v>10410</v>
      </c>
      <c r="U2239" s="88"/>
      <c r="V2239" s="32"/>
      <c r="W2239" s="25"/>
      <c r="X2239" s="11"/>
      <c r="Y2239" s="50"/>
      <c r="Z2239" s="50"/>
      <c r="AA2239" s="50"/>
      <c r="AB2239" s="50"/>
      <c r="AC2239" s="50"/>
      <c r="AD2239" s="50"/>
      <c r="AE2239" s="50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65"/>
      <c r="AP2239" s="69"/>
      <c r="AQ2239" s="62"/>
      <c r="AR2239" s="34"/>
    </row>
    <row r="2240" spans="1:44" customFormat="1">
      <c r="A2240" s="39">
        <v>46151</v>
      </c>
      <c r="B2240" s="11" t="s">
        <v>49</v>
      </c>
      <c r="C2240" s="16" t="s">
        <v>10424</v>
      </c>
      <c r="D2240" s="16" t="s">
        <v>10425</v>
      </c>
      <c r="E2240" s="38" t="s">
        <v>10426</v>
      </c>
      <c r="F2240" s="38" t="s">
        <v>10427</v>
      </c>
      <c r="G2240" s="10" t="s">
        <v>10428</v>
      </c>
      <c r="H2240" s="12" t="s">
        <v>10429</v>
      </c>
      <c r="I2240" s="13">
        <v>3.3</v>
      </c>
      <c r="J2240" s="15" t="s">
        <v>10430</v>
      </c>
      <c r="K2240" s="46" t="s">
        <v>10431</v>
      </c>
      <c r="L2240" s="11" t="s">
        <v>36</v>
      </c>
      <c r="M2240" s="15" t="s">
        <v>3584</v>
      </c>
      <c r="N2240" s="17">
        <v>16500</v>
      </c>
      <c r="O2240" s="17"/>
      <c r="P2240" s="17"/>
      <c r="Q2240" s="48" t="s">
        <v>10432</v>
      </c>
      <c r="R2240" s="11" t="s">
        <v>6847</v>
      </c>
      <c r="S2240" s="48"/>
      <c r="T2240" s="85"/>
      <c r="U2240" s="88"/>
      <c r="V2240" s="32"/>
      <c r="W2240" s="25" t="s">
        <v>48</v>
      </c>
      <c r="X2240" s="11"/>
      <c r="Y2240" s="50"/>
      <c r="Z2240" s="50"/>
      <c r="AA2240" s="50"/>
      <c r="AB2240" s="50"/>
      <c r="AC2240" s="50"/>
      <c r="AD2240" s="50"/>
      <c r="AE2240" s="50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65"/>
      <c r="AP2240" s="69"/>
      <c r="AQ2240" s="62"/>
      <c r="AR2240" s="34"/>
    </row>
    <row r="2241" spans="1:44" customFormat="1">
      <c r="A2241" s="39">
        <v>46151</v>
      </c>
      <c r="B2241" s="11" t="s">
        <v>2171</v>
      </c>
      <c r="C2241" s="16" t="s">
        <v>9833</v>
      </c>
      <c r="D2241" s="16" t="s">
        <v>9834</v>
      </c>
      <c r="E2241" s="38">
        <v>18708</v>
      </c>
      <c r="F2241" s="38" t="s">
        <v>1909</v>
      </c>
      <c r="G2241" s="10" t="s">
        <v>751</v>
      </c>
      <c r="H2241" s="12" t="s">
        <v>9835</v>
      </c>
      <c r="I2241" s="13" t="s">
        <v>1875</v>
      </c>
      <c r="J2241" s="15" t="s">
        <v>9836</v>
      </c>
      <c r="K2241" s="12"/>
      <c r="L2241" s="11" t="s">
        <v>33</v>
      </c>
      <c r="M2241" s="15" t="s">
        <v>3599</v>
      </c>
      <c r="N2241" s="17">
        <v>3300</v>
      </c>
      <c r="O2241" s="17"/>
      <c r="P2241" s="17"/>
      <c r="Q2241" s="48"/>
      <c r="R2241" s="11"/>
      <c r="S2241" s="48"/>
      <c r="T2241" s="85"/>
      <c r="U2241" s="25" t="s">
        <v>4073</v>
      </c>
      <c r="V2241" s="11" t="s">
        <v>10011</v>
      </c>
      <c r="W2241" s="25"/>
      <c r="X2241" s="11"/>
      <c r="Y2241" s="50"/>
      <c r="Z2241" s="50"/>
      <c r="AA2241" s="50"/>
      <c r="AB2241" s="50"/>
      <c r="AC2241" s="50"/>
      <c r="AD2241" s="50"/>
      <c r="AE2241" s="50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65"/>
      <c r="AP2241" s="69"/>
      <c r="AQ2241" s="62"/>
      <c r="AR2241" s="34"/>
    </row>
    <row r="2242" spans="1:44" customFormat="1">
      <c r="A2242" s="39">
        <v>46151</v>
      </c>
      <c r="B2242" s="11" t="s">
        <v>22</v>
      </c>
      <c r="C2242" s="16" t="s">
        <v>10433</v>
      </c>
      <c r="D2242" s="16" t="s">
        <v>10434</v>
      </c>
      <c r="E2242" s="38">
        <v>32786</v>
      </c>
      <c r="F2242" s="38" t="s">
        <v>10427</v>
      </c>
      <c r="G2242" s="10" t="s">
        <v>10435</v>
      </c>
      <c r="H2242" s="12" t="s">
        <v>10436</v>
      </c>
      <c r="I2242" s="13">
        <v>2</v>
      </c>
      <c r="J2242" s="15" t="s">
        <v>10437</v>
      </c>
      <c r="K2242" s="46" t="s">
        <v>10438</v>
      </c>
      <c r="L2242" s="11" t="s">
        <v>36</v>
      </c>
      <c r="M2242" s="15" t="s">
        <v>3599</v>
      </c>
      <c r="N2242" s="17">
        <v>0</v>
      </c>
      <c r="O2242" s="17"/>
      <c r="P2242" s="17"/>
      <c r="Q2242" s="48" t="s">
        <v>8733</v>
      </c>
      <c r="R2242" s="11" t="s">
        <v>6848</v>
      </c>
      <c r="S2242" s="48"/>
      <c r="T2242" s="85"/>
      <c r="U2242" s="88"/>
      <c r="V2242" s="32"/>
      <c r="W2242" s="85" t="s">
        <v>81</v>
      </c>
      <c r="X2242" s="11"/>
      <c r="Y2242" s="50"/>
      <c r="Z2242" s="50"/>
      <c r="AA2242" s="50"/>
      <c r="AB2242" s="50"/>
      <c r="AC2242" s="50"/>
      <c r="AD2242" s="50"/>
      <c r="AE2242" s="50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65"/>
      <c r="AP2242" s="69"/>
      <c r="AQ2242" s="62"/>
      <c r="AR2242" s="34"/>
    </row>
    <row r="2243" spans="1:44" customFormat="1">
      <c r="A2243" s="39">
        <v>46152</v>
      </c>
      <c r="B2243" s="11" t="s">
        <v>49</v>
      </c>
      <c r="C2243" s="16" t="s">
        <v>10439</v>
      </c>
      <c r="D2243" s="16" t="s">
        <v>10440</v>
      </c>
      <c r="E2243" s="38">
        <v>22061</v>
      </c>
      <c r="F2243" s="38" t="s">
        <v>10441</v>
      </c>
      <c r="G2243" s="10" t="s">
        <v>10442</v>
      </c>
      <c r="H2243" s="12" t="s">
        <v>10443</v>
      </c>
      <c r="I2243" s="13">
        <v>15.5</v>
      </c>
      <c r="J2243" s="15" t="s">
        <v>10444</v>
      </c>
      <c r="K2243" s="46" t="s">
        <v>5786</v>
      </c>
      <c r="L2243" s="11" t="s">
        <v>33</v>
      </c>
      <c r="M2243" s="15" t="s">
        <v>3584</v>
      </c>
      <c r="N2243" s="17">
        <v>11000</v>
      </c>
      <c r="O2243" s="17"/>
      <c r="P2243" s="17"/>
      <c r="Q2243" s="48"/>
      <c r="R2243" s="11" t="s">
        <v>6848</v>
      </c>
      <c r="S2243" s="11" t="s">
        <v>6848</v>
      </c>
      <c r="T2243" s="85"/>
      <c r="U2243" s="88"/>
      <c r="V2243" s="32"/>
      <c r="W2243" s="25"/>
      <c r="X2243" s="11"/>
      <c r="Y2243" s="50"/>
      <c r="Z2243" s="50"/>
      <c r="AA2243" s="50"/>
      <c r="AB2243" s="50"/>
      <c r="AC2243" s="50"/>
      <c r="AD2243" s="50"/>
      <c r="AE2243" s="50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65"/>
      <c r="AP2243" s="69"/>
      <c r="AQ2243" s="62"/>
      <c r="AR2243" s="34"/>
    </row>
    <row r="2244" spans="1:44" customFormat="1">
      <c r="A2244" s="39">
        <v>46155</v>
      </c>
      <c r="B2244" s="11" t="s">
        <v>22</v>
      </c>
      <c r="C2244" s="16" t="s">
        <v>10445</v>
      </c>
      <c r="D2244" s="16" t="s">
        <v>10447</v>
      </c>
      <c r="E2244" s="38">
        <v>26092</v>
      </c>
      <c r="F2244" s="38" t="s">
        <v>1909</v>
      </c>
      <c r="G2244" s="10" t="s">
        <v>10449</v>
      </c>
      <c r="H2244" s="12" t="s">
        <v>10451</v>
      </c>
      <c r="I2244" s="13">
        <v>7.8</v>
      </c>
      <c r="J2244" s="15" t="s">
        <v>10454</v>
      </c>
      <c r="K2244" s="46" t="s">
        <v>10455</v>
      </c>
      <c r="L2244" s="11" t="s">
        <v>33</v>
      </c>
      <c r="M2244" s="15" t="s">
        <v>3584</v>
      </c>
      <c r="N2244" s="17">
        <v>0</v>
      </c>
      <c r="O2244" s="17"/>
      <c r="P2244" s="17"/>
      <c r="Q2244" s="48" t="s">
        <v>8733</v>
      </c>
      <c r="R2244" s="11" t="s">
        <v>8837</v>
      </c>
      <c r="S2244" s="48" t="s">
        <v>8101</v>
      </c>
      <c r="T2244" s="85" t="s">
        <v>81</v>
      </c>
      <c r="U2244" s="88"/>
      <c r="V2244" s="32"/>
      <c r="W2244" s="25" t="s">
        <v>8</v>
      </c>
      <c r="X2244" s="11" t="s">
        <v>10457</v>
      </c>
      <c r="Y2244" s="50"/>
      <c r="Z2244" s="50"/>
      <c r="AA2244" s="50"/>
      <c r="AB2244" s="50"/>
      <c r="AC2244" s="50"/>
      <c r="AD2244" s="50"/>
      <c r="AE2244" s="50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65"/>
      <c r="AP2244" s="69"/>
      <c r="AQ2244" s="62"/>
      <c r="AR2244" s="34"/>
    </row>
    <row r="2245" spans="1:44" customFormat="1">
      <c r="A2245" s="39">
        <v>46155</v>
      </c>
      <c r="B2245" s="11" t="s">
        <v>22</v>
      </c>
      <c r="C2245" s="16" t="s">
        <v>10446</v>
      </c>
      <c r="D2245" s="16" t="s">
        <v>10448</v>
      </c>
      <c r="E2245" s="38">
        <v>32779</v>
      </c>
      <c r="F2245" s="38" t="s">
        <v>1909</v>
      </c>
      <c r="G2245" s="10" t="s">
        <v>10450</v>
      </c>
      <c r="H2245" s="12" t="s">
        <v>10452</v>
      </c>
      <c r="I2245" s="13">
        <v>5.2</v>
      </c>
      <c r="J2245" s="15" t="s">
        <v>10453</v>
      </c>
      <c r="K2245" s="46" t="s">
        <v>10456</v>
      </c>
      <c r="L2245" s="11" t="s">
        <v>36</v>
      </c>
      <c r="M2245" s="15" t="s">
        <v>3584</v>
      </c>
      <c r="N2245" s="17">
        <v>0</v>
      </c>
      <c r="O2245" s="17"/>
      <c r="P2245" s="17"/>
      <c r="Q2245" s="48" t="s">
        <v>8733</v>
      </c>
      <c r="R2245" s="11" t="s">
        <v>8837</v>
      </c>
      <c r="S2245" s="48" t="s">
        <v>8101</v>
      </c>
      <c r="T2245" s="85" t="s">
        <v>81</v>
      </c>
      <c r="U2245" s="88"/>
      <c r="V2245" s="32"/>
      <c r="W2245" s="25" t="s">
        <v>8</v>
      </c>
      <c r="X2245" s="11" t="s">
        <v>10458</v>
      </c>
      <c r="Y2245" s="50"/>
      <c r="Z2245" s="50"/>
      <c r="AA2245" s="50"/>
      <c r="AB2245" s="50"/>
      <c r="AC2245" s="50"/>
      <c r="AD2245" s="50"/>
      <c r="AE2245" s="50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65"/>
      <c r="AP2245" s="69"/>
      <c r="AQ2245" s="62"/>
      <c r="AR2245" s="34"/>
    </row>
    <row r="2246" spans="1:44" customFormat="1">
      <c r="A2246" s="39">
        <v>46155</v>
      </c>
      <c r="B2246" s="11" t="s">
        <v>22</v>
      </c>
      <c r="C2246" s="16" t="s">
        <v>10459</v>
      </c>
      <c r="D2246" s="16" t="s">
        <v>10460</v>
      </c>
      <c r="E2246" s="38">
        <v>29151</v>
      </c>
      <c r="F2246" s="38" t="s">
        <v>10461</v>
      </c>
      <c r="G2246" s="10" t="s">
        <v>10462</v>
      </c>
      <c r="H2246" s="12" t="s">
        <v>10463</v>
      </c>
      <c r="I2246" s="13">
        <v>1.3</v>
      </c>
      <c r="J2246" s="15" t="s">
        <v>10464</v>
      </c>
      <c r="K2246" s="12"/>
      <c r="L2246" s="11" t="s">
        <v>36</v>
      </c>
      <c r="M2246" s="15" t="s">
        <v>3629</v>
      </c>
      <c r="N2246" s="17">
        <v>0</v>
      </c>
      <c r="O2246" s="17"/>
      <c r="P2246" s="17"/>
      <c r="Q2246" s="48" t="s">
        <v>8733</v>
      </c>
      <c r="R2246" s="11" t="s">
        <v>6847</v>
      </c>
      <c r="S2246" s="48"/>
      <c r="T2246" s="85"/>
      <c r="U2246" s="88"/>
      <c r="V2246" s="32"/>
      <c r="W2246" s="25"/>
      <c r="X2246" s="11"/>
      <c r="Y2246" s="50"/>
      <c r="Z2246" s="50"/>
      <c r="AA2246" s="50"/>
      <c r="AB2246" s="50"/>
      <c r="AC2246" s="50"/>
      <c r="AD2246" s="50"/>
      <c r="AE2246" s="50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65"/>
      <c r="AP2246" s="69"/>
      <c r="AQ2246" s="62"/>
      <c r="AR2246" s="34"/>
    </row>
    <row r="2247" spans="1:44" customFormat="1">
      <c r="A2247" s="39">
        <v>46155</v>
      </c>
      <c r="B2247" s="11" t="s">
        <v>22</v>
      </c>
      <c r="C2247" s="16" t="s">
        <v>10465</v>
      </c>
      <c r="D2247" s="16" t="s">
        <v>10466</v>
      </c>
      <c r="E2247" s="38">
        <v>27171</v>
      </c>
      <c r="F2247" s="38" t="s">
        <v>10467</v>
      </c>
      <c r="G2247" s="10" t="s">
        <v>10462</v>
      </c>
      <c r="H2247" s="12" t="s">
        <v>10463</v>
      </c>
      <c r="I2247" s="13">
        <v>1.3</v>
      </c>
      <c r="J2247" s="15" t="s">
        <v>10468</v>
      </c>
      <c r="K2247" s="12"/>
      <c r="L2247" s="11" t="s">
        <v>33</v>
      </c>
      <c r="M2247" s="15" t="s">
        <v>3599</v>
      </c>
      <c r="N2247" s="17">
        <v>0</v>
      </c>
      <c r="O2247" s="17"/>
      <c r="P2247" s="17"/>
      <c r="Q2247" s="48" t="s">
        <v>8733</v>
      </c>
      <c r="R2247" s="11" t="s">
        <v>6847</v>
      </c>
      <c r="S2247" s="48"/>
      <c r="T2247" s="85"/>
      <c r="U2247" s="88"/>
      <c r="V2247" s="32"/>
      <c r="W2247" s="25"/>
      <c r="X2247" s="11"/>
      <c r="Y2247" s="50"/>
      <c r="Z2247" s="50"/>
      <c r="AA2247" s="50"/>
      <c r="AB2247" s="50"/>
      <c r="AC2247" s="50"/>
      <c r="AD2247" s="50"/>
      <c r="AE2247" s="50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65"/>
      <c r="AP2247" s="69"/>
      <c r="AQ2247" s="62"/>
      <c r="AR2247" s="34"/>
    </row>
    <row r="2248" spans="1:44" customFormat="1">
      <c r="A2248" s="39">
        <v>46158</v>
      </c>
      <c r="B2248" s="11" t="s">
        <v>49</v>
      </c>
      <c r="C2248" s="16" t="s">
        <v>10469</v>
      </c>
      <c r="D2248" s="16" t="s">
        <v>7040</v>
      </c>
      <c r="E2248" s="38"/>
      <c r="F2248" s="38" t="s">
        <v>10470</v>
      </c>
      <c r="G2248" s="10"/>
      <c r="H2248" s="12"/>
      <c r="I2248" s="13"/>
      <c r="J2248" s="15"/>
      <c r="K2248" s="12"/>
      <c r="L2248" s="11"/>
      <c r="M2248" s="15"/>
      <c r="N2248" s="17">
        <v>11000</v>
      </c>
      <c r="O2248" s="17"/>
      <c r="P2248" s="17"/>
      <c r="Q2248" s="48"/>
      <c r="R2248" s="11" t="s">
        <v>6847</v>
      </c>
      <c r="S2248" s="48"/>
      <c r="T2248" s="85"/>
      <c r="U2248" s="88"/>
      <c r="V2248" s="32"/>
      <c r="W2248" s="25"/>
      <c r="X2248" s="11"/>
      <c r="Y2248" s="50"/>
      <c r="Z2248" s="50"/>
      <c r="AA2248" s="50"/>
      <c r="AB2248" s="50"/>
      <c r="AC2248" s="50"/>
      <c r="AD2248" s="50"/>
      <c r="AE2248" s="50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65"/>
      <c r="AP2248" s="69"/>
      <c r="AQ2248" s="62"/>
      <c r="AR2248" s="34"/>
    </row>
    <row r="2249" spans="1:44" customFormat="1">
      <c r="A2249" s="39">
        <v>46158</v>
      </c>
      <c r="B2249" s="11" t="s">
        <v>22</v>
      </c>
      <c r="C2249" s="16" t="s">
        <v>10471</v>
      </c>
      <c r="D2249" s="16" t="s">
        <v>10472</v>
      </c>
      <c r="E2249" s="38">
        <v>26711</v>
      </c>
      <c r="F2249" s="38" t="s">
        <v>10473</v>
      </c>
      <c r="G2249" s="10" t="s">
        <v>10474</v>
      </c>
      <c r="H2249" s="12" t="s">
        <v>10475</v>
      </c>
      <c r="I2249" s="13">
        <v>1.5</v>
      </c>
      <c r="J2249" s="15" t="s">
        <v>10476</v>
      </c>
      <c r="K2249" s="46" t="s">
        <v>10477</v>
      </c>
      <c r="L2249" s="11" t="s">
        <v>36</v>
      </c>
      <c r="M2249" s="15" t="s">
        <v>3584</v>
      </c>
      <c r="N2249" s="17">
        <v>0</v>
      </c>
      <c r="O2249" s="17"/>
      <c r="P2249" s="17"/>
      <c r="Q2249" s="48" t="s">
        <v>8733</v>
      </c>
      <c r="R2249" s="11" t="s">
        <v>6847</v>
      </c>
      <c r="S2249" s="48"/>
      <c r="T2249" s="85" t="s">
        <v>10478</v>
      </c>
      <c r="U2249" s="88"/>
      <c r="V2249" s="32"/>
      <c r="W2249" s="25" t="s">
        <v>9653</v>
      </c>
      <c r="X2249" s="11"/>
      <c r="Y2249" s="50"/>
      <c r="Z2249" s="50"/>
      <c r="AA2249" s="50"/>
      <c r="AB2249" s="50"/>
      <c r="AC2249" s="50"/>
      <c r="AD2249" s="50"/>
      <c r="AE2249" s="50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65"/>
      <c r="AP2249" s="69"/>
      <c r="AQ2249" s="62"/>
      <c r="AR2249" s="34"/>
    </row>
    <row r="2250" spans="1:44" customFormat="1">
      <c r="A2250" s="39">
        <v>46162</v>
      </c>
      <c r="B2250" s="11" t="s">
        <v>49</v>
      </c>
      <c r="C2250" s="16" t="s">
        <v>10479</v>
      </c>
      <c r="D2250" s="16"/>
      <c r="E2250" s="38"/>
      <c r="F2250" s="38"/>
      <c r="G2250" s="10"/>
      <c r="H2250" s="12"/>
      <c r="I2250" s="13"/>
      <c r="J2250" s="15"/>
      <c r="K2250" s="46" t="s">
        <v>10480</v>
      </c>
      <c r="L2250" s="11"/>
      <c r="M2250" s="15"/>
      <c r="N2250" s="17">
        <v>0</v>
      </c>
      <c r="O2250" s="17"/>
      <c r="P2250" s="17"/>
      <c r="Q2250" s="48"/>
      <c r="R2250" s="11" t="s">
        <v>6847</v>
      </c>
      <c r="S2250" s="48"/>
      <c r="T2250" s="85" t="s">
        <v>8073</v>
      </c>
      <c r="U2250" s="88"/>
      <c r="V2250" s="32"/>
      <c r="W2250" s="25"/>
      <c r="X2250" s="11"/>
      <c r="Y2250" s="50"/>
      <c r="Z2250" s="50"/>
      <c r="AA2250" s="50"/>
      <c r="AB2250" s="50"/>
      <c r="AC2250" s="50"/>
      <c r="AD2250" s="50"/>
      <c r="AE2250" s="50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65"/>
      <c r="AP2250" s="69"/>
      <c r="AQ2250" s="62"/>
      <c r="AR2250" s="34"/>
    </row>
    <row r="2251" spans="1:44" customFormat="1">
      <c r="A2251" s="39">
        <v>46162</v>
      </c>
      <c r="B2251" s="11" t="s">
        <v>49</v>
      </c>
      <c r="C2251" s="16" t="s">
        <v>8705</v>
      </c>
      <c r="D2251" s="16" t="s">
        <v>8706</v>
      </c>
      <c r="E2251" s="38">
        <v>32438</v>
      </c>
      <c r="F2251" s="38" t="s">
        <v>1909</v>
      </c>
      <c r="G2251" s="10" t="s">
        <v>8707</v>
      </c>
      <c r="H2251" s="12" t="s">
        <v>8708</v>
      </c>
      <c r="I2251" s="13" t="s">
        <v>8709</v>
      </c>
      <c r="J2251" s="15" t="s">
        <v>8710</v>
      </c>
      <c r="K2251" s="46" t="s">
        <v>8711</v>
      </c>
      <c r="L2251" s="11" t="s">
        <v>33</v>
      </c>
      <c r="M2251" s="15" t="s">
        <v>3599</v>
      </c>
      <c r="N2251" s="17">
        <v>0</v>
      </c>
      <c r="O2251" s="17" t="s">
        <v>8506</v>
      </c>
      <c r="P2251" s="17"/>
      <c r="Q2251" s="48"/>
      <c r="R2251" s="11" t="s">
        <v>6847</v>
      </c>
      <c r="S2251" s="48"/>
      <c r="T2251" s="85"/>
      <c r="U2251" s="88"/>
      <c r="V2251" s="32"/>
      <c r="W2251" s="25" t="s">
        <v>8</v>
      </c>
      <c r="X2251" s="11"/>
      <c r="Y2251" s="50"/>
      <c r="Z2251" s="50"/>
      <c r="AA2251" s="50"/>
      <c r="AB2251" s="50"/>
      <c r="AC2251" s="50"/>
      <c r="AD2251" s="50"/>
      <c r="AE2251" s="50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65"/>
      <c r="AP2251" s="69"/>
      <c r="AQ2251" s="62"/>
      <c r="AR2251" s="34"/>
    </row>
    <row r="2252" spans="1:44" customFormat="1">
      <c r="A2252" s="39">
        <v>46162</v>
      </c>
      <c r="B2252" s="11" t="s">
        <v>49</v>
      </c>
      <c r="C2252" s="16" t="s">
        <v>10481</v>
      </c>
      <c r="D2252" s="16" t="s">
        <v>7040</v>
      </c>
      <c r="E2252" s="38"/>
      <c r="F2252" s="38" t="s">
        <v>10484</v>
      </c>
      <c r="G2252" s="10"/>
      <c r="H2252" s="12"/>
      <c r="I2252" s="13"/>
      <c r="J2252" s="15"/>
      <c r="K2252" s="12"/>
      <c r="L2252" s="11"/>
      <c r="M2252" s="15"/>
      <c r="N2252" s="17">
        <v>0</v>
      </c>
      <c r="O2252" s="17"/>
      <c r="P2252" s="17"/>
      <c r="Q2252" s="48"/>
      <c r="R2252" s="11" t="s">
        <v>6847</v>
      </c>
      <c r="S2252" s="48"/>
      <c r="T2252" s="85"/>
      <c r="U2252" s="88"/>
      <c r="V2252" s="32"/>
      <c r="W2252" s="25"/>
      <c r="X2252" s="11"/>
      <c r="Y2252" s="50"/>
      <c r="Z2252" s="50"/>
      <c r="AA2252" s="50"/>
      <c r="AB2252" s="50"/>
      <c r="AC2252" s="50"/>
      <c r="AD2252" s="50"/>
      <c r="AE2252" s="50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65"/>
      <c r="AP2252" s="69"/>
      <c r="AQ2252" s="62"/>
      <c r="AR2252" s="34"/>
    </row>
    <row r="2253" spans="1:44" customFormat="1">
      <c r="A2253" s="39">
        <v>46162</v>
      </c>
      <c r="B2253" s="11" t="s">
        <v>22</v>
      </c>
      <c r="C2253" s="16" t="s">
        <v>10482</v>
      </c>
      <c r="D2253" s="16" t="s">
        <v>10483</v>
      </c>
      <c r="E2253" s="38">
        <v>27687</v>
      </c>
      <c r="F2253" s="38" t="s">
        <v>10484</v>
      </c>
      <c r="G2253" s="10" t="s">
        <v>10485</v>
      </c>
      <c r="H2253" s="12" t="s">
        <v>10486</v>
      </c>
      <c r="I2253" s="13">
        <v>11.4</v>
      </c>
      <c r="J2253" s="15" t="s">
        <v>10487</v>
      </c>
      <c r="K2253" s="46" t="s">
        <v>10488</v>
      </c>
      <c r="L2253" s="11"/>
      <c r="M2253" s="15"/>
      <c r="N2253" s="17">
        <v>0</v>
      </c>
      <c r="O2253" s="17"/>
      <c r="P2253" s="17"/>
      <c r="Q2253" s="48" t="s">
        <v>8733</v>
      </c>
      <c r="R2253" s="11" t="s">
        <v>8503</v>
      </c>
      <c r="S2253" s="48"/>
      <c r="T2253" s="85"/>
      <c r="U2253" s="88"/>
      <c r="V2253" s="32"/>
      <c r="W2253" s="25" t="s">
        <v>10489</v>
      </c>
      <c r="X2253" s="11"/>
      <c r="Y2253" s="50"/>
      <c r="Z2253" s="50"/>
      <c r="AA2253" s="50"/>
      <c r="AB2253" s="50"/>
      <c r="AC2253" s="50"/>
      <c r="AD2253" s="50"/>
      <c r="AE2253" s="50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65"/>
      <c r="AP2253" s="69"/>
      <c r="AQ2253" s="62"/>
      <c r="AR2253" s="34"/>
    </row>
    <row r="2254" spans="1:44" customFormat="1">
      <c r="A2254" s="39">
        <v>46163</v>
      </c>
      <c r="B2254" s="11" t="s">
        <v>22</v>
      </c>
      <c r="C2254" s="16" t="s">
        <v>2578</v>
      </c>
      <c r="D2254" s="16" t="s">
        <v>10502</v>
      </c>
      <c r="E2254" s="38">
        <v>17429</v>
      </c>
      <c r="F2254" s="38" t="s">
        <v>10503</v>
      </c>
      <c r="G2254" s="10" t="s">
        <v>130</v>
      </c>
      <c r="H2254" s="12" t="s">
        <v>2579</v>
      </c>
      <c r="I2254" s="13" t="s">
        <v>2580</v>
      </c>
      <c r="J2254" s="15" t="s">
        <v>2582</v>
      </c>
      <c r="K2254" s="14" t="s">
        <v>2581</v>
      </c>
      <c r="L2254" s="11" t="s">
        <v>39</v>
      </c>
      <c r="M2254" s="15"/>
      <c r="N2254" s="17">
        <v>0</v>
      </c>
      <c r="O2254" s="17"/>
      <c r="P2254" s="17"/>
      <c r="Q2254" s="48" t="s">
        <v>8733</v>
      </c>
      <c r="R2254" s="11" t="s">
        <v>8503</v>
      </c>
      <c r="S2254" s="48"/>
      <c r="T2254" s="85" t="s">
        <v>81</v>
      </c>
      <c r="U2254" s="25" t="s">
        <v>10</v>
      </c>
      <c r="V2254" s="11"/>
      <c r="W2254" s="25" t="s">
        <v>8</v>
      </c>
      <c r="X2254" s="11" t="s">
        <v>10517</v>
      </c>
    </row>
    <row r="2255" spans="1:44" customFormat="1">
      <c r="A2255" s="39">
        <v>46166</v>
      </c>
      <c r="B2255" s="11" t="s">
        <v>49</v>
      </c>
      <c r="C2255" s="16" t="s">
        <v>10490</v>
      </c>
      <c r="D2255" s="16" t="s">
        <v>10491</v>
      </c>
      <c r="E2255" s="38">
        <v>24542</v>
      </c>
      <c r="F2255" s="38" t="s">
        <v>10492</v>
      </c>
      <c r="G2255" s="10" t="s">
        <v>10493</v>
      </c>
      <c r="H2255" s="12" t="s">
        <v>10494</v>
      </c>
      <c r="I2255" s="13">
        <v>25.7</v>
      </c>
      <c r="J2255" s="15" t="s">
        <v>10495</v>
      </c>
      <c r="K2255" s="12"/>
      <c r="L2255" s="11" t="s">
        <v>33</v>
      </c>
      <c r="M2255" s="15"/>
      <c r="N2255" s="17">
        <v>16500</v>
      </c>
      <c r="O2255" s="17"/>
      <c r="P2255" s="17"/>
      <c r="Q2255" s="48"/>
      <c r="R2255" s="11" t="s">
        <v>6847</v>
      </c>
      <c r="S2255" s="48"/>
      <c r="T2255" s="85"/>
      <c r="U2255" s="88"/>
      <c r="V2255" s="32"/>
      <c r="W2255" s="25"/>
      <c r="X2255" s="11"/>
      <c r="Y2255" s="50"/>
      <c r="Z2255" s="50"/>
      <c r="AA2255" s="50"/>
      <c r="AB2255" s="50"/>
      <c r="AC2255" s="50"/>
      <c r="AD2255" s="50"/>
      <c r="AE2255" s="50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65"/>
      <c r="AP2255" s="69"/>
      <c r="AQ2255" s="62"/>
      <c r="AR2255" s="34"/>
    </row>
    <row r="2256" spans="1:44" customFormat="1">
      <c r="A2256" s="39">
        <v>46166</v>
      </c>
      <c r="B2256" s="11" t="s">
        <v>22</v>
      </c>
      <c r="C2256" s="16" t="s">
        <v>10496</v>
      </c>
      <c r="D2256" s="16" t="s">
        <v>10497</v>
      </c>
      <c r="E2256" s="38">
        <v>21940</v>
      </c>
      <c r="F2256" s="38" t="s">
        <v>10492</v>
      </c>
      <c r="G2256" s="10" t="s">
        <v>10498</v>
      </c>
      <c r="H2256" s="12" t="s">
        <v>10499</v>
      </c>
      <c r="I2256" s="13">
        <v>2</v>
      </c>
      <c r="J2256" s="15" t="s">
        <v>10500</v>
      </c>
      <c r="K2256" s="46" t="s">
        <v>10501</v>
      </c>
      <c r="L2256" s="11" t="s">
        <v>36</v>
      </c>
      <c r="M2256" s="15" t="s">
        <v>3584</v>
      </c>
      <c r="N2256" s="17">
        <v>0</v>
      </c>
      <c r="O2256" s="17"/>
      <c r="P2256" s="17"/>
      <c r="Q2256" s="48" t="s">
        <v>8733</v>
      </c>
      <c r="R2256" s="11" t="s">
        <v>6848</v>
      </c>
      <c r="S2256" s="48"/>
      <c r="T2256" s="85"/>
      <c r="U2256" s="88"/>
      <c r="V2256" s="32"/>
      <c r="W2256" s="25" t="s">
        <v>6747</v>
      </c>
      <c r="X2256" s="11"/>
      <c r="Y2256" s="50"/>
      <c r="Z2256" s="50"/>
      <c r="AA2256" s="50"/>
      <c r="AB2256" s="50"/>
      <c r="AC2256" s="50"/>
      <c r="AD2256" s="50"/>
      <c r="AE2256" s="50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65"/>
      <c r="AP2256" s="69"/>
      <c r="AQ2256" s="62"/>
      <c r="AR2256" s="34"/>
    </row>
    <row r="2257" spans="1:44" customFormat="1">
      <c r="A2257" s="39">
        <v>46169</v>
      </c>
      <c r="B2257" s="11" t="s">
        <v>22</v>
      </c>
      <c r="C2257" s="16" t="s">
        <v>10505</v>
      </c>
      <c r="D2257" s="16" t="s">
        <v>10506</v>
      </c>
      <c r="E2257" s="38">
        <v>27754</v>
      </c>
      <c r="F2257" s="38" t="s">
        <v>1909</v>
      </c>
      <c r="G2257" s="10" t="s">
        <v>10507</v>
      </c>
      <c r="H2257" s="12" t="s">
        <v>10508</v>
      </c>
      <c r="I2257" s="13">
        <v>1.3</v>
      </c>
      <c r="J2257" s="15" t="s">
        <v>10509</v>
      </c>
      <c r="K2257" s="46" t="s">
        <v>10510</v>
      </c>
      <c r="L2257" s="11" t="s">
        <v>36</v>
      </c>
      <c r="M2257" s="15" t="s">
        <v>3584</v>
      </c>
      <c r="N2257" s="17">
        <v>0</v>
      </c>
      <c r="O2257" s="17"/>
      <c r="P2257" s="17"/>
      <c r="Q2257" s="48" t="s">
        <v>8733</v>
      </c>
      <c r="R2257" s="11" t="s">
        <v>8503</v>
      </c>
      <c r="S2257" s="48" t="s">
        <v>8101</v>
      </c>
      <c r="T2257" s="85" t="s">
        <v>81</v>
      </c>
      <c r="U2257" s="88"/>
      <c r="V2257" s="32"/>
      <c r="W2257" s="85" t="s">
        <v>81</v>
      </c>
      <c r="X2257" s="11"/>
      <c r="Y2257" s="50"/>
      <c r="Z2257" s="50"/>
      <c r="AA2257" s="50"/>
      <c r="AB2257" s="50"/>
      <c r="AC2257" s="50"/>
      <c r="AD2257" s="50"/>
      <c r="AE2257" s="50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65"/>
      <c r="AP2257" s="69"/>
      <c r="AQ2257" s="62"/>
      <c r="AR2257" s="34"/>
    </row>
    <row r="2258" spans="1:44" customFormat="1">
      <c r="A2258" s="39">
        <v>46170</v>
      </c>
      <c r="B2258" s="11" t="s">
        <v>22</v>
      </c>
      <c r="C2258" s="16" t="s">
        <v>10511</v>
      </c>
      <c r="D2258" s="16" t="s">
        <v>10512</v>
      </c>
      <c r="E2258" s="38">
        <v>27470</v>
      </c>
      <c r="F2258" s="38" t="s">
        <v>1910</v>
      </c>
      <c r="G2258" s="10" t="s">
        <v>10513</v>
      </c>
      <c r="H2258" s="12" t="s">
        <v>10514</v>
      </c>
      <c r="I2258" s="13">
        <v>1.9</v>
      </c>
      <c r="J2258" s="15" t="s">
        <v>10515</v>
      </c>
      <c r="K2258" s="46" t="s">
        <v>10516</v>
      </c>
      <c r="L2258" s="11" t="s">
        <v>39</v>
      </c>
      <c r="M2258" s="15" t="s">
        <v>3629</v>
      </c>
      <c r="N2258" s="17">
        <v>0</v>
      </c>
      <c r="O2258" s="17"/>
      <c r="P2258" s="17"/>
      <c r="Q2258" s="48" t="s">
        <v>8733</v>
      </c>
      <c r="R2258" s="11" t="s">
        <v>6847</v>
      </c>
      <c r="S2258" s="48" t="s">
        <v>8101</v>
      </c>
      <c r="T2258" s="85" t="s">
        <v>81</v>
      </c>
      <c r="U2258" s="88"/>
      <c r="V2258" s="32"/>
      <c r="W2258" s="25"/>
      <c r="X2258" s="11"/>
      <c r="Y2258" s="50"/>
      <c r="Z2258" s="50"/>
      <c r="AA2258" s="50"/>
      <c r="AB2258" s="50"/>
      <c r="AC2258" s="50"/>
      <c r="AD2258" s="50"/>
      <c r="AE2258" s="50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65"/>
      <c r="AP2258" s="69"/>
      <c r="AQ2258" s="62"/>
      <c r="AR2258" s="34"/>
    </row>
    <row r="2259" spans="1:44" customFormat="1">
      <c r="A2259" s="39">
        <v>46170</v>
      </c>
      <c r="B2259" s="11" t="s">
        <v>49</v>
      </c>
      <c r="C2259" s="16" t="s">
        <v>2941</v>
      </c>
      <c r="D2259" s="16"/>
      <c r="E2259" s="38">
        <v>26501</v>
      </c>
      <c r="F2259" s="38" t="s">
        <v>1909</v>
      </c>
      <c r="G2259" s="10" t="s">
        <v>2942</v>
      </c>
      <c r="H2259" s="12" t="s">
        <v>2943</v>
      </c>
      <c r="I2259" s="13" t="s">
        <v>2944</v>
      </c>
      <c r="J2259" s="15" t="s">
        <v>4748</v>
      </c>
      <c r="K2259" s="12"/>
      <c r="L2259" s="11"/>
      <c r="M2259" s="15"/>
      <c r="N2259" s="17">
        <v>16500</v>
      </c>
      <c r="O2259" s="17"/>
      <c r="P2259" s="17"/>
      <c r="Q2259" s="48"/>
      <c r="R2259" s="11" t="s">
        <v>6847</v>
      </c>
      <c r="S2259" s="48" t="s">
        <v>8101</v>
      </c>
      <c r="T2259" s="85" t="s">
        <v>8073</v>
      </c>
      <c r="U2259" s="16"/>
      <c r="V2259" s="95" t="s">
        <v>4747</v>
      </c>
      <c r="W2259" s="25"/>
      <c r="X2259" s="11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48"/>
      <c r="AP2259" s="22"/>
      <c r="AQ2259" s="11"/>
      <c r="AR2259" s="16"/>
    </row>
    <row r="2260" spans="1:44" customFormat="1">
      <c r="A2260" s="39">
        <v>46170</v>
      </c>
      <c r="B2260" s="11" t="s">
        <v>49</v>
      </c>
      <c r="C2260" s="16" t="s">
        <v>10278</v>
      </c>
      <c r="D2260" s="16" t="s">
        <v>10279</v>
      </c>
      <c r="E2260" s="38">
        <v>10994</v>
      </c>
      <c r="F2260" s="38" t="s">
        <v>1910</v>
      </c>
      <c r="G2260" s="10" t="s">
        <v>10281</v>
      </c>
      <c r="H2260" s="12" t="s">
        <v>10289</v>
      </c>
      <c r="I2260" s="13">
        <v>12.7</v>
      </c>
      <c r="J2260" s="15" t="s">
        <v>10282</v>
      </c>
      <c r="K2260" s="46" t="s">
        <v>10283</v>
      </c>
      <c r="L2260" s="11" t="s">
        <v>33</v>
      </c>
      <c r="M2260" s="15" t="s">
        <v>3584</v>
      </c>
      <c r="N2260" s="17"/>
      <c r="O2260" s="17"/>
      <c r="P2260" s="17"/>
      <c r="Q2260" s="48"/>
      <c r="R2260" s="11" t="s">
        <v>8837</v>
      </c>
      <c r="S2260" s="48" t="s">
        <v>8101</v>
      </c>
      <c r="T2260" s="85" t="s">
        <v>8073</v>
      </c>
      <c r="U2260" s="88"/>
      <c r="V2260" s="32"/>
      <c r="W2260" s="25" t="s">
        <v>8</v>
      </c>
      <c r="X2260" s="11"/>
      <c r="Y2260" s="50"/>
      <c r="Z2260" s="50"/>
      <c r="AA2260" s="50"/>
      <c r="AB2260" s="50"/>
      <c r="AC2260" s="50"/>
      <c r="AD2260" s="50"/>
      <c r="AE2260" s="50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65"/>
      <c r="AP2260" s="69"/>
      <c r="AQ2260" s="62"/>
      <c r="AR2260" s="34"/>
    </row>
    <row r="2261" spans="1:44" customFormat="1">
      <c r="A2261" s="39">
        <v>46170</v>
      </c>
      <c r="B2261" s="11" t="s">
        <v>49</v>
      </c>
      <c r="C2261" s="16" t="s">
        <v>10518</v>
      </c>
      <c r="D2261" s="16" t="s">
        <v>10519</v>
      </c>
      <c r="E2261" s="38">
        <v>20071</v>
      </c>
      <c r="F2261" s="38" t="s">
        <v>1909</v>
      </c>
      <c r="G2261" s="10" t="s">
        <v>10281</v>
      </c>
      <c r="H2261" s="12" t="s">
        <v>10289</v>
      </c>
      <c r="I2261" s="13">
        <v>12.7</v>
      </c>
      <c r="J2261" s="15" t="s">
        <v>10520</v>
      </c>
      <c r="K2261" s="46" t="s">
        <v>10521</v>
      </c>
      <c r="L2261" s="11" t="s">
        <v>33</v>
      </c>
      <c r="M2261" s="15"/>
      <c r="N2261" s="17">
        <v>0</v>
      </c>
      <c r="O2261" s="17" t="s">
        <v>10286</v>
      </c>
      <c r="P2261" s="17"/>
      <c r="Q2261" s="48"/>
      <c r="R2261" s="11" t="s">
        <v>6847</v>
      </c>
      <c r="S2261" s="48" t="s">
        <v>8101</v>
      </c>
      <c r="T2261" s="85" t="s">
        <v>8073</v>
      </c>
      <c r="U2261" s="88"/>
      <c r="V2261" s="32"/>
      <c r="W2261" s="25" t="s">
        <v>8</v>
      </c>
      <c r="X2261" s="11"/>
      <c r="Y2261" s="50"/>
      <c r="Z2261" s="50"/>
      <c r="AA2261" s="50"/>
      <c r="AB2261" s="50"/>
      <c r="AC2261" s="50"/>
      <c r="AD2261" s="50"/>
      <c r="AE2261" s="50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65"/>
      <c r="AP2261" s="69"/>
      <c r="AQ2261" s="62"/>
      <c r="AR2261" s="34"/>
    </row>
    <row r="2262" spans="1:44" customFormat="1">
      <c r="A2262" s="39">
        <v>46172</v>
      </c>
      <c r="B2262" s="11" t="s">
        <v>49</v>
      </c>
      <c r="C2262" s="16" t="s">
        <v>10522</v>
      </c>
      <c r="D2262" s="16" t="s">
        <v>10523</v>
      </c>
      <c r="E2262" s="38">
        <v>30101</v>
      </c>
      <c r="F2262" s="38" t="s">
        <v>1909</v>
      </c>
      <c r="G2262" s="10" t="s">
        <v>10524</v>
      </c>
      <c r="H2262" s="12" t="s">
        <v>10525</v>
      </c>
      <c r="I2262" s="13">
        <v>99</v>
      </c>
      <c r="J2262" s="15" t="s">
        <v>10526</v>
      </c>
      <c r="K2262" s="12"/>
      <c r="L2262" s="11" t="s">
        <v>36</v>
      </c>
      <c r="M2262" s="15" t="s">
        <v>3629</v>
      </c>
      <c r="N2262" s="17">
        <v>0</v>
      </c>
      <c r="O2262" s="17"/>
      <c r="P2262" s="17"/>
      <c r="Q2262" s="48"/>
      <c r="R2262" s="11" t="s">
        <v>6849</v>
      </c>
      <c r="S2262" s="48" t="s">
        <v>8100</v>
      </c>
      <c r="T2262" s="85" t="s">
        <v>8073</v>
      </c>
      <c r="U2262" s="88"/>
      <c r="V2262" s="32"/>
      <c r="W2262" s="25" t="s">
        <v>10527</v>
      </c>
      <c r="X2262" s="11"/>
      <c r="Y2262" s="50"/>
      <c r="Z2262" s="50"/>
      <c r="AA2262" s="50"/>
      <c r="AB2262" s="50"/>
      <c r="AC2262" s="50"/>
      <c r="AD2262" s="50"/>
      <c r="AE2262" s="50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65"/>
      <c r="AP2262" s="69"/>
      <c r="AQ2262" s="62"/>
      <c r="AR2262" s="34"/>
    </row>
    <row r="2263" spans="1:44" customFormat="1">
      <c r="A2263" s="39">
        <v>46172</v>
      </c>
      <c r="B2263" s="11" t="s">
        <v>49</v>
      </c>
      <c r="C2263" s="16" t="s">
        <v>10529</v>
      </c>
      <c r="D2263" s="16" t="s">
        <v>10530</v>
      </c>
      <c r="E2263" s="38">
        <v>39197</v>
      </c>
      <c r="F2263" s="38" t="s">
        <v>10531</v>
      </c>
      <c r="G2263" s="10" t="s">
        <v>10535</v>
      </c>
      <c r="H2263" s="12" t="s">
        <v>10532</v>
      </c>
      <c r="I2263" s="13">
        <v>5</v>
      </c>
      <c r="J2263" s="15" t="s">
        <v>10533</v>
      </c>
      <c r="K2263" s="46" t="s">
        <v>10534</v>
      </c>
      <c r="L2263" s="11" t="s">
        <v>39</v>
      </c>
      <c r="M2263" s="15" t="s">
        <v>3599</v>
      </c>
      <c r="N2263" s="17">
        <v>0</v>
      </c>
      <c r="O2263" s="17" t="s">
        <v>10286</v>
      </c>
      <c r="P2263" s="17"/>
      <c r="Q2263" s="48"/>
      <c r="R2263" s="11" t="s">
        <v>9271</v>
      </c>
      <c r="S2263" s="48" t="s">
        <v>8101</v>
      </c>
      <c r="T2263" s="85"/>
      <c r="U2263" s="88"/>
      <c r="V2263" s="32"/>
      <c r="W2263" s="25"/>
      <c r="X2263" s="11"/>
      <c r="Y2263" s="50"/>
      <c r="Z2263" s="50"/>
      <c r="AA2263" s="50"/>
      <c r="AB2263" s="50"/>
      <c r="AC2263" s="50"/>
      <c r="AD2263" s="50"/>
      <c r="AE2263" s="50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65"/>
      <c r="AP2263" s="69"/>
      <c r="AQ2263" s="62"/>
      <c r="AR2263" s="34"/>
    </row>
    <row r="2264" spans="1:44" customFormat="1">
      <c r="A2264" s="39">
        <v>46173</v>
      </c>
      <c r="B2264" s="11" t="s">
        <v>49</v>
      </c>
      <c r="C2264" s="16" t="s">
        <v>9557</v>
      </c>
      <c r="D2264" s="16" t="s">
        <v>9558</v>
      </c>
      <c r="E2264" s="38">
        <v>31542</v>
      </c>
      <c r="F2264" s="38" t="s">
        <v>1909</v>
      </c>
      <c r="G2264" s="10" t="s">
        <v>6016</v>
      </c>
      <c r="H2264" s="12" t="s">
        <v>9561</v>
      </c>
      <c r="I2264" s="13">
        <v>8.3000000000000007</v>
      </c>
      <c r="J2264" s="15" t="s">
        <v>9562</v>
      </c>
      <c r="K2264" s="46" t="s">
        <v>9563</v>
      </c>
      <c r="L2264" s="11" t="s">
        <v>36</v>
      </c>
      <c r="M2264" s="15" t="s">
        <v>3584</v>
      </c>
      <c r="N2264" s="17">
        <v>16500</v>
      </c>
      <c r="O2264" s="17"/>
      <c r="P2264" s="17" t="s">
        <v>10528</v>
      </c>
      <c r="Q2264" s="48" t="s">
        <v>10542</v>
      </c>
      <c r="R2264" s="11" t="s">
        <v>6848</v>
      </c>
      <c r="S2264" s="48" t="s">
        <v>8101</v>
      </c>
      <c r="T2264" s="85" t="s">
        <v>8073</v>
      </c>
      <c r="U2264" s="88"/>
      <c r="V2264" s="32"/>
      <c r="W2264" s="25" t="s">
        <v>6747</v>
      </c>
      <c r="X2264" s="11"/>
      <c r="Y2264" s="50"/>
      <c r="Z2264" s="50"/>
      <c r="AA2264" s="50"/>
      <c r="AB2264" s="50"/>
      <c r="AC2264" s="50"/>
      <c r="AD2264" s="50"/>
      <c r="AE2264" s="50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65"/>
      <c r="AP2264" s="69"/>
      <c r="AQ2264" s="62"/>
      <c r="AR2264" s="34"/>
    </row>
    <row r="2265" spans="1:44" customFormat="1">
      <c r="A2265" s="39">
        <v>46173</v>
      </c>
      <c r="B2265" s="11" t="s">
        <v>22</v>
      </c>
      <c r="C2265" s="16" t="s">
        <v>10536</v>
      </c>
      <c r="D2265" s="16" t="s">
        <v>10537</v>
      </c>
      <c r="E2265" s="38">
        <v>35975</v>
      </c>
      <c r="F2265" s="38" t="s">
        <v>10531</v>
      </c>
      <c r="G2265" s="10" t="s">
        <v>10538</v>
      </c>
      <c r="H2265" s="12" t="s">
        <v>10539</v>
      </c>
      <c r="I2265" s="13">
        <v>1.5</v>
      </c>
      <c r="J2265" s="15" t="s">
        <v>10540</v>
      </c>
      <c r="K2265" s="46" t="s">
        <v>10541</v>
      </c>
      <c r="L2265" s="11" t="s">
        <v>34</v>
      </c>
      <c r="M2265" s="15" t="s">
        <v>3584</v>
      </c>
      <c r="N2265" s="17">
        <v>0</v>
      </c>
      <c r="O2265" s="17"/>
      <c r="P2265" s="17"/>
      <c r="Q2265" s="48" t="s">
        <v>8733</v>
      </c>
      <c r="R2265" s="11" t="s">
        <v>9271</v>
      </c>
      <c r="S2265" s="48" t="s">
        <v>8101</v>
      </c>
      <c r="T2265" s="85"/>
      <c r="U2265" s="88"/>
      <c r="V2265" s="32"/>
      <c r="W2265" s="25" t="s">
        <v>6747</v>
      </c>
      <c r="X2265" s="11"/>
      <c r="Y2265" s="50"/>
      <c r="Z2265" s="50"/>
      <c r="AA2265" s="50"/>
      <c r="AB2265" s="50"/>
      <c r="AC2265" s="50"/>
      <c r="AD2265" s="50"/>
      <c r="AE2265" s="50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65"/>
      <c r="AP2265" s="69"/>
      <c r="AQ2265" s="62"/>
      <c r="AR2265" s="34"/>
    </row>
    <row r="2266" spans="1:44" customFormat="1">
      <c r="A2266" s="39">
        <v>46174</v>
      </c>
      <c r="B2266" s="11" t="s">
        <v>22</v>
      </c>
      <c r="C2266" s="16" t="s">
        <v>10543</v>
      </c>
      <c r="D2266" s="16" t="s">
        <v>10544</v>
      </c>
      <c r="E2266" s="38">
        <v>29667</v>
      </c>
      <c r="F2266" s="38" t="s">
        <v>10545</v>
      </c>
      <c r="G2266" s="10" t="s">
        <v>10546</v>
      </c>
      <c r="H2266" s="12" t="s">
        <v>10547</v>
      </c>
      <c r="I2266" s="13">
        <v>75.400000000000006</v>
      </c>
      <c r="J2266" s="15" t="s">
        <v>10548</v>
      </c>
      <c r="K2266" s="12"/>
      <c r="L2266" s="11" t="s">
        <v>33</v>
      </c>
      <c r="M2266" s="15"/>
      <c r="N2266" s="17">
        <v>0</v>
      </c>
      <c r="O2266" s="17"/>
      <c r="P2266" s="17"/>
      <c r="Q2266" s="48" t="s">
        <v>8733</v>
      </c>
      <c r="R2266" s="11"/>
      <c r="S2266" s="48" t="s">
        <v>8101</v>
      </c>
      <c r="T2266" s="85"/>
      <c r="U2266" s="88"/>
      <c r="V2266" s="32"/>
      <c r="W2266" s="25"/>
      <c r="X2266" s="11"/>
      <c r="Y2266" s="50"/>
      <c r="Z2266" s="50"/>
      <c r="AA2266" s="50"/>
      <c r="AB2266" s="50"/>
      <c r="AC2266" s="50"/>
      <c r="AD2266" s="50"/>
      <c r="AE2266" s="50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65"/>
      <c r="AP2266" s="69"/>
      <c r="AQ2266" s="62"/>
      <c r="AR2266" s="34"/>
    </row>
    <row r="2267" spans="1:44" customFormat="1">
      <c r="A2267" s="39">
        <v>46176</v>
      </c>
      <c r="B2267" s="11" t="s">
        <v>2170</v>
      </c>
      <c r="C2267" s="16" t="s">
        <v>10549</v>
      </c>
      <c r="D2267" s="16" t="s">
        <v>10550</v>
      </c>
      <c r="E2267" s="38">
        <v>28482</v>
      </c>
      <c r="F2267" s="38" t="s">
        <v>10551</v>
      </c>
      <c r="G2267" s="10" t="s">
        <v>10552</v>
      </c>
      <c r="H2267" s="12" t="s">
        <v>10553</v>
      </c>
      <c r="I2267" s="13">
        <v>59.7</v>
      </c>
      <c r="J2267" s="15" t="s">
        <v>10554</v>
      </c>
      <c r="K2267" s="12"/>
      <c r="L2267" s="11" t="s">
        <v>33</v>
      </c>
      <c r="M2267" s="15" t="s">
        <v>3584</v>
      </c>
      <c r="N2267" s="17">
        <v>8250</v>
      </c>
      <c r="O2267" s="17"/>
      <c r="P2267" s="17"/>
      <c r="Q2267" s="48" t="s">
        <v>10555</v>
      </c>
      <c r="R2267" s="11" t="s">
        <v>8837</v>
      </c>
      <c r="S2267" s="48"/>
      <c r="T2267" s="85"/>
      <c r="U2267" s="88"/>
      <c r="V2267" s="32"/>
      <c r="W2267" s="25" t="s">
        <v>10556</v>
      </c>
      <c r="X2267" s="11"/>
      <c r="Y2267" s="50"/>
      <c r="Z2267" s="50"/>
      <c r="AA2267" s="50"/>
      <c r="AB2267" s="50"/>
      <c r="AC2267" s="50"/>
      <c r="AD2267" s="50"/>
      <c r="AE2267" s="50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65"/>
      <c r="AP2267" s="69"/>
      <c r="AQ2267" s="62"/>
      <c r="AR2267" s="34"/>
    </row>
    <row r="2268" spans="1:44" customFormat="1">
      <c r="A2268" s="39">
        <v>46177</v>
      </c>
      <c r="B2268" s="11" t="s">
        <v>49</v>
      </c>
      <c r="C2268" s="16" t="s">
        <v>10557</v>
      </c>
      <c r="D2268" s="16" t="s">
        <v>10558</v>
      </c>
      <c r="E2268" s="38">
        <v>28340</v>
      </c>
      <c r="F2268" s="38" t="s">
        <v>10559</v>
      </c>
      <c r="G2268" s="10" t="s">
        <v>10560</v>
      </c>
      <c r="H2268" s="12" t="s">
        <v>10561</v>
      </c>
      <c r="I2268" s="13">
        <v>4.9000000000000004</v>
      </c>
      <c r="J2268" s="15" t="s">
        <v>10562</v>
      </c>
      <c r="K2268" s="46" t="s">
        <v>10563</v>
      </c>
      <c r="L2268" s="11" t="s">
        <v>33</v>
      </c>
      <c r="M2268" s="15" t="s">
        <v>3584</v>
      </c>
      <c r="N2268" s="17">
        <v>16500</v>
      </c>
      <c r="O2268" s="17"/>
      <c r="P2268" s="17"/>
      <c r="Q2268" s="48"/>
      <c r="R2268" s="11" t="s">
        <v>6848</v>
      </c>
      <c r="S2268" s="48" t="s">
        <v>8101</v>
      </c>
      <c r="T2268" s="85" t="s">
        <v>8073</v>
      </c>
      <c r="U2268" s="88"/>
      <c r="V2268" s="32"/>
      <c r="W2268" s="25" t="s">
        <v>8</v>
      </c>
      <c r="X2268" s="11"/>
      <c r="Y2268" s="50"/>
      <c r="Z2268" s="50"/>
      <c r="AA2268" s="50"/>
      <c r="AB2268" s="50"/>
      <c r="AC2268" s="50"/>
      <c r="AD2268" s="50"/>
      <c r="AE2268" s="50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65"/>
      <c r="AP2268" s="69"/>
      <c r="AQ2268" s="62"/>
      <c r="AR2268" s="34"/>
    </row>
    <row r="2269" spans="1:44" customFormat="1">
      <c r="A2269" s="39">
        <v>46177</v>
      </c>
      <c r="B2269" s="11" t="s">
        <v>49</v>
      </c>
      <c r="C2269" s="16" t="s">
        <v>10564</v>
      </c>
      <c r="D2269" s="16" t="s">
        <v>10565</v>
      </c>
      <c r="E2269" s="38">
        <v>21496</v>
      </c>
      <c r="F2269" s="38" t="s">
        <v>10566</v>
      </c>
      <c r="G2269" s="10" t="s">
        <v>10567</v>
      </c>
      <c r="H2269" s="12" t="s">
        <v>10568</v>
      </c>
      <c r="I2269" s="13">
        <v>57.6</v>
      </c>
      <c r="J2269" s="15" t="s">
        <v>10569</v>
      </c>
      <c r="K2269" s="46" t="s">
        <v>10570</v>
      </c>
      <c r="L2269" s="11" t="s">
        <v>33</v>
      </c>
      <c r="M2269" s="15" t="s">
        <v>3584</v>
      </c>
      <c r="N2269" s="17">
        <v>16500</v>
      </c>
      <c r="O2269" s="17"/>
      <c r="P2269" s="17"/>
      <c r="Q2269" s="48"/>
      <c r="R2269" s="11" t="s">
        <v>6847</v>
      </c>
      <c r="S2269" s="48" t="s">
        <v>8101</v>
      </c>
      <c r="T2269" s="85" t="s">
        <v>10610</v>
      </c>
      <c r="U2269" s="88"/>
      <c r="V2269" s="32"/>
      <c r="W2269" s="25" t="s">
        <v>6747</v>
      </c>
      <c r="X2269" s="11"/>
      <c r="Y2269" s="50"/>
      <c r="Z2269" s="50"/>
      <c r="AA2269" s="50"/>
      <c r="AB2269" s="50"/>
      <c r="AC2269" s="50"/>
      <c r="AD2269" s="50"/>
      <c r="AE2269" s="50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65"/>
      <c r="AP2269" s="69"/>
      <c r="AQ2269" s="62"/>
      <c r="AR2269" s="34"/>
    </row>
    <row r="2270" spans="1:44" customFormat="1">
      <c r="A2270" s="39">
        <v>46177</v>
      </c>
      <c r="B2270" s="11" t="s">
        <v>2170</v>
      </c>
      <c r="C2270" s="16" t="s">
        <v>9997</v>
      </c>
      <c r="D2270" s="16" t="s">
        <v>9998</v>
      </c>
      <c r="E2270" s="38">
        <v>29513</v>
      </c>
      <c r="F2270" s="38" t="s">
        <v>1909</v>
      </c>
      <c r="G2270" s="10" t="s">
        <v>9999</v>
      </c>
      <c r="H2270" s="12" t="s">
        <v>10000</v>
      </c>
      <c r="I2270" s="13">
        <v>67.5</v>
      </c>
      <c r="J2270" s="15" t="s">
        <v>10001</v>
      </c>
      <c r="K2270" s="46" t="s">
        <v>10002</v>
      </c>
      <c r="L2270" s="11" t="s">
        <v>36</v>
      </c>
      <c r="M2270" s="15" t="s">
        <v>3584</v>
      </c>
      <c r="N2270" s="17">
        <v>8250</v>
      </c>
      <c r="O2270" s="17"/>
      <c r="P2270" s="17" t="s">
        <v>10571</v>
      </c>
      <c r="Q2270" s="48"/>
      <c r="R2270" s="11" t="s">
        <v>6943</v>
      </c>
      <c r="S2270" s="48" t="s">
        <v>8101</v>
      </c>
      <c r="T2270" s="85"/>
      <c r="U2270" s="88"/>
      <c r="V2270" s="32"/>
      <c r="W2270" s="25" t="s">
        <v>10075</v>
      </c>
      <c r="X2270" s="11" t="s">
        <v>5130</v>
      </c>
      <c r="Y2270" s="50"/>
      <c r="Z2270" s="50"/>
      <c r="AA2270" s="50"/>
      <c r="AB2270" s="50"/>
      <c r="AC2270" s="50"/>
      <c r="AD2270" s="50"/>
      <c r="AE2270" s="50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65"/>
      <c r="AP2270" s="69"/>
      <c r="AQ2270" s="62"/>
      <c r="AR2270" s="34"/>
    </row>
    <row r="2271" spans="1:44" customFormat="1">
      <c r="A2271" s="39">
        <v>46183</v>
      </c>
      <c r="B2271" s="11" t="s">
        <v>24</v>
      </c>
      <c r="C2271" s="16" t="s">
        <v>10575</v>
      </c>
      <c r="D2271" s="16" t="s">
        <v>10576</v>
      </c>
      <c r="E2271" s="38">
        <v>30984</v>
      </c>
      <c r="F2271" s="38" t="s">
        <v>10577</v>
      </c>
      <c r="G2271" s="10" t="s">
        <v>10578</v>
      </c>
      <c r="H2271" s="12" t="s">
        <v>10579</v>
      </c>
      <c r="I2271" s="13">
        <v>22.2</v>
      </c>
      <c r="J2271" s="15" t="s">
        <v>10580</v>
      </c>
      <c r="K2271" s="12"/>
      <c r="L2271" s="11" t="s">
        <v>34</v>
      </c>
      <c r="M2271" s="15"/>
      <c r="N2271" s="17">
        <v>5500</v>
      </c>
      <c r="O2271" s="17"/>
      <c r="P2271" s="17"/>
      <c r="Q2271" s="48"/>
      <c r="R2271" s="11"/>
      <c r="S2271" s="48"/>
      <c r="T2271" s="85" t="s">
        <v>8073</v>
      </c>
      <c r="U2271" s="88"/>
      <c r="V2271" s="32"/>
      <c r="W2271" s="25"/>
      <c r="X2271" s="11"/>
      <c r="Y2271" s="50"/>
      <c r="Z2271" s="50"/>
      <c r="AA2271" s="50"/>
      <c r="AB2271" s="50"/>
      <c r="AC2271" s="50"/>
      <c r="AD2271" s="50"/>
      <c r="AE2271" s="50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65"/>
      <c r="AP2271" s="69"/>
      <c r="AQ2271" s="62"/>
      <c r="AR2271" s="34"/>
    </row>
    <row r="2272" spans="1:44" customFormat="1">
      <c r="A2272" s="39">
        <v>46186</v>
      </c>
      <c r="B2272" s="11" t="s">
        <v>22</v>
      </c>
      <c r="C2272" s="16" t="s">
        <v>10581</v>
      </c>
      <c r="D2272" s="16" t="s">
        <v>10582</v>
      </c>
      <c r="E2272" s="38">
        <v>20259</v>
      </c>
      <c r="F2272" s="38" t="s">
        <v>10583</v>
      </c>
      <c r="G2272" s="10" t="s">
        <v>10584</v>
      </c>
      <c r="H2272" s="12" t="s">
        <v>10611</v>
      </c>
      <c r="I2272" s="13">
        <v>13.6</v>
      </c>
      <c r="J2272" s="15" t="s">
        <v>10612</v>
      </c>
      <c r="K2272" s="46" t="s">
        <v>10585</v>
      </c>
      <c r="L2272" s="11" t="s">
        <v>33</v>
      </c>
      <c r="M2272" s="15" t="s">
        <v>3599</v>
      </c>
      <c r="N2272" s="17">
        <v>0</v>
      </c>
      <c r="O2272" s="17"/>
      <c r="P2272" s="17"/>
      <c r="Q2272" s="48" t="s">
        <v>8733</v>
      </c>
      <c r="R2272" s="11" t="s">
        <v>8837</v>
      </c>
      <c r="S2272" s="48"/>
      <c r="T2272" s="85" t="s">
        <v>10586</v>
      </c>
      <c r="U2272" s="88"/>
      <c r="V2272" s="32"/>
      <c r="W2272" s="25" t="s">
        <v>10587</v>
      </c>
      <c r="X2272" s="11" t="s">
        <v>10601</v>
      </c>
      <c r="Y2272" s="50"/>
      <c r="Z2272" s="50"/>
      <c r="AA2272" s="50"/>
      <c r="AB2272" s="50"/>
      <c r="AC2272" s="50"/>
      <c r="AD2272" s="50"/>
      <c r="AE2272" s="50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65"/>
      <c r="AP2272" s="69"/>
      <c r="AQ2272" s="62"/>
      <c r="AR2272" s="34"/>
    </row>
    <row r="2273" spans="1:44" customFormat="1">
      <c r="A2273" s="39">
        <v>46188</v>
      </c>
      <c r="B2273" s="11" t="s">
        <v>49</v>
      </c>
      <c r="C2273" s="16" t="s">
        <v>10588</v>
      </c>
      <c r="D2273" s="16" t="s">
        <v>10589</v>
      </c>
      <c r="E2273" s="38">
        <v>28691</v>
      </c>
      <c r="F2273" s="38" t="s">
        <v>10590</v>
      </c>
      <c r="G2273" s="10" t="s">
        <v>10591</v>
      </c>
      <c r="H2273" s="12" t="s">
        <v>10592</v>
      </c>
      <c r="I2273" s="13">
        <v>26.3</v>
      </c>
      <c r="J2273" s="15" t="s">
        <v>10593</v>
      </c>
      <c r="K2273" s="12"/>
      <c r="L2273" s="11" t="s">
        <v>33</v>
      </c>
      <c r="M2273" s="15" t="s">
        <v>3629</v>
      </c>
      <c r="N2273" s="17">
        <v>11000</v>
      </c>
      <c r="O2273" s="17" t="s">
        <v>8234</v>
      </c>
      <c r="P2273" s="17"/>
      <c r="Q2273" s="48"/>
      <c r="R2273" s="11" t="s">
        <v>6847</v>
      </c>
      <c r="S2273" s="48"/>
      <c r="T2273" s="85" t="s">
        <v>10610</v>
      </c>
      <c r="U2273" s="88"/>
      <c r="V2273" s="32"/>
      <c r="W2273" s="25"/>
      <c r="X2273" s="11"/>
      <c r="Y2273" s="50"/>
      <c r="Z2273" s="50"/>
      <c r="AA2273" s="50"/>
      <c r="AB2273" s="50"/>
      <c r="AC2273" s="50"/>
      <c r="AD2273" s="50"/>
      <c r="AE2273" s="50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65"/>
      <c r="AP2273" s="69"/>
      <c r="AQ2273" s="62"/>
      <c r="AR2273" s="34"/>
    </row>
    <row r="2274" spans="1:44" customFormat="1">
      <c r="A2274" s="39">
        <v>46190</v>
      </c>
      <c r="B2274" s="11" t="s">
        <v>22</v>
      </c>
      <c r="C2274" s="16" t="s">
        <v>10594</v>
      </c>
      <c r="D2274" s="16" t="s">
        <v>10595</v>
      </c>
      <c r="E2274" s="38">
        <v>23563</v>
      </c>
      <c r="F2274" s="38" t="s">
        <v>10596</v>
      </c>
      <c r="G2274" s="10" t="s">
        <v>10598</v>
      </c>
      <c r="H2274" s="12" t="s">
        <v>10597</v>
      </c>
      <c r="I2274" s="13">
        <v>6.4</v>
      </c>
      <c r="J2274" s="15" t="s">
        <v>10599</v>
      </c>
      <c r="K2274" s="12"/>
      <c r="L2274" s="11" t="s">
        <v>33</v>
      </c>
      <c r="M2274" s="15" t="s">
        <v>3599</v>
      </c>
      <c r="N2274" s="17">
        <v>0</v>
      </c>
      <c r="O2274" s="17"/>
      <c r="P2274" s="17"/>
      <c r="Q2274" s="48" t="s">
        <v>8733</v>
      </c>
      <c r="R2274" s="11" t="s">
        <v>9271</v>
      </c>
      <c r="S2274" s="48"/>
      <c r="T2274" s="85" t="s">
        <v>10600</v>
      </c>
      <c r="U2274" s="88"/>
      <c r="V2274" s="32"/>
      <c r="W2274" s="25" t="s">
        <v>8</v>
      </c>
      <c r="X2274" s="11" t="s">
        <v>10601</v>
      </c>
      <c r="Y2274" s="50"/>
      <c r="Z2274" s="50"/>
      <c r="AA2274" s="50"/>
      <c r="AB2274" s="50"/>
      <c r="AC2274" s="50"/>
      <c r="AD2274" s="50"/>
      <c r="AE2274" s="50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65"/>
      <c r="AP2274" s="69"/>
      <c r="AQ2274" s="62"/>
      <c r="AR2274" s="34"/>
    </row>
    <row r="2275" spans="1:44" customFormat="1">
      <c r="A2275" s="39">
        <v>46190</v>
      </c>
      <c r="B2275" s="11" t="s">
        <v>49</v>
      </c>
      <c r="C2275" s="16" t="s">
        <v>10602</v>
      </c>
      <c r="D2275" s="16" t="s">
        <v>10603</v>
      </c>
      <c r="E2275" s="38">
        <v>28976</v>
      </c>
      <c r="F2275" s="38" t="s">
        <v>10604</v>
      </c>
      <c r="G2275" s="10" t="s">
        <v>10605</v>
      </c>
      <c r="H2275" s="12" t="s">
        <v>10606</v>
      </c>
      <c r="I2275" s="13">
        <v>202</v>
      </c>
      <c r="J2275" s="15" t="s">
        <v>10607</v>
      </c>
      <c r="K2275" s="46" t="s">
        <v>10608</v>
      </c>
      <c r="L2275" s="11" t="s">
        <v>33</v>
      </c>
      <c r="M2275" s="15" t="s">
        <v>3599</v>
      </c>
      <c r="N2275" s="17">
        <v>11000</v>
      </c>
      <c r="O2275" s="17"/>
      <c r="P2275" s="17"/>
      <c r="Q2275" s="48" t="s">
        <v>8098</v>
      </c>
      <c r="R2275" s="11" t="s">
        <v>6847</v>
      </c>
      <c r="S2275" s="48"/>
      <c r="T2275" s="85" t="s">
        <v>10610</v>
      </c>
      <c r="U2275" s="88"/>
      <c r="V2275" s="32"/>
      <c r="W2275" s="25" t="s">
        <v>8</v>
      </c>
      <c r="X2275" s="11" t="s">
        <v>10609</v>
      </c>
      <c r="Y2275" s="50"/>
      <c r="Z2275" s="50"/>
      <c r="AA2275" s="50"/>
      <c r="AB2275" s="50"/>
      <c r="AC2275" s="50"/>
      <c r="AD2275" s="50"/>
      <c r="AE2275" s="50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65"/>
      <c r="AP2275" s="69"/>
      <c r="AQ2275" s="62"/>
      <c r="AR2275" s="34"/>
    </row>
    <row r="2276" spans="1:44" customFormat="1">
      <c r="A2276" s="39">
        <v>46193</v>
      </c>
      <c r="B2276" s="11" t="s">
        <v>22</v>
      </c>
      <c r="C2276" s="16" t="s">
        <v>10613</v>
      </c>
      <c r="D2276" s="16" t="s">
        <v>6996</v>
      </c>
      <c r="E2276" s="38">
        <v>36997</v>
      </c>
      <c r="F2276" s="38" t="s">
        <v>1909</v>
      </c>
      <c r="G2276" s="10" t="s">
        <v>10614</v>
      </c>
      <c r="H2276" s="12" t="s">
        <v>10615</v>
      </c>
      <c r="I2276" s="13">
        <v>9</v>
      </c>
      <c r="J2276" s="15" t="s">
        <v>10616</v>
      </c>
      <c r="K2276" s="12"/>
      <c r="L2276" s="11" t="s">
        <v>36</v>
      </c>
      <c r="M2276" s="15" t="s">
        <v>3599</v>
      </c>
      <c r="N2276" s="17">
        <v>0</v>
      </c>
      <c r="O2276" s="17"/>
      <c r="P2276" s="17"/>
      <c r="Q2276" s="48" t="s">
        <v>8733</v>
      </c>
      <c r="R2276" s="11" t="s">
        <v>8503</v>
      </c>
      <c r="S2276" s="48"/>
      <c r="T2276" s="85"/>
      <c r="U2276" s="88"/>
      <c r="V2276" s="32"/>
      <c r="W2276" s="25" t="s">
        <v>8</v>
      </c>
      <c r="X2276" s="11" t="s">
        <v>10617</v>
      </c>
      <c r="Y2276" s="50"/>
      <c r="Z2276" s="50"/>
      <c r="AA2276" s="50"/>
      <c r="AB2276" s="50"/>
      <c r="AC2276" s="50"/>
      <c r="AD2276" s="50"/>
      <c r="AE2276" s="50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65"/>
      <c r="AP2276" s="69"/>
      <c r="AQ2276" s="62"/>
      <c r="AR2276" s="34"/>
    </row>
    <row r="2277" spans="1:44" customFormat="1">
      <c r="A2277" s="39">
        <v>46198</v>
      </c>
      <c r="B2277" s="11" t="s">
        <v>49</v>
      </c>
      <c r="C2277" s="16" t="s">
        <v>10564</v>
      </c>
      <c r="D2277" s="16" t="s">
        <v>10565</v>
      </c>
      <c r="E2277" s="38">
        <v>21496</v>
      </c>
      <c r="F2277" s="38" t="s">
        <v>1909</v>
      </c>
      <c r="G2277" s="10" t="s">
        <v>10567</v>
      </c>
      <c r="H2277" s="12" t="s">
        <v>10568</v>
      </c>
      <c r="I2277" s="13">
        <v>57.6</v>
      </c>
      <c r="J2277" s="15" t="s">
        <v>10569</v>
      </c>
      <c r="K2277" s="46" t="s">
        <v>10570</v>
      </c>
      <c r="L2277" s="11" t="s">
        <v>33</v>
      </c>
      <c r="M2277" s="15" t="s">
        <v>3584</v>
      </c>
      <c r="N2277" s="17">
        <v>16500</v>
      </c>
      <c r="O2277" s="17"/>
      <c r="P2277" s="17" t="s">
        <v>10630</v>
      </c>
      <c r="Q2277" s="48"/>
      <c r="R2277" s="11" t="s">
        <v>6847</v>
      </c>
      <c r="S2277" s="48" t="s">
        <v>8101</v>
      </c>
      <c r="T2277" s="85" t="s">
        <v>8073</v>
      </c>
      <c r="U2277" s="88"/>
      <c r="V2277" s="32"/>
      <c r="W2277" s="25" t="s">
        <v>6747</v>
      </c>
      <c r="X2277" s="11"/>
      <c r="Y2277" s="50"/>
      <c r="Z2277" s="50"/>
      <c r="AA2277" s="50"/>
      <c r="AB2277" s="50"/>
      <c r="AC2277" s="50"/>
      <c r="AD2277" s="50"/>
      <c r="AE2277" s="50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65"/>
      <c r="AP2277" s="69"/>
      <c r="AQ2277" s="62"/>
      <c r="AR2277" s="34"/>
    </row>
    <row r="2278" spans="1:44" customFormat="1">
      <c r="A2278" s="39">
        <v>46199</v>
      </c>
      <c r="B2278" s="11" t="s">
        <v>49</v>
      </c>
      <c r="C2278" s="16" t="s">
        <v>10618</v>
      </c>
      <c r="D2278" s="16" t="s">
        <v>10620</v>
      </c>
      <c r="E2278" s="38">
        <v>24770</v>
      </c>
      <c r="F2278" s="38" t="s">
        <v>10622</v>
      </c>
      <c r="G2278" s="10" t="s">
        <v>10623</v>
      </c>
      <c r="H2278" s="12" t="s">
        <v>10625</v>
      </c>
      <c r="I2278" s="13">
        <v>20.2</v>
      </c>
      <c r="J2278" s="15" t="s">
        <v>10627</v>
      </c>
      <c r="K2278" s="46" t="s">
        <v>10629</v>
      </c>
      <c r="L2278" s="11" t="s">
        <v>33</v>
      </c>
      <c r="M2278" s="15" t="s">
        <v>3584</v>
      </c>
      <c r="N2278" s="17">
        <v>0</v>
      </c>
      <c r="O2278" s="17" t="s">
        <v>10286</v>
      </c>
      <c r="P2278" s="17"/>
      <c r="Q2278" s="48"/>
      <c r="R2278" s="11" t="s">
        <v>6848</v>
      </c>
      <c r="S2278" s="48" t="s">
        <v>8101</v>
      </c>
      <c r="T2278" s="85"/>
      <c r="U2278" s="88"/>
      <c r="V2278" s="32"/>
      <c r="W2278" s="25"/>
      <c r="X2278" s="11" t="s">
        <v>10631</v>
      </c>
      <c r="Y2278" s="50"/>
      <c r="Z2278" s="50"/>
      <c r="AA2278" s="50"/>
      <c r="AB2278" s="50"/>
      <c r="AC2278" s="50"/>
      <c r="AD2278" s="50"/>
      <c r="AE2278" s="50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65"/>
      <c r="AP2278" s="69"/>
      <c r="AQ2278" s="62"/>
      <c r="AR2278" s="34"/>
    </row>
    <row r="2279" spans="1:44" customFormat="1">
      <c r="A2279" s="39">
        <v>46199</v>
      </c>
      <c r="B2279" s="11" t="s">
        <v>22</v>
      </c>
      <c r="C2279" s="16" t="s">
        <v>10619</v>
      </c>
      <c r="D2279" s="16" t="s">
        <v>10621</v>
      </c>
      <c r="E2279" s="38">
        <v>33898</v>
      </c>
      <c r="F2279" s="38" t="s">
        <v>10622</v>
      </c>
      <c r="G2279" s="10" t="s">
        <v>10624</v>
      </c>
      <c r="H2279" s="12" t="s">
        <v>10626</v>
      </c>
      <c r="I2279" s="13">
        <v>3.6</v>
      </c>
      <c r="J2279" s="15" t="s">
        <v>10628</v>
      </c>
      <c r="K2279" s="12"/>
      <c r="L2279" s="11" t="s">
        <v>36</v>
      </c>
      <c r="M2279" s="15" t="s">
        <v>3629</v>
      </c>
      <c r="N2279" s="17">
        <v>0</v>
      </c>
      <c r="O2279" s="17"/>
      <c r="P2279" s="17"/>
      <c r="Q2279" s="48" t="s">
        <v>8733</v>
      </c>
      <c r="R2279" s="11" t="s">
        <v>6943</v>
      </c>
      <c r="S2279" s="48" t="s">
        <v>8101</v>
      </c>
      <c r="T2279" s="85"/>
      <c r="U2279" s="88"/>
      <c r="V2279" s="32"/>
      <c r="W2279" s="25"/>
      <c r="X2279" s="11" t="s">
        <v>5130</v>
      </c>
      <c r="Y2279" s="50"/>
      <c r="Z2279" s="50"/>
      <c r="AA2279" s="50"/>
      <c r="AB2279" s="50"/>
      <c r="AC2279" s="50"/>
      <c r="AD2279" s="50"/>
      <c r="AE2279" s="50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65"/>
      <c r="AP2279" s="69"/>
      <c r="AQ2279" s="62"/>
      <c r="AR2279" s="34"/>
    </row>
    <row r="2280" spans="1:44" customFormat="1">
      <c r="A2280" s="39">
        <v>46200</v>
      </c>
      <c r="B2280" s="11" t="s">
        <v>22</v>
      </c>
      <c r="C2280" s="16" t="s">
        <v>10632</v>
      </c>
      <c r="D2280" s="16" t="s">
        <v>10633</v>
      </c>
      <c r="E2280" s="38">
        <v>32647</v>
      </c>
      <c r="F2280" s="38" t="s">
        <v>10634</v>
      </c>
      <c r="G2280" s="10" t="s">
        <v>10635</v>
      </c>
      <c r="H2280" s="12" t="s">
        <v>10636</v>
      </c>
      <c r="I2280" s="13">
        <v>3.6</v>
      </c>
      <c r="J2280" s="15" t="s">
        <v>10637</v>
      </c>
      <c r="K2280" s="12"/>
      <c r="L2280" s="11" t="s">
        <v>36</v>
      </c>
      <c r="M2280" s="15"/>
      <c r="N2280" s="17">
        <v>0</v>
      </c>
      <c r="O2280" s="17"/>
      <c r="P2280" s="17"/>
      <c r="Q2280" s="48" t="s">
        <v>8733</v>
      </c>
      <c r="R2280" s="11" t="s">
        <v>8503</v>
      </c>
      <c r="S2280" s="48"/>
      <c r="T2280" s="85"/>
      <c r="U2280" s="88"/>
      <c r="V2280" s="32"/>
      <c r="W2280" s="25" t="s">
        <v>6747</v>
      </c>
      <c r="X2280" s="11"/>
      <c r="Y2280" s="50"/>
      <c r="Z2280" s="50"/>
      <c r="AA2280" s="50"/>
      <c r="AB2280" s="50"/>
      <c r="AC2280" s="50"/>
      <c r="AD2280" s="50"/>
      <c r="AE2280" s="50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65"/>
      <c r="AP2280" s="69"/>
      <c r="AQ2280" s="62"/>
      <c r="AR2280" s="34"/>
    </row>
    <row r="2281" spans="1:44" customFormat="1">
      <c r="A2281" s="39">
        <v>46202</v>
      </c>
      <c r="B2281" s="11" t="s">
        <v>22</v>
      </c>
      <c r="C2281" s="16" t="s">
        <v>10638</v>
      </c>
      <c r="D2281" s="16" t="s">
        <v>10639</v>
      </c>
      <c r="E2281" s="38">
        <v>28996</v>
      </c>
      <c r="F2281" s="38" t="s">
        <v>10640</v>
      </c>
      <c r="G2281" s="10" t="s">
        <v>10641</v>
      </c>
      <c r="H2281" s="12" t="s">
        <v>10642</v>
      </c>
      <c r="I2281" s="13">
        <v>1.2</v>
      </c>
      <c r="J2281" s="15" t="s">
        <v>10643</v>
      </c>
      <c r="K2281" s="46" t="s">
        <v>10644</v>
      </c>
      <c r="L2281" s="11" t="s">
        <v>34</v>
      </c>
      <c r="M2281" s="15" t="s">
        <v>3584</v>
      </c>
      <c r="N2281" s="17">
        <v>0</v>
      </c>
      <c r="O2281" s="17"/>
      <c r="P2281" s="17"/>
      <c r="Q2281" s="48" t="s">
        <v>8733</v>
      </c>
      <c r="R2281" s="11" t="s">
        <v>9271</v>
      </c>
      <c r="S2281" s="48"/>
      <c r="T2281" s="85"/>
      <c r="U2281" s="88"/>
      <c r="V2281" s="32"/>
      <c r="W2281" s="25" t="s">
        <v>10645</v>
      </c>
      <c r="X2281" s="11" t="s">
        <v>10646</v>
      </c>
      <c r="Y2281" s="50"/>
      <c r="Z2281" s="50"/>
      <c r="AA2281" s="50"/>
      <c r="AB2281" s="50"/>
      <c r="AC2281" s="50"/>
      <c r="AD2281" s="50"/>
      <c r="AE2281" s="50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65"/>
      <c r="AP2281" s="69"/>
      <c r="AQ2281" s="62"/>
      <c r="AR2281" s="34"/>
    </row>
    <row r="2282" spans="1:44" customFormat="1">
      <c r="A2282" s="39">
        <v>46207</v>
      </c>
      <c r="B2282" s="11" t="s">
        <v>22</v>
      </c>
      <c r="C2282" s="16" t="s">
        <v>10647</v>
      </c>
      <c r="D2282" s="16" t="s">
        <v>10648</v>
      </c>
      <c r="E2282" s="38">
        <v>32058</v>
      </c>
      <c r="F2282" s="38" t="s">
        <v>1909</v>
      </c>
      <c r="G2282" s="10" t="s">
        <v>10649</v>
      </c>
      <c r="H2282" s="12" t="s">
        <v>10650</v>
      </c>
      <c r="I2282" s="13">
        <v>1</v>
      </c>
      <c r="J2282" s="15" t="s">
        <v>10651</v>
      </c>
      <c r="K2282" s="46" t="s">
        <v>10652</v>
      </c>
      <c r="L2282" s="11" t="s">
        <v>36</v>
      </c>
      <c r="M2282" s="15" t="s">
        <v>3584</v>
      </c>
      <c r="N2282" s="17">
        <v>0</v>
      </c>
      <c r="O2282" s="17"/>
      <c r="P2282" s="17"/>
      <c r="Q2282" s="48" t="s">
        <v>8733</v>
      </c>
      <c r="R2282" s="11" t="s">
        <v>8503</v>
      </c>
      <c r="S2282" s="48" t="s">
        <v>8102</v>
      </c>
      <c r="T2282" s="85"/>
      <c r="U2282" s="88"/>
      <c r="V2282" s="32"/>
      <c r="W2282" s="25" t="s">
        <v>6747</v>
      </c>
      <c r="X2282" s="11"/>
      <c r="Y2282" s="50"/>
      <c r="Z2282" s="50"/>
      <c r="AA2282" s="50"/>
      <c r="AB2282" s="50"/>
      <c r="AC2282" s="50"/>
      <c r="AD2282" s="50"/>
      <c r="AE2282" s="50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65"/>
      <c r="AP2282" s="69"/>
      <c r="AQ2282" s="62"/>
      <c r="AR2282" s="34"/>
    </row>
    <row r="2283" spans="1:44" customFormat="1">
      <c r="A2283" s="39"/>
      <c r="B2283" s="11"/>
      <c r="C2283" s="16"/>
      <c r="D2283" s="16"/>
      <c r="E2283" s="38"/>
      <c r="F2283" s="38"/>
      <c r="G2283" s="10"/>
      <c r="H2283" s="12"/>
      <c r="I2283" s="13"/>
      <c r="J2283" s="15"/>
      <c r="K2283" s="12"/>
      <c r="L2283" s="11"/>
      <c r="M2283" s="15"/>
      <c r="N2283" s="17"/>
      <c r="O2283" s="17"/>
      <c r="P2283" s="17"/>
      <c r="Q2283" s="48"/>
      <c r="R2283" s="11"/>
      <c r="S2283" s="48"/>
      <c r="T2283" s="85"/>
      <c r="U2283" s="88"/>
      <c r="V2283" s="32"/>
      <c r="W2283" s="25"/>
      <c r="X2283" s="11"/>
      <c r="Y2283" s="50"/>
      <c r="Z2283" s="50"/>
      <c r="AA2283" s="50"/>
      <c r="AB2283" s="50"/>
      <c r="AC2283" s="50"/>
      <c r="AD2283" s="50"/>
      <c r="AE2283" s="50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65"/>
      <c r="AP2283" s="69"/>
      <c r="AQ2283" s="62"/>
      <c r="AR2283" s="34"/>
    </row>
    <row r="2284" spans="1:44" customFormat="1">
      <c r="A2284" s="39"/>
      <c r="B2284" s="11"/>
      <c r="C2284" s="16"/>
      <c r="D2284" s="16"/>
      <c r="E2284" s="38"/>
      <c r="F2284" s="38"/>
      <c r="G2284" s="10"/>
      <c r="H2284" s="12"/>
      <c r="I2284" s="13"/>
      <c r="J2284" s="15"/>
      <c r="K2284" s="12"/>
      <c r="L2284" s="11"/>
      <c r="M2284" s="15"/>
      <c r="N2284" s="17"/>
      <c r="O2284" s="17"/>
      <c r="P2284" s="17"/>
      <c r="Q2284" s="48"/>
      <c r="R2284" s="11"/>
      <c r="S2284" s="48"/>
      <c r="T2284" s="85"/>
      <c r="U2284" s="88"/>
      <c r="V2284" s="32"/>
      <c r="W2284" s="25"/>
      <c r="X2284" s="11"/>
      <c r="Y2284" s="50"/>
      <c r="Z2284" s="50"/>
      <c r="AA2284" s="50"/>
      <c r="AB2284" s="50"/>
      <c r="AC2284" s="50"/>
      <c r="AD2284" s="50"/>
      <c r="AE2284" s="50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65"/>
      <c r="AP2284" s="69"/>
      <c r="AQ2284" s="62"/>
      <c r="AR2284" s="34"/>
    </row>
    <row r="2285" spans="1:44" customFormat="1">
      <c r="A2285" s="39"/>
      <c r="B2285" s="11"/>
      <c r="C2285" s="16"/>
      <c r="D2285" s="16"/>
      <c r="E2285" s="38"/>
      <c r="F2285" s="38"/>
      <c r="G2285" s="10"/>
      <c r="H2285" s="12"/>
      <c r="I2285" s="13"/>
      <c r="J2285" s="15"/>
      <c r="K2285" s="12"/>
      <c r="L2285" s="11"/>
      <c r="M2285" s="15"/>
      <c r="N2285" s="17"/>
      <c r="O2285" s="17"/>
      <c r="P2285" s="17"/>
      <c r="Q2285" s="48"/>
      <c r="R2285" s="11"/>
      <c r="S2285" s="48"/>
      <c r="T2285" s="85"/>
      <c r="U2285" s="88"/>
      <c r="V2285" s="32"/>
      <c r="W2285" s="25"/>
      <c r="X2285" s="11"/>
      <c r="Y2285" s="50"/>
      <c r="Z2285" s="50"/>
      <c r="AA2285" s="50"/>
      <c r="AB2285" s="50"/>
      <c r="AC2285" s="50"/>
      <c r="AD2285" s="50"/>
      <c r="AE2285" s="50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65"/>
      <c r="AP2285" s="69"/>
      <c r="AQ2285" s="62"/>
      <c r="AR2285" s="34"/>
    </row>
    <row r="2286" spans="1:44" customFormat="1">
      <c r="A2286" s="39"/>
      <c r="B2286" s="11"/>
      <c r="C2286" s="16"/>
      <c r="D2286" s="16"/>
      <c r="E2286" s="38"/>
      <c r="F2286" s="38"/>
      <c r="G2286" s="10"/>
      <c r="H2286" s="12"/>
      <c r="I2286" s="13"/>
      <c r="J2286" s="15"/>
      <c r="K2286" s="12"/>
      <c r="L2286" s="11"/>
      <c r="M2286" s="15"/>
      <c r="N2286" s="17"/>
      <c r="O2286" s="17"/>
      <c r="P2286" s="17"/>
      <c r="Q2286" s="48"/>
      <c r="R2286" s="11"/>
      <c r="S2286" s="48"/>
      <c r="T2286" s="85"/>
      <c r="U2286" s="88"/>
      <c r="V2286" s="32"/>
      <c r="W2286" s="25"/>
      <c r="X2286" s="11"/>
      <c r="Y2286" s="50"/>
      <c r="Z2286" s="50"/>
      <c r="AA2286" s="50"/>
      <c r="AB2286" s="50"/>
      <c r="AC2286" s="50"/>
      <c r="AD2286" s="50"/>
      <c r="AE2286" s="50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65"/>
      <c r="AP2286" s="69"/>
      <c r="AQ2286" s="62"/>
      <c r="AR2286" s="34"/>
    </row>
    <row r="2287" spans="1:44" customFormat="1">
      <c r="A2287" s="39"/>
      <c r="B2287" s="11"/>
      <c r="C2287" s="16"/>
      <c r="D2287" s="16"/>
      <c r="E2287" s="38"/>
      <c r="F2287" s="38"/>
      <c r="G2287" s="10"/>
      <c r="H2287" s="12"/>
      <c r="I2287" s="13"/>
      <c r="J2287" s="15"/>
      <c r="K2287" s="12"/>
      <c r="L2287" s="11"/>
      <c r="M2287" s="15"/>
      <c r="N2287" s="17"/>
      <c r="O2287" s="17"/>
      <c r="P2287" s="17"/>
      <c r="Q2287" s="48"/>
      <c r="R2287" s="11"/>
      <c r="S2287" s="48"/>
      <c r="T2287" s="85"/>
      <c r="U2287" s="88"/>
      <c r="V2287" s="32"/>
      <c r="W2287" s="25"/>
      <c r="X2287" s="11"/>
      <c r="Y2287" s="50"/>
      <c r="Z2287" s="50"/>
      <c r="AA2287" s="50"/>
      <c r="AB2287" s="50"/>
      <c r="AC2287" s="50"/>
      <c r="AD2287" s="50"/>
      <c r="AE2287" s="50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65"/>
      <c r="AP2287" s="69"/>
      <c r="AQ2287" s="62"/>
      <c r="AR2287" s="34"/>
    </row>
    <row r="2288" spans="1:44" customFormat="1">
      <c r="A2288" s="39"/>
      <c r="B2288" s="11"/>
      <c r="C2288" s="16"/>
      <c r="D2288" s="16"/>
      <c r="E2288" s="38"/>
      <c r="F2288" s="38"/>
      <c r="G2288" s="10"/>
      <c r="H2288" s="12"/>
      <c r="I2288" s="13"/>
      <c r="J2288" s="15"/>
      <c r="K2288" s="12"/>
      <c r="L2288" s="11"/>
      <c r="M2288" s="15"/>
      <c r="N2288" s="17"/>
      <c r="O2288" s="17"/>
      <c r="P2288" s="17"/>
      <c r="Q2288" s="48"/>
      <c r="R2288" s="11"/>
      <c r="S2288" s="48"/>
      <c r="T2288" s="85"/>
      <c r="U2288" s="88"/>
      <c r="V2288" s="32"/>
      <c r="W2288" s="25"/>
      <c r="X2288" s="11"/>
      <c r="Y2288" s="50"/>
      <c r="Z2288" s="50"/>
      <c r="AA2288" s="50"/>
      <c r="AB2288" s="50"/>
      <c r="AC2288" s="50"/>
      <c r="AD2288" s="50"/>
      <c r="AE2288" s="50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65"/>
      <c r="AP2288" s="69"/>
      <c r="AQ2288" s="62"/>
      <c r="AR2288" s="34"/>
    </row>
    <row r="2289" spans="1:44" customFormat="1">
      <c r="A2289" s="39"/>
      <c r="B2289" s="11"/>
      <c r="C2289" s="16"/>
      <c r="D2289" s="16"/>
      <c r="E2289" s="38"/>
      <c r="F2289" s="38"/>
      <c r="G2289" s="10"/>
      <c r="H2289" s="12"/>
      <c r="I2289" s="13"/>
      <c r="J2289" s="15"/>
      <c r="K2289" s="12"/>
      <c r="L2289" s="11"/>
      <c r="M2289" s="15"/>
      <c r="N2289" s="17"/>
      <c r="O2289" s="17"/>
      <c r="P2289" s="17"/>
      <c r="Q2289" s="48"/>
      <c r="R2289" s="11"/>
      <c r="S2289" s="48"/>
      <c r="T2289" s="85"/>
      <c r="U2289" s="88"/>
      <c r="V2289" s="32"/>
      <c r="W2289" s="25"/>
      <c r="X2289" s="11"/>
      <c r="Y2289" s="50"/>
      <c r="Z2289" s="50"/>
      <c r="AA2289" s="50"/>
      <c r="AB2289" s="50"/>
      <c r="AC2289" s="50"/>
      <c r="AD2289" s="50"/>
      <c r="AE2289" s="50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65"/>
      <c r="AP2289" s="69"/>
      <c r="AQ2289" s="62"/>
      <c r="AR2289" s="34"/>
    </row>
    <row r="2290" spans="1:44" customFormat="1">
      <c r="A2290" s="39"/>
      <c r="B2290" s="11"/>
      <c r="C2290" s="16"/>
      <c r="D2290" s="16"/>
      <c r="E2290" s="38"/>
      <c r="F2290" s="38"/>
      <c r="G2290" s="10"/>
      <c r="H2290" s="12"/>
      <c r="I2290" s="13"/>
      <c r="J2290" s="15"/>
      <c r="K2290" s="12"/>
      <c r="L2290" s="11"/>
      <c r="M2290" s="15"/>
      <c r="N2290" s="17"/>
      <c r="O2290" s="17"/>
      <c r="P2290" s="17"/>
      <c r="Q2290" s="48"/>
      <c r="R2290" s="11"/>
      <c r="S2290" s="48"/>
      <c r="T2290" s="85"/>
      <c r="U2290" s="88"/>
      <c r="V2290" s="32"/>
      <c r="W2290" s="25"/>
      <c r="X2290" s="11"/>
      <c r="Y2290" s="50"/>
      <c r="Z2290" s="50"/>
      <c r="AA2290" s="50"/>
      <c r="AB2290" s="50"/>
      <c r="AC2290" s="50"/>
      <c r="AD2290" s="50"/>
      <c r="AE2290" s="50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65"/>
      <c r="AP2290" s="69"/>
      <c r="AQ2290" s="62"/>
      <c r="AR2290" s="34"/>
    </row>
    <row r="2291" spans="1:44" customFormat="1">
      <c r="A2291" s="39"/>
      <c r="B2291" s="11"/>
      <c r="C2291" s="16"/>
      <c r="D2291" s="16"/>
      <c r="E2291" s="38"/>
      <c r="F2291" s="38"/>
      <c r="G2291" s="10"/>
      <c r="H2291" s="12"/>
      <c r="I2291" s="13"/>
      <c r="J2291" s="15"/>
      <c r="K2291" s="12"/>
      <c r="L2291" s="11"/>
      <c r="M2291" s="15"/>
      <c r="N2291" s="17"/>
      <c r="O2291" s="17"/>
      <c r="P2291" s="17"/>
      <c r="Q2291" s="48"/>
      <c r="R2291" s="11"/>
      <c r="S2291" s="48"/>
      <c r="T2291" s="85"/>
      <c r="U2291" s="88"/>
      <c r="V2291" s="32"/>
      <c r="W2291" s="25"/>
      <c r="X2291" s="11"/>
      <c r="Y2291" s="50"/>
      <c r="Z2291" s="50"/>
      <c r="AA2291" s="50"/>
      <c r="AB2291" s="50"/>
      <c r="AC2291" s="50"/>
      <c r="AD2291" s="50"/>
      <c r="AE2291" s="50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65"/>
      <c r="AP2291" s="69"/>
      <c r="AQ2291" s="62"/>
      <c r="AR2291" s="34"/>
    </row>
    <row r="2292" spans="1:44" customFormat="1">
      <c r="A2292" s="39"/>
      <c r="B2292" s="11"/>
      <c r="C2292" s="16"/>
      <c r="D2292" s="16"/>
      <c r="E2292" s="38"/>
      <c r="F2292" s="38"/>
      <c r="G2292" s="10"/>
      <c r="H2292" s="12"/>
      <c r="I2292" s="13"/>
      <c r="J2292" s="15"/>
      <c r="K2292" s="12"/>
      <c r="L2292" s="11"/>
      <c r="M2292" s="15"/>
      <c r="N2292" s="17"/>
      <c r="O2292" s="17"/>
      <c r="P2292" s="17"/>
      <c r="Q2292" s="48"/>
      <c r="R2292" s="11"/>
      <c r="S2292" s="48"/>
      <c r="T2292" s="85"/>
      <c r="U2292" s="88"/>
      <c r="V2292" s="32"/>
      <c r="W2292" s="25"/>
      <c r="X2292" s="11"/>
      <c r="Y2292" s="50"/>
      <c r="Z2292" s="50"/>
      <c r="AA2292" s="50"/>
      <c r="AB2292" s="50"/>
      <c r="AC2292" s="50"/>
      <c r="AD2292" s="50"/>
      <c r="AE2292" s="50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65"/>
      <c r="AP2292" s="69"/>
      <c r="AQ2292" s="62"/>
      <c r="AR2292" s="34"/>
    </row>
    <row r="2293" spans="1:44" customFormat="1">
      <c r="A2293" s="39"/>
      <c r="B2293" s="11"/>
      <c r="C2293" s="16"/>
      <c r="D2293" s="16"/>
      <c r="E2293" s="38"/>
      <c r="F2293" s="38"/>
      <c r="G2293" s="10"/>
      <c r="H2293" s="12"/>
      <c r="I2293" s="13"/>
      <c r="J2293" s="15"/>
      <c r="K2293" s="12"/>
      <c r="L2293" s="11"/>
      <c r="M2293" s="15"/>
      <c r="N2293" s="17"/>
      <c r="O2293" s="17"/>
      <c r="P2293" s="17"/>
      <c r="Q2293" s="48"/>
      <c r="R2293" s="11"/>
      <c r="S2293" s="48"/>
      <c r="T2293" s="85"/>
      <c r="U2293" s="88"/>
      <c r="V2293" s="32"/>
      <c r="W2293" s="25"/>
      <c r="X2293" s="11"/>
      <c r="Y2293" s="50"/>
      <c r="Z2293" s="50"/>
      <c r="AA2293" s="50"/>
      <c r="AB2293" s="50"/>
      <c r="AC2293" s="50"/>
      <c r="AD2293" s="50"/>
      <c r="AE2293" s="50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65"/>
      <c r="AP2293" s="69"/>
      <c r="AQ2293" s="62"/>
      <c r="AR2293" s="34"/>
    </row>
    <row r="2294" spans="1:44" customFormat="1">
      <c r="A2294" s="39"/>
      <c r="B2294" s="11"/>
      <c r="C2294" s="16"/>
      <c r="D2294" s="16"/>
      <c r="E2294" s="38"/>
      <c r="F2294" s="38"/>
      <c r="G2294" s="10"/>
      <c r="H2294" s="12"/>
      <c r="I2294" s="13"/>
      <c r="J2294" s="15"/>
      <c r="K2294" s="12"/>
      <c r="L2294" s="11"/>
      <c r="M2294" s="15"/>
      <c r="N2294" s="17"/>
      <c r="O2294" s="17"/>
      <c r="P2294" s="17"/>
      <c r="Q2294" s="48"/>
      <c r="R2294" s="11"/>
      <c r="S2294" s="48"/>
      <c r="T2294" s="85"/>
      <c r="U2294" s="88"/>
      <c r="V2294" s="32"/>
      <c r="W2294" s="25"/>
      <c r="X2294" s="11"/>
      <c r="Y2294" s="50"/>
      <c r="Z2294" s="50"/>
      <c r="AA2294" s="50"/>
      <c r="AB2294" s="50"/>
      <c r="AC2294" s="50"/>
      <c r="AD2294" s="50"/>
      <c r="AE2294" s="50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65"/>
      <c r="AP2294" s="69"/>
      <c r="AQ2294" s="62"/>
      <c r="AR2294" s="34"/>
    </row>
    <row r="2295" spans="1:44" customFormat="1">
      <c r="A2295" s="39"/>
      <c r="B2295" s="11"/>
      <c r="C2295" s="16"/>
      <c r="D2295" s="16"/>
      <c r="E2295" s="38"/>
      <c r="F2295" s="38"/>
      <c r="G2295" s="10"/>
      <c r="H2295" s="12"/>
      <c r="I2295" s="13"/>
      <c r="J2295" s="15"/>
      <c r="K2295" s="12"/>
      <c r="L2295" s="11"/>
      <c r="M2295" s="15"/>
      <c r="N2295" s="17"/>
      <c r="O2295" s="17"/>
      <c r="P2295" s="17"/>
      <c r="Q2295" s="48"/>
      <c r="R2295" s="11"/>
      <c r="S2295" s="48"/>
      <c r="T2295" s="85"/>
      <c r="U2295" s="88"/>
      <c r="V2295" s="32"/>
      <c r="W2295" s="25"/>
      <c r="X2295" s="11"/>
      <c r="Y2295" s="50"/>
      <c r="Z2295" s="50"/>
      <c r="AA2295" s="50"/>
      <c r="AB2295" s="50"/>
      <c r="AC2295" s="50"/>
      <c r="AD2295" s="50"/>
      <c r="AE2295" s="50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65"/>
      <c r="AP2295" s="69"/>
      <c r="AQ2295" s="62"/>
      <c r="AR2295" s="34"/>
    </row>
    <row r="2296" spans="1:44" customFormat="1">
      <c r="A2296" s="39"/>
      <c r="B2296" s="11"/>
      <c r="C2296" s="16"/>
      <c r="D2296" s="16"/>
      <c r="E2296" s="38"/>
      <c r="F2296" s="38"/>
      <c r="G2296" s="10"/>
      <c r="H2296" s="12"/>
      <c r="I2296" s="13"/>
      <c r="J2296" s="15"/>
      <c r="K2296" s="12"/>
      <c r="L2296" s="11"/>
      <c r="M2296" s="15"/>
      <c r="N2296" s="17"/>
      <c r="O2296" s="17"/>
      <c r="P2296" s="17"/>
      <c r="Q2296" s="48"/>
      <c r="R2296" s="11"/>
      <c r="S2296" s="48"/>
      <c r="T2296" s="85"/>
      <c r="U2296" s="88"/>
      <c r="V2296" s="32"/>
      <c r="W2296" s="25"/>
      <c r="X2296" s="11"/>
      <c r="Y2296" s="50"/>
      <c r="Z2296" s="50"/>
      <c r="AA2296" s="50"/>
      <c r="AB2296" s="50"/>
      <c r="AC2296" s="50"/>
      <c r="AD2296" s="50"/>
      <c r="AE2296" s="50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65"/>
      <c r="AP2296" s="69"/>
      <c r="AQ2296" s="62"/>
      <c r="AR2296" s="34"/>
    </row>
    <row r="2297" spans="1:44" customFormat="1">
      <c r="A2297" s="39"/>
      <c r="B2297" s="11"/>
      <c r="C2297" s="16"/>
      <c r="D2297" s="16"/>
      <c r="E2297" s="38"/>
      <c r="F2297" s="38"/>
      <c r="G2297" s="10"/>
      <c r="H2297" s="12"/>
      <c r="I2297" s="13"/>
      <c r="J2297" s="15"/>
      <c r="K2297" s="12"/>
      <c r="L2297" s="11"/>
      <c r="M2297" s="15"/>
      <c r="N2297" s="17"/>
      <c r="O2297" s="17"/>
      <c r="P2297" s="17"/>
      <c r="Q2297" s="48"/>
      <c r="R2297" s="11"/>
      <c r="S2297" s="48"/>
      <c r="T2297" s="85"/>
      <c r="U2297" s="88"/>
      <c r="V2297" s="32"/>
      <c r="W2297" s="25"/>
      <c r="X2297" s="11"/>
      <c r="Y2297" s="50"/>
      <c r="Z2297" s="50"/>
      <c r="AA2297" s="50"/>
      <c r="AB2297" s="50"/>
      <c r="AC2297" s="50"/>
      <c r="AD2297" s="50"/>
      <c r="AE2297" s="50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65"/>
      <c r="AP2297" s="69"/>
      <c r="AQ2297" s="62"/>
      <c r="AR2297" s="34"/>
    </row>
    <row r="2298" spans="1:44" customFormat="1">
      <c r="A2298" s="39"/>
      <c r="B2298" s="11"/>
      <c r="C2298" s="16"/>
      <c r="D2298" s="16"/>
      <c r="E2298" s="38"/>
      <c r="F2298" s="38"/>
      <c r="G2298" s="10"/>
      <c r="H2298" s="12"/>
      <c r="I2298" s="13"/>
      <c r="J2298" s="15"/>
      <c r="K2298" s="12"/>
      <c r="L2298" s="11"/>
      <c r="M2298" s="15"/>
      <c r="N2298" s="17"/>
      <c r="O2298" s="17"/>
      <c r="P2298" s="17"/>
      <c r="Q2298" s="48"/>
      <c r="R2298" s="11"/>
      <c r="S2298" s="48"/>
      <c r="T2298" s="85"/>
      <c r="U2298" s="88"/>
      <c r="V2298" s="32"/>
      <c r="W2298" s="25"/>
      <c r="X2298" s="11"/>
      <c r="Y2298" s="50"/>
      <c r="Z2298" s="50"/>
      <c r="AA2298" s="50"/>
      <c r="AB2298" s="50"/>
      <c r="AC2298" s="50"/>
      <c r="AD2298" s="50"/>
      <c r="AE2298" s="50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65"/>
      <c r="AP2298" s="69"/>
      <c r="AQ2298" s="62"/>
      <c r="AR2298" s="34"/>
    </row>
    <row r="2299" spans="1:44" customFormat="1">
      <c r="A2299" s="39"/>
      <c r="B2299" s="11"/>
      <c r="C2299" s="16"/>
      <c r="D2299" s="16"/>
      <c r="E2299" s="38"/>
      <c r="F2299" s="38"/>
      <c r="G2299" s="10"/>
      <c r="H2299" s="12"/>
      <c r="I2299" s="13"/>
      <c r="J2299" s="15"/>
      <c r="K2299" s="12"/>
      <c r="L2299" s="11"/>
      <c r="M2299" s="15"/>
      <c r="N2299" s="17"/>
      <c r="O2299" s="17"/>
      <c r="P2299" s="17"/>
      <c r="Q2299" s="48"/>
      <c r="R2299" s="11"/>
      <c r="S2299" s="48"/>
      <c r="T2299" s="85"/>
      <c r="U2299" s="88"/>
      <c r="V2299" s="32"/>
      <c r="W2299" s="25"/>
      <c r="X2299" s="11"/>
      <c r="Y2299" s="50"/>
      <c r="Z2299" s="50"/>
      <c r="AA2299" s="50"/>
      <c r="AB2299" s="50"/>
      <c r="AC2299" s="50"/>
      <c r="AD2299" s="50"/>
      <c r="AE2299" s="50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65"/>
      <c r="AP2299" s="69"/>
      <c r="AQ2299" s="62"/>
      <c r="AR2299" s="34"/>
    </row>
    <row r="2300" spans="1:44" customFormat="1">
      <c r="A2300" s="39"/>
      <c r="B2300" s="11"/>
      <c r="C2300" s="16"/>
      <c r="D2300" s="16"/>
      <c r="E2300" s="38"/>
      <c r="F2300" s="38"/>
      <c r="G2300" s="10"/>
      <c r="H2300" s="12"/>
      <c r="I2300" s="13"/>
      <c r="J2300" s="15"/>
      <c r="K2300" s="12"/>
      <c r="L2300" s="11"/>
      <c r="M2300" s="15"/>
      <c r="N2300" s="17"/>
      <c r="O2300" s="17"/>
      <c r="P2300" s="17"/>
      <c r="Q2300" s="48"/>
      <c r="R2300" s="11"/>
      <c r="S2300" s="48"/>
      <c r="T2300" s="85"/>
      <c r="U2300" s="88"/>
      <c r="V2300" s="32"/>
      <c r="W2300" s="25"/>
      <c r="X2300" s="11"/>
      <c r="Y2300" s="50"/>
      <c r="Z2300" s="50"/>
      <c r="AA2300" s="50"/>
      <c r="AB2300" s="50"/>
      <c r="AC2300" s="50"/>
      <c r="AD2300" s="50"/>
      <c r="AE2300" s="50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65"/>
      <c r="AP2300" s="69"/>
      <c r="AQ2300" s="62"/>
      <c r="AR2300" s="34"/>
    </row>
    <row r="2301" spans="1:44" customFormat="1">
      <c r="A2301" s="39"/>
      <c r="B2301" s="11"/>
      <c r="C2301" s="16"/>
      <c r="D2301" s="16"/>
      <c r="E2301" s="38"/>
      <c r="F2301" s="38"/>
      <c r="G2301" s="10"/>
      <c r="H2301" s="12"/>
      <c r="I2301" s="13"/>
      <c r="J2301" s="15"/>
      <c r="K2301" s="12"/>
      <c r="L2301" s="11"/>
      <c r="M2301" s="15"/>
      <c r="N2301" s="17"/>
      <c r="O2301" s="17"/>
      <c r="P2301" s="17"/>
      <c r="Q2301" s="48"/>
      <c r="R2301" s="11"/>
      <c r="S2301" s="48"/>
      <c r="T2301" s="85"/>
      <c r="U2301" s="88"/>
      <c r="V2301" s="32"/>
      <c r="W2301" s="25"/>
      <c r="X2301" s="11"/>
      <c r="Y2301" s="50"/>
      <c r="Z2301" s="50"/>
      <c r="AA2301" s="50"/>
      <c r="AB2301" s="50"/>
      <c r="AC2301" s="50"/>
      <c r="AD2301" s="50"/>
      <c r="AE2301" s="50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65"/>
      <c r="AP2301" s="69"/>
      <c r="AQ2301" s="62"/>
      <c r="AR2301" s="34"/>
    </row>
    <row r="2302" spans="1:44" customFormat="1">
      <c r="A2302" s="39"/>
      <c r="B2302" s="11"/>
      <c r="C2302" s="16"/>
      <c r="D2302" s="16"/>
      <c r="E2302" s="38"/>
      <c r="F2302" s="38"/>
      <c r="G2302" s="10"/>
      <c r="H2302" s="12"/>
      <c r="I2302" s="13"/>
      <c r="J2302" s="15"/>
      <c r="K2302" s="12"/>
      <c r="L2302" s="11"/>
      <c r="M2302" s="15"/>
      <c r="N2302" s="17"/>
      <c r="O2302" s="17"/>
      <c r="P2302" s="17"/>
      <c r="Q2302" s="48"/>
      <c r="R2302" s="11"/>
      <c r="S2302" s="48"/>
      <c r="T2302" s="85"/>
      <c r="U2302" s="88"/>
      <c r="V2302" s="32"/>
      <c r="W2302" s="25"/>
      <c r="X2302" s="11"/>
      <c r="Y2302" s="50"/>
      <c r="Z2302" s="50"/>
      <c r="AA2302" s="50"/>
      <c r="AB2302" s="50"/>
      <c r="AC2302" s="50"/>
      <c r="AD2302" s="50"/>
      <c r="AE2302" s="50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65"/>
      <c r="AP2302" s="69"/>
      <c r="AQ2302" s="62"/>
      <c r="AR2302" s="34"/>
    </row>
    <row r="2303" spans="1:44" customFormat="1">
      <c r="A2303" s="39"/>
      <c r="B2303" s="11"/>
      <c r="C2303" s="16"/>
      <c r="D2303" s="16"/>
      <c r="E2303" s="38"/>
      <c r="F2303" s="38"/>
      <c r="G2303" s="10"/>
      <c r="H2303" s="12"/>
      <c r="I2303" s="13"/>
      <c r="J2303" s="15"/>
      <c r="K2303" s="12"/>
      <c r="L2303" s="11"/>
      <c r="M2303" s="15"/>
      <c r="N2303" s="17"/>
      <c r="O2303" s="17"/>
      <c r="P2303" s="17"/>
      <c r="Q2303" s="48"/>
      <c r="R2303" s="11"/>
      <c r="S2303" s="48"/>
      <c r="T2303" s="85"/>
      <c r="U2303" s="88"/>
      <c r="V2303" s="32"/>
      <c r="W2303" s="25"/>
      <c r="X2303" s="11"/>
      <c r="Y2303" s="50"/>
      <c r="Z2303" s="50"/>
      <c r="AA2303" s="50"/>
      <c r="AB2303" s="50"/>
      <c r="AC2303" s="50"/>
      <c r="AD2303" s="50"/>
      <c r="AE2303" s="50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65"/>
      <c r="AP2303" s="69"/>
      <c r="AQ2303" s="62"/>
      <c r="AR2303" s="34"/>
    </row>
    <row r="2304" spans="1:44" customFormat="1">
      <c r="A2304" s="39"/>
      <c r="B2304" s="11"/>
      <c r="C2304" s="16"/>
      <c r="D2304" s="16"/>
      <c r="E2304" s="38"/>
      <c r="F2304" s="38"/>
      <c r="G2304" s="10"/>
      <c r="H2304" s="12"/>
      <c r="I2304" s="13"/>
      <c r="J2304" s="15"/>
      <c r="K2304" s="12"/>
      <c r="L2304" s="11"/>
      <c r="M2304" s="15"/>
      <c r="N2304" s="17"/>
      <c r="O2304" s="17"/>
      <c r="P2304" s="17"/>
      <c r="Q2304" s="48"/>
      <c r="R2304" s="11"/>
      <c r="S2304" s="48"/>
      <c r="T2304" s="85"/>
      <c r="U2304" s="88"/>
      <c r="V2304" s="32"/>
      <c r="W2304" s="25"/>
      <c r="X2304" s="11"/>
      <c r="Y2304" s="50"/>
      <c r="Z2304" s="50"/>
      <c r="AA2304" s="50"/>
      <c r="AB2304" s="50"/>
      <c r="AC2304" s="50"/>
      <c r="AD2304" s="50"/>
      <c r="AE2304" s="50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65"/>
      <c r="AP2304" s="69"/>
      <c r="AQ2304" s="62"/>
      <c r="AR2304" s="34"/>
    </row>
    <row r="2305" spans="1:44" customFormat="1">
      <c r="A2305" s="39"/>
      <c r="B2305" s="11"/>
      <c r="C2305" s="16"/>
      <c r="D2305" s="16"/>
      <c r="E2305" s="38"/>
      <c r="F2305" s="38"/>
      <c r="G2305" s="10"/>
      <c r="H2305" s="12"/>
      <c r="I2305" s="13"/>
      <c r="J2305" s="15"/>
      <c r="K2305" s="12"/>
      <c r="L2305" s="11"/>
      <c r="M2305" s="15"/>
      <c r="N2305" s="17"/>
      <c r="O2305" s="17"/>
      <c r="P2305" s="17"/>
      <c r="Q2305" s="48"/>
      <c r="R2305" s="11"/>
      <c r="S2305" s="48"/>
      <c r="T2305" s="85"/>
      <c r="U2305" s="88"/>
      <c r="V2305" s="32"/>
      <c r="W2305" s="25"/>
      <c r="X2305" s="11"/>
      <c r="Y2305" s="50"/>
      <c r="Z2305" s="50"/>
      <c r="AA2305" s="50"/>
      <c r="AB2305" s="50"/>
      <c r="AC2305" s="50"/>
      <c r="AD2305" s="50"/>
      <c r="AE2305" s="50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65"/>
      <c r="AP2305" s="69"/>
      <c r="AQ2305" s="62"/>
      <c r="AR2305" s="34"/>
    </row>
    <row r="2306" spans="1:44" customFormat="1">
      <c r="A2306" s="39"/>
      <c r="B2306" s="11"/>
      <c r="C2306" s="16"/>
      <c r="D2306" s="16"/>
      <c r="E2306" s="38"/>
      <c r="F2306" s="38"/>
      <c r="G2306" s="10"/>
      <c r="H2306" s="12"/>
      <c r="I2306" s="13"/>
      <c r="J2306" s="15"/>
      <c r="K2306" s="12"/>
      <c r="L2306" s="11"/>
      <c r="M2306" s="15"/>
      <c r="N2306" s="17"/>
      <c r="O2306" s="17"/>
      <c r="P2306" s="17"/>
      <c r="Q2306" s="48"/>
      <c r="R2306" s="11"/>
      <c r="S2306" s="48"/>
      <c r="T2306" s="85"/>
      <c r="U2306" s="88"/>
      <c r="V2306" s="32"/>
      <c r="W2306" s="25"/>
      <c r="X2306" s="11"/>
      <c r="Y2306" s="50"/>
      <c r="Z2306" s="50"/>
      <c r="AA2306" s="50"/>
      <c r="AB2306" s="50"/>
      <c r="AC2306" s="50"/>
      <c r="AD2306" s="50"/>
      <c r="AE2306" s="50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65"/>
      <c r="AP2306" s="69"/>
      <c r="AQ2306" s="62"/>
      <c r="AR2306" s="34"/>
    </row>
    <row r="2307" spans="1:44" customFormat="1">
      <c r="A2307" s="39"/>
      <c r="B2307" s="11"/>
      <c r="C2307" s="16"/>
      <c r="D2307" s="16"/>
      <c r="E2307" s="38"/>
      <c r="F2307" s="38"/>
      <c r="G2307" s="10"/>
      <c r="H2307" s="12"/>
      <c r="I2307" s="13"/>
      <c r="J2307" s="15"/>
      <c r="K2307" s="12"/>
      <c r="L2307" s="11"/>
      <c r="M2307" s="15"/>
      <c r="N2307" s="17"/>
      <c r="O2307" s="17"/>
      <c r="P2307" s="17"/>
      <c r="Q2307" s="48"/>
      <c r="R2307" s="11"/>
      <c r="S2307" s="48"/>
      <c r="T2307" s="85"/>
      <c r="U2307" s="88"/>
      <c r="V2307" s="32"/>
      <c r="W2307" s="25"/>
      <c r="X2307" s="11"/>
      <c r="Y2307" s="50"/>
      <c r="Z2307" s="50"/>
      <c r="AA2307" s="50"/>
      <c r="AB2307" s="50"/>
      <c r="AC2307" s="50"/>
      <c r="AD2307" s="50"/>
      <c r="AE2307" s="50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65"/>
      <c r="AP2307" s="69"/>
      <c r="AQ2307" s="62"/>
      <c r="AR2307" s="34"/>
    </row>
    <row r="2308" spans="1:44" customFormat="1">
      <c r="A2308" s="39"/>
      <c r="B2308" s="11"/>
      <c r="C2308" s="16"/>
      <c r="D2308" s="16"/>
      <c r="E2308" s="38"/>
      <c r="F2308" s="38"/>
      <c r="G2308" s="10"/>
      <c r="H2308" s="12"/>
      <c r="I2308" s="13"/>
      <c r="J2308" s="15"/>
      <c r="K2308" s="12"/>
      <c r="L2308" s="11"/>
      <c r="M2308" s="15"/>
      <c r="N2308" s="17"/>
      <c r="O2308" s="17"/>
      <c r="P2308" s="17"/>
      <c r="Q2308" s="48"/>
      <c r="R2308" s="11"/>
      <c r="S2308" s="48"/>
      <c r="T2308" s="85"/>
      <c r="U2308" s="88"/>
      <c r="V2308" s="32"/>
      <c r="W2308" s="25"/>
      <c r="X2308" s="11"/>
      <c r="Y2308" s="50"/>
      <c r="Z2308" s="50"/>
      <c r="AA2308" s="50"/>
      <c r="AB2308" s="50"/>
      <c r="AC2308" s="50"/>
      <c r="AD2308" s="50"/>
      <c r="AE2308" s="50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65"/>
      <c r="AP2308" s="69"/>
      <c r="AQ2308" s="62"/>
      <c r="AR2308" s="34"/>
    </row>
    <row r="2309" spans="1:44" customFormat="1">
      <c r="A2309" s="39"/>
      <c r="B2309" s="11"/>
      <c r="C2309" s="16"/>
      <c r="D2309" s="16"/>
      <c r="E2309" s="38"/>
      <c r="F2309" s="38"/>
      <c r="G2309" s="10"/>
      <c r="H2309" s="12"/>
      <c r="I2309" s="13"/>
      <c r="J2309" s="15"/>
      <c r="K2309" s="12"/>
      <c r="L2309" s="11"/>
      <c r="M2309" s="15"/>
      <c r="N2309" s="17"/>
      <c r="O2309" s="17"/>
      <c r="P2309" s="17"/>
      <c r="Q2309" s="48"/>
      <c r="R2309" s="11"/>
      <c r="S2309" s="48"/>
      <c r="T2309" s="85"/>
      <c r="U2309" s="88"/>
      <c r="V2309" s="32"/>
      <c r="W2309" s="25"/>
      <c r="X2309" s="11"/>
      <c r="Y2309" s="50"/>
      <c r="Z2309" s="50"/>
      <c r="AA2309" s="50"/>
      <c r="AB2309" s="50"/>
      <c r="AC2309" s="50"/>
      <c r="AD2309" s="50"/>
      <c r="AE2309" s="50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65"/>
      <c r="AP2309" s="69"/>
      <c r="AQ2309" s="62"/>
      <c r="AR2309" s="34"/>
    </row>
    <row r="2310" spans="1:44" customFormat="1">
      <c r="A2310" s="39"/>
      <c r="B2310" s="11"/>
      <c r="C2310" s="16"/>
      <c r="D2310" s="16"/>
      <c r="E2310" s="38"/>
      <c r="F2310" s="38"/>
      <c r="G2310" s="10"/>
      <c r="H2310" s="12"/>
      <c r="I2310" s="13"/>
      <c r="J2310" s="15"/>
      <c r="K2310" s="12"/>
      <c r="L2310" s="11"/>
      <c r="M2310" s="15"/>
      <c r="N2310" s="17"/>
      <c r="O2310" s="17"/>
      <c r="P2310" s="17"/>
      <c r="Q2310" s="48"/>
      <c r="R2310" s="11"/>
      <c r="S2310" s="48"/>
      <c r="T2310" s="85"/>
      <c r="U2310" s="88"/>
      <c r="V2310" s="32"/>
      <c r="W2310" s="25"/>
      <c r="X2310" s="11"/>
      <c r="Y2310" s="50"/>
      <c r="Z2310" s="50"/>
      <c r="AA2310" s="50"/>
      <c r="AB2310" s="50"/>
      <c r="AC2310" s="50"/>
      <c r="AD2310" s="50"/>
      <c r="AE2310" s="50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65"/>
      <c r="AP2310" s="69"/>
      <c r="AQ2310" s="62"/>
      <c r="AR2310" s="34"/>
    </row>
    <row r="2311" spans="1:44" customFormat="1">
      <c r="A2311" s="39"/>
      <c r="B2311" s="11"/>
      <c r="C2311" s="16"/>
      <c r="D2311" s="16"/>
      <c r="E2311" s="38"/>
      <c r="F2311" s="38"/>
      <c r="G2311" s="10"/>
      <c r="H2311" s="12"/>
      <c r="I2311" s="13"/>
      <c r="J2311" s="15"/>
      <c r="K2311" s="12"/>
      <c r="L2311" s="11"/>
      <c r="M2311" s="15"/>
      <c r="N2311" s="17"/>
      <c r="O2311" s="17"/>
      <c r="P2311" s="17"/>
      <c r="Q2311" s="48"/>
      <c r="R2311" s="11"/>
      <c r="S2311" s="48"/>
      <c r="T2311" s="85"/>
      <c r="U2311" s="88"/>
      <c r="V2311" s="32"/>
      <c r="W2311" s="25"/>
      <c r="X2311" s="11"/>
      <c r="Y2311" s="50"/>
      <c r="Z2311" s="50"/>
      <c r="AA2311" s="50"/>
      <c r="AB2311" s="50"/>
      <c r="AC2311" s="50"/>
      <c r="AD2311" s="50"/>
      <c r="AE2311" s="50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65"/>
      <c r="AP2311" s="69"/>
      <c r="AQ2311" s="62"/>
      <c r="AR2311" s="34"/>
    </row>
    <row r="2312" spans="1:44" customFormat="1">
      <c r="A2312" s="39"/>
      <c r="B2312" s="11"/>
      <c r="C2312" s="16"/>
      <c r="D2312" s="16"/>
      <c r="E2312" s="38"/>
      <c r="F2312" s="38"/>
      <c r="G2312" s="10"/>
      <c r="H2312" s="12"/>
      <c r="I2312" s="13"/>
      <c r="J2312" s="15"/>
      <c r="K2312" s="12"/>
      <c r="L2312" s="11"/>
      <c r="M2312" s="15"/>
      <c r="N2312" s="17"/>
      <c r="O2312" s="17"/>
      <c r="P2312" s="17"/>
      <c r="Q2312" s="48"/>
      <c r="R2312" s="11"/>
      <c r="S2312" s="48"/>
      <c r="T2312" s="85"/>
      <c r="U2312" s="88"/>
      <c r="V2312" s="32"/>
      <c r="W2312" s="25"/>
      <c r="X2312" s="11"/>
      <c r="Y2312" s="50"/>
      <c r="Z2312" s="50"/>
      <c r="AA2312" s="50"/>
      <c r="AB2312" s="50"/>
      <c r="AC2312" s="50"/>
      <c r="AD2312" s="50"/>
      <c r="AE2312" s="50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65"/>
      <c r="AP2312" s="69"/>
      <c r="AQ2312" s="62"/>
      <c r="AR2312" s="34"/>
    </row>
    <row r="2313" spans="1:44" customFormat="1">
      <c r="A2313" s="39"/>
      <c r="B2313" s="11"/>
      <c r="C2313" s="16"/>
      <c r="D2313" s="16"/>
      <c r="E2313" s="38"/>
      <c r="F2313" s="38"/>
      <c r="G2313" s="10"/>
      <c r="H2313" s="12"/>
      <c r="I2313" s="13"/>
      <c r="J2313" s="15"/>
      <c r="K2313" s="12"/>
      <c r="L2313" s="11"/>
      <c r="M2313" s="15"/>
      <c r="N2313" s="17"/>
      <c r="O2313" s="17"/>
      <c r="P2313" s="17"/>
      <c r="Q2313" s="48"/>
      <c r="R2313" s="11"/>
      <c r="S2313" s="48"/>
      <c r="T2313" s="85"/>
      <c r="U2313" s="88"/>
      <c r="V2313" s="32"/>
      <c r="W2313" s="25"/>
      <c r="X2313" s="11"/>
      <c r="Y2313" s="50"/>
      <c r="Z2313" s="50"/>
      <c r="AA2313" s="50"/>
      <c r="AB2313" s="50"/>
      <c r="AC2313" s="50"/>
      <c r="AD2313" s="50"/>
      <c r="AE2313" s="50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65"/>
      <c r="AP2313" s="69"/>
      <c r="AQ2313" s="62"/>
      <c r="AR2313" s="34"/>
    </row>
    <row r="2314" spans="1:44" customFormat="1">
      <c r="A2314" s="39"/>
      <c r="B2314" s="11"/>
      <c r="C2314" s="16"/>
      <c r="D2314" s="16"/>
      <c r="E2314" s="38"/>
      <c r="F2314" s="38"/>
      <c r="G2314" s="10"/>
      <c r="H2314" s="12"/>
      <c r="I2314" s="13"/>
      <c r="J2314" s="15"/>
      <c r="K2314" s="12"/>
      <c r="L2314" s="11"/>
      <c r="M2314" s="15"/>
      <c r="N2314" s="17"/>
      <c r="O2314" s="17"/>
      <c r="P2314" s="17"/>
      <c r="Q2314" s="48"/>
      <c r="R2314" s="11"/>
      <c r="S2314" s="48"/>
      <c r="T2314" s="85"/>
      <c r="U2314" s="88"/>
      <c r="V2314" s="32"/>
      <c r="W2314" s="25"/>
      <c r="X2314" s="11"/>
      <c r="Y2314" s="50"/>
      <c r="Z2314" s="50"/>
      <c r="AA2314" s="50"/>
      <c r="AB2314" s="50"/>
      <c r="AC2314" s="50"/>
      <c r="AD2314" s="50"/>
      <c r="AE2314" s="50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65"/>
      <c r="AP2314" s="69"/>
      <c r="AQ2314" s="62"/>
      <c r="AR2314" s="34"/>
    </row>
    <row r="2315" spans="1:44" customFormat="1">
      <c r="A2315" s="39"/>
      <c r="B2315" s="11"/>
      <c r="C2315" s="16"/>
      <c r="D2315" s="16"/>
      <c r="E2315" s="38"/>
      <c r="F2315" s="38"/>
      <c r="G2315" s="10"/>
      <c r="H2315" s="12"/>
      <c r="I2315" s="13"/>
      <c r="J2315" s="15"/>
      <c r="K2315" s="12"/>
      <c r="L2315" s="11"/>
      <c r="M2315" s="15"/>
      <c r="N2315" s="17"/>
      <c r="O2315" s="17"/>
      <c r="P2315" s="17"/>
      <c r="Q2315" s="48"/>
      <c r="R2315" s="11"/>
      <c r="S2315" s="48"/>
      <c r="T2315" s="85"/>
      <c r="U2315" s="88"/>
      <c r="V2315" s="32"/>
      <c r="W2315" s="25"/>
      <c r="X2315" s="11"/>
      <c r="Y2315" s="50"/>
      <c r="Z2315" s="50"/>
      <c r="AA2315" s="50"/>
      <c r="AB2315" s="50"/>
      <c r="AC2315" s="50"/>
      <c r="AD2315" s="50"/>
      <c r="AE2315" s="50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65"/>
      <c r="AP2315" s="69"/>
      <c r="AQ2315" s="62"/>
      <c r="AR2315" s="34"/>
    </row>
    <row r="2316" spans="1:44" customFormat="1">
      <c r="A2316" s="39"/>
      <c r="B2316" s="11"/>
      <c r="C2316" s="16"/>
      <c r="D2316" s="16"/>
      <c r="E2316" s="38"/>
      <c r="F2316" s="38"/>
      <c r="G2316" s="10"/>
      <c r="H2316" s="12"/>
      <c r="I2316" s="13"/>
      <c r="J2316" s="15"/>
      <c r="K2316" s="12"/>
      <c r="L2316" s="11"/>
      <c r="M2316" s="15"/>
      <c r="N2316" s="17"/>
      <c r="O2316" s="17"/>
      <c r="P2316" s="17"/>
      <c r="Q2316" s="48"/>
      <c r="R2316" s="11"/>
      <c r="S2316" s="48"/>
      <c r="T2316" s="85"/>
      <c r="U2316" s="88"/>
      <c r="V2316" s="32"/>
      <c r="W2316" s="25"/>
      <c r="X2316" s="11"/>
      <c r="Y2316" s="50"/>
      <c r="Z2316" s="50"/>
      <c r="AA2316" s="50"/>
      <c r="AB2316" s="50"/>
      <c r="AC2316" s="50"/>
      <c r="AD2316" s="50"/>
      <c r="AE2316" s="50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65"/>
      <c r="AP2316" s="69"/>
      <c r="AQ2316" s="62"/>
      <c r="AR2316" s="34"/>
    </row>
    <row r="2317" spans="1:44" customFormat="1">
      <c r="A2317" s="39"/>
      <c r="B2317" s="11"/>
      <c r="C2317" s="16"/>
      <c r="D2317" s="16"/>
      <c r="E2317" s="38"/>
      <c r="F2317" s="38"/>
      <c r="G2317" s="10"/>
      <c r="H2317" s="12"/>
      <c r="I2317" s="13"/>
      <c r="J2317" s="15"/>
      <c r="K2317" s="12"/>
      <c r="L2317" s="11"/>
      <c r="M2317" s="15"/>
      <c r="N2317" s="17"/>
      <c r="O2317" s="17"/>
      <c r="P2317" s="17"/>
      <c r="Q2317" s="48"/>
      <c r="R2317" s="11"/>
      <c r="S2317" s="48"/>
      <c r="T2317" s="85"/>
      <c r="U2317" s="88"/>
      <c r="V2317" s="32"/>
      <c r="W2317" s="25"/>
      <c r="X2317" s="11"/>
      <c r="Y2317" s="50"/>
      <c r="Z2317" s="50"/>
      <c r="AA2317" s="50"/>
      <c r="AB2317" s="50"/>
      <c r="AC2317" s="50"/>
      <c r="AD2317" s="50"/>
      <c r="AE2317" s="50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65"/>
      <c r="AP2317" s="69"/>
      <c r="AQ2317" s="62"/>
      <c r="AR2317" s="34"/>
    </row>
    <row r="2318" spans="1:44" customFormat="1">
      <c r="A2318" s="39"/>
      <c r="B2318" s="11"/>
      <c r="C2318" s="16"/>
      <c r="D2318" s="16"/>
      <c r="E2318" s="38"/>
      <c r="F2318" s="38"/>
      <c r="G2318" s="10"/>
      <c r="H2318" s="12"/>
      <c r="I2318" s="13"/>
      <c r="J2318" s="15"/>
      <c r="K2318" s="12"/>
      <c r="L2318" s="11"/>
      <c r="M2318" s="15"/>
      <c r="N2318" s="17"/>
      <c r="O2318" s="17"/>
      <c r="P2318" s="17"/>
      <c r="Q2318" s="48"/>
      <c r="R2318" s="11"/>
      <c r="S2318" s="48"/>
      <c r="T2318" s="85"/>
      <c r="U2318" s="88"/>
      <c r="V2318" s="32"/>
      <c r="W2318" s="25"/>
      <c r="X2318" s="11"/>
      <c r="Y2318" s="50"/>
      <c r="Z2318" s="50"/>
      <c r="AA2318" s="50"/>
      <c r="AB2318" s="50"/>
      <c r="AC2318" s="50"/>
      <c r="AD2318" s="50"/>
      <c r="AE2318" s="50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65"/>
      <c r="AP2318" s="69"/>
      <c r="AQ2318" s="62"/>
      <c r="AR2318" s="34"/>
    </row>
    <row r="2319" spans="1:44" customFormat="1">
      <c r="A2319" s="39"/>
      <c r="B2319" s="11"/>
      <c r="C2319" s="16"/>
      <c r="D2319" s="16"/>
      <c r="E2319" s="38"/>
      <c r="F2319" s="38"/>
      <c r="G2319" s="10"/>
      <c r="H2319" s="12"/>
      <c r="I2319" s="13"/>
      <c r="J2319" s="15"/>
      <c r="K2319" s="12"/>
      <c r="L2319" s="11"/>
      <c r="M2319" s="15"/>
      <c r="N2319" s="17"/>
      <c r="O2319" s="17"/>
      <c r="P2319" s="17"/>
      <c r="Q2319" s="48"/>
      <c r="R2319" s="11"/>
      <c r="S2319" s="48"/>
      <c r="T2319" s="85"/>
      <c r="U2319" s="88"/>
      <c r="V2319" s="32"/>
      <c r="W2319" s="25"/>
      <c r="X2319" s="11"/>
      <c r="Y2319" s="50"/>
      <c r="Z2319" s="50"/>
      <c r="AA2319" s="50"/>
      <c r="AB2319" s="50"/>
      <c r="AC2319" s="50"/>
      <c r="AD2319" s="50"/>
      <c r="AE2319" s="50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65"/>
      <c r="AP2319" s="69"/>
      <c r="AQ2319" s="62"/>
      <c r="AR2319" s="34"/>
    </row>
    <row r="2320" spans="1:44" customFormat="1">
      <c r="A2320" s="39"/>
      <c r="B2320" s="11"/>
      <c r="C2320" s="16"/>
      <c r="D2320" s="16"/>
      <c r="E2320" s="38"/>
      <c r="F2320" s="38"/>
      <c r="G2320" s="10"/>
      <c r="H2320" s="12"/>
      <c r="I2320" s="13"/>
      <c r="J2320" s="15"/>
      <c r="K2320" s="12"/>
      <c r="L2320" s="11"/>
      <c r="M2320" s="15"/>
      <c r="N2320" s="17"/>
      <c r="O2320" s="17"/>
      <c r="P2320" s="17"/>
      <c r="Q2320" s="48"/>
      <c r="R2320" s="11"/>
      <c r="S2320" s="48"/>
      <c r="T2320" s="85"/>
      <c r="U2320" s="88"/>
      <c r="V2320" s="32"/>
      <c r="W2320" s="25"/>
      <c r="X2320" s="11"/>
      <c r="Y2320" s="50"/>
      <c r="Z2320" s="50"/>
      <c r="AA2320" s="50"/>
      <c r="AB2320" s="50"/>
      <c r="AC2320" s="50"/>
      <c r="AD2320" s="50"/>
      <c r="AE2320" s="50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65"/>
      <c r="AP2320" s="69"/>
      <c r="AQ2320" s="62"/>
      <c r="AR2320" s="34"/>
    </row>
    <row r="2321" spans="1:44" customFormat="1">
      <c r="A2321" s="39"/>
      <c r="B2321" s="11"/>
      <c r="C2321" s="16"/>
      <c r="D2321" s="16"/>
      <c r="E2321" s="38"/>
      <c r="F2321" s="38"/>
      <c r="G2321" s="10"/>
      <c r="H2321" s="12"/>
      <c r="I2321" s="13"/>
      <c r="J2321" s="15"/>
      <c r="K2321" s="12"/>
      <c r="L2321" s="11"/>
      <c r="M2321" s="15"/>
      <c r="N2321" s="17"/>
      <c r="O2321" s="17"/>
      <c r="P2321" s="17"/>
      <c r="Q2321" s="48"/>
      <c r="R2321" s="11"/>
      <c r="S2321" s="48"/>
      <c r="T2321" s="85"/>
      <c r="U2321" s="88"/>
      <c r="V2321" s="32"/>
      <c r="W2321" s="25"/>
      <c r="X2321" s="11"/>
      <c r="Y2321" s="50"/>
      <c r="Z2321" s="50"/>
      <c r="AA2321" s="50"/>
      <c r="AB2321" s="50"/>
      <c r="AC2321" s="50"/>
      <c r="AD2321" s="50"/>
      <c r="AE2321" s="50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65"/>
      <c r="AP2321" s="69"/>
      <c r="AQ2321" s="62"/>
      <c r="AR2321" s="34"/>
    </row>
    <row r="2322" spans="1:44" customFormat="1">
      <c r="A2322" s="39"/>
      <c r="B2322" s="11"/>
      <c r="C2322" s="16"/>
      <c r="D2322" s="16"/>
      <c r="E2322" s="38"/>
      <c r="F2322" s="38"/>
      <c r="G2322" s="10"/>
      <c r="H2322" s="12"/>
      <c r="I2322" s="13"/>
      <c r="J2322" s="15"/>
      <c r="K2322" s="12"/>
      <c r="L2322" s="11"/>
      <c r="M2322" s="15"/>
      <c r="N2322" s="17"/>
      <c r="O2322" s="17"/>
      <c r="P2322" s="17"/>
      <c r="Q2322" s="48"/>
      <c r="R2322" s="11"/>
      <c r="S2322" s="48"/>
      <c r="T2322" s="85"/>
      <c r="U2322" s="88"/>
      <c r="V2322" s="32"/>
      <c r="W2322" s="25"/>
      <c r="X2322" s="11"/>
      <c r="Y2322" s="50"/>
      <c r="Z2322" s="50"/>
      <c r="AA2322" s="50"/>
      <c r="AB2322" s="50"/>
      <c r="AC2322" s="50"/>
      <c r="AD2322" s="50"/>
      <c r="AE2322" s="50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65"/>
      <c r="AP2322" s="69"/>
      <c r="AQ2322" s="62"/>
      <c r="AR2322" s="34"/>
    </row>
    <row r="2323" spans="1:44" customFormat="1">
      <c r="A2323" s="39"/>
      <c r="B2323" s="11"/>
      <c r="C2323" s="16"/>
      <c r="D2323" s="16"/>
      <c r="E2323" s="38"/>
      <c r="F2323" s="38"/>
      <c r="G2323" s="10"/>
      <c r="H2323" s="12"/>
      <c r="I2323" s="13"/>
      <c r="J2323" s="15"/>
      <c r="K2323" s="12"/>
      <c r="L2323" s="11"/>
      <c r="M2323" s="15"/>
      <c r="N2323" s="17"/>
      <c r="O2323" s="17"/>
      <c r="P2323" s="17"/>
      <c r="Q2323" s="48"/>
      <c r="R2323" s="11"/>
      <c r="S2323" s="48"/>
      <c r="T2323" s="85"/>
      <c r="U2323" s="88"/>
      <c r="V2323" s="32"/>
      <c r="W2323" s="25"/>
      <c r="X2323" s="11"/>
      <c r="Y2323" s="50"/>
      <c r="Z2323" s="50"/>
      <c r="AA2323" s="50"/>
      <c r="AB2323" s="50"/>
      <c r="AC2323" s="50"/>
      <c r="AD2323" s="50"/>
      <c r="AE2323" s="50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65"/>
      <c r="AP2323" s="69"/>
      <c r="AQ2323" s="62"/>
      <c r="AR2323" s="34"/>
    </row>
    <row r="2324" spans="1:44" customFormat="1">
      <c r="A2324" s="39"/>
      <c r="B2324" s="11"/>
      <c r="C2324" s="16"/>
      <c r="D2324" s="16"/>
      <c r="E2324" s="38"/>
      <c r="F2324" s="38"/>
      <c r="G2324" s="10"/>
      <c r="H2324" s="12"/>
      <c r="I2324" s="13"/>
      <c r="J2324" s="15"/>
      <c r="K2324" s="12"/>
      <c r="L2324" s="11"/>
      <c r="M2324" s="15"/>
      <c r="N2324" s="17"/>
      <c r="O2324" s="17"/>
      <c r="P2324" s="17"/>
      <c r="Q2324" s="48"/>
      <c r="R2324" s="11"/>
      <c r="S2324" s="48"/>
      <c r="T2324" s="85"/>
      <c r="U2324" s="88"/>
      <c r="V2324" s="32"/>
      <c r="W2324" s="25"/>
      <c r="X2324" s="11"/>
      <c r="Y2324" s="50"/>
      <c r="Z2324" s="50"/>
      <c r="AA2324" s="50"/>
      <c r="AB2324" s="50"/>
      <c r="AC2324" s="50"/>
      <c r="AD2324" s="50"/>
      <c r="AE2324" s="50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65"/>
      <c r="AP2324" s="69"/>
      <c r="AQ2324" s="62"/>
      <c r="AR2324" s="34"/>
    </row>
    <row r="2325" spans="1:44" customFormat="1">
      <c r="A2325" s="39"/>
      <c r="B2325" s="11"/>
      <c r="C2325" s="16"/>
      <c r="D2325" s="16"/>
      <c r="E2325" s="38"/>
      <c r="F2325" s="38"/>
      <c r="G2325" s="10"/>
      <c r="H2325" s="12"/>
      <c r="I2325" s="13"/>
      <c r="J2325" s="15"/>
      <c r="K2325" s="12"/>
      <c r="L2325" s="11"/>
      <c r="M2325" s="15"/>
      <c r="N2325" s="17"/>
      <c r="O2325" s="17"/>
      <c r="P2325" s="17"/>
      <c r="Q2325" s="48"/>
      <c r="R2325" s="11"/>
      <c r="S2325" s="48"/>
      <c r="T2325" s="85"/>
      <c r="U2325" s="88"/>
      <c r="V2325" s="32"/>
      <c r="W2325" s="25"/>
      <c r="X2325" s="11"/>
      <c r="Y2325" s="50"/>
      <c r="Z2325" s="50"/>
      <c r="AA2325" s="50"/>
      <c r="AB2325" s="50"/>
      <c r="AC2325" s="50"/>
      <c r="AD2325" s="50"/>
      <c r="AE2325" s="50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65"/>
      <c r="AP2325" s="69"/>
      <c r="AQ2325" s="62"/>
      <c r="AR2325" s="34"/>
    </row>
    <row r="2326" spans="1:44" customFormat="1">
      <c r="A2326" s="39"/>
      <c r="B2326" s="11"/>
      <c r="C2326" s="16"/>
      <c r="D2326" s="16"/>
      <c r="E2326" s="38"/>
      <c r="F2326" s="38"/>
      <c r="G2326" s="10"/>
      <c r="H2326" s="12"/>
      <c r="I2326" s="13"/>
      <c r="J2326" s="15"/>
      <c r="K2326" s="12"/>
      <c r="L2326" s="11"/>
      <c r="M2326" s="15"/>
      <c r="N2326" s="17"/>
      <c r="O2326" s="17"/>
      <c r="P2326" s="17"/>
      <c r="Q2326" s="48"/>
      <c r="R2326" s="11"/>
      <c r="S2326" s="48"/>
      <c r="T2326" s="85"/>
      <c r="U2326" s="88"/>
      <c r="V2326" s="32"/>
      <c r="W2326" s="25"/>
      <c r="X2326" s="11"/>
      <c r="Y2326" s="50"/>
      <c r="Z2326" s="50"/>
      <c r="AA2326" s="50"/>
      <c r="AB2326" s="50"/>
      <c r="AC2326" s="50"/>
      <c r="AD2326" s="50"/>
      <c r="AE2326" s="50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65"/>
      <c r="AP2326" s="69"/>
      <c r="AQ2326" s="62"/>
      <c r="AR2326" s="34"/>
    </row>
    <row r="2327" spans="1:44" customFormat="1">
      <c r="A2327" s="39"/>
      <c r="B2327" s="11"/>
      <c r="C2327" s="16"/>
      <c r="D2327" s="16"/>
      <c r="E2327" s="38"/>
      <c r="F2327" s="38"/>
      <c r="G2327" s="10"/>
      <c r="H2327" s="12"/>
      <c r="I2327" s="13"/>
      <c r="J2327" s="15"/>
      <c r="K2327" s="12"/>
      <c r="L2327" s="11"/>
      <c r="M2327" s="15"/>
      <c r="N2327" s="17"/>
      <c r="O2327" s="17"/>
      <c r="P2327" s="17"/>
      <c r="Q2327" s="48"/>
      <c r="R2327" s="11"/>
      <c r="S2327" s="48"/>
      <c r="T2327" s="85"/>
      <c r="U2327" s="88"/>
      <c r="V2327" s="32"/>
      <c r="W2327" s="25"/>
      <c r="X2327" s="11"/>
      <c r="Y2327" s="50"/>
      <c r="Z2327" s="50"/>
      <c r="AA2327" s="50"/>
      <c r="AB2327" s="50"/>
      <c r="AC2327" s="50"/>
      <c r="AD2327" s="50"/>
      <c r="AE2327" s="50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65"/>
      <c r="AP2327" s="69"/>
      <c r="AQ2327" s="62"/>
      <c r="AR2327" s="34"/>
    </row>
    <row r="2328" spans="1:44" customFormat="1">
      <c r="A2328" s="39"/>
      <c r="B2328" s="11"/>
      <c r="C2328" s="16"/>
      <c r="D2328" s="16"/>
      <c r="E2328" s="38"/>
      <c r="F2328" s="38"/>
      <c r="G2328" s="10"/>
      <c r="H2328" s="12"/>
      <c r="I2328" s="13"/>
      <c r="J2328" s="15"/>
      <c r="K2328" s="12"/>
      <c r="L2328" s="11"/>
      <c r="M2328" s="15"/>
      <c r="N2328" s="17"/>
      <c r="O2328" s="17"/>
      <c r="P2328" s="17"/>
      <c r="Q2328" s="48"/>
      <c r="R2328" s="11"/>
      <c r="S2328" s="48"/>
      <c r="T2328" s="85"/>
      <c r="U2328" s="88"/>
      <c r="V2328" s="32"/>
      <c r="W2328" s="25"/>
      <c r="X2328" s="11"/>
      <c r="Y2328" s="50"/>
      <c r="Z2328" s="50"/>
      <c r="AA2328" s="50"/>
      <c r="AB2328" s="50"/>
      <c r="AC2328" s="50"/>
      <c r="AD2328" s="50"/>
      <c r="AE2328" s="50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65"/>
      <c r="AP2328" s="69"/>
      <c r="AQ2328" s="62"/>
      <c r="AR2328" s="34"/>
    </row>
    <row r="2329" spans="1:44" customFormat="1">
      <c r="A2329" s="39"/>
      <c r="B2329" s="11"/>
      <c r="C2329" s="16"/>
      <c r="D2329" s="16"/>
      <c r="E2329" s="38"/>
      <c r="F2329" s="38"/>
      <c r="G2329" s="10"/>
      <c r="H2329" s="12"/>
      <c r="I2329" s="13"/>
      <c r="J2329" s="15"/>
      <c r="K2329" s="12"/>
      <c r="L2329" s="11"/>
      <c r="M2329" s="15"/>
      <c r="N2329" s="17"/>
      <c r="O2329" s="17"/>
      <c r="P2329" s="17"/>
      <c r="Q2329" s="48"/>
      <c r="R2329" s="11"/>
      <c r="S2329" s="48"/>
      <c r="T2329" s="85"/>
      <c r="U2329" s="88"/>
      <c r="V2329" s="32"/>
      <c r="W2329" s="25"/>
      <c r="X2329" s="11"/>
      <c r="Y2329" s="50"/>
      <c r="Z2329" s="50"/>
      <c r="AA2329" s="50"/>
      <c r="AB2329" s="50"/>
      <c r="AC2329" s="50"/>
      <c r="AD2329" s="50"/>
      <c r="AE2329" s="50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65"/>
      <c r="AP2329" s="69"/>
      <c r="AQ2329" s="62"/>
      <c r="AR2329" s="34"/>
    </row>
    <row r="2330" spans="1:44" customFormat="1">
      <c r="A2330" s="39"/>
      <c r="B2330" s="11"/>
      <c r="C2330" s="16"/>
      <c r="D2330" s="16"/>
      <c r="E2330" s="38"/>
      <c r="F2330" s="38"/>
      <c r="G2330" s="10"/>
      <c r="H2330" s="12"/>
      <c r="I2330" s="13"/>
      <c r="J2330" s="15"/>
      <c r="K2330" s="12"/>
      <c r="L2330" s="11"/>
      <c r="M2330" s="15"/>
      <c r="N2330" s="17"/>
      <c r="O2330" s="17"/>
      <c r="P2330" s="17"/>
      <c r="Q2330" s="48"/>
      <c r="R2330" s="11"/>
      <c r="S2330" s="48"/>
      <c r="T2330" s="85"/>
      <c r="U2330" s="88"/>
      <c r="V2330" s="32"/>
      <c r="W2330" s="25"/>
      <c r="X2330" s="11"/>
      <c r="Y2330" s="50"/>
      <c r="Z2330" s="50"/>
      <c r="AA2330" s="50"/>
      <c r="AB2330" s="50"/>
      <c r="AC2330" s="50"/>
      <c r="AD2330" s="50"/>
      <c r="AE2330" s="50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65"/>
      <c r="AP2330" s="69"/>
      <c r="AQ2330" s="62"/>
      <c r="AR2330" s="34"/>
    </row>
    <row r="2331" spans="1:44" customFormat="1">
      <c r="A2331" s="39"/>
      <c r="B2331" s="11"/>
      <c r="C2331" s="16"/>
      <c r="D2331" s="16"/>
      <c r="E2331" s="38"/>
      <c r="F2331" s="38"/>
      <c r="G2331" s="10"/>
      <c r="H2331" s="12"/>
      <c r="I2331" s="13"/>
      <c r="J2331" s="15"/>
      <c r="K2331" s="12"/>
      <c r="L2331" s="11"/>
      <c r="M2331" s="15"/>
      <c r="N2331" s="17"/>
      <c r="O2331" s="17"/>
      <c r="P2331" s="17"/>
      <c r="Q2331" s="48"/>
      <c r="R2331" s="11"/>
      <c r="S2331" s="48"/>
      <c r="T2331" s="85"/>
      <c r="U2331" s="88"/>
      <c r="V2331" s="32"/>
      <c r="W2331" s="25"/>
      <c r="X2331" s="11"/>
      <c r="Y2331" s="50"/>
      <c r="Z2331" s="50"/>
      <c r="AA2331" s="50"/>
      <c r="AB2331" s="50"/>
      <c r="AC2331" s="50"/>
      <c r="AD2331" s="50"/>
      <c r="AE2331" s="50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65"/>
      <c r="AP2331" s="69"/>
      <c r="AQ2331" s="62"/>
      <c r="AR2331" s="34"/>
    </row>
    <row r="2332" spans="1:44" customFormat="1">
      <c r="A2332" s="39"/>
      <c r="B2332" s="11"/>
      <c r="C2332" s="16"/>
      <c r="D2332" s="16"/>
      <c r="E2332" s="38"/>
      <c r="F2332" s="38"/>
      <c r="G2332" s="10"/>
      <c r="H2332" s="12"/>
      <c r="I2332" s="13"/>
      <c r="J2332" s="15"/>
      <c r="K2332" s="12"/>
      <c r="L2332" s="11"/>
      <c r="M2332" s="15"/>
      <c r="N2332" s="17"/>
      <c r="O2332" s="17"/>
      <c r="P2332" s="17"/>
      <c r="Q2332" s="48"/>
      <c r="R2332" s="11"/>
      <c r="S2332" s="48"/>
      <c r="T2332" s="85"/>
      <c r="U2332" s="88"/>
      <c r="V2332" s="32"/>
      <c r="W2332" s="25"/>
      <c r="X2332" s="11"/>
      <c r="Y2332" s="50"/>
      <c r="Z2332" s="50"/>
      <c r="AA2332" s="50"/>
      <c r="AB2332" s="50"/>
      <c r="AC2332" s="50"/>
      <c r="AD2332" s="50"/>
      <c r="AE2332" s="50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65"/>
      <c r="AP2332" s="69"/>
      <c r="AQ2332" s="62"/>
      <c r="AR2332" s="34"/>
    </row>
    <row r="2333" spans="1:44" customFormat="1">
      <c r="A2333" s="39"/>
      <c r="B2333" s="11"/>
      <c r="C2333" s="16"/>
      <c r="D2333" s="16"/>
      <c r="E2333" s="38"/>
      <c r="F2333" s="38"/>
      <c r="G2333" s="10"/>
      <c r="H2333" s="12"/>
      <c r="I2333" s="13"/>
      <c r="J2333" s="15"/>
      <c r="K2333" s="12"/>
      <c r="L2333" s="11"/>
      <c r="M2333" s="15"/>
      <c r="N2333" s="17"/>
      <c r="O2333" s="17"/>
      <c r="P2333" s="17"/>
      <c r="Q2333" s="48"/>
      <c r="R2333" s="11"/>
      <c r="S2333" s="48"/>
      <c r="T2333" s="85"/>
      <c r="U2333" s="88"/>
      <c r="V2333" s="32"/>
      <c r="W2333" s="25"/>
      <c r="X2333" s="11"/>
      <c r="Y2333" s="50"/>
      <c r="Z2333" s="50"/>
      <c r="AA2333" s="50"/>
      <c r="AB2333" s="50"/>
      <c r="AC2333" s="50"/>
      <c r="AD2333" s="50"/>
      <c r="AE2333" s="50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65"/>
      <c r="AP2333" s="69"/>
      <c r="AQ2333" s="62"/>
      <c r="AR2333" s="34"/>
    </row>
    <row r="2334" spans="1:44" customFormat="1">
      <c r="A2334" s="39"/>
      <c r="B2334" s="11"/>
      <c r="C2334" s="16"/>
      <c r="D2334" s="16"/>
      <c r="E2334" s="38"/>
      <c r="F2334" s="38"/>
      <c r="G2334" s="10"/>
      <c r="H2334" s="12"/>
      <c r="I2334" s="13"/>
      <c r="J2334" s="15"/>
      <c r="K2334" s="12"/>
      <c r="L2334" s="11"/>
      <c r="M2334" s="15"/>
      <c r="N2334" s="17"/>
      <c r="O2334" s="17"/>
      <c r="P2334" s="17"/>
      <c r="Q2334" s="48"/>
      <c r="R2334" s="11"/>
      <c r="S2334" s="48"/>
      <c r="T2334" s="85"/>
      <c r="U2334" s="88"/>
      <c r="V2334" s="32"/>
      <c r="W2334" s="25"/>
      <c r="X2334" s="11"/>
      <c r="Y2334" s="50"/>
      <c r="Z2334" s="50"/>
      <c r="AA2334" s="50"/>
      <c r="AB2334" s="50"/>
      <c r="AC2334" s="50"/>
      <c r="AD2334" s="50"/>
      <c r="AE2334" s="50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65"/>
      <c r="AP2334" s="69"/>
      <c r="AQ2334" s="62"/>
      <c r="AR2334" s="34"/>
    </row>
    <row r="2335" spans="1:44" customFormat="1">
      <c r="A2335" s="39"/>
      <c r="B2335" s="11"/>
      <c r="C2335" s="16"/>
      <c r="D2335" s="16"/>
      <c r="E2335" s="38"/>
      <c r="F2335" s="38"/>
      <c r="G2335" s="10"/>
      <c r="H2335" s="12"/>
      <c r="I2335" s="13"/>
      <c r="J2335" s="15"/>
      <c r="K2335" s="12"/>
      <c r="L2335" s="11"/>
      <c r="M2335" s="15"/>
      <c r="N2335" s="17"/>
      <c r="O2335" s="17"/>
      <c r="P2335" s="17"/>
      <c r="Q2335" s="48"/>
      <c r="R2335" s="11"/>
      <c r="S2335" s="48"/>
      <c r="T2335" s="85"/>
      <c r="U2335" s="88"/>
      <c r="V2335" s="32"/>
      <c r="W2335" s="25"/>
      <c r="X2335" s="11"/>
      <c r="Y2335" s="50"/>
      <c r="Z2335" s="50"/>
      <c r="AA2335" s="50"/>
      <c r="AB2335" s="50"/>
      <c r="AC2335" s="50"/>
      <c r="AD2335" s="50"/>
      <c r="AE2335" s="50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65"/>
      <c r="AP2335" s="69"/>
      <c r="AQ2335" s="62"/>
      <c r="AR2335" s="34"/>
    </row>
    <row r="2336" spans="1:44" customFormat="1">
      <c r="A2336" s="39"/>
      <c r="B2336" s="11"/>
      <c r="C2336" s="16"/>
      <c r="D2336" s="16"/>
      <c r="E2336" s="38"/>
      <c r="F2336" s="38"/>
      <c r="G2336" s="10"/>
      <c r="H2336" s="12"/>
      <c r="I2336" s="13"/>
      <c r="J2336" s="15"/>
      <c r="K2336" s="12"/>
      <c r="L2336" s="11"/>
      <c r="M2336" s="15"/>
      <c r="N2336" s="17"/>
      <c r="O2336" s="17"/>
      <c r="P2336" s="17"/>
      <c r="Q2336" s="48"/>
      <c r="R2336" s="11"/>
      <c r="S2336" s="48"/>
      <c r="T2336" s="85"/>
      <c r="U2336" s="88"/>
      <c r="V2336" s="32"/>
      <c r="W2336" s="25"/>
      <c r="X2336" s="11"/>
      <c r="Y2336" s="50"/>
      <c r="Z2336" s="50"/>
      <c r="AA2336" s="50"/>
      <c r="AB2336" s="50"/>
      <c r="AC2336" s="50"/>
      <c r="AD2336" s="50"/>
      <c r="AE2336" s="50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65"/>
      <c r="AP2336" s="69"/>
      <c r="AQ2336" s="62"/>
      <c r="AR2336" s="34"/>
    </row>
    <row r="2337" spans="1:44" customFormat="1">
      <c r="A2337" s="39"/>
      <c r="B2337" s="11"/>
      <c r="C2337" s="16"/>
      <c r="D2337" s="16"/>
      <c r="E2337" s="38"/>
      <c r="F2337" s="38"/>
      <c r="G2337" s="10"/>
      <c r="H2337" s="12"/>
      <c r="I2337" s="13"/>
      <c r="J2337" s="15"/>
      <c r="K2337" s="12"/>
      <c r="L2337" s="11"/>
      <c r="M2337" s="15"/>
      <c r="N2337" s="17"/>
      <c r="O2337" s="17"/>
      <c r="P2337" s="17"/>
      <c r="Q2337" s="48"/>
      <c r="R2337" s="11"/>
      <c r="S2337" s="48"/>
      <c r="T2337" s="85"/>
      <c r="U2337" s="88"/>
      <c r="V2337" s="32"/>
      <c r="W2337" s="25"/>
      <c r="X2337" s="11"/>
      <c r="Y2337" s="50"/>
      <c r="Z2337" s="50"/>
      <c r="AA2337" s="50"/>
      <c r="AB2337" s="50"/>
      <c r="AC2337" s="50"/>
      <c r="AD2337" s="50"/>
      <c r="AE2337" s="50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65"/>
      <c r="AP2337" s="69"/>
      <c r="AQ2337" s="62"/>
      <c r="AR2337" s="34"/>
    </row>
    <row r="2338" spans="1:44" customFormat="1">
      <c r="A2338" s="39"/>
      <c r="B2338" s="11"/>
      <c r="C2338" s="16"/>
      <c r="D2338" s="16"/>
      <c r="E2338" s="38"/>
      <c r="F2338" s="38"/>
      <c r="G2338" s="10"/>
      <c r="H2338" s="12"/>
      <c r="I2338" s="13"/>
      <c r="J2338" s="15"/>
      <c r="K2338" s="12"/>
      <c r="L2338" s="11"/>
      <c r="M2338" s="15"/>
      <c r="N2338" s="17"/>
      <c r="O2338" s="17"/>
      <c r="P2338" s="17"/>
      <c r="Q2338" s="48"/>
      <c r="R2338" s="11"/>
      <c r="S2338" s="48"/>
      <c r="T2338" s="85"/>
      <c r="U2338" s="88"/>
      <c r="V2338" s="32"/>
      <c r="W2338" s="25"/>
      <c r="X2338" s="11"/>
      <c r="Y2338" s="50"/>
      <c r="Z2338" s="50"/>
      <c r="AA2338" s="50"/>
      <c r="AB2338" s="50"/>
      <c r="AC2338" s="50"/>
      <c r="AD2338" s="50"/>
      <c r="AE2338" s="50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65"/>
      <c r="AP2338" s="69"/>
      <c r="AQ2338" s="62"/>
      <c r="AR2338" s="34"/>
    </row>
    <row r="2339" spans="1:44" customFormat="1">
      <c r="A2339" s="39"/>
      <c r="B2339" s="11"/>
      <c r="C2339" s="16"/>
      <c r="D2339" s="16"/>
      <c r="E2339" s="38"/>
      <c r="F2339" s="38"/>
      <c r="G2339" s="10"/>
      <c r="H2339" s="12"/>
      <c r="I2339" s="13"/>
      <c r="J2339" s="15"/>
      <c r="K2339" s="12"/>
      <c r="L2339" s="11"/>
      <c r="M2339" s="15"/>
      <c r="N2339" s="17"/>
      <c r="O2339" s="17"/>
      <c r="P2339" s="17"/>
      <c r="Q2339" s="48"/>
      <c r="R2339" s="11"/>
      <c r="S2339" s="48"/>
      <c r="T2339" s="85"/>
      <c r="U2339" s="88"/>
      <c r="V2339" s="32"/>
      <c r="W2339" s="25"/>
      <c r="X2339" s="11"/>
      <c r="Y2339" s="50"/>
      <c r="Z2339" s="50"/>
      <c r="AA2339" s="50"/>
      <c r="AB2339" s="50"/>
      <c r="AC2339" s="50"/>
      <c r="AD2339" s="50"/>
      <c r="AE2339" s="50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65"/>
      <c r="AP2339" s="69"/>
      <c r="AQ2339" s="62"/>
      <c r="AR2339" s="34"/>
    </row>
    <row r="2340" spans="1:44" customFormat="1">
      <c r="A2340" s="39"/>
      <c r="B2340" s="11"/>
      <c r="C2340" s="16"/>
      <c r="D2340" s="16"/>
      <c r="E2340" s="38"/>
      <c r="F2340" s="38"/>
      <c r="G2340" s="10"/>
      <c r="H2340" s="12"/>
      <c r="I2340" s="13"/>
      <c r="J2340" s="15"/>
      <c r="K2340" s="12"/>
      <c r="L2340" s="11"/>
      <c r="M2340" s="15"/>
      <c r="N2340" s="17"/>
      <c r="O2340" s="17"/>
      <c r="P2340" s="17"/>
      <c r="Q2340" s="48"/>
      <c r="R2340" s="11"/>
      <c r="S2340" s="48"/>
      <c r="T2340" s="85"/>
      <c r="U2340" s="88"/>
      <c r="V2340" s="32"/>
      <c r="W2340" s="25"/>
      <c r="X2340" s="11"/>
      <c r="Y2340" s="50"/>
      <c r="Z2340" s="50"/>
      <c r="AA2340" s="50"/>
      <c r="AB2340" s="50"/>
      <c r="AC2340" s="50"/>
      <c r="AD2340" s="50"/>
      <c r="AE2340" s="50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65"/>
      <c r="AP2340" s="69"/>
      <c r="AQ2340" s="62"/>
      <c r="AR2340" s="34"/>
    </row>
    <row r="2341" spans="1:44" customFormat="1">
      <c r="A2341" s="39"/>
      <c r="B2341" s="11"/>
      <c r="C2341" s="16"/>
      <c r="D2341" s="16"/>
      <c r="E2341" s="38"/>
      <c r="F2341" s="38"/>
      <c r="G2341" s="10"/>
      <c r="H2341" s="12"/>
      <c r="I2341" s="13"/>
      <c r="J2341" s="15"/>
      <c r="K2341" s="12"/>
      <c r="L2341" s="11"/>
      <c r="M2341" s="15"/>
      <c r="N2341" s="17"/>
      <c r="O2341" s="17"/>
      <c r="P2341" s="17"/>
      <c r="Q2341" s="48"/>
      <c r="R2341" s="11"/>
      <c r="S2341" s="48"/>
      <c r="T2341" s="85"/>
      <c r="U2341" s="88"/>
      <c r="V2341" s="32"/>
      <c r="W2341" s="25"/>
      <c r="X2341" s="11"/>
      <c r="Y2341" s="50"/>
      <c r="Z2341" s="50"/>
      <c r="AA2341" s="50"/>
      <c r="AB2341" s="50"/>
      <c r="AC2341" s="50"/>
      <c r="AD2341" s="50"/>
      <c r="AE2341" s="50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65"/>
      <c r="AP2341" s="69"/>
      <c r="AQ2341" s="62"/>
      <c r="AR2341" s="34"/>
    </row>
    <row r="2342" spans="1:44" customFormat="1">
      <c r="A2342" s="39"/>
      <c r="B2342" s="11"/>
      <c r="C2342" s="16"/>
      <c r="D2342" s="16"/>
      <c r="E2342" s="38"/>
      <c r="F2342" s="38"/>
      <c r="G2342" s="10"/>
      <c r="H2342" s="12"/>
      <c r="I2342" s="13"/>
      <c r="J2342" s="15"/>
      <c r="K2342" s="12"/>
      <c r="L2342" s="11"/>
      <c r="M2342" s="15"/>
      <c r="N2342" s="17"/>
      <c r="O2342" s="17"/>
      <c r="P2342" s="17"/>
      <c r="Q2342" s="48"/>
      <c r="R2342" s="11"/>
      <c r="S2342" s="48"/>
      <c r="T2342" s="85"/>
      <c r="U2342" s="88"/>
      <c r="V2342" s="32"/>
      <c r="W2342" s="25"/>
      <c r="X2342" s="11"/>
      <c r="Y2342" s="50"/>
      <c r="Z2342" s="50"/>
      <c r="AA2342" s="50"/>
      <c r="AB2342" s="50"/>
      <c r="AC2342" s="50"/>
      <c r="AD2342" s="50"/>
      <c r="AE2342" s="50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65"/>
      <c r="AP2342" s="69"/>
      <c r="AQ2342" s="62"/>
      <c r="AR2342" s="34"/>
    </row>
    <row r="2343" spans="1:44" customFormat="1">
      <c r="A2343" s="39"/>
      <c r="B2343" s="11"/>
      <c r="C2343" s="16"/>
      <c r="D2343" s="16"/>
      <c r="E2343" s="38"/>
      <c r="F2343" s="38"/>
      <c r="G2343" s="10"/>
      <c r="H2343" s="12"/>
      <c r="I2343" s="13"/>
      <c r="J2343" s="15"/>
      <c r="K2343" s="12"/>
      <c r="L2343" s="11"/>
      <c r="M2343" s="15"/>
      <c r="N2343" s="17"/>
      <c r="O2343" s="17"/>
      <c r="P2343" s="17"/>
      <c r="Q2343" s="48"/>
      <c r="R2343" s="11"/>
      <c r="S2343" s="48"/>
      <c r="T2343" s="85"/>
      <c r="U2343" s="88"/>
      <c r="V2343" s="32"/>
      <c r="W2343" s="25"/>
      <c r="X2343" s="11"/>
      <c r="Y2343" s="50"/>
      <c r="Z2343" s="50"/>
      <c r="AA2343" s="50"/>
      <c r="AB2343" s="50"/>
      <c r="AC2343" s="50"/>
      <c r="AD2343" s="50"/>
      <c r="AE2343" s="50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65"/>
      <c r="AP2343" s="69"/>
      <c r="AQ2343" s="62"/>
      <c r="AR2343" s="34"/>
    </row>
    <row r="2344" spans="1:44" customFormat="1">
      <c r="A2344" s="39"/>
      <c r="B2344" s="11"/>
      <c r="C2344" s="16"/>
      <c r="D2344" s="16"/>
      <c r="E2344" s="38"/>
      <c r="F2344" s="38"/>
      <c r="G2344" s="10"/>
      <c r="H2344" s="12"/>
      <c r="I2344" s="13"/>
      <c r="J2344" s="15"/>
      <c r="K2344" s="12"/>
      <c r="L2344" s="11"/>
      <c r="M2344" s="15"/>
      <c r="N2344" s="17"/>
      <c r="O2344" s="17"/>
      <c r="P2344" s="17"/>
      <c r="Q2344" s="48"/>
      <c r="R2344" s="11"/>
      <c r="S2344" s="48"/>
      <c r="T2344" s="85"/>
      <c r="U2344" s="88"/>
      <c r="V2344" s="32"/>
      <c r="W2344" s="25"/>
      <c r="X2344" s="11"/>
      <c r="Y2344" s="50"/>
      <c r="Z2344" s="50"/>
      <c r="AA2344" s="50"/>
      <c r="AB2344" s="50"/>
      <c r="AC2344" s="50"/>
      <c r="AD2344" s="50"/>
      <c r="AE2344" s="50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65"/>
      <c r="AP2344" s="69"/>
      <c r="AQ2344" s="62"/>
      <c r="AR2344" s="34"/>
    </row>
    <row r="2345" spans="1:44" customFormat="1">
      <c r="A2345" s="39"/>
      <c r="B2345" s="11"/>
      <c r="C2345" s="16"/>
      <c r="D2345" s="16"/>
      <c r="E2345" s="38"/>
      <c r="F2345" s="38"/>
      <c r="G2345" s="10"/>
      <c r="H2345" s="12"/>
      <c r="I2345" s="13"/>
      <c r="J2345" s="15"/>
      <c r="K2345" s="12"/>
      <c r="L2345" s="11"/>
      <c r="M2345" s="15"/>
      <c r="N2345" s="17"/>
      <c r="O2345" s="17"/>
      <c r="P2345" s="17"/>
      <c r="Q2345" s="48"/>
      <c r="R2345" s="11"/>
      <c r="S2345" s="48"/>
      <c r="T2345" s="85"/>
      <c r="U2345" s="88"/>
      <c r="V2345" s="32"/>
      <c r="W2345" s="25"/>
      <c r="X2345" s="11"/>
      <c r="Y2345" s="50"/>
      <c r="Z2345" s="50"/>
      <c r="AA2345" s="50"/>
      <c r="AB2345" s="50"/>
      <c r="AC2345" s="50"/>
      <c r="AD2345" s="50"/>
      <c r="AE2345" s="50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65"/>
      <c r="AP2345" s="69"/>
      <c r="AQ2345" s="62"/>
      <c r="AR2345" s="34"/>
    </row>
    <row r="2346" spans="1:44" customFormat="1">
      <c r="A2346" s="39"/>
      <c r="B2346" s="11"/>
      <c r="C2346" s="16"/>
      <c r="D2346" s="16"/>
      <c r="E2346" s="38"/>
      <c r="F2346" s="38"/>
      <c r="G2346" s="10"/>
      <c r="H2346" s="12"/>
      <c r="I2346" s="13"/>
      <c r="J2346" s="15"/>
      <c r="K2346" s="12"/>
      <c r="L2346" s="11"/>
      <c r="M2346" s="15"/>
      <c r="N2346" s="17"/>
      <c r="O2346" s="17"/>
      <c r="P2346" s="17"/>
      <c r="Q2346" s="48"/>
      <c r="R2346" s="11"/>
      <c r="S2346" s="48"/>
      <c r="T2346" s="85"/>
      <c r="U2346" s="88"/>
      <c r="V2346" s="32"/>
      <c r="W2346" s="25"/>
      <c r="X2346" s="11"/>
      <c r="Y2346" s="50"/>
      <c r="Z2346" s="50"/>
      <c r="AA2346" s="50"/>
      <c r="AB2346" s="50"/>
      <c r="AC2346" s="50"/>
      <c r="AD2346" s="50"/>
      <c r="AE2346" s="50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65"/>
      <c r="AP2346" s="69"/>
      <c r="AQ2346" s="62"/>
      <c r="AR2346" s="34"/>
    </row>
    <row r="2347" spans="1:44" customFormat="1">
      <c r="A2347" s="39"/>
      <c r="B2347" s="11"/>
      <c r="C2347" s="16"/>
      <c r="D2347" s="16"/>
      <c r="E2347" s="38"/>
      <c r="F2347" s="38"/>
      <c r="G2347" s="10"/>
      <c r="H2347" s="12"/>
      <c r="I2347" s="13"/>
      <c r="J2347" s="15"/>
      <c r="K2347" s="12"/>
      <c r="L2347" s="11"/>
      <c r="M2347" s="15"/>
      <c r="N2347" s="17"/>
      <c r="O2347" s="17"/>
      <c r="P2347" s="17"/>
      <c r="Q2347" s="48"/>
      <c r="R2347" s="11"/>
      <c r="S2347" s="48"/>
      <c r="T2347" s="85"/>
      <c r="U2347" s="88"/>
      <c r="V2347" s="32"/>
      <c r="W2347" s="25"/>
      <c r="X2347" s="11"/>
      <c r="Y2347" s="50"/>
      <c r="Z2347" s="50"/>
      <c r="AA2347" s="50"/>
      <c r="AB2347" s="50"/>
      <c r="AC2347" s="50"/>
      <c r="AD2347" s="50"/>
      <c r="AE2347" s="50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65"/>
      <c r="AP2347" s="69"/>
      <c r="AQ2347" s="62"/>
      <c r="AR2347" s="34"/>
    </row>
    <row r="2348" spans="1:44" customFormat="1">
      <c r="A2348" s="39"/>
      <c r="B2348" s="11"/>
      <c r="C2348" s="16"/>
      <c r="D2348" s="16"/>
      <c r="E2348" s="38"/>
      <c r="F2348" s="38"/>
      <c r="G2348" s="10"/>
      <c r="H2348" s="12"/>
      <c r="I2348" s="13"/>
      <c r="J2348" s="15"/>
      <c r="K2348" s="12"/>
      <c r="L2348" s="11"/>
      <c r="M2348" s="15"/>
      <c r="N2348" s="17"/>
      <c r="O2348" s="17"/>
      <c r="P2348" s="17"/>
      <c r="Q2348" s="48"/>
      <c r="R2348" s="11"/>
      <c r="S2348" s="48"/>
      <c r="T2348" s="85"/>
      <c r="U2348" s="88"/>
      <c r="V2348" s="32"/>
      <c r="W2348" s="25"/>
      <c r="X2348" s="11"/>
      <c r="Y2348" s="50"/>
      <c r="Z2348" s="50"/>
      <c r="AA2348" s="50"/>
      <c r="AB2348" s="50"/>
      <c r="AC2348" s="50"/>
      <c r="AD2348" s="50"/>
      <c r="AE2348" s="50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65"/>
      <c r="AP2348" s="69"/>
      <c r="AQ2348" s="62"/>
      <c r="AR2348" s="34"/>
    </row>
    <row r="2349" spans="1:44" customFormat="1">
      <c r="A2349" s="39"/>
      <c r="B2349" s="11"/>
      <c r="C2349" s="16"/>
      <c r="D2349" s="16"/>
      <c r="E2349" s="38"/>
      <c r="F2349" s="38"/>
      <c r="G2349" s="10"/>
      <c r="H2349" s="12"/>
      <c r="I2349" s="13"/>
      <c r="J2349" s="15"/>
      <c r="K2349" s="12"/>
      <c r="L2349" s="11"/>
      <c r="M2349" s="15"/>
      <c r="N2349" s="17"/>
      <c r="O2349" s="17"/>
      <c r="P2349" s="17"/>
      <c r="Q2349" s="48"/>
      <c r="R2349" s="11"/>
      <c r="S2349" s="48"/>
      <c r="T2349" s="85"/>
      <c r="U2349" s="88"/>
      <c r="V2349" s="32"/>
      <c r="W2349" s="25"/>
      <c r="X2349" s="11"/>
      <c r="Y2349" s="50"/>
      <c r="Z2349" s="50"/>
      <c r="AA2349" s="50"/>
      <c r="AB2349" s="50"/>
      <c r="AC2349" s="50"/>
      <c r="AD2349" s="50"/>
      <c r="AE2349" s="50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65"/>
      <c r="AP2349" s="69"/>
      <c r="AQ2349" s="62"/>
      <c r="AR2349" s="34"/>
    </row>
    <row r="2350" spans="1:44" customFormat="1">
      <c r="A2350" s="39"/>
      <c r="B2350" s="11"/>
      <c r="C2350" s="16"/>
      <c r="D2350" s="16"/>
      <c r="E2350" s="38"/>
      <c r="F2350" s="38"/>
      <c r="G2350" s="10"/>
      <c r="H2350" s="12"/>
      <c r="I2350" s="13"/>
      <c r="J2350" s="15"/>
      <c r="K2350" s="12"/>
      <c r="L2350" s="11"/>
      <c r="M2350" s="15"/>
      <c r="N2350" s="17"/>
      <c r="O2350" s="17"/>
      <c r="P2350" s="17"/>
      <c r="Q2350" s="48"/>
      <c r="R2350" s="11"/>
      <c r="S2350" s="48"/>
      <c r="T2350" s="85"/>
      <c r="U2350" s="88"/>
      <c r="V2350" s="32"/>
      <c r="W2350" s="25"/>
      <c r="X2350" s="11"/>
      <c r="Y2350" s="50"/>
      <c r="Z2350" s="50"/>
      <c r="AA2350" s="50"/>
      <c r="AB2350" s="50"/>
      <c r="AC2350" s="50"/>
      <c r="AD2350" s="50"/>
      <c r="AE2350" s="50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65"/>
      <c r="AP2350" s="69"/>
      <c r="AQ2350" s="62"/>
      <c r="AR2350" s="34"/>
    </row>
    <row r="2351" spans="1:44" customFormat="1">
      <c r="A2351" s="39"/>
      <c r="B2351" s="11"/>
      <c r="C2351" s="16"/>
      <c r="D2351" s="16"/>
      <c r="E2351" s="38"/>
      <c r="F2351" s="38"/>
      <c r="G2351" s="10"/>
      <c r="H2351" s="12"/>
      <c r="I2351" s="13"/>
      <c r="J2351" s="15"/>
      <c r="K2351" s="12"/>
      <c r="L2351" s="11"/>
      <c r="M2351" s="15"/>
      <c r="N2351" s="17"/>
      <c r="O2351" s="17"/>
      <c r="P2351" s="17"/>
      <c r="Q2351" s="48"/>
      <c r="R2351" s="11"/>
      <c r="S2351" s="48"/>
      <c r="T2351" s="85"/>
      <c r="U2351" s="88"/>
      <c r="V2351" s="32"/>
      <c r="W2351" s="25"/>
      <c r="X2351" s="11"/>
      <c r="Y2351" s="50"/>
      <c r="Z2351" s="50"/>
      <c r="AA2351" s="50"/>
      <c r="AB2351" s="50"/>
      <c r="AC2351" s="50"/>
      <c r="AD2351" s="50"/>
      <c r="AE2351" s="50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65"/>
      <c r="AP2351" s="69"/>
      <c r="AQ2351" s="62"/>
      <c r="AR2351" s="34"/>
    </row>
    <row r="2352" spans="1:44" customFormat="1">
      <c r="A2352" s="39"/>
      <c r="B2352" s="11"/>
      <c r="C2352" s="16"/>
      <c r="D2352" s="16"/>
      <c r="E2352" s="38"/>
      <c r="F2352" s="38"/>
      <c r="G2352" s="10"/>
      <c r="H2352" s="12"/>
      <c r="I2352" s="13"/>
      <c r="J2352" s="15"/>
      <c r="K2352" s="12"/>
      <c r="L2352" s="11"/>
      <c r="M2352" s="15"/>
      <c r="N2352" s="17"/>
      <c r="O2352" s="17"/>
      <c r="P2352" s="17"/>
      <c r="Q2352" s="48"/>
      <c r="R2352" s="11"/>
      <c r="S2352" s="48"/>
      <c r="T2352" s="85"/>
      <c r="U2352" s="88"/>
      <c r="V2352" s="32"/>
      <c r="W2352" s="25"/>
      <c r="X2352" s="11"/>
      <c r="Y2352" s="50"/>
      <c r="Z2352" s="50"/>
      <c r="AA2352" s="50"/>
      <c r="AB2352" s="50"/>
      <c r="AC2352" s="50"/>
      <c r="AD2352" s="50"/>
      <c r="AE2352" s="50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65"/>
      <c r="AP2352" s="69"/>
      <c r="AQ2352" s="62"/>
      <c r="AR2352" s="34"/>
    </row>
    <row r="2353" spans="1:44" customFormat="1">
      <c r="A2353" s="39"/>
      <c r="B2353" s="11"/>
      <c r="C2353" s="16"/>
      <c r="D2353" s="16"/>
      <c r="E2353" s="38"/>
      <c r="F2353" s="38"/>
      <c r="G2353" s="10"/>
      <c r="H2353" s="12"/>
      <c r="I2353" s="13"/>
      <c r="J2353" s="15"/>
      <c r="K2353" s="12"/>
      <c r="L2353" s="11"/>
      <c r="M2353" s="15"/>
      <c r="N2353" s="17"/>
      <c r="O2353" s="17"/>
      <c r="P2353" s="17"/>
      <c r="Q2353" s="48"/>
      <c r="R2353" s="11"/>
      <c r="S2353" s="48"/>
      <c r="T2353" s="85"/>
      <c r="U2353" s="88"/>
      <c r="V2353" s="32"/>
      <c r="W2353" s="25"/>
      <c r="X2353" s="11"/>
      <c r="Y2353" s="50"/>
      <c r="Z2353" s="50"/>
      <c r="AA2353" s="50"/>
      <c r="AB2353" s="50"/>
      <c r="AC2353" s="50"/>
      <c r="AD2353" s="50"/>
      <c r="AE2353" s="50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65"/>
      <c r="AP2353" s="69"/>
      <c r="AQ2353" s="62"/>
      <c r="AR2353" s="34"/>
    </row>
    <row r="2354" spans="1:44" customFormat="1">
      <c r="A2354" s="39"/>
      <c r="B2354" s="11"/>
      <c r="C2354" s="16"/>
      <c r="D2354" s="16"/>
      <c r="E2354" s="38"/>
      <c r="F2354" s="38"/>
      <c r="G2354" s="10"/>
      <c r="H2354" s="12"/>
      <c r="I2354" s="13"/>
      <c r="J2354" s="15"/>
      <c r="K2354" s="12"/>
      <c r="L2354" s="11"/>
      <c r="M2354" s="15"/>
      <c r="N2354" s="17"/>
      <c r="O2354" s="17"/>
      <c r="P2354" s="17"/>
      <c r="Q2354" s="48"/>
      <c r="R2354" s="11"/>
      <c r="S2354" s="48"/>
      <c r="T2354" s="85"/>
      <c r="U2354" s="88"/>
      <c r="V2354" s="32"/>
      <c r="W2354" s="25"/>
      <c r="X2354" s="11"/>
      <c r="Y2354" s="50"/>
      <c r="Z2354" s="50"/>
      <c r="AA2354" s="50"/>
      <c r="AB2354" s="50"/>
      <c r="AC2354" s="50"/>
      <c r="AD2354" s="50"/>
      <c r="AE2354" s="50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65"/>
      <c r="AP2354" s="69"/>
      <c r="AQ2354" s="62"/>
      <c r="AR2354" s="34"/>
    </row>
    <row r="2355" spans="1:44" customFormat="1">
      <c r="A2355" s="39"/>
      <c r="B2355" s="11"/>
      <c r="C2355" s="16"/>
      <c r="D2355" s="16"/>
      <c r="E2355" s="38"/>
      <c r="F2355" s="38"/>
      <c r="G2355" s="10"/>
      <c r="H2355" s="12"/>
      <c r="I2355" s="13"/>
      <c r="J2355" s="15"/>
      <c r="K2355" s="12"/>
      <c r="L2355" s="11"/>
      <c r="M2355" s="15"/>
      <c r="N2355" s="17"/>
      <c r="O2355" s="17"/>
      <c r="P2355" s="17"/>
      <c r="Q2355" s="48"/>
      <c r="R2355" s="11"/>
      <c r="S2355" s="48"/>
      <c r="T2355" s="85"/>
      <c r="U2355" s="88"/>
      <c r="V2355" s="32"/>
      <c r="W2355" s="25"/>
      <c r="X2355" s="11"/>
      <c r="Y2355" s="50"/>
      <c r="Z2355" s="50"/>
      <c r="AA2355" s="50"/>
      <c r="AB2355" s="50"/>
      <c r="AC2355" s="50"/>
      <c r="AD2355" s="50"/>
      <c r="AE2355" s="50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65"/>
      <c r="AP2355" s="69"/>
      <c r="AQ2355" s="62"/>
      <c r="AR2355" s="34"/>
    </row>
    <row r="2356" spans="1:44" customFormat="1">
      <c r="A2356" s="39"/>
      <c r="B2356" s="11"/>
      <c r="C2356" s="16"/>
      <c r="D2356" s="16"/>
      <c r="E2356" s="38"/>
      <c r="F2356" s="38"/>
      <c r="G2356" s="10"/>
      <c r="H2356" s="12"/>
      <c r="I2356" s="13"/>
      <c r="J2356" s="15"/>
      <c r="K2356" s="12"/>
      <c r="L2356" s="11"/>
      <c r="M2356" s="15"/>
      <c r="N2356" s="17"/>
      <c r="O2356" s="17"/>
      <c r="P2356" s="17"/>
      <c r="Q2356" s="48"/>
      <c r="R2356" s="11"/>
      <c r="S2356" s="48"/>
      <c r="T2356" s="85"/>
      <c r="U2356" s="88"/>
      <c r="V2356" s="32"/>
      <c r="W2356" s="25"/>
      <c r="X2356" s="11"/>
      <c r="Y2356" s="50"/>
      <c r="Z2356" s="50"/>
      <c r="AA2356" s="50"/>
      <c r="AB2356" s="50"/>
      <c r="AC2356" s="50"/>
      <c r="AD2356" s="50"/>
      <c r="AE2356" s="50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65"/>
      <c r="AP2356" s="69"/>
      <c r="AQ2356" s="62"/>
      <c r="AR2356" s="34"/>
    </row>
    <row r="2357" spans="1:44" customFormat="1">
      <c r="A2357" s="39"/>
      <c r="B2357" s="11"/>
      <c r="C2357" s="16"/>
      <c r="D2357" s="16"/>
      <c r="E2357" s="38"/>
      <c r="F2357" s="38"/>
      <c r="G2357" s="10"/>
      <c r="H2357" s="12"/>
      <c r="I2357" s="13"/>
      <c r="J2357" s="15"/>
      <c r="K2357" s="12"/>
      <c r="L2357" s="11"/>
      <c r="M2357" s="15"/>
      <c r="N2357" s="17"/>
      <c r="O2357" s="17"/>
      <c r="P2357" s="17"/>
      <c r="Q2357" s="48"/>
      <c r="R2357" s="11"/>
      <c r="S2357" s="48"/>
      <c r="T2357" s="85"/>
      <c r="U2357" s="88"/>
      <c r="V2357" s="32"/>
      <c r="W2357" s="25"/>
      <c r="X2357" s="11"/>
      <c r="Y2357" s="50"/>
      <c r="Z2357" s="50"/>
      <c r="AA2357" s="50"/>
      <c r="AB2357" s="50"/>
      <c r="AC2357" s="50"/>
      <c r="AD2357" s="50"/>
      <c r="AE2357" s="50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65"/>
      <c r="AP2357" s="69"/>
      <c r="AQ2357" s="62"/>
      <c r="AR2357" s="34"/>
    </row>
    <row r="2358" spans="1:44" customFormat="1">
      <c r="A2358" s="39"/>
      <c r="B2358" s="11"/>
      <c r="C2358" s="16"/>
      <c r="D2358" s="16"/>
      <c r="E2358" s="38"/>
      <c r="F2358" s="38"/>
      <c r="G2358" s="10"/>
      <c r="H2358" s="12"/>
      <c r="I2358" s="13"/>
      <c r="J2358" s="15"/>
      <c r="K2358" s="12"/>
      <c r="L2358" s="11"/>
      <c r="M2358" s="15"/>
      <c r="N2358" s="17"/>
      <c r="O2358" s="17"/>
      <c r="P2358" s="17"/>
      <c r="Q2358" s="48"/>
      <c r="R2358" s="11"/>
      <c r="S2358" s="48"/>
      <c r="T2358" s="85"/>
      <c r="U2358" s="88"/>
      <c r="V2358" s="32"/>
      <c r="W2358" s="25"/>
      <c r="X2358" s="11"/>
      <c r="Y2358" s="50"/>
      <c r="Z2358" s="50"/>
      <c r="AA2358" s="50"/>
      <c r="AB2358" s="50"/>
      <c r="AC2358" s="50"/>
      <c r="AD2358" s="50"/>
      <c r="AE2358" s="50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65"/>
      <c r="AP2358" s="69"/>
      <c r="AQ2358" s="62"/>
      <c r="AR2358" s="34"/>
    </row>
    <row r="2359" spans="1:44" customFormat="1">
      <c r="A2359" s="39"/>
      <c r="B2359" s="11"/>
      <c r="C2359" s="16"/>
      <c r="D2359" s="16"/>
      <c r="E2359" s="38"/>
      <c r="F2359" s="38"/>
      <c r="G2359" s="10"/>
      <c r="H2359" s="12"/>
      <c r="I2359" s="13"/>
      <c r="J2359" s="15"/>
      <c r="K2359" s="12"/>
      <c r="L2359" s="11"/>
      <c r="M2359" s="15"/>
      <c r="N2359" s="17"/>
      <c r="O2359" s="17"/>
      <c r="P2359" s="17"/>
      <c r="Q2359" s="48"/>
      <c r="R2359" s="11"/>
      <c r="S2359" s="48"/>
      <c r="T2359" s="85"/>
      <c r="U2359" s="88"/>
      <c r="V2359" s="32"/>
      <c r="W2359" s="25"/>
      <c r="X2359" s="11"/>
      <c r="Y2359" s="50"/>
      <c r="Z2359" s="50"/>
      <c r="AA2359" s="50"/>
      <c r="AB2359" s="50"/>
      <c r="AC2359" s="50"/>
      <c r="AD2359" s="50"/>
      <c r="AE2359" s="50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65"/>
      <c r="AP2359" s="69"/>
      <c r="AQ2359" s="62"/>
      <c r="AR2359" s="34"/>
    </row>
    <row r="2360" spans="1:44" customFormat="1">
      <c r="A2360" s="39"/>
      <c r="B2360" s="11"/>
      <c r="C2360" s="16"/>
      <c r="D2360" s="16"/>
      <c r="E2360" s="38"/>
      <c r="F2360" s="38"/>
      <c r="G2360" s="10"/>
      <c r="H2360" s="12"/>
      <c r="I2360" s="13"/>
      <c r="J2360" s="15"/>
      <c r="K2360" s="12"/>
      <c r="L2360" s="11"/>
      <c r="M2360" s="15"/>
      <c r="N2360" s="17"/>
      <c r="O2360" s="17"/>
      <c r="P2360" s="17"/>
      <c r="Q2360" s="48"/>
      <c r="R2360" s="11"/>
      <c r="S2360" s="48"/>
      <c r="T2360" s="85"/>
      <c r="U2360" s="88"/>
      <c r="V2360" s="32"/>
      <c r="W2360" s="25"/>
      <c r="X2360" s="11"/>
      <c r="Y2360" s="50"/>
      <c r="Z2360" s="50"/>
      <c r="AA2360" s="50"/>
      <c r="AB2360" s="50"/>
      <c r="AC2360" s="50"/>
      <c r="AD2360" s="50"/>
      <c r="AE2360" s="50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65"/>
      <c r="AP2360" s="69"/>
      <c r="AQ2360" s="62"/>
      <c r="AR2360" s="34"/>
    </row>
    <row r="2361" spans="1:44" customFormat="1">
      <c r="A2361" s="39"/>
      <c r="B2361" s="11"/>
      <c r="C2361" s="16"/>
      <c r="D2361" s="16"/>
      <c r="E2361" s="38"/>
      <c r="F2361" s="38"/>
      <c r="G2361" s="10"/>
      <c r="H2361" s="12"/>
      <c r="I2361" s="13"/>
      <c r="J2361" s="15"/>
      <c r="K2361" s="12"/>
      <c r="L2361" s="11"/>
      <c r="M2361" s="15"/>
      <c r="N2361" s="17"/>
      <c r="O2361" s="17"/>
      <c r="P2361" s="17"/>
      <c r="Q2361" s="48"/>
      <c r="R2361" s="11"/>
      <c r="S2361" s="48"/>
      <c r="T2361" s="85"/>
      <c r="U2361" s="88"/>
      <c r="V2361" s="32"/>
      <c r="W2361" s="25"/>
      <c r="X2361" s="11"/>
      <c r="Y2361" s="50"/>
      <c r="Z2361" s="50"/>
      <c r="AA2361" s="50"/>
      <c r="AB2361" s="50"/>
      <c r="AC2361" s="50"/>
      <c r="AD2361" s="50"/>
      <c r="AE2361" s="50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65"/>
      <c r="AP2361" s="69"/>
      <c r="AQ2361" s="62"/>
      <c r="AR2361" s="34"/>
    </row>
    <row r="2362" spans="1:44" customFormat="1">
      <c r="A2362" s="39"/>
      <c r="B2362" s="11"/>
      <c r="C2362" s="16"/>
      <c r="D2362" s="16"/>
      <c r="E2362" s="38"/>
      <c r="F2362" s="38"/>
      <c r="G2362" s="10"/>
      <c r="H2362" s="12"/>
      <c r="I2362" s="13"/>
      <c r="J2362" s="15"/>
      <c r="K2362" s="12"/>
      <c r="L2362" s="11"/>
      <c r="M2362" s="15"/>
      <c r="N2362" s="17"/>
      <c r="O2362" s="17"/>
      <c r="P2362" s="17"/>
      <c r="Q2362" s="48"/>
      <c r="R2362" s="11"/>
      <c r="S2362" s="48"/>
      <c r="T2362" s="85"/>
      <c r="U2362" s="88"/>
      <c r="V2362" s="32"/>
      <c r="W2362" s="25"/>
      <c r="X2362" s="11"/>
      <c r="Y2362" s="50"/>
      <c r="Z2362" s="50"/>
      <c r="AA2362" s="50"/>
      <c r="AB2362" s="50"/>
      <c r="AC2362" s="50"/>
      <c r="AD2362" s="50"/>
      <c r="AE2362" s="50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65"/>
      <c r="AP2362" s="69"/>
      <c r="AQ2362" s="62"/>
      <c r="AR2362" s="34"/>
    </row>
    <row r="2363" spans="1:44" customFormat="1">
      <c r="A2363" s="39"/>
      <c r="B2363" s="11"/>
      <c r="C2363" s="16"/>
      <c r="D2363" s="16"/>
      <c r="E2363" s="38"/>
      <c r="F2363" s="38"/>
      <c r="G2363" s="10"/>
      <c r="H2363" s="12"/>
      <c r="I2363" s="13"/>
      <c r="J2363" s="15"/>
      <c r="K2363" s="12"/>
      <c r="L2363" s="11"/>
      <c r="M2363" s="15"/>
      <c r="N2363" s="17"/>
      <c r="O2363" s="17"/>
      <c r="P2363" s="17"/>
      <c r="Q2363" s="48"/>
      <c r="R2363" s="11"/>
      <c r="S2363" s="48"/>
      <c r="T2363" s="85"/>
      <c r="U2363" s="88"/>
      <c r="V2363" s="32"/>
      <c r="W2363" s="25"/>
      <c r="X2363" s="11"/>
      <c r="Y2363" s="50"/>
      <c r="Z2363" s="50"/>
      <c r="AA2363" s="50"/>
      <c r="AB2363" s="50"/>
      <c r="AC2363" s="50"/>
      <c r="AD2363" s="50"/>
      <c r="AE2363" s="50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65"/>
      <c r="AP2363" s="69"/>
      <c r="AQ2363" s="62"/>
      <c r="AR2363" s="34"/>
    </row>
    <row r="2364" spans="1:44" customFormat="1">
      <c r="A2364" s="39"/>
      <c r="B2364" s="11"/>
      <c r="C2364" s="16"/>
      <c r="D2364" s="16"/>
      <c r="E2364" s="38"/>
      <c r="F2364" s="38"/>
      <c r="G2364" s="10"/>
      <c r="H2364" s="12"/>
      <c r="I2364" s="13"/>
      <c r="J2364" s="15"/>
      <c r="K2364" s="12"/>
      <c r="L2364" s="11"/>
      <c r="M2364" s="15"/>
      <c r="N2364" s="17"/>
      <c r="O2364" s="17"/>
      <c r="P2364" s="17"/>
      <c r="Q2364" s="48"/>
      <c r="R2364" s="11"/>
      <c r="S2364" s="48"/>
      <c r="T2364" s="85"/>
      <c r="U2364" s="88"/>
      <c r="V2364" s="32"/>
      <c r="W2364" s="25"/>
      <c r="X2364" s="11"/>
      <c r="Y2364" s="50"/>
      <c r="Z2364" s="50"/>
      <c r="AA2364" s="50"/>
      <c r="AB2364" s="50"/>
      <c r="AC2364" s="50"/>
      <c r="AD2364" s="50"/>
      <c r="AE2364" s="50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65"/>
      <c r="AP2364" s="69"/>
      <c r="AQ2364" s="62"/>
      <c r="AR2364" s="34"/>
    </row>
    <row r="2365" spans="1:44" customFormat="1">
      <c r="A2365" s="39"/>
      <c r="B2365" s="11"/>
      <c r="C2365" s="16"/>
      <c r="D2365" s="16"/>
      <c r="E2365" s="38"/>
      <c r="F2365" s="38"/>
      <c r="G2365" s="10"/>
      <c r="H2365" s="12"/>
      <c r="I2365" s="13"/>
      <c r="J2365" s="15"/>
      <c r="K2365" s="12"/>
      <c r="L2365" s="11"/>
      <c r="M2365" s="15"/>
      <c r="N2365" s="17"/>
      <c r="O2365" s="17"/>
      <c r="P2365" s="17"/>
      <c r="Q2365" s="48"/>
      <c r="R2365" s="11"/>
      <c r="S2365" s="48"/>
      <c r="T2365" s="85"/>
      <c r="U2365" s="88"/>
      <c r="V2365" s="32"/>
      <c r="W2365" s="25"/>
      <c r="X2365" s="11"/>
      <c r="Y2365" s="50"/>
      <c r="Z2365" s="50"/>
      <c r="AA2365" s="50"/>
      <c r="AB2365" s="50"/>
      <c r="AC2365" s="50"/>
      <c r="AD2365" s="50"/>
      <c r="AE2365" s="50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65"/>
      <c r="AP2365" s="69"/>
      <c r="AQ2365" s="62"/>
      <c r="AR2365" s="34"/>
    </row>
    <row r="2366" spans="1:44" customFormat="1">
      <c r="A2366" s="39"/>
      <c r="B2366" s="11"/>
      <c r="C2366" s="16"/>
      <c r="D2366" s="16"/>
      <c r="E2366" s="38"/>
      <c r="F2366" s="38"/>
      <c r="G2366" s="10"/>
      <c r="H2366" s="12"/>
      <c r="I2366" s="13"/>
      <c r="J2366" s="15"/>
      <c r="K2366" s="12"/>
      <c r="L2366" s="11"/>
      <c r="M2366" s="15"/>
      <c r="N2366" s="17"/>
      <c r="O2366" s="17"/>
      <c r="P2366" s="17"/>
      <c r="Q2366" s="48"/>
      <c r="R2366" s="11"/>
      <c r="S2366" s="48"/>
      <c r="T2366" s="85"/>
      <c r="U2366" s="88"/>
      <c r="V2366" s="32"/>
      <c r="W2366" s="25"/>
      <c r="X2366" s="11"/>
      <c r="Y2366" s="50"/>
      <c r="Z2366" s="50"/>
      <c r="AA2366" s="50"/>
      <c r="AB2366" s="50"/>
      <c r="AC2366" s="50"/>
      <c r="AD2366" s="50"/>
      <c r="AE2366" s="50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65"/>
      <c r="AP2366" s="69"/>
      <c r="AQ2366" s="62"/>
      <c r="AR2366" s="34"/>
    </row>
    <row r="2367" spans="1:44" customFormat="1">
      <c r="A2367" s="39"/>
      <c r="B2367" s="11"/>
      <c r="C2367" s="16"/>
      <c r="D2367" s="16"/>
      <c r="E2367" s="38"/>
      <c r="F2367" s="38"/>
      <c r="G2367" s="10"/>
      <c r="H2367" s="12"/>
      <c r="I2367" s="13"/>
      <c r="J2367" s="15"/>
      <c r="K2367" s="12"/>
      <c r="L2367" s="11"/>
      <c r="M2367" s="15"/>
      <c r="N2367" s="17"/>
      <c r="O2367" s="17"/>
      <c r="P2367" s="17"/>
      <c r="Q2367" s="48"/>
      <c r="R2367" s="11"/>
      <c r="S2367" s="48"/>
      <c r="T2367" s="85"/>
      <c r="U2367" s="88"/>
      <c r="V2367" s="32"/>
      <c r="W2367" s="25"/>
      <c r="X2367" s="11"/>
      <c r="Y2367" s="50"/>
      <c r="Z2367" s="50"/>
      <c r="AA2367" s="50"/>
      <c r="AB2367" s="50"/>
      <c r="AC2367" s="50"/>
      <c r="AD2367" s="50"/>
      <c r="AE2367" s="50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65"/>
      <c r="AP2367" s="69"/>
      <c r="AQ2367" s="62"/>
      <c r="AR2367" s="34"/>
    </row>
    <row r="2368" spans="1:44" customFormat="1">
      <c r="A2368" s="39"/>
      <c r="B2368" s="11"/>
      <c r="C2368" s="16"/>
      <c r="D2368" s="16"/>
      <c r="E2368" s="38"/>
      <c r="F2368" s="38"/>
      <c r="G2368" s="10"/>
      <c r="H2368" s="12"/>
      <c r="I2368" s="13"/>
      <c r="J2368" s="15"/>
      <c r="K2368" s="12"/>
      <c r="L2368" s="11"/>
      <c r="M2368" s="15"/>
      <c r="N2368" s="17"/>
      <c r="O2368" s="17"/>
      <c r="P2368" s="17"/>
      <c r="Q2368" s="48"/>
      <c r="R2368" s="11"/>
      <c r="S2368" s="48"/>
      <c r="T2368" s="85"/>
      <c r="U2368" s="88"/>
      <c r="V2368" s="32"/>
      <c r="W2368" s="25"/>
      <c r="X2368" s="11"/>
      <c r="Y2368" s="50"/>
      <c r="Z2368" s="50"/>
      <c r="AA2368" s="50"/>
      <c r="AB2368" s="50"/>
      <c r="AC2368" s="50"/>
      <c r="AD2368" s="50"/>
      <c r="AE2368" s="50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65"/>
      <c r="AP2368" s="69"/>
      <c r="AQ2368" s="62"/>
      <c r="AR2368" s="34"/>
    </row>
    <row r="2369" spans="1:44" customFormat="1">
      <c r="A2369" s="39"/>
      <c r="B2369" s="11"/>
      <c r="C2369" s="16"/>
      <c r="D2369" s="16"/>
      <c r="E2369" s="38"/>
      <c r="F2369" s="38"/>
      <c r="G2369" s="10"/>
      <c r="H2369" s="12"/>
      <c r="I2369" s="13"/>
      <c r="J2369" s="15"/>
      <c r="K2369" s="12"/>
      <c r="L2369" s="11"/>
      <c r="M2369" s="15"/>
      <c r="N2369" s="17"/>
      <c r="O2369" s="17"/>
      <c r="P2369" s="17"/>
      <c r="Q2369" s="48"/>
      <c r="R2369" s="11"/>
      <c r="S2369" s="48"/>
      <c r="T2369" s="85"/>
      <c r="U2369" s="88"/>
      <c r="V2369" s="32"/>
      <c r="W2369" s="25"/>
      <c r="X2369" s="11"/>
      <c r="Y2369" s="50"/>
      <c r="Z2369" s="50"/>
      <c r="AA2369" s="50"/>
      <c r="AB2369" s="50"/>
      <c r="AC2369" s="50"/>
      <c r="AD2369" s="50"/>
      <c r="AE2369" s="50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65"/>
      <c r="AP2369" s="69"/>
      <c r="AQ2369" s="62"/>
      <c r="AR2369" s="34"/>
    </row>
    <row r="2370" spans="1:44" customFormat="1">
      <c r="A2370" s="39"/>
      <c r="B2370" s="11"/>
      <c r="C2370" s="16"/>
      <c r="D2370" s="16"/>
      <c r="E2370" s="38"/>
      <c r="F2370" s="38"/>
      <c r="G2370" s="10"/>
      <c r="H2370" s="12"/>
      <c r="I2370" s="13"/>
      <c r="J2370" s="15"/>
      <c r="K2370" s="12"/>
      <c r="L2370" s="11"/>
      <c r="M2370" s="15"/>
      <c r="N2370" s="17"/>
      <c r="O2370" s="17"/>
      <c r="P2370" s="17"/>
      <c r="Q2370" s="48"/>
      <c r="R2370" s="11"/>
      <c r="S2370" s="48"/>
      <c r="T2370" s="85"/>
      <c r="U2370" s="88"/>
      <c r="V2370" s="32"/>
      <c r="W2370" s="25"/>
      <c r="X2370" s="11"/>
      <c r="Y2370" s="50"/>
      <c r="Z2370" s="50"/>
      <c r="AA2370" s="50"/>
      <c r="AB2370" s="50"/>
      <c r="AC2370" s="50"/>
      <c r="AD2370" s="50"/>
      <c r="AE2370" s="50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65"/>
      <c r="AP2370" s="69"/>
      <c r="AQ2370" s="62"/>
      <c r="AR2370" s="34"/>
    </row>
    <row r="2371" spans="1:44" customFormat="1">
      <c r="A2371" s="39"/>
      <c r="B2371" s="11"/>
      <c r="C2371" s="16"/>
      <c r="D2371" s="16"/>
      <c r="E2371" s="38"/>
      <c r="F2371" s="38"/>
      <c r="G2371" s="10"/>
      <c r="H2371" s="12"/>
      <c r="I2371" s="13"/>
      <c r="J2371" s="15"/>
      <c r="K2371" s="12"/>
      <c r="L2371" s="11"/>
      <c r="M2371" s="15"/>
      <c r="N2371" s="17"/>
      <c r="O2371" s="17"/>
      <c r="P2371" s="17"/>
      <c r="Q2371" s="48"/>
      <c r="R2371" s="11"/>
      <c r="S2371" s="48"/>
      <c r="T2371" s="85"/>
      <c r="U2371" s="88"/>
      <c r="V2371" s="32"/>
      <c r="W2371" s="25"/>
      <c r="X2371" s="11"/>
      <c r="Y2371" s="50"/>
      <c r="Z2371" s="50"/>
      <c r="AA2371" s="50"/>
      <c r="AB2371" s="50"/>
      <c r="AC2371" s="50"/>
      <c r="AD2371" s="50"/>
      <c r="AE2371" s="50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65"/>
      <c r="AP2371" s="69"/>
      <c r="AQ2371" s="62"/>
      <c r="AR2371" s="34"/>
    </row>
    <row r="2372" spans="1:44" customFormat="1">
      <c r="A2372" s="39"/>
      <c r="B2372" s="11"/>
      <c r="C2372" s="16"/>
      <c r="D2372" s="16"/>
      <c r="E2372" s="38"/>
      <c r="F2372" s="38"/>
      <c r="G2372" s="10"/>
      <c r="H2372" s="12"/>
      <c r="I2372" s="13"/>
      <c r="J2372" s="15"/>
      <c r="K2372" s="12"/>
      <c r="L2372" s="11"/>
      <c r="M2372" s="15"/>
      <c r="N2372" s="17"/>
      <c r="O2372" s="17"/>
      <c r="P2372" s="17"/>
      <c r="Q2372" s="48"/>
      <c r="R2372" s="11"/>
      <c r="S2372" s="48"/>
      <c r="T2372" s="85"/>
      <c r="U2372" s="88"/>
      <c r="V2372" s="32"/>
      <c r="W2372" s="25"/>
      <c r="X2372" s="11"/>
      <c r="Y2372" s="50"/>
      <c r="Z2372" s="50"/>
      <c r="AA2372" s="50"/>
      <c r="AB2372" s="50"/>
      <c r="AC2372" s="50"/>
      <c r="AD2372" s="50"/>
      <c r="AE2372" s="50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65"/>
      <c r="AP2372" s="69"/>
      <c r="AQ2372" s="62"/>
      <c r="AR2372" s="34"/>
    </row>
    <row r="2373" spans="1:44" customFormat="1">
      <c r="A2373" s="39"/>
      <c r="B2373" s="11"/>
      <c r="C2373" s="16"/>
      <c r="D2373" s="16"/>
      <c r="E2373" s="38"/>
      <c r="F2373" s="38"/>
      <c r="G2373" s="10"/>
      <c r="H2373" s="12"/>
      <c r="I2373" s="13"/>
      <c r="J2373" s="15"/>
      <c r="K2373" s="12"/>
      <c r="L2373" s="11"/>
      <c r="M2373" s="15"/>
      <c r="N2373" s="17"/>
      <c r="O2373" s="17"/>
      <c r="P2373" s="17"/>
      <c r="Q2373" s="48"/>
      <c r="R2373" s="11"/>
      <c r="S2373" s="48"/>
      <c r="T2373" s="85"/>
      <c r="U2373" s="88"/>
      <c r="V2373" s="32"/>
      <c r="W2373" s="25"/>
      <c r="X2373" s="11"/>
      <c r="Y2373" s="50"/>
      <c r="Z2373" s="50"/>
      <c r="AA2373" s="50"/>
      <c r="AB2373" s="50"/>
      <c r="AC2373" s="50"/>
      <c r="AD2373" s="50"/>
      <c r="AE2373" s="50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65"/>
      <c r="AP2373" s="69"/>
      <c r="AQ2373" s="62"/>
      <c r="AR2373" s="34"/>
    </row>
    <row r="2374" spans="1:44" customFormat="1">
      <c r="A2374" s="39"/>
      <c r="B2374" s="11"/>
      <c r="C2374" s="16"/>
      <c r="D2374" s="16"/>
      <c r="E2374" s="38"/>
      <c r="F2374" s="38"/>
      <c r="G2374" s="10"/>
      <c r="H2374" s="12"/>
      <c r="I2374" s="13"/>
      <c r="J2374" s="15"/>
      <c r="K2374" s="12"/>
      <c r="L2374" s="11"/>
      <c r="M2374" s="15"/>
      <c r="N2374" s="17"/>
      <c r="O2374" s="17"/>
      <c r="P2374" s="17"/>
      <c r="Q2374" s="48"/>
      <c r="R2374" s="11"/>
      <c r="S2374" s="48"/>
      <c r="T2374" s="85"/>
      <c r="U2374" s="88"/>
      <c r="V2374" s="32"/>
      <c r="W2374" s="25"/>
      <c r="X2374" s="11"/>
      <c r="Y2374" s="50"/>
      <c r="Z2374" s="50"/>
      <c r="AA2374" s="50"/>
      <c r="AB2374" s="50"/>
      <c r="AC2374" s="50"/>
      <c r="AD2374" s="50"/>
      <c r="AE2374" s="50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65"/>
      <c r="AP2374" s="69"/>
      <c r="AQ2374" s="62"/>
      <c r="AR2374" s="34"/>
    </row>
    <row r="2375" spans="1:44" customFormat="1">
      <c r="A2375" s="39"/>
      <c r="B2375" s="11"/>
      <c r="C2375" s="16"/>
      <c r="D2375" s="16"/>
      <c r="E2375" s="38"/>
      <c r="F2375" s="38"/>
      <c r="G2375" s="10"/>
      <c r="H2375" s="12"/>
      <c r="I2375" s="13"/>
      <c r="J2375" s="15"/>
      <c r="K2375" s="12"/>
      <c r="L2375" s="11"/>
      <c r="M2375" s="15"/>
      <c r="N2375" s="17"/>
      <c r="O2375" s="17"/>
      <c r="P2375" s="17"/>
      <c r="Q2375" s="48"/>
      <c r="R2375" s="11"/>
      <c r="S2375" s="48"/>
      <c r="T2375" s="85"/>
      <c r="U2375" s="88"/>
      <c r="V2375" s="32"/>
      <c r="W2375" s="25"/>
      <c r="X2375" s="11"/>
      <c r="Y2375" s="50"/>
      <c r="Z2375" s="50"/>
      <c r="AA2375" s="50"/>
      <c r="AB2375" s="50"/>
      <c r="AC2375" s="50"/>
      <c r="AD2375" s="50"/>
      <c r="AE2375" s="50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65"/>
      <c r="AP2375" s="69"/>
      <c r="AQ2375" s="62"/>
      <c r="AR2375" s="34"/>
    </row>
    <row r="2376" spans="1:44" customFormat="1">
      <c r="A2376" s="39"/>
      <c r="B2376" s="11"/>
      <c r="C2376" s="16"/>
      <c r="D2376" s="16"/>
      <c r="E2376" s="38"/>
      <c r="F2376" s="38"/>
      <c r="G2376" s="10"/>
      <c r="H2376" s="12"/>
      <c r="I2376" s="13"/>
      <c r="J2376" s="15"/>
      <c r="K2376" s="12"/>
      <c r="L2376" s="11"/>
      <c r="M2376" s="15"/>
      <c r="N2376" s="17"/>
      <c r="O2376" s="17"/>
      <c r="P2376" s="17"/>
      <c r="Q2376" s="48"/>
      <c r="R2376" s="11"/>
      <c r="S2376" s="48"/>
      <c r="T2376" s="85"/>
      <c r="U2376" s="88"/>
      <c r="V2376" s="32"/>
      <c r="W2376" s="25"/>
      <c r="X2376" s="11"/>
      <c r="Y2376" s="50"/>
      <c r="Z2376" s="50"/>
      <c r="AA2376" s="50"/>
      <c r="AB2376" s="50"/>
      <c r="AC2376" s="50"/>
      <c r="AD2376" s="50"/>
      <c r="AE2376" s="50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65"/>
      <c r="AP2376" s="69"/>
      <c r="AQ2376" s="62"/>
      <c r="AR2376" s="34"/>
    </row>
    <row r="2377" spans="1:44" customFormat="1">
      <c r="A2377" s="39"/>
      <c r="B2377" s="11"/>
      <c r="C2377" s="16"/>
      <c r="D2377" s="16"/>
      <c r="E2377" s="38"/>
      <c r="F2377" s="38"/>
      <c r="G2377" s="10"/>
      <c r="H2377" s="12"/>
      <c r="I2377" s="13"/>
      <c r="J2377" s="15"/>
      <c r="K2377" s="12"/>
      <c r="L2377" s="11"/>
      <c r="M2377" s="15"/>
      <c r="N2377" s="17"/>
      <c r="O2377" s="17"/>
      <c r="P2377" s="17"/>
      <c r="Q2377" s="48"/>
      <c r="R2377" s="11"/>
      <c r="S2377" s="48"/>
      <c r="T2377" s="85"/>
      <c r="U2377" s="88"/>
      <c r="V2377" s="32"/>
      <c r="W2377" s="25"/>
      <c r="X2377" s="11"/>
      <c r="Y2377" s="50"/>
      <c r="Z2377" s="50"/>
      <c r="AA2377" s="50"/>
      <c r="AB2377" s="50"/>
      <c r="AC2377" s="50"/>
      <c r="AD2377" s="50"/>
      <c r="AE2377" s="50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65"/>
      <c r="AP2377" s="69"/>
      <c r="AQ2377" s="62"/>
      <c r="AR2377" s="34"/>
    </row>
    <row r="2378" spans="1:44" customFormat="1">
      <c r="A2378" s="39"/>
      <c r="B2378" s="11"/>
      <c r="C2378" s="16"/>
      <c r="D2378" s="16"/>
      <c r="E2378" s="38"/>
      <c r="F2378" s="38"/>
      <c r="G2378" s="10"/>
      <c r="H2378" s="12"/>
      <c r="I2378" s="13"/>
      <c r="J2378" s="15"/>
      <c r="K2378" s="12"/>
      <c r="L2378" s="11"/>
      <c r="M2378" s="15"/>
      <c r="N2378" s="17"/>
      <c r="O2378" s="17"/>
      <c r="P2378" s="17"/>
      <c r="Q2378" s="48"/>
      <c r="R2378" s="11"/>
      <c r="S2378" s="48"/>
      <c r="T2378" s="85"/>
      <c r="U2378" s="88"/>
      <c r="V2378" s="32"/>
      <c r="W2378" s="25"/>
      <c r="X2378" s="11"/>
      <c r="Y2378" s="50"/>
      <c r="Z2378" s="50"/>
      <c r="AA2378" s="50"/>
      <c r="AB2378" s="50"/>
      <c r="AC2378" s="50"/>
      <c r="AD2378" s="50"/>
      <c r="AE2378" s="50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65"/>
      <c r="AP2378" s="69"/>
      <c r="AQ2378" s="62"/>
      <c r="AR2378" s="34"/>
    </row>
    <row r="2379" spans="1:44" customFormat="1">
      <c r="A2379" s="39"/>
      <c r="B2379" s="11"/>
      <c r="C2379" s="16"/>
      <c r="D2379" s="16"/>
      <c r="E2379" s="38"/>
      <c r="F2379" s="38"/>
      <c r="G2379" s="10"/>
      <c r="H2379" s="12"/>
      <c r="I2379" s="13"/>
      <c r="J2379" s="15"/>
      <c r="K2379" s="12"/>
      <c r="L2379" s="11"/>
      <c r="M2379" s="15"/>
      <c r="N2379" s="17"/>
      <c r="O2379" s="17"/>
      <c r="P2379" s="17"/>
      <c r="Q2379" s="48"/>
      <c r="R2379" s="11"/>
      <c r="S2379" s="48"/>
      <c r="T2379" s="85"/>
      <c r="U2379" s="88"/>
      <c r="V2379" s="32"/>
      <c r="W2379" s="25"/>
      <c r="X2379" s="11"/>
      <c r="Y2379" s="50"/>
      <c r="Z2379" s="50"/>
      <c r="AA2379" s="50"/>
      <c r="AB2379" s="50"/>
      <c r="AC2379" s="50"/>
      <c r="AD2379" s="50"/>
      <c r="AE2379" s="50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65"/>
      <c r="AP2379" s="69"/>
      <c r="AQ2379" s="62"/>
      <c r="AR2379" s="34"/>
    </row>
    <row r="2380" spans="1:44" customFormat="1">
      <c r="A2380" s="39"/>
      <c r="B2380" s="11"/>
      <c r="C2380" s="16"/>
      <c r="D2380" s="16"/>
      <c r="E2380" s="38"/>
      <c r="F2380" s="38"/>
      <c r="G2380" s="10"/>
      <c r="H2380" s="12"/>
      <c r="I2380" s="13"/>
      <c r="J2380" s="15"/>
      <c r="K2380" s="12"/>
      <c r="L2380" s="11"/>
      <c r="M2380" s="15"/>
      <c r="N2380" s="17"/>
      <c r="O2380" s="17"/>
      <c r="P2380" s="17"/>
      <c r="Q2380" s="48"/>
      <c r="R2380" s="11"/>
      <c r="S2380" s="48"/>
      <c r="T2380" s="85"/>
      <c r="U2380" s="88"/>
      <c r="V2380" s="32"/>
      <c r="W2380" s="25"/>
      <c r="X2380" s="11"/>
      <c r="Y2380" s="50"/>
      <c r="Z2380" s="50"/>
      <c r="AA2380" s="50"/>
      <c r="AB2380" s="50"/>
      <c r="AC2380" s="50"/>
      <c r="AD2380" s="50"/>
      <c r="AE2380" s="50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65"/>
      <c r="AP2380" s="69"/>
      <c r="AQ2380" s="62"/>
      <c r="AR2380" s="34"/>
    </row>
    <row r="2381" spans="1:44" customFormat="1">
      <c r="A2381" s="39"/>
      <c r="B2381" s="11"/>
      <c r="C2381" s="16"/>
      <c r="D2381" s="16"/>
      <c r="E2381" s="38"/>
      <c r="F2381" s="38"/>
      <c r="G2381" s="10"/>
      <c r="H2381" s="12"/>
      <c r="I2381" s="13"/>
      <c r="J2381" s="15"/>
      <c r="K2381" s="12"/>
      <c r="L2381" s="11"/>
      <c r="M2381" s="15"/>
      <c r="N2381" s="17"/>
      <c r="O2381" s="17"/>
      <c r="P2381" s="17"/>
      <c r="Q2381" s="48"/>
      <c r="R2381" s="11"/>
      <c r="S2381" s="48"/>
      <c r="T2381" s="85"/>
      <c r="U2381" s="88"/>
      <c r="V2381" s="32"/>
      <c r="W2381" s="25"/>
      <c r="X2381" s="11"/>
      <c r="Y2381" s="50"/>
      <c r="Z2381" s="50"/>
      <c r="AA2381" s="50"/>
      <c r="AB2381" s="50"/>
      <c r="AC2381" s="50"/>
      <c r="AD2381" s="50"/>
      <c r="AE2381" s="50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65"/>
      <c r="AP2381" s="69"/>
      <c r="AQ2381" s="62"/>
      <c r="AR2381" s="34"/>
    </row>
    <row r="2382" spans="1:44" customFormat="1">
      <c r="A2382" s="39"/>
      <c r="B2382" s="11"/>
      <c r="C2382" s="16"/>
      <c r="D2382" s="16"/>
      <c r="E2382" s="38"/>
      <c r="F2382" s="38"/>
      <c r="G2382" s="10"/>
      <c r="H2382" s="12"/>
      <c r="I2382" s="13"/>
      <c r="J2382" s="15"/>
      <c r="K2382" s="12"/>
      <c r="L2382" s="11"/>
      <c r="M2382" s="15"/>
      <c r="N2382" s="17"/>
      <c r="O2382" s="17"/>
      <c r="P2382" s="17"/>
      <c r="Q2382" s="48"/>
      <c r="R2382" s="11"/>
      <c r="S2382" s="48"/>
      <c r="T2382" s="85"/>
      <c r="U2382" s="88"/>
      <c r="V2382" s="32"/>
      <c r="W2382" s="25"/>
      <c r="X2382" s="11"/>
      <c r="Y2382" s="50"/>
      <c r="Z2382" s="50"/>
      <c r="AA2382" s="50"/>
      <c r="AB2382" s="50"/>
      <c r="AC2382" s="50"/>
      <c r="AD2382" s="50"/>
      <c r="AE2382" s="50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65"/>
      <c r="AP2382" s="69"/>
      <c r="AQ2382" s="62"/>
      <c r="AR2382" s="34"/>
    </row>
    <row r="2383" spans="1:44" customFormat="1">
      <c r="A2383" s="39"/>
      <c r="B2383" s="11"/>
      <c r="C2383" s="16"/>
      <c r="D2383" s="16"/>
      <c r="E2383" s="38"/>
      <c r="F2383" s="38"/>
      <c r="G2383" s="10"/>
      <c r="H2383" s="12"/>
      <c r="I2383" s="13"/>
      <c r="J2383" s="15"/>
      <c r="K2383" s="12"/>
      <c r="L2383" s="11"/>
      <c r="M2383" s="15"/>
      <c r="N2383" s="17"/>
      <c r="O2383" s="17"/>
      <c r="P2383" s="17"/>
      <c r="Q2383" s="48"/>
      <c r="R2383" s="11"/>
      <c r="S2383" s="48"/>
      <c r="T2383" s="85"/>
      <c r="U2383" s="88"/>
      <c r="V2383" s="32"/>
      <c r="W2383" s="25"/>
      <c r="X2383" s="11"/>
      <c r="Y2383" s="50"/>
      <c r="Z2383" s="50"/>
      <c r="AA2383" s="50"/>
      <c r="AB2383" s="50"/>
      <c r="AC2383" s="50"/>
      <c r="AD2383" s="50"/>
      <c r="AE2383" s="50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65"/>
      <c r="AP2383" s="69"/>
      <c r="AQ2383" s="62"/>
      <c r="AR2383" s="34"/>
    </row>
    <row r="2384" spans="1:44" customFormat="1">
      <c r="A2384" s="39"/>
      <c r="B2384" s="11"/>
      <c r="C2384" s="16"/>
      <c r="D2384" s="16"/>
      <c r="E2384" s="38"/>
      <c r="F2384" s="38"/>
      <c r="G2384" s="10"/>
      <c r="H2384" s="12"/>
      <c r="I2384" s="13"/>
      <c r="J2384" s="15"/>
      <c r="K2384" s="12"/>
      <c r="L2384" s="11"/>
      <c r="M2384" s="15"/>
      <c r="N2384" s="17"/>
      <c r="O2384" s="17"/>
      <c r="P2384" s="17"/>
      <c r="Q2384" s="48"/>
      <c r="R2384" s="11"/>
      <c r="S2384" s="48"/>
      <c r="T2384" s="85"/>
      <c r="U2384" s="88"/>
      <c r="V2384" s="32"/>
      <c r="W2384" s="25"/>
      <c r="X2384" s="11"/>
      <c r="Y2384" s="50"/>
      <c r="Z2384" s="50"/>
      <c r="AA2384" s="50"/>
      <c r="AB2384" s="50"/>
      <c r="AC2384" s="50"/>
      <c r="AD2384" s="50"/>
      <c r="AE2384" s="50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65"/>
      <c r="AP2384" s="69"/>
      <c r="AQ2384" s="62"/>
      <c r="AR2384" s="34"/>
    </row>
    <row r="2385" spans="1:44" customFormat="1">
      <c r="A2385" s="39"/>
      <c r="B2385" s="11"/>
      <c r="C2385" s="16"/>
      <c r="D2385" s="16"/>
      <c r="E2385" s="38"/>
      <c r="F2385" s="38"/>
      <c r="G2385" s="10"/>
      <c r="H2385" s="12"/>
      <c r="I2385" s="13"/>
      <c r="J2385" s="15"/>
      <c r="K2385" s="12"/>
      <c r="L2385" s="11"/>
      <c r="M2385" s="15"/>
      <c r="N2385" s="17"/>
      <c r="O2385" s="17"/>
      <c r="P2385" s="17"/>
      <c r="Q2385" s="48"/>
      <c r="R2385" s="11"/>
      <c r="S2385" s="48"/>
      <c r="T2385" s="85"/>
      <c r="U2385" s="88"/>
      <c r="V2385" s="32"/>
      <c r="W2385" s="25"/>
      <c r="X2385" s="11"/>
      <c r="Y2385" s="50"/>
      <c r="Z2385" s="50"/>
      <c r="AA2385" s="50"/>
      <c r="AB2385" s="50"/>
      <c r="AC2385" s="50"/>
      <c r="AD2385" s="50"/>
      <c r="AE2385" s="50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65"/>
      <c r="AP2385" s="69"/>
      <c r="AQ2385" s="62"/>
      <c r="AR2385" s="34"/>
    </row>
    <row r="2386" spans="1:44" customFormat="1">
      <c r="A2386" s="39"/>
      <c r="B2386" s="11"/>
      <c r="C2386" s="16"/>
      <c r="D2386" s="16"/>
      <c r="E2386" s="38"/>
      <c r="F2386" s="38"/>
      <c r="G2386" s="10"/>
      <c r="H2386" s="12"/>
      <c r="I2386" s="13"/>
      <c r="J2386" s="15"/>
      <c r="K2386" s="12"/>
      <c r="L2386" s="11"/>
      <c r="M2386" s="15"/>
      <c r="N2386" s="17"/>
      <c r="O2386" s="17"/>
      <c r="P2386" s="17"/>
      <c r="Q2386" s="48"/>
      <c r="R2386" s="11"/>
      <c r="S2386" s="48"/>
      <c r="T2386" s="85"/>
      <c r="U2386" s="88"/>
      <c r="V2386" s="32"/>
      <c r="W2386" s="25"/>
      <c r="X2386" s="11"/>
      <c r="Y2386" s="50"/>
      <c r="Z2386" s="50"/>
      <c r="AA2386" s="50"/>
      <c r="AB2386" s="50"/>
      <c r="AC2386" s="50"/>
      <c r="AD2386" s="50"/>
      <c r="AE2386" s="50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65"/>
      <c r="AP2386" s="69"/>
      <c r="AQ2386" s="62"/>
      <c r="AR2386" s="34"/>
    </row>
    <row r="2387" spans="1:44" customFormat="1">
      <c r="A2387" s="39"/>
      <c r="B2387" s="11"/>
      <c r="C2387" s="16"/>
      <c r="D2387" s="16"/>
      <c r="E2387" s="38"/>
      <c r="F2387" s="38"/>
      <c r="G2387" s="10"/>
      <c r="H2387" s="12"/>
      <c r="I2387" s="13"/>
      <c r="J2387" s="15"/>
      <c r="K2387" s="12"/>
      <c r="L2387" s="11"/>
      <c r="M2387" s="15"/>
      <c r="N2387" s="17"/>
      <c r="O2387" s="17"/>
      <c r="P2387" s="17"/>
      <c r="Q2387" s="48"/>
      <c r="R2387" s="11"/>
      <c r="S2387" s="48"/>
      <c r="T2387" s="85"/>
      <c r="U2387" s="88"/>
      <c r="V2387" s="32"/>
      <c r="W2387" s="25"/>
      <c r="X2387" s="11"/>
      <c r="Y2387" s="50"/>
      <c r="Z2387" s="50"/>
      <c r="AA2387" s="50"/>
      <c r="AB2387" s="50"/>
      <c r="AC2387" s="50"/>
      <c r="AD2387" s="50"/>
      <c r="AE2387" s="50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65"/>
      <c r="AP2387" s="69"/>
      <c r="AQ2387" s="62"/>
      <c r="AR2387" s="34"/>
    </row>
    <row r="2388" spans="1:44" customFormat="1">
      <c r="A2388" s="39"/>
      <c r="B2388" s="11"/>
      <c r="C2388" s="16"/>
      <c r="D2388" s="16"/>
      <c r="E2388" s="38"/>
      <c r="F2388" s="38"/>
      <c r="G2388" s="10"/>
      <c r="H2388" s="12"/>
      <c r="I2388" s="13"/>
      <c r="J2388" s="15"/>
      <c r="K2388" s="12"/>
      <c r="L2388" s="11"/>
      <c r="M2388" s="15"/>
      <c r="N2388" s="17"/>
      <c r="O2388" s="17"/>
      <c r="P2388" s="17"/>
      <c r="Q2388" s="48"/>
      <c r="R2388" s="11"/>
      <c r="S2388" s="48"/>
      <c r="T2388" s="85"/>
      <c r="U2388" s="88"/>
      <c r="V2388" s="32"/>
      <c r="W2388" s="25"/>
      <c r="X2388" s="11"/>
      <c r="Y2388" s="50"/>
      <c r="Z2388" s="50"/>
      <c r="AA2388" s="50"/>
      <c r="AB2388" s="50"/>
      <c r="AC2388" s="50"/>
      <c r="AD2388" s="50"/>
      <c r="AE2388" s="50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65"/>
      <c r="AP2388" s="69"/>
      <c r="AQ2388" s="62"/>
      <c r="AR2388" s="34"/>
    </row>
    <row r="2389" spans="1:44" customFormat="1">
      <c r="A2389" s="39"/>
      <c r="B2389" s="11"/>
      <c r="C2389" s="16"/>
      <c r="D2389" s="16"/>
      <c r="E2389" s="38"/>
      <c r="F2389" s="38"/>
      <c r="G2389" s="10"/>
      <c r="H2389" s="12"/>
      <c r="I2389" s="13"/>
      <c r="J2389" s="15"/>
      <c r="K2389" s="12"/>
      <c r="L2389" s="11"/>
      <c r="M2389" s="15"/>
      <c r="N2389" s="17"/>
      <c r="O2389" s="17"/>
      <c r="P2389" s="17"/>
      <c r="Q2389" s="48"/>
      <c r="R2389" s="11"/>
      <c r="S2389" s="48"/>
      <c r="T2389" s="85"/>
      <c r="U2389" s="88"/>
      <c r="V2389" s="32"/>
      <c r="W2389" s="25"/>
      <c r="X2389" s="11"/>
      <c r="Y2389" s="50"/>
      <c r="Z2389" s="50"/>
      <c r="AA2389" s="50"/>
      <c r="AB2389" s="50"/>
      <c r="AC2389" s="50"/>
      <c r="AD2389" s="50"/>
      <c r="AE2389" s="50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65"/>
      <c r="AP2389" s="69"/>
      <c r="AQ2389" s="62"/>
      <c r="AR2389" s="34"/>
    </row>
    <row r="2390" spans="1:44" customFormat="1">
      <c r="A2390" s="39"/>
      <c r="B2390" s="11"/>
      <c r="C2390" s="16"/>
      <c r="D2390" s="16"/>
      <c r="E2390" s="38"/>
      <c r="F2390" s="38"/>
      <c r="G2390" s="10"/>
      <c r="H2390" s="12"/>
      <c r="I2390" s="13"/>
      <c r="J2390" s="15"/>
      <c r="K2390" s="12"/>
      <c r="L2390" s="11"/>
      <c r="M2390" s="15"/>
      <c r="N2390" s="17"/>
      <c r="O2390" s="17"/>
      <c r="P2390" s="17"/>
      <c r="Q2390" s="48"/>
      <c r="R2390" s="11"/>
      <c r="S2390" s="48"/>
      <c r="T2390" s="85"/>
      <c r="U2390" s="88"/>
      <c r="V2390" s="32"/>
      <c r="W2390" s="25"/>
      <c r="X2390" s="11"/>
      <c r="Y2390" s="50"/>
      <c r="Z2390" s="50"/>
      <c r="AA2390" s="50"/>
      <c r="AB2390" s="50"/>
      <c r="AC2390" s="50"/>
      <c r="AD2390" s="50"/>
      <c r="AE2390" s="50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65"/>
      <c r="AP2390" s="69"/>
      <c r="AQ2390" s="62"/>
      <c r="AR2390" s="34"/>
    </row>
    <row r="2391" spans="1:44" customFormat="1">
      <c r="A2391" s="39"/>
      <c r="B2391" s="11"/>
      <c r="C2391" s="16"/>
      <c r="D2391" s="16"/>
      <c r="E2391" s="38"/>
      <c r="F2391" s="38"/>
      <c r="G2391" s="10"/>
      <c r="H2391" s="12"/>
      <c r="I2391" s="13"/>
      <c r="J2391" s="15"/>
      <c r="K2391" s="12"/>
      <c r="L2391" s="11"/>
      <c r="M2391" s="15"/>
      <c r="N2391" s="17"/>
      <c r="O2391" s="17"/>
      <c r="P2391" s="17"/>
      <c r="Q2391" s="48"/>
      <c r="R2391" s="11"/>
      <c r="S2391" s="48"/>
      <c r="T2391" s="85"/>
      <c r="U2391" s="88"/>
      <c r="V2391" s="32"/>
      <c r="W2391" s="25"/>
      <c r="X2391" s="11"/>
      <c r="Y2391" s="50"/>
      <c r="Z2391" s="50"/>
      <c r="AA2391" s="50"/>
      <c r="AB2391" s="50"/>
      <c r="AC2391" s="50"/>
      <c r="AD2391" s="50"/>
      <c r="AE2391" s="50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65"/>
      <c r="AP2391" s="69"/>
      <c r="AQ2391" s="62"/>
      <c r="AR2391" s="34"/>
    </row>
    <row r="2392" spans="1:44" customFormat="1">
      <c r="A2392" s="39"/>
      <c r="B2392" s="11"/>
      <c r="C2392" s="16"/>
      <c r="D2392" s="16"/>
      <c r="E2392" s="38"/>
      <c r="F2392" s="38"/>
      <c r="G2392" s="10"/>
      <c r="H2392" s="12"/>
      <c r="I2392" s="13"/>
      <c r="J2392" s="15"/>
      <c r="K2392" s="12"/>
      <c r="L2392" s="11"/>
      <c r="M2392" s="15"/>
      <c r="N2392" s="17"/>
      <c r="O2392" s="17"/>
      <c r="P2392" s="17"/>
      <c r="Q2392" s="48"/>
      <c r="R2392" s="11"/>
      <c r="S2392" s="48"/>
      <c r="T2392" s="85"/>
      <c r="U2392" s="88"/>
      <c r="V2392" s="32"/>
      <c r="W2392" s="25"/>
      <c r="X2392" s="11"/>
      <c r="Y2392" s="50"/>
      <c r="Z2392" s="50"/>
      <c r="AA2392" s="50"/>
      <c r="AB2392" s="50"/>
      <c r="AC2392" s="50"/>
      <c r="AD2392" s="50"/>
      <c r="AE2392" s="50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65"/>
      <c r="AP2392" s="69"/>
      <c r="AQ2392" s="62"/>
      <c r="AR2392" s="34"/>
    </row>
    <row r="2393" spans="1:44" customFormat="1">
      <c r="A2393" s="39"/>
      <c r="B2393" s="11"/>
      <c r="C2393" s="16"/>
      <c r="D2393" s="16"/>
      <c r="E2393" s="38"/>
      <c r="F2393" s="38"/>
      <c r="G2393" s="10"/>
      <c r="H2393" s="12"/>
      <c r="I2393" s="13"/>
      <c r="J2393" s="15"/>
      <c r="K2393" s="12"/>
      <c r="L2393" s="11"/>
      <c r="M2393" s="15"/>
      <c r="N2393" s="17"/>
      <c r="O2393" s="17"/>
      <c r="P2393" s="17"/>
      <c r="Q2393" s="48"/>
      <c r="R2393" s="11"/>
      <c r="S2393" s="48"/>
      <c r="T2393" s="85"/>
      <c r="U2393" s="88"/>
      <c r="V2393" s="32"/>
      <c r="W2393" s="25"/>
      <c r="X2393" s="11"/>
      <c r="Y2393" s="50"/>
      <c r="Z2393" s="50"/>
      <c r="AA2393" s="50"/>
      <c r="AB2393" s="50"/>
      <c r="AC2393" s="50"/>
      <c r="AD2393" s="50"/>
      <c r="AE2393" s="50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65"/>
      <c r="AP2393" s="69"/>
      <c r="AQ2393" s="62"/>
      <c r="AR2393" s="34"/>
    </row>
    <row r="2394" spans="1:44" customFormat="1">
      <c r="A2394" s="39"/>
      <c r="B2394" s="11"/>
      <c r="C2394" s="16"/>
      <c r="D2394" s="16"/>
      <c r="E2394" s="38"/>
      <c r="F2394" s="38"/>
      <c r="G2394" s="10"/>
      <c r="H2394" s="12"/>
      <c r="I2394" s="13"/>
      <c r="J2394" s="15"/>
      <c r="K2394" s="12"/>
      <c r="L2394" s="11"/>
      <c r="M2394" s="15"/>
      <c r="N2394" s="17"/>
      <c r="O2394" s="17"/>
      <c r="P2394" s="17"/>
      <c r="Q2394" s="48"/>
      <c r="R2394" s="11"/>
      <c r="S2394" s="48"/>
      <c r="T2394" s="85"/>
      <c r="U2394" s="88"/>
      <c r="V2394" s="32"/>
      <c r="W2394" s="25"/>
      <c r="X2394" s="11"/>
      <c r="Y2394" s="50"/>
      <c r="Z2394" s="50"/>
      <c r="AA2394" s="50"/>
      <c r="AB2394" s="50"/>
      <c r="AC2394" s="50"/>
      <c r="AD2394" s="50"/>
      <c r="AE2394" s="50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65"/>
      <c r="AP2394" s="69"/>
      <c r="AQ2394" s="62"/>
      <c r="AR2394" s="34"/>
    </row>
    <row r="2395" spans="1:44" customFormat="1">
      <c r="A2395" s="39"/>
      <c r="B2395" s="11"/>
      <c r="C2395" s="16"/>
      <c r="D2395" s="16"/>
      <c r="E2395" s="38"/>
      <c r="F2395" s="38"/>
      <c r="G2395" s="10"/>
      <c r="H2395" s="12"/>
      <c r="I2395" s="13"/>
      <c r="J2395" s="15"/>
      <c r="K2395" s="12"/>
      <c r="L2395" s="11"/>
      <c r="M2395" s="15"/>
      <c r="N2395" s="17"/>
      <c r="O2395" s="17"/>
      <c r="P2395" s="17"/>
      <c r="Q2395" s="48"/>
      <c r="R2395" s="11"/>
      <c r="S2395" s="48"/>
      <c r="T2395" s="85"/>
      <c r="U2395" s="88"/>
      <c r="V2395" s="32"/>
      <c r="W2395" s="25"/>
      <c r="X2395" s="11"/>
      <c r="Y2395" s="50"/>
      <c r="Z2395" s="50"/>
      <c r="AA2395" s="50"/>
      <c r="AB2395" s="50"/>
      <c r="AC2395" s="50"/>
      <c r="AD2395" s="50"/>
      <c r="AE2395" s="50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65"/>
      <c r="AP2395" s="69"/>
      <c r="AQ2395" s="62"/>
      <c r="AR2395" s="34"/>
    </row>
    <row r="2396" spans="1:44" customFormat="1">
      <c r="A2396" s="39"/>
      <c r="B2396" s="11"/>
      <c r="C2396" s="16"/>
      <c r="D2396" s="16"/>
      <c r="E2396" s="38"/>
      <c r="F2396" s="38"/>
      <c r="G2396" s="10"/>
      <c r="H2396" s="12"/>
      <c r="I2396" s="13"/>
      <c r="J2396" s="15"/>
      <c r="K2396" s="12"/>
      <c r="L2396" s="11"/>
      <c r="M2396" s="15"/>
      <c r="N2396" s="17"/>
      <c r="O2396" s="17"/>
      <c r="P2396" s="17"/>
      <c r="Q2396" s="48"/>
      <c r="R2396" s="11"/>
      <c r="S2396" s="48"/>
      <c r="T2396" s="85"/>
      <c r="U2396" s="88"/>
      <c r="V2396" s="32"/>
      <c r="W2396" s="25"/>
      <c r="X2396" s="11"/>
      <c r="Y2396" s="50"/>
      <c r="Z2396" s="50"/>
      <c r="AA2396" s="50"/>
      <c r="AB2396" s="50"/>
      <c r="AC2396" s="50"/>
      <c r="AD2396" s="50"/>
      <c r="AE2396" s="50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65"/>
      <c r="AP2396" s="69"/>
      <c r="AQ2396" s="62"/>
      <c r="AR2396" s="34"/>
    </row>
    <row r="2397" spans="1:44" customFormat="1">
      <c r="A2397" s="39"/>
      <c r="B2397" s="11"/>
      <c r="C2397" s="16"/>
      <c r="D2397" s="16"/>
      <c r="E2397" s="38"/>
      <c r="F2397" s="38"/>
      <c r="G2397" s="10"/>
      <c r="H2397" s="12"/>
      <c r="I2397" s="13"/>
      <c r="J2397" s="15"/>
      <c r="K2397" s="12"/>
      <c r="L2397" s="11"/>
      <c r="M2397" s="15"/>
      <c r="N2397" s="17"/>
      <c r="O2397" s="17"/>
      <c r="P2397" s="17"/>
      <c r="Q2397" s="48"/>
      <c r="R2397" s="11"/>
      <c r="S2397" s="48"/>
      <c r="T2397" s="85"/>
      <c r="U2397" s="88"/>
      <c r="V2397" s="32"/>
      <c r="W2397" s="25"/>
      <c r="X2397" s="11"/>
      <c r="Y2397" s="50"/>
      <c r="Z2397" s="50"/>
      <c r="AA2397" s="50"/>
      <c r="AB2397" s="50"/>
      <c r="AC2397" s="50"/>
      <c r="AD2397" s="50"/>
      <c r="AE2397" s="50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65"/>
      <c r="AP2397" s="69"/>
      <c r="AQ2397" s="62"/>
      <c r="AR2397" s="34"/>
    </row>
    <row r="2398" spans="1:44" customFormat="1">
      <c r="A2398" s="39"/>
      <c r="B2398" s="11"/>
      <c r="C2398" s="16"/>
      <c r="D2398" s="16"/>
      <c r="E2398" s="38"/>
      <c r="F2398" s="38"/>
      <c r="G2398" s="10"/>
      <c r="H2398" s="12"/>
      <c r="I2398" s="13"/>
      <c r="J2398" s="15"/>
      <c r="K2398" s="12"/>
      <c r="L2398" s="11"/>
      <c r="M2398" s="15"/>
      <c r="N2398" s="17"/>
      <c r="O2398" s="17"/>
      <c r="P2398" s="17"/>
      <c r="Q2398" s="48"/>
      <c r="R2398" s="11"/>
      <c r="S2398" s="48"/>
      <c r="T2398" s="85"/>
      <c r="U2398" s="88"/>
      <c r="V2398" s="32"/>
      <c r="W2398" s="25"/>
      <c r="X2398" s="11"/>
      <c r="Y2398" s="50"/>
      <c r="Z2398" s="50"/>
      <c r="AA2398" s="50"/>
      <c r="AB2398" s="50"/>
      <c r="AC2398" s="50"/>
      <c r="AD2398" s="50"/>
      <c r="AE2398" s="50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65"/>
      <c r="AP2398" s="69"/>
      <c r="AQ2398" s="62"/>
      <c r="AR2398" s="34"/>
    </row>
    <row r="2399" spans="1:44" customFormat="1">
      <c r="A2399" s="39"/>
      <c r="B2399" s="11"/>
      <c r="C2399" s="16"/>
      <c r="D2399" s="16"/>
      <c r="E2399" s="38"/>
      <c r="F2399" s="38"/>
      <c r="G2399" s="10"/>
      <c r="H2399" s="12"/>
      <c r="I2399" s="13"/>
      <c r="J2399" s="15"/>
      <c r="K2399" s="12"/>
      <c r="L2399" s="11"/>
      <c r="M2399" s="15"/>
      <c r="N2399" s="17"/>
      <c r="O2399" s="17"/>
      <c r="P2399" s="17"/>
      <c r="Q2399" s="48"/>
      <c r="R2399" s="11"/>
      <c r="S2399" s="48"/>
      <c r="T2399" s="85"/>
      <c r="U2399" s="88"/>
      <c r="V2399" s="32"/>
      <c r="W2399" s="25"/>
      <c r="X2399" s="11"/>
      <c r="Y2399" s="50"/>
      <c r="Z2399" s="50"/>
      <c r="AA2399" s="50"/>
      <c r="AB2399" s="50"/>
      <c r="AC2399" s="50"/>
      <c r="AD2399" s="50"/>
      <c r="AE2399" s="50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65"/>
      <c r="AP2399" s="69"/>
      <c r="AQ2399" s="62"/>
      <c r="AR2399" s="34"/>
    </row>
    <row r="2400" spans="1:44" customFormat="1">
      <c r="A2400" s="39"/>
      <c r="B2400" s="11"/>
      <c r="C2400" s="16"/>
      <c r="D2400" s="16"/>
      <c r="E2400" s="38"/>
      <c r="F2400" s="38"/>
      <c r="G2400" s="10"/>
      <c r="H2400" s="12"/>
      <c r="I2400" s="13"/>
      <c r="J2400" s="15"/>
      <c r="K2400" s="12"/>
      <c r="L2400" s="11"/>
      <c r="M2400" s="15"/>
      <c r="N2400" s="17"/>
      <c r="O2400" s="17"/>
      <c r="P2400" s="17"/>
      <c r="Q2400" s="48"/>
      <c r="R2400" s="11"/>
      <c r="S2400" s="48"/>
      <c r="T2400" s="85"/>
      <c r="U2400" s="88"/>
      <c r="V2400" s="32"/>
      <c r="W2400" s="25"/>
      <c r="X2400" s="11"/>
      <c r="Y2400" s="50"/>
      <c r="Z2400" s="50"/>
      <c r="AA2400" s="50"/>
      <c r="AB2400" s="50"/>
      <c r="AC2400" s="50"/>
      <c r="AD2400" s="50"/>
      <c r="AE2400" s="50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65"/>
      <c r="AP2400" s="69"/>
      <c r="AQ2400" s="62"/>
      <c r="AR2400" s="34"/>
    </row>
    <row r="2401" spans="1:44" customFormat="1">
      <c r="A2401" s="39"/>
      <c r="B2401" s="11"/>
      <c r="C2401" s="16"/>
      <c r="D2401" s="16"/>
      <c r="E2401" s="38"/>
      <c r="F2401" s="38"/>
      <c r="G2401" s="10"/>
      <c r="H2401" s="12"/>
      <c r="I2401" s="13"/>
      <c r="J2401" s="15"/>
      <c r="K2401" s="12"/>
      <c r="L2401" s="11"/>
      <c r="M2401" s="15"/>
      <c r="N2401" s="17"/>
      <c r="O2401" s="17"/>
      <c r="P2401" s="17"/>
      <c r="Q2401" s="48"/>
      <c r="R2401" s="11"/>
      <c r="S2401" s="48"/>
      <c r="T2401" s="85"/>
      <c r="U2401" s="88"/>
      <c r="V2401" s="32"/>
      <c r="W2401" s="25"/>
      <c r="X2401" s="11"/>
      <c r="Y2401" s="50"/>
      <c r="Z2401" s="50"/>
      <c r="AA2401" s="50"/>
      <c r="AB2401" s="50"/>
      <c r="AC2401" s="50"/>
      <c r="AD2401" s="50"/>
      <c r="AE2401" s="50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65"/>
      <c r="AP2401" s="69"/>
      <c r="AQ2401" s="62"/>
      <c r="AR2401" s="34"/>
    </row>
    <row r="2402" spans="1:44" customFormat="1">
      <c r="A2402" s="39"/>
      <c r="B2402" s="11"/>
      <c r="C2402" s="16"/>
      <c r="D2402" s="16"/>
      <c r="E2402" s="38"/>
      <c r="F2402" s="38"/>
      <c r="G2402" s="10"/>
      <c r="H2402" s="12"/>
      <c r="I2402" s="13"/>
      <c r="J2402" s="15"/>
      <c r="K2402" s="12"/>
      <c r="L2402" s="11"/>
      <c r="M2402" s="15"/>
      <c r="N2402" s="17"/>
      <c r="O2402" s="17"/>
      <c r="P2402" s="17"/>
      <c r="Q2402" s="48"/>
      <c r="R2402" s="11"/>
      <c r="S2402" s="48"/>
      <c r="T2402" s="85"/>
      <c r="U2402" s="88"/>
      <c r="V2402" s="32"/>
      <c r="W2402" s="25"/>
      <c r="X2402" s="11"/>
      <c r="Y2402" s="50"/>
      <c r="Z2402" s="50"/>
      <c r="AA2402" s="50"/>
      <c r="AB2402" s="50"/>
      <c r="AC2402" s="50"/>
      <c r="AD2402" s="50"/>
      <c r="AE2402" s="50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65"/>
      <c r="AP2402" s="69"/>
      <c r="AQ2402" s="62"/>
      <c r="AR2402" s="34"/>
    </row>
    <row r="2403" spans="1:44" customFormat="1">
      <c r="A2403" s="39"/>
      <c r="B2403" s="11"/>
      <c r="C2403" s="16"/>
      <c r="D2403" s="16"/>
      <c r="E2403" s="38"/>
      <c r="F2403" s="38"/>
      <c r="G2403" s="10"/>
      <c r="H2403" s="12"/>
      <c r="I2403" s="13"/>
      <c r="J2403" s="15"/>
      <c r="K2403" s="12"/>
      <c r="L2403" s="11"/>
      <c r="M2403" s="15"/>
      <c r="N2403" s="17"/>
      <c r="O2403" s="17"/>
      <c r="P2403" s="17"/>
      <c r="Q2403" s="48"/>
      <c r="R2403" s="11"/>
      <c r="S2403" s="48"/>
      <c r="T2403" s="85"/>
      <c r="U2403" s="88"/>
      <c r="V2403" s="32"/>
      <c r="W2403" s="25"/>
      <c r="X2403" s="11"/>
      <c r="Y2403" s="50"/>
      <c r="Z2403" s="50"/>
      <c r="AA2403" s="50"/>
      <c r="AB2403" s="50"/>
      <c r="AC2403" s="50"/>
      <c r="AD2403" s="50"/>
      <c r="AE2403" s="50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65"/>
      <c r="AP2403" s="69"/>
      <c r="AQ2403" s="62"/>
      <c r="AR2403" s="34"/>
    </row>
    <row r="2404" spans="1:44" customFormat="1">
      <c r="A2404" s="39"/>
      <c r="B2404" s="11"/>
      <c r="C2404" s="16"/>
      <c r="D2404" s="16"/>
      <c r="E2404" s="38"/>
      <c r="F2404" s="38"/>
      <c r="G2404" s="10"/>
      <c r="H2404" s="12"/>
      <c r="I2404" s="13"/>
      <c r="J2404" s="15"/>
      <c r="K2404" s="12"/>
      <c r="L2404" s="11"/>
      <c r="M2404" s="15"/>
      <c r="N2404" s="17"/>
      <c r="O2404" s="17"/>
      <c r="P2404" s="17"/>
      <c r="Q2404" s="48"/>
      <c r="R2404" s="11"/>
      <c r="S2404" s="48"/>
      <c r="T2404" s="85"/>
      <c r="U2404" s="88"/>
      <c r="V2404" s="32"/>
      <c r="W2404" s="25"/>
      <c r="X2404" s="11"/>
      <c r="Y2404" s="50"/>
      <c r="Z2404" s="50"/>
      <c r="AA2404" s="50"/>
      <c r="AB2404" s="50"/>
      <c r="AC2404" s="50"/>
      <c r="AD2404" s="50"/>
      <c r="AE2404" s="50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65"/>
      <c r="AP2404" s="69"/>
      <c r="AQ2404" s="62"/>
      <c r="AR2404" s="34"/>
    </row>
    <row r="2405" spans="1:44" customFormat="1">
      <c r="A2405" s="39"/>
      <c r="B2405" s="11"/>
      <c r="C2405" s="16"/>
      <c r="D2405" s="16"/>
      <c r="E2405" s="38"/>
      <c r="F2405" s="38"/>
      <c r="G2405" s="10"/>
      <c r="H2405" s="12"/>
      <c r="I2405" s="13"/>
      <c r="J2405" s="15"/>
      <c r="K2405" s="12"/>
      <c r="L2405" s="11"/>
      <c r="M2405" s="15"/>
      <c r="N2405" s="17"/>
      <c r="O2405" s="17"/>
      <c r="P2405" s="17"/>
      <c r="Q2405" s="48"/>
      <c r="R2405" s="11"/>
      <c r="S2405" s="48"/>
      <c r="T2405" s="85"/>
      <c r="U2405" s="88"/>
      <c r="V2405" s="32"/>
      <c r="W2405" s="25"/>
      <c r="X2405" s="11"/>
      <c r="Y2405" s="50"/>
      <c r="Z2405" s="50"/>
      <c r="AA2405" s="50"/>
      <c r="AB2405" s="50"/>
      <c r="AC2405" s="50"/>
      <c r="AD2405" s="50"/>
      <c r="AE2405" s="50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65"/>
      <c r="AP2405" s="69"/>
      <c r="AQ2405" s="62"/>
      <c r="AR2405" s="34"/>
    </row>
    <row r="2406" spans="1:44" customFormat="1">
      <c r="A2406" s="39"/>
      <c r="B2406" s="11"/>
      <c r="C2406" s="16"/>
      <c r="D2406" s="16"/>
      <c r="E2406" s="38"/>
      <c r="F2406" s="38"/>
      <c r="G2406" s="10"/>
      <c r="H2406" s="12"/>
      <c r="I2406" s="13"/>
      <c r="J2406" s="15"/>
      <c r="K2406" s="12"/>
      <c r="L2406" s="11"/>
      <c r="M2406" s="15"/>
      <c r="N2406" s="17"/>
      <c r="O2406" s="17"/>
      <c r="P2406" s="17"/>
      <c r="Q2406" s="48"/>
      <c r="R2406" s="11"/>
      <c r="S2406" s="48"/>
      <c r="T2406" s="85"/>
      <c r="U2406" s="88"/>
      <c r="V2406" s="32"/>
      <c r="W2406" s="25"/>
      <c r="X2406" s="11"/>
      <c r="Y2406" s="50"/>
      <c r="Z2406" s="50"/>
      <c r="AA2406" s="50"/>
      <c r="AB2406" s="50"/>
      <c r="AC2406" s="50"/>
      <c r="AD2406" s="50"/>
      <c r="AE2406" s="50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65"/>
      <c r="AP2406" s="69"/>
      <c r="AQ2406" s="62"/>
      <c r="AR2406" s="34"/>
    </row>
    <row r="2407" spans="1:44" customFormat="1">
      <c r="A2407" s="39"/>
      <c r="B2407" s="11"/>
      <c r="C2407" s="16"/>
      <c r="D2407" s="16"/>
      <c r="E2407" s="38"/>
      <c r="F2407" s="38"/>
      <c r="G2407" s="10"/>
      <c r="H2407" s="12"/>
      <c r="I2407" s="13"/>
      <c r="J2407" s="15"/>
      <c r="K2407" s="12"/>
      <c r="L2407" s="11"/>
      <c r="M2407" s="15"/>
      <c r="N2407" s="17"/>
      <c r="O2407" s="17"/>
      <c r="P2407" s="17"/>
      <c r="Q2407" s="48"/>
      <c r="R2407" s="11"/>
      <c r="S2407" s="48"/>
      <c r="T2407" s="85"/>
      <c r="U2407" s="88"/>
      <c r="V2407" s="32"/>
      <c r="W2407" s="25"/>
      <c r="X2407" s="11"/>
      <c r="Y2407" s="50"/>
      <c r="Z2407" s="50"/>
      <c r="AA2407" s="50"/>
      <c r="AB2407" s="50"/>
      <c r="AC2407" s="50"/>
      <c r="AD2407" s="50"/>
      <c r="AE2407" s="50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65"/>
      <c r="AP2407" s="69"/>
      <c r="AQ2407" s="62"/>
      <c r="AR2407" s="34"/>
    </row>
    <row r="2408" spans="1:44" customFormat="1">
      <c r="A2408" s="39"/>
      <c r="B2408" s="11"/>
      <c r="C2408" s="16"/>
      <c r="D2408" s="16"/>
      <c r="E2408" s="38"/>
      <c r="F2408" s="38"/>
      <c r="G2408" s="10"/>
      <c r="H2408" s="12"/>
      <c r="I2408" s="13"/>
      <c r="J2408" s="15"/>
      <c r="K2408" s="12"/>
      <c r="L2408" s="11"/>
      <c r="M2408" s="15"/>
      <c r="N2408" s="17"/>
      <c r="O2408" s="17"/>
      <c r="P2408" s="17"/>
      <c r="Q2408" s="48"/>
      <c r="R2408" s="11"/>
      <c r="S2408" s="48"/>
      <c r="T2408" s="85"/>
      <c r="U2408" s="88"/>
      <c r="V2408" s="32"/>
      <c r="W2408" s="25"/>
      <c r="X2408" s="11"/>
      <c r="Y2408" s="50"/>
      <c r="Z2408" s="50"/>
      <c r="AA2408" s="50"/>
      <c r="AB2408" s="50"/>
      <c r="AC2408" s="50"/>
      <c r="AD2408" s="50"/>
      <c r="AE2408" s="50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65"/>
      <c r="AP2408" s="69"/>
      <c r="AQ2408" s="62"/>
      <c r="AR2408" s="34"/>
    </row>
    <row r="2409" spans="1:44" customFormat="1">
      <c r="A2409" s="39"/>
      <c r="B2409" s="11"/>
      <c r="C2409" s="16"/>
      <c r="D2409" s="16"/>
      <c r="E2409" s="38"/>
      <c r="F2409" s="38"/>
      <c r="G2409" s="10"/>
      <c r="H2409" s="12"/>
      <c r="I2409" s="13"/>
      <c r="J2409" s="15"/>
      <c r="K2409" s="12"/>
      <c r="L2409" s="11"/>
      <c r="M2409" s="15"/>
      <c r="N2409" s="17"/>
      <c r="O2409" s="17"/>
      <c r="P2409" s="17"/>
      <c r="Q2409" s="48"/>
      <c r="R2409" s="11"/>
      <c r="S2409" s="48"/>
      <c r="T2409" s="85"/>
      <c r="U2409" s="88"/>
      <c r="V2409" s="32"/>
      <c r="W2409" s="25"/>
      <c r="X2409" s="11"/>
      <c r="Y2409" s="50"/>
      <c r="Z2409" s="50"/>
      <c r="AA2409" s="50"/>
      <c r="AB2409" s="50"/>
      <c r="AC2409" s="50"/>
      <c r="AD2409" s="50"/>
      <c r="AE2409" s="50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65"/>
      <c r="AP2409" s="69"/>
      <c r="AQ2409" s="62"/>
      <c r="AR2409" s="34"/>
    </row>
    <row r="2410" spans="1:44" customFormat="1">
      <c r="A2410" s="39"/>
      <c r="B2410" s="11"/>
      <c r="C2410" s="16"/>
      <c r="D2410" s="16"/>
      <c r="E2410" s="38"/>
      <c r="F2410" s="38"/>
      <c r="G2410" s="10"/>
      <c r="H2410" s="12"/>
      <c r="I2410" s="13"/>
      <c r="J2410" s="15"/>
      <c r="K2410" s="12"/>
      <c r="L2410" s="11"/>
      <c r="M2410" s="15"/>
      <c r="N2410" s="17"/>
      <c r="O2410" s="17"/>
      <c r="P2410" s="17"/>
      <c r="Q2410" s="48"/>
      <c r="R2410" s="11"/>
      <c r="S2410" s="48"/>
      <c r="T2410" s="85"/>
      <c r="U2410" s="88"/>
      <c r="V2410" s="32"/>
      <c r="W2410" s="25"/>
      <c r="X2410" s="11"/>
      <c r="Y2410" s="50"/>
      <c r="Z2410" s="50"/>
      <c r="AA2410" s="50"/>
      <c r="AB2410" s="50"/>
      <c r="AC2410" s="50"/>
      <c r="AD2410" s="50"/>
      <c r="AE2410" s="50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65"/>
      <c r="AP2410" s="69"/>
      <c r="AQ2410" s="62"/>
      <c r="AR2410" s="34"/>
    </row>
    <row r="2411" spans="1:44" customFormat="1">
      <c r="A2411" s="39"/>
      <c r="B2411" s="11"/>
      <c r="C2411" s="16"/>
      <c r="D2411" s="16"/>
      <c r="E2411" s="38"/>
      <c r="F2411" s="38"/>
      <c r="G2411" s="10"/>
      <c r="H2411" s="12"/>
      <c r="I2411" s="13"/>
      <c r="J2411" s="15"/>
      <c r="K2411" s="12"/>
      <c r="L2411" s="11"/>
      <c r="M2411" s="15"/>
      <c r="N2411" s="17"/>
      <c r="O2411" s="17"/>
      <c r="P2411" s="17"/>
      <c r="Q2411" s="48"/>
      <c r="R2411" s="11"/>
      <c r="S2411" s="48"/>
      <c r="T2411" s="85"/>
      <c r="U2411" s="88"/>
      <c r="V2411" s="32"/>
      <c r="W2411" s="25"/>
      <c r="X2411" s="11"/>
      <c r="Y2411" s="50"/>
      <c r="Z2411" s="50"/>
      <c r="AA2411" s="50"/>
      <c r="AB2411" s="50"/>
      <c r="AC2411" s="50"/>
      <c r="AD2411" s="50"/>
      <c r="AE2411" s="50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65"/>
      <c r="AP2411" s="69"/>
      <c r="AQ2411" s="62"/>
      <c r="AR2411" s="34"/>
    </row>
    <row r="2412" spans="1:44" customFormat="1">
      <c r="A2412" s="39"/>
      <c r="B2412" s="11"/>
      <c r="C2412" s="16"/>
      <c r="D2412" s="16"/>
      <c r="E2412" s="38"/>
      <c r="F2412" s="38"/>
      <c r="G2412" s="10"/>
      <c r="H2412" s="12"/>
      <c r="I2412" s="13"/>
      <c r="J2412" s="15"/>
      <c r="K2412" s="12"/>
      <c r="L2412" s="11"/>
      <c r="M2412" s="15"/>
      <c r="N2412" s="17"/>
      <c r="O2412" s="17"/>
      <c r="P2412" s="17"/>
      <c r="Q2412" s="48"/>
      <c r="R2412" s="11"/>
      <c r="S2412" s="48"/>
      <c r="T2412" s="85"/>
      <c r="U2412" s="88"/>
      <c r="V2412" s="32"/>
      <c r="W2412" s="25"/>
      <c r="X2412" s="11"/>
      <c r="Y2412" s="50"/>
      <c r="Z2412" s="50"/>
      <c r="AA2412" s="50"/>
      <c r="AB2412" s="50"/>
      <c r="AC2412" s="50"/>
      <c r="AD2412" s="50"/>
      <c r="AE2412" s="50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65"/>
      <c r="AP2412" s="69"/>
      <c r="AQ2412" s="62"/>
      <c r="AR2412" s="34"/>
    </row>
    <row r="2413" spans="1:44" customFormat="1">
      <c r="A2413" s="39"/>
      <c r="B2413" s="11"/>
      <c r="C2413" s="16"/>
      <c r="D2413" s="16"/>
      <c r="E2413" s="38"/>
      <c r="F2413" s="38"/>
      <c r="G2413" s="10"/>
      <c r="H2413" s="12"/>
      <c r="I2413" s="13"/>
      <c r="J2413" s="15"/>
      <c r="K2413" s="12"/>
      <c r="L2413" s="11"/>
      <c r="M2413" s="15"/>
      <c r="N2413" s="17"/>
      <c r="O2413" s="17"/>
      <c r="P2413" s="17"/>
      <c r="Q2413" s="48"/>
      <c r="R2413" s="11"/>
      <c r="S2413" s="48"/>
      <c r="T2413" s="85"/>
      <c r="U2413" s="88"/>
      <c r="V2413" s="32"/>
      <c r="W2413" s="25"/>
      <c r="X2413" s="11"/>
      <c r="Y2413" s="50"/>
      <c r="Z2413" s="50"/>
      <c r="AA2413" s="50"/>
      <c r="AB2413" s="50"/>
      <c r="AC2413" s="50"/>
      <c r="AD2413" s="50"/>
      <c r="AE2413" s="50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65"/>
      <c r="AP2413" s="69"/>
      <c r="AQ2413" s="62"/>
      <c r="AR2413" s="34"/>
    </row>
    <row r="2414" spans="1:44" customFormat="1">
      <c r="A2414" s="39"/>
      <c r="B2414" s="11"/>
      <c r="C2414" s="16"/>
      <c r="D2414" s="16"/>
      <c r="E2414" s="38"/>
      <c r="F2414" s="38"/>
      <c r="G2414" s="10"/>
      <c r="H2414" s="12"/>
      <c r="I2414" s="13"/>
      <c r="J2414" s="15"/>
      <c r="K2414" s="12"/>
      <c r="L2414" s="11"/>
      <c r="M2414" s="15"/>
      <c r="N2414" s="17"/>
      <c r="O2414" s="17"/>
      <c r="P2414" s="17"/>
      <c r="Q2414" s="48"/>
      <c r="R2414" s="11"/>
      <c r="S2414" s="48"/>
      <c r="T2414" s="85"/>
      <c r="U2414" s="88"/>
      <c r="V2414" s="32"/>
      <c r="W2414" s="25"/>
      <c r="X2414" s="11"/>
      <c r="Y2414" s="50"/>
      <c r="Z2414" s="50"/>
      <c r="AA2414" s="50"/>
      <c r="AB2414" s="50"/>
      <c r="AC2414" s="50"/>
      <c r="AD2414" s="50"/>
      <c r="AE2414" s="50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65"/>
      <c r="AP2414" s="69"/>
      <c r="AQ2414" s="62"/>
      <c r="AR2414" s="34"/>
    </row>
    <row r="2415" spans="1:44" customFormat="1">
      <c r="A2415" s="39"/>
      <c r="B2415" s="11"/>
      <c r="C2415" s="16"/>
      <c r="D2415" s="16"/>
      <c r="E2415" s="38"/>
      <c r="F2415" s="38"/>
      <c r="G2415" s="10"/>
      <c r="H2415" s="12"/>
      <c r="I2415" s="13"/>
      <c r="J2415" s="15"/>
      <c r="K2415" s="12"/>
      <c r="L2415" s="11"/>
      <c r="M2415" s="15"/>
      <c r="N2415" s="17"/>
      <c r="O2415" s="17"/>
      <c r="P2415" s="17"/>
      <c r="Q2415" s="48"/>
      <c r="R2415" s="11"/>
      <c r="S2415" s="48"/>
      <c r="T2415" s="85"/>
      <c r="U2415" s="88"/>
      <c r="V2415" s="32"/>
      <c r="W2415" s="25"/>
      <c r="X2415" s="11"/>
      <c r="Y2415" s="50"/>
      <c r="Z2415" s="50"/>
      <c r="AA2415" s="50"/>
      <c r="AB2415" s="50"/>
      <c r="AC2415" s="50"/>
      <c r="AD2415" s="50"/>
      <c r="AE2415" s="50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65"/>
      <c r="AP2415" s="69"/>
      <c r="AQ2415" s="62"/>
      <c r="AR2415" s="34"/>
    </row>
    <row r="2416" spans="1:44" customFormat="1">
      <c r="A2416" s="39"/>
      <c r="B2416" s="11"/>
      <c r="C2416" s="16"/>
      <c r="D2416" s="16"/>
      <c r="E2416" s="38"/>
      <c r="F2416" s="38"/>
      <c r="G2416" s="10"/>
      <c r="H2416" s="12"/>
      <c r="I2416" s="13"/>
      <c r="J2416" s="15"/>
      <c r="K2416" s="12"/>
      <c r="L2416" s="11"/>
      <c r="M2416" s="15"/>
      <c r="N2416" s="17"/>
      <c r="O2416" s="17"/>
      <c r="P2416" s="17"/>
      <c r="Q2416" s="48"/>
      <c r="R2416" s="11"/>
      <c r="S2416" s="48"/>
      <c r="T2416" s="85"/>
      <c r="U2416" s="88"/>
      <c r="V2416" s="32"/>
      <c r="W2416" s="25"/>
      <c r="X2416" s="11"/>
      <c r="Y2416" s="50"/>
      <c r="Z2416" s="50"/>
      <c r="AA2416" s="50"/>
      <c r="AB2416" s="50"/>
      <c r="AC2416" s="50"/>
      <c r="AD2416" s="50"/>
      <c r="AE2416" s="50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65"/>
      <c r="AP2416" s="69"/>
      <c r="AQ2416" s="62"/>
      <c r="AR2416" s="34"/>
    </row>
  </sheetData>
  <autoFilter ref="A1:BE2279" xr:uid="{00000000-0001-0000-0000-000000000000}"/>
  <mergeCells count="1">
    <mergeCell ref="AP1590:AP1591"/>
  </mergeCells>
  <phoneticPr fontId="1"/>
  <dataValidations count="25">
    <dataValidation type="list" allowBlank="1" showInputMessage="1" showErrorMessage="1" sqref="L2:L8 L345:L1466 L1656:L1898 L10:L32 L1476 L1470:L1472 L88:L130 L132:L190 L192:L208 L210:L342 L1483:L1654 L1906:L2187 L2189:L2416" xr:uid="{B23F7A9E-B59E-4A0E-9D53-7A36BB472CAA}">
      <formula1>$AZ$2:$AZ$8</formula1>
    </dataValidation>
    <dataValidation type="list" allowBlank="1" showInputMessage="1" showErrorMessage="1" sqref="L9 L131 L33:L87 L191 L209 L1655" xr:uid="{874A9D85-CE68-46C7-AF6F-1533A1AE8C53}">
      <formula1>$AZ$2:$AZ$9</formula1>
    </dataValidation>
    <dataValidation type="list" allowBlank="1" showInputMessage="1" showErrorMessage="1" sqref="B2:B1020 B1022:B1898 B1906:B2416" xr:uid="{13AEDFF3-DA40-4FBB-9350-C958F9E58B81}">
      <formula1>$AY$2:$AY$8</formula1>
    </dataValidation>
    <dataValidation type="list" allowBlank="1" showInputMessage="1" showErrorMessage="1" sqref="L343:L344 Y343:AN344" xr:uid="{FE3BF0D9-911D-4DE1-8D5A-DA3373EE0028}">
      <formula1>$AW$2:$AW$5</formula1>
    </dataValidation>
    <dataValidation type="list" allowBlank="1" showInputMessage="1" showErrorMessage="1" sqref="M1135:M1136 M1138:M1255 M1257:M1276 M1278:M1283 M1285:M1300 M1302:M1356 M1358:M1412 M1470:M1472 M1476 M1485:M1522 M1414:M1465 M1524:M1556 M1558:M1568 M1570:M1622 M1624:M1654 M1656:M1836 M1838:M1876 M1878:M1889 M1891:M1896 M866:M1133 M1898 M2122 M2019:M2084 M2091 M2089 M1900:M2017 M2231 M2229 M2251" xr:uid="{602B612D-6F58-4AC1-8CD1-9A540FBBFBBE}">
      <formula1>"email,ショートメール,電話,FAX,郵送"</formula1>
    </dataValidation>
    <dataValidation type="list" allowBlank="1" showInputMessage="1" showErrorMessage="1" sqref="B1021" xr:uid="{DBADAB11-94FC-4CF5-B502-61B21C0D7A88}">
      <formula1>$AY$2:$AY$7</formula1>
    </dataValidation>
    <dataValidation type="list" allowBlank="1" showInputMessage="1" showErrorMessage="1" sqref="R1626:R1690 R1856:R1858 R1809:R1854 R1798:R1806 R1758:R1795 R1692:R1756 R1860:R1929 R1933:R1945 R1948:R1957 S1962 R1959:R1971 R1973:R1976 R1986 R1988:R1989 R2052 R2089" xr:uid="{AAA5E68C-7B67-4948-8052-D4B15FF9D23A}">
      <formula1>"井殿プロ,藤田プロ,古川プロ,榎本プロ"</formula1>
    </dataValidation>
    <dataValidation type="list" allowBlank="1" showInputMessage="1" showErrorMessage="1" sqref="M1897 M1899" xr:uid="{D0E24146-6ED9-46D9-ADD3-B8322E4EF480}">
      <formula1>"知人の紹介,新聞・雑誌の広告,インターネット,TVのCM,SNS,チラシ,通りすがり,その他"</formula1>
    </dataValidation>
    <dataValidation type="list" allowBlank="1" showInputMessage="1" showErrorMessage="1" sqref="Z1897:AC1905" xr:uid="{35EDD703-2249-4884-982B-28CFFD2CE11A}">
      <formula1>"〇"</formula1>
    </dataValidation>
    <dataValidation type="list" allowBlank="1" showInputMessage="1" showErrorMessage="1" sqref="AQ1897 T1897" xr:uid="{BD4EB085-2B38-452A-B42E-CBD012D5D545}">
      <formula1>"〇,✕"</formula1>
    </dataValidation>
    <dataValidation type="list" allowBlank="1" showInputMessage="1" showErrorMessage="1" sqref="R1855 R1796:R1797 R1588:R1625" xr:uid="{137A8186-458A-4D1F-B495-4CDEC9113FBE}">
      <formula1>"井殿プロ,藤田プロ,古川プロ"</formula1>
    </dataValidation>
    <dataValidation type="list" allowBlank="1" showInputMessage="1" showErrorMessage="1" sqref="Y1743:AE1746 Z1917:AC1920 AK1898 AF1485:AN1896 Y1849:AE1896 AF1449:AN1465 Y1449:AE1464 Y2:AN8 Y1470:AN1472 Y1483:AE1737 Y1739:AE1741 Y345:AN1448 Y10:AN342 Y1749:AE1847 Z1921:AE1929 Y1930:AN1930 Y1931:AE1932 Y1897:Y1929 AK1907:AK1929 AK1931:AK1953 Y1954:AN1954 Y1956:Z1956 Z1955 Y2016:Y2017 Y2015:AN2015 AK2016:AK2018 Y2019:AN2019 Y2026 Y2028:Y2043 AK1955:AK2014 AK2020:AK2048 Y2049:AN2049 Y2089:AN2089 Y2091:AN2091 AK2050:AK2088 AK2090 AK2092:AK2121 Y2122:AN2122 Y1996 AK2123:AK2230 Y2231:AN2231 AK2232:AK2253 AK2255:AK2258 Y2259:AN2259 AK2260:AK2416" xr:uid="{10A5F226-F085-4F5E-98BE-CE0EFCA7905D}">
      <formula1>$AX$2:$AX$12</formula1>
    </dataValidation>
    <dataValidation type="list" allowBlank="1" showInputMessage="1" showErrorMessage="1" sqref="Y9:AN9" xr:uid="{BC9FCD38-279F-4228-B1C9-A6517026F514}">
      <formula1>$AX$2:$AX$13</formula1>
    </dataValidation>
    <dataValidation type="list" allowBlank="1" showInputMessage="1" showErrorMessage="1" sqref="Q1897:Q1898" xr:uid="{43472BF6-AA1D-4DF7-9D7B-C41E6776F342}">
      <formula1>$BA$2:$BA$3</formula1>
    </dataValidation>
    <dataValidation type="list" allowBlank="1" showInputMessage="1" showErrorMessage="1" sqref="O1897:O1898 O1906:O1907 O1910:O1914 O1949 O1931:O1939 O1942 O1962 O1928:O1929 O1954:O1957 O1959:O1960 O1916:O1923 O1925:O1926 O2016:O2017 O1969:O2014 O2050:O2088 O2028:O2048 O2090 O2019:O2026 O2092:O2121 O2123:O2187 O1945 O2220:O2230 O2189:O2218 O2232:O2253 O2255:O2258 O2262 O2264:O2277 O2279:O2416" xr:uid="{E8873E2D-24C2-42FD-B2BE-5EFE91B5C5F1}">
      <formula1>$BC$2:$BC$5</formula1>
    </dataValidation>
    <dataValidation type="list" allowBlank="1" showInputMessage="1" showErrorMessage="1" sqref="AF1897:AJ1929 AF1931:AJ1953 AF2016:AJ2018 AF1955:AJ2014 AF2020:AJ2048 AF2090:AJ2090 AF2050:AJ2088 AF2092:AJ2121 AF2123:AJ2230 AF2232:AJ2253 AF2255:AJ2258 AF2260:AJ2416" xr:uid="{E134B1BB-902E-4038-9D78-A67F6DE51205}">
      <formula1>$BD$2:$BD$7</formula1>
    </dataValidation>
    <dataValidation type="list" allowBlank="1" showInputMessage="1" showErrorMessage="1" sqref="AL1897:AN1929 AL1931:AN1953 AL2016:AN2018 AL1955:AN2014 AL2020:AN2048 AL2090:AN2090 AL2050:AN2088 AL2092:AN2121 AL2123:AN2230 AL2232:AN2253 AL2255:AN2258 AL2260:AN2416" xr:uid="{5010235B-AFB3-411C-B4C1-49996BB826B2}">
      <formula1>$BE$2:$BE$6</formula1>
    </dataValidation>
    <dataValidation type="list" allowBlank="1" showInputMessage="1" showErrorMessage="1" sqref="L1899:L1905" xr:uid="{52A0AC0D-F14F-4B4D-9C3A-6EE094611009}">
      <formula1>$AF$4:$AF$10</formula1>
    </dataValidation>
    <dataValidation type="list" allowBlank="1" showInputMessage="1" showErrorMessage="1" sqref="B1899:B1905" xr:uid="{821275FD-8DBB-427E-B5F3-282D8725666C}">
      <formula1>$AE$4:$AE$10</formula1>
    </dataValidation>
    <dataValidation type="list" allowBlank="1" showInputMessage="1" showErrorMessage="1" sqref="S1897:S1953 S1955:S1961 S2016:S2017 S1963:S2014 S2020:S2069 S2090 S2073:S2088 S2092:S2121 S2123:S2139 S2141:S2231 S2234:S2236 S2240:S2242 S2244:S2253 S2255:S2416" xr:uid="{26B81F47-2DD5-4A32-A1EB-F79DD67BA97A}">
      <formula1>$BB$2:$BB$5</formula1>
    </dataValidation>
    <dataValidation type="list" allowBlank="1" showInputMessage="1" showErrorMessage="1" sqref="R1977:R1985 R1987 R2025 R1990:R2012 R2251:R2252" xr:uid="{353EB149-84AC-4026-81F6-F3C8FCD1557D}">
      <formula1>"井殿プロ,藤田プロ,古川プロ,榎本プロ,卜部コーチ,前田プロ"</formula1>
    </dataValidation>
    <dataValidation type="list" allowBlank="1" showInputMessage="1" showErrorMessage="1" sqref="W1998:W2002 X2001 X2005 W2010:W2013" xr:uid="{844C4680-8A61-4862-974E-B54251F42FD1}">
      <formula1>"知人の紹介,新聞・雑誌の広告,インターネット,TVのCM,SNS,通りすがり,その他"</formula1>
    </dataValidation>
    <dataValidation type="list" allowBlank="1" showInputMessage="1" showErrorMessage="1" sqref="R2013:R2014 R2016:R2017 R2019:R2024 R2026:R2051 S2070:S2072 R2068:R2073 R2076:R2077 R2053:R2060 R2063 R2079:R2081 R1996" xr:uid="{E2BB597E-8474-402D-B224-FA23945CAB0C}">
      <formula1>"井殿プロ,藤田プロ,古川プロ,榎本プロ,卜部コーチ,前田プロ,安東プロ"</formula1>
    </dataValidation>
    <dataValidation type="list" allowBlank="1" showInputMessage="1" showErrorMessage="1" sqref="R2074:R2075 R2078 R2061:R2062 R2064:R2067 R2082:R2088 R2090:R2121 S2140 S2232:S2233 S2237:S2239 S2243 R2123:R2250 R2253:R2416" xr:uid="{2E16FC2F-A16B-40AB-BCBA-FD85A5296B92}">
      <formula1>"井殿プロ,藤田プロ,古川プロ,榎本プロ,卜部コーチ,前田プロ,安東プロ,福原プロ"</formula1>
    </dataValidation>
    <dataValidation type="list" allowBlank="1" showInputMessage="1" showErrorMessage="1" sqref="M2090 M2085:M2088 M2092:M2115 M2117:M2121 M2123:M2187 M2230 M2189:M2228 M2232:M2250 M2252:M2253 M2255:M2258 M2260:M2416" xr:uid="{CA43A4AA-D0FF-4ED3-89A9-F77CD71F73A1}">
      <formula1>"email,ショートメール,電話,FAX,郵送,公式ライン"</formula1>
    </dataValidation>
  </dataValidations>
  <hyperlinks>
    <hyperlink ref="K4" r:id="rId1" xr:uid="{0E505F9F-9A47-4A6A-AF70-8AF7FB6FE898}"/>
    <hyperlink ref="K5" r:id="rId2" xr:uid="{D1573869-9A4D-4B08-B02E-1AC8C18FDE87}"/>
    <hyperlink ref="K13" r:id="rId3" xr:uid="{B39B3149-356C-43EF-B8D5-BBFF07F58816}"/>
    <hyperlink ref="K14" r:id="rId4" xr:uid="{F43A0414-58C7-4ED5-BCA2-2DB60A4C7399}"/>
    <hyperlink ref="K64" r:id="rId5" xr:uid="{4BEE8A7D-4156-4076-985C-1D8DAE9DF5C2}"/>
    <hyperlink ref="K72" r:id="rId6" xr:uid="{D3A70319-AB03-453F-9E1D-A676A171E9FC}"/>
    <hyperlink ref="K74" r:id="rId7" xr:uid="{4683FBA0-38F4-419C-AFA4-65EFABF3E296}"/>
    <hyperlink ref="K106" r:id="rId8" xr:uid="{0C4D3814-4476-4839-B85B-1AA8BD8452C8}"/>
    <hyperlink ref="K176" r:id="rId9" xr:uid="{3D3BC11D-9728-4AC1-B3AA-0FBE64F1253D}"/>
    <hyperlink ref="K182" r:id="rId10" xr:uid="{236204EB-AD27-4523-98DA-379EE66382B1}"/>
    <hyperlink ref="K189" r:id="rId11" xr:uid="{07B91365-A5A5-4E3E-8DE4-5806F245A411}"/>
    <hyperlink ref="K195" r:id="rId12" xr:uid="{EC2F39FB-FF35-4209-B110-8D14806F539A}"/>
    <hyperlink ref="K210" r:id="rId13" xr:uid="{C5ACCAF7-CB9F-423F-9808-EF10255344EE}"/>
    <hyperlink ref="K211" r:id="rId14" xr:uid="{F848CEB3-A5C1-47C8-BDDE-57B904D81B87}"/>
    <hyperlink ref="K216" r:id="rId15" xr:uid="{74EB2B9C-345B-4B05-80C3-1719FC26A616}"/>
    <hyperlink ref="K217" r:id="rId16" xr:uid="{2EB1992B-7F89-43F0-97B5-BFAB284F5BD7}"/>
    <hyperlink ref="K235" r:id="rId17" xr:uid="{A831B202-0259-4DE2-AE6D-52015A1946F0}"/>
    <hyperlink ref="K238" r:id="rId18" xr:uid="{3CDA5599-BCEB-4621-9E26-74827F453A6A}"/>
    <hyperlink ref="K271" r:id="rId19" xr:uid="{33595948-DAD0-41A9-A04B-EA7976FDEF60}"/>
    <hyperlink ref="K273" r:id="rId20" xr:uid="{20C2F50D-5491-4293-A717-191A6080328D}"/>
    <hyperlink ref="K329" r:id="rId21" xr:uid="{E8308DDC-F779-4ACD-B37F-6D455B576B8C}"/>
    <hyperlink ref="K353" r:id="rId22" xr:uid="{1D9E9DCD-D3FD-453A-BF50-D4AACAC02059}"/>
    <hyperlink ref="K356" r:id="rId23" xr:uid="{7E87194F-D811-4461-ACE9-F6ED779D09E2}"/>
    <hyperlink ref="K366" r:id="rId24" xr:uid="{A37EC499-428F-488D-9AF0-6097D0BB5AC9}"/>
    <hyperlink ref="K370" r:id="rId25" xr:uid="{C67F31FB-3E4D-4490-9C30-D1FF97C0146F}"/>
    <hyperlink ref="K371" r:id="rId26" xr:uid="{4BF77BE3-7470-4B3B-AF2B-830FFCCDF4B0}"/>
    <hyperlink ref="K372" r:id="rId27" xr:uid="{32E28F76-B4BC-425A-8211-1F98C3FA95F7}"/>
    <hyperlink ref="K375" r:id="rId28" xr:uid="{420F5E23-164F-4925-B04B-5A7A1C8DAE32}"/>
    <hyperlink ref="K389" r:id="rId29" xr:uid="{F364D611-27FD-401F-8AA2-98A00E3B30EA}"/>
    <hyperlink ref="K387" r:id="rId30" xr:uid="{23965312-FF9D-4490-B662-553E9229AFAE}"/>
    <hyperlink ref="K399" r:id="rId31" xr:uid="{C13CA7C3-B0D8-4F89-87F0-78AE5F52DD64}"/>
    <hyperlink ref="K468" r:id="rId32" xr:uid="{7A7C9E86-927D-4EE5-A9E8-8A6938B6D0D9}"/>
    <hyperlink ref="K482" r:id="rId33" xr:uid="{DB2BEBD0-526B-48E5-A82C-A998C7E89826}"/>
    <hyperlink ref="K486" r:id="rId34" xr:uid="{E4AC4BC5-D789-479F-A6CA-870D06B6E3CC}"/>
    <hyperlink ref="K490" r:id="rId35" xr:uid="{6782932E-573B-4B4A-A10C-B78BCC9C6C8E}"/>
    <hyperlink ref="K493" r:id="rId36" xr:uid="{F7F512B9-5086-426C-A814-66B3F5CC6DA2}"/>
    <hyperlink ref="K494" r:id="rId37" xr:uid="{48C63ED7-498D-40EB-8A90-CD989204710E}"/>
    <hyperlink ref="K496" r:id="rId38" xr:uid="{E735F47A-F30D-4B84-8BE4-D34898AAA4B6}"/>
    <hyperlink ref="K497" r:id="rId39" xr:uid="{80649E09-BE26-4D43-AC87-E725B2D8B629}"/>
    <hyperlink ref="K500" r:id="rId40" xr:uid="{4C12BEAC-D31D-40FD-AF50-E94EB3A7BDAF}"/>
    <hyperlink ref="K501" r:id="rId41" xr:uid="{49C57C30-052E-4090-8C8F-E766085371FD}"/>
    <hyperlink ref="K503" r:id="rId42" xr:uid="{9B8E7E90-B56A-4E7C-B0F1-F94215047BC2}"/>
    <hyperlink ref="K504" r:id="rId43" xr:uid="{75819C00-2043-4EF0-A96A-2EEC7333228A}"/>
    <hyperlink ref="K533" r:id="rId44" xr:uid="{70B12A98-A813-4E50-ABBE-9C2939E90FD1}"/>
    <hyperlink ref="K558" r:id="rId45" xr:uid="{6DF48DAF-32B3-4C37-AD66-9436B13A4AD5}"/>
    <hyperlink ref="K566" r:id="rId46" xr:uid="{F166D161-D0F7-41C5-BA8C-571C2911B55E}"/>
    <hyperlink ref="K564" r:id="rId47" xr:uid="{83EA6ACA-D8D4-4B38-9631-547099384207}"/>
    <hyperlink ref="K567" r:id="rId48" xr:uid="{D4762A0F-F0C4-4FB9-B119-F526DB4D4576}"/>
    <hyperlink ref="K572" r:id="rId49" xr:uid="{4C590C55-3AFA-4F1A-815E-E17691D429F1}"/>
    <hyperlink ref="K579" r:id="rId50" xr:uid="{A44BCA76-E427-4A2E-A9DF-E71CFC740FC9}"/>
    <hyperlink ref="K582" r:id="rId51" xr:uid="{5829AF14-1AEA-456D-BD76-1F1FB03A74D8}"/>
    <hyperlink ref="K583" r:id="rId52" xr:uid="{FE4DFF28-AD7D-4B78-869F-2EC810544F74}"/>
    <hyperlink ref="K593" r:id="rId53" xr:uid="{77D71546-8951-4BA0-9701-9673BBFC13C0}"/>
    <hyperlink ref="K594" r:id="rId54" xr:uid="{5EA16695-2488-46FF-B94C-0DEBE3A39C81}"/>
    <hyperlink ref="K602" r:id="rId55" xr:uid="{95E2BFA2-E1B0-4D4B-A4EA-898649924A5F}"/>
    <hyperlink ref="K606" r:id="rId56" xr:uid="{A99A6E9D-91A9-481E-BC4F-17C2478F7B23}"/>
    <hyperlink ref="K610" r:id="rId57" xr:uid="{1927A929-4A43-48DC-9997-B1263E9BEF49}"/>
    <hyperlink ref="K611" r:id="rId58" xr:uid="{71080E0E-6128-4F21-9C2A-BF460B818FC8}"/>
    <hyperlink ref="K617" r:id="rId59" xr:uid="{107B7A65-808C-40C5-8CF0-FD99562F97C4}"/>
    <hyperlink ref="K684" r:id="rId60" xr:uid="{E871DC8C-C991-4D5A-B246-4E12CEFA1154}"/>
    <hyperlink ref="K689" r:id="rId61" xr:uid="{694DAD9D-1C1B-4012-BFF6-D9C05485E1F9}"/>
    <hyperlink ref="K691" r:id="rId62" xr:uid="{49B35E29-F33D-49B8-A000-53964A12F9BE}"/>
    <hyperlink ref="K719" r:id="rId63" xr:uid="{507DBF75-69AC-434E-AA39-82ED754048CC}"/>
    <hyperlink ref="K777" r:id="rId64" xr:uid="{3B7EC9FF-E48B-4DED-94F0-2AA6CD245151}"/>
    <hyperlink ref="K782" r:id="rId65" xr:uid="{5E81E1C4-1AF3-4ECE-92E3-D8567B06B0E7}"/>
    <hyperlink ref="K783" r:id="rId66" xr:uid="{F78655D6-0301-46C0-82F0-09E754872635}"/>
    <hyperlink ref="K790" r:id="rId67" xr:uid="{FAA600D5-33DE-41AD-A584-1338C32D537B}"/>
    <hyperlink ref="K791" r:id="rId68" xr:uid="{15CF265E-F5A3-4AF7-8630-A719FAABED5B}"/>
    <hyperlink ref="K812" r:id="rId69" xr:uid="{39017161-95DA-4ACC-83D2-B9759D3E6C37}"/>
    <hyperlink ref="K828" r:id="rId70" xr:uid="{C7941B42-38CA-4FD0-B40B-7FA37F38CE88}"/>
    <hyperlink ref="K839" r:id="rId71" xr:uid="{97118362-1ADF-4831-BD74-21619CEC4397}"/>
    <hyperlink ref="K840" r:id="rId72" xr:uid="{2A48588E-8C60-44F8-B33C-710FB592C0E6}"/>
    <hyperlink ref="K854" r:id="rId73" xr:uid="{9C084028-7E09-4BF3-92C5-193BE7290F45}"/>
    <hyperlink ref="K866" r:id="rId74" xr:uid="{685C2C9C-7ACC-42B4-9018-FFE114983286}"/>
    <hyperlink ref="K873" r:id="rId75" xr:uid="{2656180F-3FF7-4AEA-B1E7-43301EBBC930}"/>
    <hyperlink ref="K875" r:id="rId76" xr:uid="{4513301B-2677-4756-8B7F-96F9693CA9F4}"/>
    <hyperlink ref="K879" r:id="rId77" xr:uid="{833506DE-B674-4BD6-A02C-2E71493B9AD9}"/>
    <hyperlink ref="K886" r:id="rId78" xr:uid="{3D0DF712-5D9B-4B3C-A708-73308B671F4C}"/>
    <hyperlink ref="K887" r:id="rId79" xr:uid="{71E23C51-268E-4A8A-B4F4-04783A8ED0BB}"/>
    <hyperlink ref="K890" r:id="rId80" xr:uid="{B055C7D1-9AC3-4EB4-A8BA-3F3C8D65DBD3}"/>
    <hyperlink ref="K891" r:id="rId81" xr:uid="{1E30FC54-03D8-4564-8DAC-394483C6F826}"/>
    <hyperlink ref="K911" r:id="rId82" xr:uid="{E9F4BDFC-DFF7-4488-9816-89A95B847E16}"/>
    <hyperlink ref="K918" r:id="rId83" xr:uid="{5C3058A3-7A01-48D2-9B3A-9F7508CE6204}"/>
    <hyperlink ref="K928" r:id="rId84" xr:uid="{E699FF5B-9138-4B61-A8E5-939686CD1C49}"/>
    <hyperlink ref="K929" r:id="rId85" xr:uid="{758B9883-2110-4865-A47E-11796318E9CC}"/>
    <hyperlink ref="K932" r:id="rId86" xr:uid="{DAD8A9C7-496C-454D-986E-68ED25351C3F}"/>
    <hyperlink ref="K941" r:id="rId87" xr:uid="{853936DD-DD86-4DCB-A22D-71B4205575F5}"/>
    <hyperlink ref="K947" r:id="rId88" xr:uid="{9F9FB1CD-0DEE-46CC-AAC3-02B2D329854B}"/>
    <hyperlink ref="K948" r:id="rId89" xr:uid="{49588DBC-B623-4CA2-A82E-31E32003C3A8}"/>
    <hyperlink ref="K950" r:id="rId90" xr:uid="{999D2FA0-5F23-4F8B-9A78-1B27797F4EE6}"/>
    <hyperlink ref="K969" r:id="rId91" xr:uid="{9CBE8B8C-5E36-4191-A02A-D8AEEC02871B}"/>
    <hyperlink ref="K970" r:id="rId92" xr:uid="{0B530D6F-DDD7-4DD3-967D-7F8F2285D820}"/>
    <hyperlink ref="K975" r:id="rId93" xr:uid="{73458B34-D0F0-4292-B4BC-8961E71AFC66}"/>
    <hyperlink ref="K977" r:id="rId94" xr:uid="{0A25E685-8648-4AD7-84BA-1D9686D38338}"/>
    <hyperlink ref="K987" r:id="rId95" xr:uid="{EEAD0801-C1FE-4299-BCA7-69A1746BC907}"/>
    <hyperlink ref="K1008" r:id="rId96" xr:uid="{929E271E-FA22-4BBC-AACB-639E1CE499BC}"/>
    <hyperlink ref="K1018" r:id="rId97" xr:uid="{0E3330E9-1A17-4DF1-AB4C-787CFF7190DE}"/>
    <hyperlink ref="K996" r:id="rId98" xr:uid="{B5F234BA-931A-400B-B450-03AD0777291D}"/>
    <hyperlink ref="K1019" r:id="rId99" xr:uid="{A9A40E9E-0E89-4487-BC9D-0A2D5A4F8D60}"/>
    <hyperlink ref="K1021" r:id="rId100" xr:uid="{871F7D60-4F5B-4E97-860C-8217DE6D3DAF}"/>
    <hyperlink ref="K1022" r:id="rId101" xr:uid="{303D1343-DC33-4CFD-BD80-609A2B2DA7F9}"/>
    <hyperlink ref="K1031" r:id="rId102" xr:uid="{025A43DB-E2C7-4621-8C81-8AD5A0D99974}"/>
    <hyperlink ref="K1033" r:id="rId103" xr:uid="{45B93B43-C6AB-4A98-882B-6600911D359F}"/>
    <hyperlink ref="K1036" r:id="rId104" xr:uid="{12D253CA-6244-45E1-A017-AA9D529A317F}"/>
    <hyperlink ref="K1046" r:id="rId105" xr:uid="{51C94182-33DE-4658-9CCF-FEDD86470519}"/>
    <hyperlink ref="K1052" r:id="rId106" xr:uid="{08AC0EBC-1064-46A9-98FE-45C8BFC8B5EB}"/>
    <hyperlink ref="K1054" r:id="rId107" xr:uid="{2BB38FC4-1C6E-4F52-84E1-3A254E1C226E}"/>
    <hyperlink ref="K1069" r:id="rId108" xr:uid="{82AD876B-5A00-494F-BBC1-D8E86AE0DF10}"/>
    <hyperlink ref="K1070" r:id="rId109" xr:uid="{FA682C7B-2B32-4E3C-9961-D9ED47967944}"/>
    <hyperlink ref="K1074" r:id="rId110" xr:uid="{E2504208-2C01-4554-95F7-E7D8C7B5FC67}"/>
    <hyperlink ref="K1077" r:id="rId111" xr:uid="{AA77C9AF-6204-49D0-8AE3-A06B99AC1179}"/>
    <hyperlink ref="K1091" r:id="rId112" xr:uid="{4C55DFF1-F464-4514-AB34-AAE473B23D1B}"/>
    <hyperlink ref="K1099" r:id="rId113" xr:uid="{E7107F1B-1DE4-4071-83E4-0A14F244495B}"/>
    <hyperlink ref="K1109" r:id="rId114" xr:uid="{F2F0C93D-3A54-4C05-A946-7F990D53727F}"/>
    <hyperlink ref="K1110" r:id="rId115" xr:uid="{79AF7287-5583-4534-98F2-113EE7643F6A}"/>
    <hyperlink ref="K1116" r:id="rId116" xr:uid="{0563A646-3445-45B5-ABB3-1E5EF27AC9AF}"/>
    <hyperlink ref="K1123" r:id="rId117" xr:uid="{C8AF8631-5EA1-45A6-8FD1-4A6B9B6B2073}"/>
    <hyperlink ref="K1127" r:id="rId118" xr:uid="{A372E9ED-5890-4E86-A222-36CC6BD86F0A}"/>
    <hyperlink ref="K1130" r:id="rId119" xr:uid="{70061153-5D97-494F-B8A8-2083558FD195}"/>
    <hyperlink ref="K1131" r:id="rId120" xr:uid="{D8585F5C-FFE8-4AAE-9F53-602A4EC26D34}"/>
    <hyperlink ref="K1154" r:id="rId121" xr:uid="{5FD2866C-A9A3-4388-AC5E-FC297B1BC922}"/>
    <hyperlink ref="K1157" r:id="rId122" xr:uid="{9A261D8B-DDBD-4AE9-875B-6BAE3B57AE05}"/>
    <hyperlink ref="K1170" r:id="rId123" xr:uid="{0F56654D-0CE0-46C6-AF46-A67CE6305ABB}"/>
    <hyperlink ref="K1173" r:id="rId124" xr:uid="{4C302E1B-29D1-4BDA-BA8E-4C3DA530DA76}"/>
    <hyperlink ref="K1181" r:id="rId125" xr:uid="{AA0A1849-0EB6-4501-9C14-7FDCBDD16B12}"/>
    <hyperlink ref="K1183" r:id="rId126" xr:uid="{4E564938-263F-422A-810D-7EF8B98ABC42}"/>
    <hyperlink ref="K1191" r:id="rId127" xr:uid="{80B8C881-FD2B-4178-B7DD-20A281FA0B7B}"/>
    <hyperlink ref="K1195" r:id="rId128" xr:uid="{A3FE4F49-E53E-44FF-9680-F1DF2054B412}"/>
    <hyperlink ref="K1207" r:id="rId129" xr:uid="{BE82A1ED-D6F8-4956-A7F0-E43B20E3DE3B}"/>
    <hyperlink ref="K1209" r:id="rId130" xr:uid="{8D5BE559-AFA8-4CBD-AE4F-53E03B57DBD4}"/>
    <hyperlink ref="K1214" r:id="rId131" xr:uid="{8BBB05A8-9670-44DE-BA9B-F26988AE6844}"/>
    <hyperlink ref="K1215" r:id="rId132" xr:uid="{20E9122B-28E8-4D4F-B812-F7726F09BDC3}"/>
    <hyperlink ref="K1216" r:id="rId133" xr:uid="{763C3E10-9040-463D-A70A-A4F8FC1AA9C6}"/>
    <hyperlink ref="K1222" r:id="rId134" xr:uid="{D4D9B015-D8DC-45BA-A9C4-36F2EE2C3546}"/>
    <hyperlink ref="K1225" r:id="rId135" xr:uid="{93656105-AFA0-4FD2-9B26-E415450601D4}"/>
    <hyperlink ref="K1226" r:id="rId136" xr:uid="{6A9A589A-DA92-4641-BA02-57EBE9E8A7DB}"/>
    <hyperlink ref="K1237" r:id="rId137" xr:uid="{B9400587-9C10-4277-8BEF-99BAC23CC6F7}"/>
    <hyperlink ref="K1239" r:id="rId138" xr:uid="{17C00BAE-C7C6-4160-8B07-0635F6EC2215}"/>
    <hyperlink ref="K1242" r:id="rId139" xr:uid="{2BB94E87-9D92-476F-9F18-B28889B580CE}"/>
    <hyperlink ref="K1245" r:id="rId140" xr:uid="{C2907660-1491-4A04-995B-EB25ABE469C3}"/>
    <hyperlink ref="K1251" r:id="rId141" xr:uid="{A5903696-67E2-4DE3-8630-EEB87F3BE95E}"/>
    <hyperlink ref="K1254" r:id="rId142" xr:uid="{64C22086-FE75-4187-ABB2-85CAC026F4EE}"/>
    <hyperlink ref="K1259" r:id="rId143" xr:uid="{386C536A-1FDF-4F6A-89D1-7BC1148C0E15}"/>
    <hyperlink ref="K1263" r:id="rId144" xr:uid="{ADFD2D49-70C1-4B9A-A101-0D54DEBE710E}"/>
    <hyperlink ref="K1264" r:id="rId145" xr:uid="{4F4D82C1-E054-444E-9714-119BD74B4E79}"/>
    <hyperlink ref="K1265" r:id="rId146" xr:uid="{DC387978-B59A-4380-B012-D27F6FCF69B7}"/>
    <hyperlink ref="K1280" r:id="rId147" xr:uid="{341AE9FF-196B-4403-AD1D-795B4E0A8192}"/>
    <hyperlink ref="K1281" r:id="rId148" xr:uid="{CA8A30BD-7BA9-4665-82C1-720D19DA12F1}"/>
    <hyperlink ref="K1290" r:id="rId149" xr:uid="{42B08AEE-9C94-4DA6-BD5D-72F15EA5FCF3}"/>
    <hyperlink ref="K1292" r:id="rId150" xr:uid="{12AA9134-DE35-4E23-ACEB-17F5DAAB98E7}"/>
    <hyperlink ref="K1297" r:id="rId151" xr:uid="{89C5D44C-66AE-40DD-8178-0E2158CF8464}"/>
    <hyperlink ref="K1298" r:id="rId152" xr:uid="{DEAAF154-E9AB-43CC-AAFC-9AA519B1C8B6}"/>
    <hyperlink ref="K1300" r:id="rId153" xr:uid="{1C531ECA-9D5C-46FE-8776-29E975835DE4}"/>
    <hyperlink ref="K1301" r:id="rId154" xr:uid="{852F4A94-84CC-4B02-A7D4-638B409BBD66}"/>
    <hyperlink ref="K1302" r:id="rId155" xr:uid="{0D3BF99D-3129-4EC6-A93F-32A38ECD89E4}"/>
    <hyperlink ref="K1309" r:id="rId156" xr:uid="{5AD22C76-BF6F-4FB8-BB77-1678903A8E0B}"/>
    <hyperlink ref="K1317" r:id="rId157" xr:uid="{6D4B6074-617A-4DA1-8EF8-BD6E3BFD03F1}"/>
    <hyperlink ref="K1319" r:id="rId158" xr:uid="{AD5F5FBE-9018-4A7E-8206-4BE6B7EB0DC6}"/>
    <hyperlink ref="K1322" r:id="rId159" xr:uid="{C1CF0395-8CEA-4822-AD13-1D253AB25FD8}"/>
    <hyperlink ref="K1331" r:id="rId160" xr:uid="{B190E381-16FC-4E09-BD67-ADAB05E4308B}"/>
    <hyperlink ref="K1342" r:id="rId161" xr:uid="{C796BC05-79EC-476C-9AE9-C0A2A4AC43D5}"/>
    <hyperlink ref="K1343" r:id="rId162" xr:uid="{F00B9AF7-CB68-4E63-8547-915C77B6FC09}"/>
    <hyperlink ref="K1346" r:id="rId163" xr:uid="{415EC06B-CAF1-42A4-B0D4-FC422321A362}"/>
    <hyperlink ref="K1350" r:id="rId164" xr:uid="{2F2EBA44-4F7E-4972-8936-17C755B059F7}"/>
    <hyperlink ref="K1352" r:id="rId165" xr:uid="{B70475C5-58A0-441B-8546-770F0299D550}"/>
    <hyperlink ref="K1364" r:id="rId166" xr:uid="{06C6D934-E05F-4DD2-A8F6-7B681A6E7F9E}"/>
    <hyperlink ref="K1367" r:id="rId167" xr:uid="{83134848-EB55-4A33-8218-D6CB2FB18B46}"/>
    <hyperlink ref="K1369" r:id="rId168" xr:uid="{EE2B23ED-E574-41B6-8251-171A3DEB718B}"/>
    <hyperlink ref="K1370" r:id="rId169" xr:uid="{25123DE2-9C27-47AB-A8E6-49451FCEFAC8}"/>
    <hyperlink ref="K1371" r:id="rId170" xr:uid="{C555E806-E082-4FB8-9A49-79C7ABA8B076}"/>
    <hyperlink ref="K1384" r:id="rId171" xr:uid="{0578E24B-BDEB-4BDF-9F99-815E2C2C0F29}"/>
    <hyperlink ref="K1385" r:id="rId172" xr:uid="{13DEC008-E516-4650-A967-6145E097041D}"/>
    <hyperlink ref="K1386" r:id="rId173" xr:uid="{513CE86A-4BC5-41CC-94FF-055CFD59AD6F}"/>
    <hyperlink ref="K1395" r:id="rId174" xr:uid="{CFE18861-2B57-475D-B13E-C3FECA81EC0E}"/>
    <hyperlink ref="K1406" r:id="rId175" xr:uid="{302895A4-8A91-44D7-BFD3-DE15EABDEE59}"/>
    <hyperlink ref="K1402" r:id="rId176" xr:uid="{C280AE23-4BD8-4229-91F3-BA923C1CEBC2}"/>
    <hyperlink ref="K1408" r:id="rId177" xr:uid="{B84F3828-7CCD-4DA8-A106-2B988840575A}"/>
    <hyperlink ref="K1416" r:id="rId178" xr:uid="{3E381413-75E3-47E8-83C3-8CF92C9413B1}"/>
    <hyperlink ref="K1418" r:id="rId179" xr:uid="{4DF2C9D2-7500-4B53-818A-DF7572B5407C}"/>
    <hyperlink ref="K1421" r:id="rId180" xr:uid="{AD7248F4-8607-4D08-8DD5-EE998BF417B4}"/>
    <hyperlink ref="K1424" r:id="rId181" xr:uid="{8100D9B2-05F0-4CB1-9CED-49C99974E929}"/>
    <hyperlink ref="K1426" r:id="rId182" xr:uid="{3B84729F-084E-48B0-ACD5-FB49E1570AF6}"/>
    <hyperlink ref="K1431" r:id="rId183" xr:uid="{02B3995A-A2F9-4972-B095-2462ED45E68F}"/>
    <hyperlink ref="K1436" r:id="rId184" xr:uid="{747095D5-8E63-443C-BC47-2089516C7CA4}"/>
    <hyperlink ref="K1435" r:id="rId185" xr:uid="{CBAAA2E4-34D1-483A-B9AF-719B21E4AAF7}"/>
    <hyperlink ref="K1439" r:id="rId186" xr:uid="{EAC6F41D-C508-4195-9C84-13449DD34976}"/>
    <hyperlink ref="K1444" r:id="rId187" xr:uid="{C5BB30F6-6D7B-4113-A4DA-4E47128EA31C}"/>
    <hyperlink ref="K1446" r:id="rId188" xr:uid="{52C0F727-0B73-4395-B572-3B9DA0EFD5CD}"/>
    <hyperlink ref="K1447" r:id="rId189" xr:uid="{6E9F9C58-F77F-4F37-8630-0E537BA93933}"/>
    <hyperlink ref="K1449" r:id="rId190" xr:uid="{4CBB8795-F917-4F50-B223-E1D9B04F1703}"/>
    <hyperlink ref="K1450" r:id="rId191" xr:uid="{93D3CEC0-A3DA-4A9C-B089-45887BD07B4A}"/>
    <hyperlink ref="K1461" r:id="rId192" xr:uid="{6D525B76-C710-44CA-A1DA-7C21B6681B52}"/>
    <hyperlink ref="K1471" r:id="rId193" xr:uid="{9AA0F9C1-A529-4BA1-9622-A7D78F2096BE}"/>
    <hyperlink ref="K1483" r:id="rId194" xr:uid="{78C1EC32-CF23-409F-91FA-270F111B341E}"/>
    <hyperlink ref="K1492" r:id="rId195" xr:uid="{20C94E79-9073-42F6-9A04-FE72711193C2}"/>
    <hyperlink ref="K1493" r:id="rId196" xr:uid="{AE7E4D6B-72F5-4A5F-B6ED-1AE2C0EE295B}"/>
    <hyperlink ref="K1494" r:id="rId197" xr:uid="{03F8E5BB-1316-47E4-A1BD-F7ED843C554D}"/>
    <hyperlink ref="K1495" r:id="rId198" xr:uid="{9DDF3772-471B-41DE-8DC8-EF4CB34676DD}"/>
    <hyperlink ref="K1496" r:id="rId199" xr:uid="{8255E589-E058-4BF8-86D6-84E68DDC7BB2}"/>
    <hyperlink ref="K1502" r:id="rId200" xr:uid="{8D88F8AE-F4C2-451F-9C1E-E84DE8527166}"/>
    <hyperlink ref="K1504" r:id="rId201" xr:uid="{BB0FAEA4-CE17-4EC2-A00E-C8B607E77DF1}"/>
    <hyperlink ref="K1522" r:id="rId202" xr:uid="{3A13572E-26AB-466E-9D2C-B415985DC46C}"/>
    <hyperlink ref="K1531" r:id="rId203" xr:uid="{C254EAEE-0AF8-4416-BF70-073D1F527FED}"/>
    <hyperlink ref="K1532" r:id="rId204" xr:uid="{E1107894-0460-4E7D-9D41-CEE0FF430DF8}"/>
    <hyperlink ref="K1534" r:id="rId205" xr:uid="{2E249F18-ECA2-4FD4-AEEB-21EE65FEDFB6}"/>
    <hyperlink ref="K1537" r:id="rId206" xr:uid="{B8356CC4-3C1C-4791-9140-12B93144AB63}"/>
    <hyperlink ref="K1540" r:id="rId207" xr:uid="{A8BE561C-11C6-45D0-9575-C5E5A4AD30C8}"/>
    <hyperlink ref="K1541" r:id="rId208" xr:uid="{0E8017D2-ACBB-4D5B-BB60-3DB84D0BA2A3}"/>
    <hyperlink ref="K1547" r:id="rId209" xr:uid="{9D7D3A4B-0D50-4D2D-998A-7ECBF8704BA4}"/>
    <hyperlink ref="K1548" r:id="rId210" xr:uid="{561678E0-60CC-412D-82DA-475016E136FA}"/>
    <hyperlink ref="K1550" r:id="rId211" xr:uid="{C96D2D54-99E1-4B6E-89C5-075AEDBC7DEA}"/>
    <hyperlink ref="K1559" r:id="rId212" xr:uid="{C8DC9289-BEDF-45E0-B7DC-AF56533983D3}"/>
    <hyperlink ref="K1562" r:id="rId213" xr:uid="{4BB52F08-1851-48A7-BCE3-5D5E182B8775}"/>
    <hyperlink ref="K1564" r:id="rId214" xr:uid="{A59E6C11-BF8B-413F-969A-33061DB1A140}"/>
    <hyperlink ref="K1575" r:id="rId215" xr:uid="{BC110F8A-757D-40B7-8264-AB7CBBCB1629}"/>
    <hyperlink ref="K1579" r:id="rId216" xr:uid="{CB28C45F-EA8B-4D25-9AFF-A2832CC4080B}"/>
    <hyperlink ref="K1580" r:id="rId217" xr:uid="{6B66FF75-EB07-4EEA-8DAA-7E93F034B1AC}"/>
    <hyperlink ref="K1585" r:id="rId218" xr:uid="{E953FBD4-8C1C-4F5E-AEC7-CFEB03D96F0C}"/>
    <hyperlink ref="K1588" r:id="rId219" xr:uid="{19A288FC-5FAD-48B6-93D6-F769F83D5610}"/>
    <hyperlink ref="K1589" r:id="rId220" xr:uid="{C5BBCA08-1E11-44FA-A5EC-E16C179F8846}"/>
    <hyperlink ref="K1597" r:id="rId221" xr:uid="{B29B98A7-54B8-4689-BAC9-327D2D4B98A3}"/>
    <hyperlink ref="K1601" r:id="rId222" display="m.notohara@ezweb.ne.jp" xr:uid="{20A73DC1-B0A9-49C2-93FC-8012A9B389D5}"/>
    <hyperlink ref="K1611" r:id="rId223" xr:uid="{4FA3A981-769E-442C-864E-003BFA07286B}"/>
    <hyperlink ref="K1617" r:id="rId224" xr:uid="{244BF3A6-D871-4103-B733-3B7D4FA93D83}"/>
    <hyperlink ref="K1624" r:id="rId225" xr:uid="{99A59D01-7B26-4E42-96A4-91A321A6BC08}"/>
    <hyperlink ref="K1633" r:id="rId226" xr:uid="{B42BFEFC-040E-449C-A3CA-AFD13EE075B7}"/>
    <hyperlink ref="K1634" r:id="rId227" xr:uid="{9111A405-AD18-497D-95FB-3B95F0DD0E0B}"/>
    <hyperlink ref="K1645" r:id="rId228" xr:uid="{2248679C-D8F0-45DA-8987-75EB0374D823}"/>
    <hyperlink ref="K1651" r:id="rId229" xr:uid="{8CC6ED6B-21F5-44F7-A567-5BAAF20E153F}"/>
    <hyperlink ref="K1655" r:id="rId230" xr:uid="{309F9BD6-0CFC-421F-A69E-B3DAF9CE6811}"/>
    <hyperlink ref="K1662" r:id="rId231" xr:uid="{57CDC9E8-6565-468E-9C8D-69757DCA4E29}"/>
    <hyperlink ref="K1667" r:id="rId232" xr:uid="{E33A527E-0C07-4DC2-B645-3E67E405F66D}"/>
    <hyperlink ref="K1664" r:id="rId233" xr:uid="{1C30FB46-3AE3-4EF2-BEF1-841C5712E4AE}"/>
    <hyperlink ref="K1661" r:id="rId234" xr:uid="{35C81017-1AF9-4F17-8C04-5CC870FD639F}"/>
    <hyperlink ref="K1659" r:id="rId235" xr:uid="{2E14DD5F-A38C-466F-911B-08CCC0BEEF1B}"/>
    <hyperlink ref="K1654" r:id="rId236" xr:uid="{12C02B4E-AC6C-43A6-8F15-AB299A62270B}"/>
    <hyperlink ref="K1642" r:id="rId237" xr:uid="{46DF9CD5-4B79-4577-8F85-52A3A6EC185C}"/>
    <hyperlink ref="K1643" r:id="rId238" xr:uid="{A989F2A0-7A9A-443D-9C8B-E41169F2D4DC}"/>
    <hyperlink ref="K1637" r:id="rId239" xr:uid="{EDF55664-021B-4940-BD4D-77366F1EDEE7}"/>
    <hyperlink ref="K1630" r:id="rId240" xr:uid="{87E15C46-8C19-423B-AD58-F79EE4E77C59}"/>
    <hyperlink ref="K1632" r:id="rId241" xr:uid="{EFD0CD12-6EA4-4034-A1A4-100AD1E18FCA}"/>
    <hyperlink ref="K1631" r:id="rId242" xr:uid="{D507C112-3610-4F7D-912A-C8E6B75DF759}"/>
    <hyperlink ref="K1627" r:id="rId243" xr:uid="{C224B361-FE3D-4ED1-BAB0-812264EBD355}"/>
    <hyperlink ref="K1620" r:id="rId244" xr:uid="{A43A25B8-E682-49F3-A219-A3A3A668790B}"/>
    <hyperlink ref="K1616" r:id="rId245" xr:uid="{9B9FAD76-BA03-45D1-A8ED-383E6A6B40D8}"/>
    <hyperlink ref="K1612" r:id="rId246" xr:uid="{730F8252-E697-4315-8E1F-A99905182B05}"/>
    <hyperlink ref="K1609" r:id="rId247" xr:uid="{EC8EBBE5-E11D-48FA-B527-EF1F57621FDF}"/>
    <hyperlink ref="K1607" r:id="rId248" xr:uid="{1E9DF278-C90B-4524-BA9B-5C9FFA2E566F}"/>
    <hyperlink ref="K1605" r:id="rId249" xr:uid="{5D6BD8BF-D59D-4BA1-AC14-02C4BF3D2D68}"/>
    <hyperlink ref="K1603" r:id="rId250" xr:uid="{00E6C7E7-6F03-46C0-880F-0811C9682195}"/>
    <hyperlink ref="K1596" r:id="rId251" xr:uid="{1F2EE177-2485-43B4-B3B7-A86E710F845C}"/>
    <hyperlink ref="K1581" r:id="rId252" xr:uid="{97130D7A-88CC-483F-9E89-B2D460BC4D9D}"/>
    <hyperlink ref="K1578" r:id="rId253" xr:uid="{A2DFC9DE-FA1C-4215-91A2-976AE61EE593}"/>
    <hyperlink ref="K1577" r:id="rId254" xr:uid="{A77F1761-E656-479E-B73C-CB41D029F78A}"/>
    <hyperlink ref="K1572" r:id="rId255" xr:uid="{40FC2FB3-8B89-43A9-8ED9-E489E812360E}"/>
    <hyperlink ref="K1571" r:id="rId256" xr:uid="{9D66DDA6-A08B-44A3-9D89-07BB588D895B}"/>
    <hyperlink ref="K1567" r:id="rId257" xr:uid="{63325DD4-1045-44BF-84BA-37CADD775D19}"/>
    <hyperlink ref="K1566" r:id="rId258" xr:uid="{AD9CB875-DC09-44DC-9D10-1E4551E5C494}"/>
    <hyperlink ref="K1565" r:id="rId259" xr:uid="{9F5F0FFA-F50B-4C62-B10E-85E45953CFEA}"/>
    <hyperlink ref="K1554" r:id="rId260" xr:uid="{47252150-C4FD-4DD6-A825-7F62BDDA4293}"/>
    <hyperlink ref="K1551" r:id="rId261" xr:uid="{3FBCC754-FF59-4920-8AAC-0A2013D266F5}"/>
    <hyperlink ref="K1543" r:id="rId262" xr:uid="{4319BC0C-8677-4AD0-B657-9F3CD0240CA8}"/>
    <hyperlink ref="K1538" r:id="rId263" xr:uid="{433BB52B-C528-4932-BD1A-39B6A9C5695C}"/>
    <hyperlink ref="K1535" r:id="rId264" xr:uid="{C526B7B1-A4A5-4E9D-8E7F-196BE49FAAF4}"/>
    <hyperlink ref="K1533" r:id="rId265" xr:uid="{9EFCDC0D-9174-47B6-9F7C-21FCD01F5130}"/>
    <hyperlink ref="K1521" r:id="rId266" xr:uid="{F6B3CCCF-0508-4A43-BB98-897BFB0C29BB}"/>
    <hyperlink ref="K1519" r:id="rId267" xr:uid="{82F9038A-03DA-4B9F-B2A3-E54E0CFC9320}"/>
    <hyperlink ref="K1512" r:id="rId268" xr:uid="{2F83D59A-5EDC-419D-8205-B6F3AE3F9C26}"/>
    <hyperlink ref="K1510" r:id="rId269" xr:uid="{B535C205-B72E-4BFE-8D30-EC20B9BA6133}"/>
    <hyperlink ref="K1509" r:id="rId270" xr:uid="{373ABF2A-C168-42E1-B1B2-3223BF0F5A9D}"/>
    <hyperlink ref="K1508" r:id="rId271" xr:uid="{B9092739-F7C0-4D8D-9492-072480A6B567}"/>
    <hyperlink ref="K1503" r:id="rId272" xr:uid="{9181D714-6689-4ED2-B806-3E47CB59E584}"/>
    <hyperlink ref="K1491" r:id="rId273" xr:uid="{D1645ABF-29F4-486C-BC04-807A3639CC2E}"/>
    <hyperlink ref="K1490" r:id="rId274" xr:uid="{F96CEC04-D536-4764-BFD8-9104DDCF731D}"/>
    <hyperlink ref="K1489" r:id="rId275" xr:uid="{E5CE131B-43C0-44E3-BA3A-B1C6C3F23DD1}"/>
    <hyperlink ref="K1486" r:id="rId276" xr:uid="{29BF753A-4544-4C08-A441-F1A1EF2F2732}"/>
    <hyperlink ref="K1478" r:id="rId277" xr:uid="{A2739A15-DB2D-48A9-BE70-F3595E5FE454}"/>
    <hyperlink ref="K1475" r:id="rId278" xr:uid="{998133C2-0011-445A-BAFB-13025F653B06}"/>
    <hyperlink ref="K1474" r:id="rId279" xr:uid="{1ABDA0A9-28EE-4991-AC54-C9831899E39A}"/>
    <hyperlink ref="K1470" r:id="rId280" xr:uid="{7C9EDD44-75B1-4EFF-945C-2C2ADAE51F51}"/>
    <hyperlink ref="K1469" r:id="rId281" xr:uid="{B8E99EB4-E4D1-43E3-A2D7-F679ED94E292}"/>
    <hyperlink ref="K1468" r:id="rId282" xr:uid="{8FB97E57-6B92-4C51-8BAC-DEA81A2E0913}"/>
    <hyperlink ref="K1453" r:id="rId283" xr:uid="{7F23EA1F-3CB3-4BA9-A130-27722449FDC9}"/>
    <hyperlink ref="K1448" r:id="rId284" xr:uid="{D9519AD1-DD57-4EB7-AB53-EC2539A588B5}"/>
    <hyperlink ref="K1442" r:id="rId285" xr:uid="{74CF4F79-C6B2-4666-B543-B20B6749BAC8}"/>
    <hyperlink ref="K1438" r:id="rId286" xr:uid="{BA9F10C5-609F-451B-A4F6-67012FDD60EC}"/>
    <hyperlink ref="K1433" r:id="rId287" xr:uid="{8CDE2DCF-6B9F-40C8-B4BE-86DEA7683C14}"/>
    <hyperlink ref="K1430" r:id="rId288" xr:uid="{E8DE4E09-0D47-4E10-A422-F5A410DE4285}"/>
    <hyperlink ref="K1428" r:id="rId289" xr:uid="{0DB14897-F9E2-4E45-8719-7B607EBBB3E5}"/>
    <hyperlink ref="K1427" r:id="rId290" xr:uid="{74FD46B9-2261-4BBC-9375-7E6358021F5D}"/>
    <hyperlink ref="K1425" r:id="rId291" xr:uid="{54B6D471-BF81-4A44-8EEE-E292B0B75CF4}"/>
    <hyperlink ref="K1422" r:id="rId292" xr:uid="{0415D2BB-CFA2-4984-B26E-FBC53A4F9A8C}"/>
    <hyperlink ref="K1420" r:id="rId293" xr:uid="{1B1DD3E1-B747-47DB-A7EF-5A8B1E114BF2}"/>
    <hyperlink ref="K1415" r:id="rId294" xr:uid="{46DF132E-1E34-49E3-BCF0-A3B8689B026D}"/>
    <hyperlink ref="K1410" r:id="rId295" xr:uid="{03EB915A-63CB-480F-A216-97B7C22C49E2}"/>
    <hyperlink ref="K1404" r:id="rId296" xr:uid="{A606AA89-A1A3-448A-ACEC-F9BEA02A8A47}"/>
    <hyperlink ref="K1403" r:id="rId297" xr:uid="{1B5A122E-9F69-418B-ACC2-05FC4E3F1827}"/>
    <hyperlink ref="K1398" r:id="rId298" xr:uid="{CDB3880E-ECB7-4535-AFF6-E398B3DD70B1}"/>
    <hyperlink ref="K1397" r:id="rId299" xr:uid="{3F73335A-475F-4583-B872-E21D43334D6F}"/>
    <hyperlink ref="K1394" r:id="rId300" xr:uid="{74069B3C-27F9-4A61-A336-1155250FD1CA}"/>
    <hyperlink ref="K1383" r:id="rId301" xr:uid="{6A04E1B7-3397-4779-A169-B6A6091BA99E}"/>
    <hyperlink ref="K1382" r:id="rId302" xr:uid="{8215DE16-54A1-4CC9-A212-173D299F99DA}"/>
    <hyperlink ref="K1379" r:id="rId303" xr:uid="{96AC77D4-C5D4-410A-BF3C-8FD2B0DBC77D}"/>
    <hyperlink ref="K1381" r:id="rId304" xr:uid="{15D61A67-56DC-4F60-A01E-12A43E14B025}"/>
    <hyperlink ref="K1377" r:id="rId305" xr:uid="{66B6A0FA-A72B-41C6-B71E-17B9058143F1}"/>
    <hyperlink ref="K1365" r:id="rId306" xr:uid="{62D2E219-B4EA-431D-82A1-AC86421F60B0}"/>
    <hyperlink ref="K1357" r:id="rId307" xr:uid="{2DC62BDC-D9A7-4801-A0FF-8750BD56B57A}"/>
    <hyperlink ref="K1351" r:id="rId308" xr:uid="{B4A40BB8-70A4-4846-A92F-E73CE9934EB5}"/>
    <hyperlink ref="K1348" r:id="rId309" xr:uid="{DA4DAF2E-9FC9-4BBB-8D6E-CB64C46247A9}"/>
    <hyperlink ref="K1338" r:id="rId310" xr:uid="{55A8AA46-10A6-40D7-9A6D-EA51D37F2024}"/>
    <hyperlink ref="K1337" r:id="rId311" xr:uid="{AB4273FD-D803-4E7C-825E-5D6EB01F4CB7}"/>
    <hyperlink ref="K1333" r:id="rId312" xr:uid="{5E4F931A-3E60-4688-935C-E117B5ACEB37}"/>
    <hyperlink ref="K1330" r:id="rId313" xr:uid="{3D8A2003-FD8E-4C36-8719-7D83070ECF9A}"/>
    <hyperlink ref="K1328" r:id="rId314" xr:uid="{6F262414-42D7-4746-895E-C91825474443}"/>
    <hyperlink ref="K1327" r:id="rId315" xr:uid="{574CE31E-1BCA-4B49-A236-FF0C581D8799}"/>
    <hyperlink ref="K1326" r:id="rId316" xr:uid="{614F3DA8-7A64-4A36-BB6D-3BB843D38949}"/>
    <hyperlink ref="K1329" r:id="rId317" xr:uid="{CAD6B8CA-29B9-4CE9-9A1C-BAB17E057DFB}"/>
    <hyperlink ref="K1323" r:id="rId318" xr:uid="{A5163808-CA67-4B6B-A2F1-F7F2F3AE41C5}"/>
    <hyperlink ref="K1311" r:id="rId319" xr:uid="{7F3747B0-0755-4E75-830F-D8B7BCD342BE}"/>
    <hyperlink ref="K1310" r:id="rId320" xr:uid="{D0395BCD-2CEF-4F13-9EED-393AC2335A2B}"/>
    <hyperlink ref="K1293" r:id="rId321" xr:uid="{DE640BF7-7197-46A8-B6B9-4EAD114C028A}"/>
    <hyperlink ref="K1291" r:id="rId322" xr:uid="{0DBF1591-210B-41F9-9ECD-107220303B4A}"/>
    <hyperlink ref="K1289" r:id="rId323" xr:uid="{5B1BA9F6-FAE2-45DC-8986-7DC318B12787}"/>
    <hyperlink ref="K1286" r:id="rId324" xr:uid="{34987813-13E6-4801-9F0C-1D48F13A22B4}"/>
    <hyperlink ref="K1283" r:id="rId325" xr:uid="{D069CA9C-F32C-4CC2-8127-7A7528358799}"/>
    <hyperlink ref="K1279" r:id="rId326" xr:uid="{BE63E007-6450-4B42-9E3A-A210BD47400C}"/>
    <hyperlink ref="K1278" r:id="rId327" xr:uid="{5A1FFF06-9BFD-4A44-B39C-A825F362AE02}"/>
    <hyperlink ref="K1275" r:id="rId328" xr:uid="{EBF763C0-4744-4A53-A4EA-72656F4A7A5E}"/>
    <hyperlink ref="K1274" r:id="rId329" xr:uid="{2BDDFEA6-F53F-4936-AD07-E9BC46E7BE62}"/>
    <hyperlink ref="K1272" r:id="rId330" xr:uid="{D7833F9C-629C-47C3-81A4-D297CE947B65}"/>
    <hyperlink ref="K1273" r:id="rId331" xr:uid="{30F09133-80B8-4586-97A7-51BFA8CC29C7}"/>
    <hyperlink ref="K1268" r:id="rId332" xr:uid="{78275B99-21BA-4906-A73E-61D3C6E8D2BA}"/>
    <hyperlink ref="K1256" r:id="rId333" xr:uid="{3AB1A6E6-366B-441C-BCD9-61D46A959D03}"/>
    <hyperlink ref="K1255" r:id="rId334" xr:uid="{D6794A9A-78FC-4980-80F3-B00DA48CF4A2}"/>
    <hyperlink ref="K1247" r:id="rId335" xr:uid="{063F806E-3FC0-472A-8E39-1A17AA9BBFB3}"/>
    <hyperlink ref="K1238" r:id="rId336" xr:uid="{6D3D24CC-7393-43C2-826D-DCA30C2C63B3}"/>
    <hyperlink ref="K1229" r:id="rId337" xr:uid="{BAC0BA5D-F40E-4EE6-AE86-CE1A61ED39CE}"/>
    <hyperlink ref="K1224" r:id="rId338" xr:uid="{1658636E-D41F-4DEB-A311-0219B2327678}"/>
    <hyperlink ref="K1221" r:id="rId339" xr:uid="{1807930D-5500-4FBD-B71F-6EC5DF2608AA}"/>
    <hyperlink ref="K1220" r:id="rId340" xr:uid="{6E8AAC7A-8093-411B-9B13-74D12AA3BE32}"/>
    <hyperlink ref="K1219" r:id="rId341" xr:uid="{7B3AABBF-EEDC-4003-85ED-FF2A6DB06C9D}"/>
    <hyperlink ref="K1212" r:id="rId342" xr:uid="{4183978D-D4D6-4472-AE8F-C2EE4807443E}"/>
    <hyperlink ref="K1203" r:id="rId343" xr:uid="{74EB6BE0-EFC5-4DB7-8D72-EC86C05F3E05}"/>
    <hyperlink ref="K1201" r:id="rId344" xr:uid="{BDF18BE0-84E7-4CA8-B6E6-652611B15973}"/>
    <hyperlink ref="K1199" r:id="rId345" xr:uid="{A6162699-45A2-4C6B-B1C4-0E6183E6A4DB}"/>
    <hyperlink ref="K1194" r:id="rId346" xr:uid="{73E001BD-B5A9-4C94-A723-ABFC1BB57FC5}"/>
    <hyperlink ref="K1193" r:id="rId347" xr:uid="{C581676C-A9F8-4F9F-9D41-EED8E4CB9495}"/>
    <hyperlink ref="K1190" r:id="rId348" xr:uid="{86F1BF1B-39FE-4D82-A11A-D4B1316907D3}"/>
    <hyperlink ref="K1175" r:id="rId349" xr:uid="{F33E3208-7812-4F97-A38B-C23938D86570}"/>
    <hyperlink ref="K1174" r:id="rId350" xr:uid="{947F2A16-DB5E-4427-80C6-BEAF485237BC}"/>
    <hyperlink ref="K1172" r:id="rId351" xr:uid="{C3ECF645-43CB-4FE9-99D8-780E648DCEEE}"/>
    <hyperlink ref="K1167" r:id="rId352" xr:uid="{DE986362-C804-4D4D-81B2-CACAB5134E64}"/>
    <hyperlink ref="K1164" r:id="rId353" xr:uid="{DE6586A7-6BCC-45E0-BAF8-203E191EB975}"/>
    <hyperlink ref="K1160" r:id="rId354" xr:uid="{9D429F71-06A4-4930-8942-36B4A8A62FCE}"/>
    <hyperlink ref="K1158" r:id="rId355" xr:uid="{98D888F9-DC7F-4CAF-BE04-6F223535CAA2}"/>
    <hyperlink ref="K1155" r:id="rId356" xr:uid="{2FA7984A-C29E-49FB-B49A-B0E47F3001AF}"/>
    <hyperlink ref="K1152" r:id="rId357" xr:uid="{49D9488A-51C3-4B3A-8833-5CEF63195D5D}"/>
    <hyperlink ref="K1149" r:id="rId358" xr:uid="{EC5DDF2C-B060-4AB9-B4C8-797F8F2AB32F}"/>
    <hyperlink ref="K1148" r:id="rId359" xr:uid="{99726064-E661-478D-9D22-4065E50CCD2D}"/>
    <hyperlink ref="K1147" r:id="rId360" xr:uid="{AAB35B95-E5D7-4BE9-B048-249CB2330419}"/>
    <hyperlink ref="K1129" r:id="rId361" xr:uid="{C882752B-6661-4056-AB29-1F379B2404AF}"/>
    <hyperlink ref="K1126" r:id="rId362" xr:uid="{696D6BDF-705F-40E8-857A-A6091F23AEC4}"/>
    <hyperlink ref="K1125" r:id="rId363" xr:uid="{A3FE5D74-0294-4752-94D8-605B21278302}"/>
    <hyperlink ref="K1124" r:id="rId364" xr:uid="{E8590C29-02F0-4D92-B230-C26EA861B7C4}"/>
    <hyperlink ref="K1115" r:id="rId365" xr:uid="{4A7E62FF-7977-49CA-BA58-A7C76FA57368}"/>
    <hyperlink ref="K1114" r:id="rId366" xr:uid="{800AE26E-17FD-4539-B1C2-93D1576D922F}"/>
    <hyperlink ref="K1113" r:id="rId367" xr:uid="{9CAFEAF4-4FFC-4B1A-98F7-D0D260A28147}"/>
    <hyperlink ref="K1111" r:id="rId368" xr:uid="{A35D7040-6534-4668-A664-5F3E787D5BFD}"/>
    <hyperlink ref="K1108" r:id="rId369" xr:uid="{1A7A45EA-2E5C-4ECF-84E9-F8EF5B88CCDF}"/>
    <hyperlink ref="K1107" r:id="rId370" xr:uid="{60478AF8-19B5-42FA-92D6-EE1910CD9372}"/>
    <hyperlink ref="K1103" r:id="rId371" xr:uid="{A87F00DE-8D30-4675-9152-5BF9BB7761A3}"/>
    <hyperlink ref="K1090" r:id="rId372" xr:uid="{E9FF25B6-4EA6-42D3-B2D8-9E72A582D168}"/>
    <hyperlink ref="K1089" r:id="rId373" xr:uid="{35E95AE7-4698-4105-A38F-D9D735AF4F7F}"/>
    <hyperlink ref="K1075" r:id="rId374" xr:uid="{937035B4-AB80-4B8E-B4FE-D9FE9FDDC241}"/>
    <hyperlink ref="K1049" r:id="rId375" xr:uid="{C4C1866A-EDD4-4412-A91D-D1A278853751}"/>
    <hyperlink ref="K1044" r:id="rId376" xr:uid="{5E367F7E-BB72-4E79-9276-FB2E3C0874EC}"/>
    <hyperlink ref="K1035" r:id="rId377" xr:uid="{55B78BCD-56F6-49CA-A03C-EE6ACCD7190E}"/>
    <hyperlink ref="K1029" r:id="rId378" xr:uid="{01872D0E-4301-4064-9FA7-916388F60C6C}"/>
    <hyperlink ref="K1024" r:id="rId379" xr:uid="{674451AC-9053-48DA-B2E4-5A5072501A0E}"/>
    <hyperlink ref="K1023" r:id="rId380" xr:uid="{15061DCC-05E5-40B4-B28B-5460535D7B57}"/>
    <hyperlink ref="K1010" r:id="rId381" xr:uid="{2D2A1BDE-8D44-41F7-991E-1BF9E904A950}"/>
    <hyperlink ref="K1009" r:id="rId382" xr:uid="{3A5D1FCC-5D64-4BFC-B1C4-B83F3E09A348}"/>
    <hyperlink ref="K999" r:id="rId383" xr:uid="{E57F1B84-BC36-4E13-8A96-DC49E926A4D4}"/>
    <hyperlink ref="K982" r:id="rId384" xr:uid="{C2044A4A-C72F-474F-8929-6D4B88C06627}"/>
    <hyperlink ref="K976" r:id="rId385" xr:uid="{43D3D36C-8117-461E-935E-E635CD178BAA}"/>
    <hyperlink ref="K973" r:id="rId386" xr:uid="{80EE3BB1-8A09-4CE2-A9DB-AFC3891001E9}"/>
    <hyperlink ref="K963" r:id="rId387" xr:uid="{8F538561-3FDD-427C-B920-708E95094A1C}"/>
    <hyperlink ref="K962" r:id="rId388" xr:uid="{3F9F9ADD-378C-44EB-AF34-0BFE5D95773B}"/>
    <hyperlink ref="K960" r:id="rId389" xr:uid="{5FC59009-8F17-48A0-821E-404563E9E48F}"/>
    <hyperlink ref="K956" r:id="rId390" xr:uid="{431B6816-F14A-446E-B0D4-561608FB5FF3}"/>
    <hyperlink ref="K955" r:id="rId391" xr:uid="{F1715231-CADC-42E7-BE42-AAE289C49B0A}"/>
    <hyperlink ref="K949" r:id="rId392" xr:uid="{471AE9C3-7929-4473-B90A-248F207117F6}"/>
    <hyperlink ref="K942" r:id="rId393" xr:uid="{DD46CAD5-B260-434A-AD98-283646C7A7B9}"/>
    <hyperlink ref="K939" r:id="rId394" xr:uid="{5A4ECE02-B66A-4BA2-8E9F-BBE0096970BD}"/>
    <hyperlink ref="K936" r:id="rId395" xr:uid="{A46AEFA3-FBCD-4F4C-BE89-6822FCC791CD}"/>
    <hyperlink ref="K933" r:id="rId396" xr:uid="{B9FACD6F-D420-4DEB-A8F7-3006ACC50F49}"/>
    <hyperlink ref="K916" r:id="rId397" xr:uid="{96DA25B8-6200-4B2E-9271-04BC2D76CF78}"/>
    <hyperlink ref="K908" r:id="rId398" xr:uid="{E346B4D8-3B98-4F33-BEBC-479314160153}"/>
    <hyperlink ref="K902" r:id="rId399" xr:uid="{77E53A8E-2FB6-413F-85FC-126357484423}"/>
    <hyperlink ref="K898" r:id="rId400" xr:uid="{3DA2108E-194E-43DC-890F-3A2856135DFD}"/>
    <hyperlink ref="K903" r:id="rId401" xr:uid="{873EEDC4-068E-4D5E-978B-D4D68DF17B54}"/>
    <hyperlink ref="K896" r:id="rId402" xr:uid="{7716EB34-044B-441F-ACFB-820BA1406F5B}"/>
    <hyperlink ref="M142" r:id="rId403" xr:uid="{0BDDF18D-82B8-4ED5-B92E-4B77D8C420C6}"/>
    <hyperlink ref="K868" r:id="rId404" xr:uid="{A1569100-68C1-4DA5-94E4-7164A4A39FEB}"/>
    <hyperlink ref="K858" r:id="rId405" xr:uid="{468CE41C-CFF2-4149-A153-C932F89450FF}"/>
    <hyperlink ref="K857" r:id="rId406" xr:uid="{57F8E076-8CF1-46F3-B9FD-5E94DED4F37E}"/>
    <hyperlink ref="K851" r:id="rId407" xr:uid="{5E552FD2-0796-497A-A9AB-B9B69E07CD02}"/>
    <hyperlink ref="K792" r:id="rId408" xr:uid="{92571D02-3F02-4B0A-A315-67A47E468D2D}"/>
    <hyperlink ref="K781" r:id="rId409" xr:uid="{3CBBD775-613D-4DF8-AB33-E327829F5FEB}"/>
    <hyperlink ref="K763" r:id="rId410" xr:uid="{39E23662-91DF-4D92-BDDD-EC853864D26F}"/>
    <hyperlink ref="K741" r:id="rId411" xr:uid="{F8622FB3-8962-4DCE-9F07-0263F5CF461D}"/>
    <hyperlink ref="K732" r:id="rId412" xr:uid="{C4253475-9364-41C0-897F-2B99E164AB55}"/>
    <hyperlink ref="K727" r:id="rId413" xr:uid="{6EFBEE45-7271-4649-B4ED-1702A1B7AA5D}"/>
    <hyperlink ref="K725" r:id="rId414" xr:uid="{A4FE55B7-080F-4F78-8BB3-E826547AA2C1}"/>
    <hyperlink ref="K714" r:id="rId415" xr:uid="{10DFC6D3-F220-4C79-AD7A-1A6FE8550745}"/>
    <hyperlink ref="K711" r:id="rId416" xr:uid="{D9E9F820-2734-4204-A8F8-897A92D79F9B}"/>
    <hyperlink ref="K695" r:id="rId417" xr:uid="{56EEBA64-FAAF-47DF-804D-411800D79F0E}"/>
    <hyperlink ref="K698" r:id="rId418" xr:uid="{88DF0087-96E4-47EC-9F8A-CF686E2F006E}"/>
    <hyperlink ref="K693" r:id="rId419" xr:uid="{C80ADC6D-5294-495B-A771-9336442B0316}"/>
    <hyperlink ref="K692" r:id="rId420" xr:uid="{EADE7B66-007A-4E79-99A4-060CE73416D0}"/>
    <hyperlink ref="K682" r:id="rId421" xr:uid="{7CAFD887-4D9E-4335-A2AA-F268C7600E27}"/>
    <hyperlink ref="K680" r:id="rId422" xr:uid="{C1F156A2-7981-4E2E-BFC0-9BA9EA18C23A}"/>
    <hyperlink ref="K678" r:id="rId423" xr:uid="{20221C20-AE5D-4C3C-A867-8057D054DB7E}"/>
    <hyperlink ref="K679" r:id="rId424" xr:uid="{4BCD6D03-AABA-4E72-B515-FE36CD327723}"/>
    <hyperlink ref="K665" r:id="rId425" xr:uid="{485EEF9A-0030-4DC7-AAAF-0E1D015C21DF}"/>
    <hyperlink ref="K664" r:id="rId426" xr:uid="{2C66EAAF-6593-4E86-8716-FE91A074EA35}"/>
    <hyperlink ref="K620" r:id="rId427" xr:uid="{2C634D2D-C84D-4CD5-8DC0-A8ED9158504A}"/>
    <hyperlink ref="K608" r:id="rId428" xr:uid="{5AAC70C6-74B6-4558-A266-51DCB8F0EE47}"/>
    <hyperlink ref="K597" r:id="rId429" xr:uid="{6BD67ADC-C3A2-443E-BBE3-76BE1D947660}"/>
    <hyperlink ref="K591" r:id="rId430" xr:uid="{F4368706-F956-48B0-8EBA-B28AB26849E9}"/>
    <hyperlink ref="K589" r:id="rId431" xr:uid="{DE27EE21-DBBC-4D35-B490-7F33C98214B6}"/>
    <hyperlink ref="K588" r:id="rId432" xr:uid="{D3763F6B-6BA1-474E-A338-68C3C5620261}"/>
    <hyperlink ref="K580" r:id="rId433" xr:uid="{37A9155D-F129-4DDE-87CD-ADEF40E357D7}"/>
    <hyperlink ref="K578" r:id="rId434" xr:uid="{639A5511-5C90-49B5-9920-747C0ABD7A7D}"/>
    <hyperlink ref="K569" r:id="rId435" xr:uid="{F254E10F-899F-49BA-A38B-F555B9C3B1FA}"/>
    <hyperlink ref="K565" r:id="rId436" xr:uid="{B11D20D7-28EF-4341-A54E-B82194E9E0DC}"/>
    <hyperlink ref="K561" r:id="rId437" xr:uid="{4BFD888E-2699-4965-8A9F-1ADC5691DF63}"/>
    <hyperlink ref="K522" r:id="rId438" xr:uid="{BB2B7049-8E5C-4F03-828B-036574428533}"/>
    <hyperlink ref="K520" r:id="rId439" xr:uid="{6167555D-0A37-4657-AF3F-95C1D9EE1CC3}"/>
    <hyperlink ref="K510" r:id="rId440" xr:uid="{B2D4C485-C987-43B3-BB73-67D794A8260B}"/>
    <hyperlink ref="K511" r:id="rId441" xr:uid="{A59F1DEB-35FF-4307-9C92-07EA573E7EC4}"/>
    <hyperlink ref="K469" r:id="rId442" xr:uid="{C3F68D70-0F03-4477-B135-9CF2DAD79BD8}"/>
    <hyperlink ref="K458" r:id="rId443" xr:uid="{D1B8164F-5B19-4C7E-9E4B-6FE6A5AC9D94}"/>
    <hyperlink ref="K455" r:id="rId444" xr:uid="{C603861A-5A6A-435C-B426-EF917C3793D8}"/>
    <hyperlink ref="K424" r:id="rId445" xr:uid="{786B6C6C-7C7D-4002-9F06-F412946E9471}"/>
    <hyperlink ref="K423" r:id="rId446" xr:uid="{34E90128-F207-4415-BF91-7A1DED48B2BC}"/>
    <hyperlink ref="K419" r:id="rId447" xr:uid="{9B132D92-655F-4579-A995-752767638D5B}"/>
    <hyperlink ref="K363" r:id="rId448" xr:uid="{6E263CB8-AD06-4FD4-93F6-322D31B87F58}"/>
    <hyperlink ref="K360" r:id="rId449" xr:uid="{F464B04A-D95A-4804-9E80-70DA5429DCA0}"/>
    <hyperlink ref="K359" r:id="rId450" xr:uid="{F65A144C-A78E-4FF3-A81C-83DDAF6C9202}"/>
    <hyperlink ref="K357" r:id="rId451" xr:uid="{6A504C7A-1E8F-4485-8D44-26ABD6B311E6}"/>
    <hyperlink ref="K352" r:id="rId452" xr:uid="{CF31832B-7CD9-4467-981A-2DE952A8BAA6}"/>
    <hyperlink ref="K344" r:id="rId453" xr:uid="{8CD14046-78C6-4DAC-9D43-A61D88104020}"/>
    <hyperlink ref="K275" r:id="rId454" xr:uid="{B041817C-961A-43C9-9D74-EDA45BC71546}"/>
    <hyperlink ref="K245" r:id="rId455" xr:uid="{15038E78-929D-4CF3-9062-644F6C28C8B2}"/>
    <hyperlink ref="K243" r:id="rId456" xr:uid="{22DCC561-0523-49E7-8A5C-3F30CACA6711}"/>
    <hyperlink ref="K241" r:id="rId457" xr:uid="{334E1B0D-A747-490A-B281-1DEA7FB9A087}"/>
    <hyperlink ref="K242" r:id="rId458" xr:uid="{E1E7D7E9-6EF6-4A2E-9F39-042C2A73253B}"/>
    <hyperlink ref="K239" r:id="rId459" xr:uid="{1FD63571-3A9F-4C3A-99D8-4854EDE237D4}"/>
    <hyperlink ref="K225" r:id="rId460" xr:uid="{8CB3AFED-6C96-4459-8FE1-6DEF55A81D0D}"/>
    <hyperlink ref="K223" r:id="rId461" xr:uid="{B35B4AC6-FB4F-4184-8A22-C0EDA6F5CCB6}"/>
    <hyperlink ref="K220" r:id="rId462" xr:uid="{F18CE21D-F39D-466F-892B-4A4E1DF5BF3A}"/>
    <hyperlink ref="K207" r:id="rId463" xr:uid="{620787E5-EB98-43FC-B1FB-E60861DDE2A7}"/>
    <hyperlink ref="K193" r:id="rId464" xr:uid="{396CC021-61F1-41A2-A9DD-55B0219660FE}"/>
    <hyperlink ref="K194" r:id="rId465" xr:uid="{76FEF379-EA1D-4BA6-BB21-EBDC01F7E6A4}"/>
    <hyperlink ref="K168" r:id="rId466" xr:uid="{0BDE9C0B-917D-4942-83F8-202B280FE427}"/>
    <hyperlink ref="K130" r:id="rId467" xr:uid="{976C34DA-3B5F-477D-9613-93E0B78073C6}"/>
    <hyperlink ref="K85" r:id="rId468" xr:uid="{1619640E-0036-4CB3-9E27-0BEEFBE99013}"/>
    <hyperlink ref="K80" r:id="rId469" xr:uid="{98FCB9C2-AED8-404E-9671-4ABCBE8F770D}"/>
    <hyperlink ref="K75" r:id="rId470" xr:uid="{8C248D7D-FDE1-427E-A9F5-1CFCE04102CC}"/>
    <hyperlink ref="K76" r:id="rId471" xr:uid="{1F9E9EC9-04E6-4D9D-9E56-393756443AF6}"/>
    <hyperlink ref="K73" r:id="rId472" xr:uid="{7B02A491-22C8-4458-B7B4-9924AC7201C3}"/>
    <hyperlink ref="K68" r:id="rId473" xr:uid="{BF63B9D6-99B0-4DBB-858C-E240013D8486}"/>
    <hyperlink ref="K49" r:id="rId474" xr:uid="{ABD3E5BE-D4EF-434C-9418-6C9D4D6335AB}"/>
    <hyperlink ref="K32" r:id="rId475" xr:uid="{2534B434-4597-4EAB-96BB-1A252B3D4DF3}"/>
    <hyperlink ref="K3" r:id="rId476" xr:uid="{3EEBEF3A-A1D5-45DD-80F5-180B567D0AF4}"/>
    <hyperlink ref="K1668" r:id="rId477" xr:uid="{3E0F1387-00F6-4484-8434-1444F5D2B64F}"/>
    <hyperlink ref="K1670" r:id="rId478" xr:uid="{9AAAC9C0-B37B-4F93-AE6E-0EC946BC0A7F}"/>
    <hyperlink ref="K1674" r:id="rId479" xr:uid="{39F1861E-374C-4F63-8CC6-29F12E2E1CE9}"/>
    <hyperlink ref="K1675" r:id="rId480" xr:uid="{52C76A17-4B97-4D1E-8521-998A722A6138}"/>
    <hyperlink ref="K1677" r:id="rId481" xr:uid="{CD4FB1E2-98CD-4D32-9F4C-D12E3045FC18}"/>
    <hyperlink ref="K1679" r:id="rId482" xr:uid="{6ED7C13D-11CF-45B8-BA2B-B24A1D3C6F26}"/>
    <hyperlink ref="K1681" r:id="rId483" xr:uid="{9D59F09C-C447-4B3B-BD87-7254A983E5BA}"/>
    <hyperlink ref="K1683" r:id="rId484" xr:uid="{91DDF07D-CE33-40B8-9897-1104701F9BAB}"/>
    <hyperlink ref="K1688" r:id="rId485" xr:uid="{3FB23B29-6745-4B62-9841-07F9F4B319B1}"/>
    <hyperlink ref="K1690" r:id="rId486" xr:uid="{61BF76E6-5595-4727-AFF7-4EC882712491}"/>
    <hyperlink ref="K1691" r:id="rId487" xr:uid="{C5DE9450-A0D0-40FB-A3D8-8C8C711D6E45}"/>
    <hyperlink ref="K1693" r:id="rId488" xr:uid="{D40ADC59-5F18-4BF3-80E9-14678F645D27}"/>
    <hyperlink ref="K1696" r:id="rId489" xr:uid="{DEDB20C8-247D-4104-8A2B-F825610DA8BB}"/>
    <hyperlink ref="K1699" r:id="rId490" xr:uid="{CC7CB4A1-7708-4C49-9FBB-9A7A7A028B58}"/>
    <hyperlink ref="K1702" r:id="rId491" xr:uid="{A12DBB08-AA03-491E-BD2A-867C51CFCBA8}"/>
    <hyperlink ref="K1703" r:id="rId492" xr:uid="{EA0BDAD6-527E-4897-96B6-AF3A7BA2D1EC}"/>
    <hyperlink ref="K1704" r:id="rId493" xr:uid="{69B997A5-3836-4197-8434-0F9A7F9D7A11}"/>
    <hyperlink ref="K1705" r:id="rId494" xr:uid="{F3D3C6C7-3BFE-4E35-8266-1952ED4ED05D}"/>
    <hyperlink ref="K1709" r:id="rId495" xr:uid="{B856E0C4-A7F0-43F8-99AD-002D1EE0FD15}"/>
    <hyperlink ref="K1707" r:id="rId496" xr:uid="{C0290392-4B83-4EC9-AB6F-2D349BB90DFA}"/>
    <hyperlink ref="K1711" r:id="rId497" xr:uid="{A481152A-001D-42B9-935F-FF9A39CAAF9E}"/>
    <hyperlink ref="K1712" r:id="rId498" xr:uid="{C891F02E-9141-4181-BE01-3DF48260F96A}"/>
    <hyperlink ref="K1714" r:id="rId499" xr:uid="{E5C33497-94C9-4A84-AC8D-F5D22C0A943B}"/>
    <hyperlink ref="K1719" r:id="rId500" xr:uid="{0E763262-3255-4616-970A-45D6EADA615B}"/>
    <hyperlink ref="K1720" r:id="rId501" xr:uid="{9EC9C9FD-3E9F-4DD6-8620-AD21030CBD41}"/>
    <hyperlink ref="K1721" r:id="rId502" xr:uid="{B7CEA7AD-22B6-4C4A-9813-B515DB513AE7}"/>
    <hyperlink ref="K1723" r:id="rId503" xr:uid="{69F27205-7CF5-4850-85D2-231485E52709}"/>
    <hyperlink ref="K1726" r:id="rId504" xr:uid="{9B2F912C-4B90-4EF8-8311-449F7B217C7D}"/>
    <hyperlink ref="K1732" r:id="rId505" xr:uid="{EB01620D-92EB-4548-BE5D-D2DDDF3D4717}"/>
    <hyperlink ref="K1733" r:id="rId506" xr:uid="{0E72AA54-A253-4826-9E21-1517AD7C4FCE}"/>
    <hyperlink ref="K1734" r:id="rId507" xr:uid="{29862203-EE24-4AC6-9B21-E7C683A73E59}"/>
    <hyperlink ref="K1737" r:id="rId508" xr:uid="{E6C3037D-2BA3-4B62-BDB7-1A68B2677007}"/>
    <hyperlink ref="K1740" r:id="rId509" xr:uid="{9FD93427-775A-4478-A7A3-4A9F400B29E8}"/>
    <hyperlink ref="K1741" r:id="rId510" xr:uid="{8E748BA8-D88F-4275-A7D0-BC4FF6D25043}"/>
    <hyperlink ref="K1746" r:id="rId511" xr:uid="{E9D87C68-DDD7-43F7-B0A4-7B7B7C799CAD}"/>
    <hyperlink ref="K1748" r:id="rId512" xr:uid="{65420F5C-8F5B-47D3-9873-9009E43F4442}"/>
    <hyperlink ref="K1750" r:id="rId513" xr:uid="{BE6BD1D6-F544-4A0E-AF77-218DE35F4508}"/>
    <hyperlink ref="K1753" r:id="rId514" xr:uid="{D34625CC-BBD8-4F54-9F3F-D7DAF47E7CCA}"/>
    <hyperlink ref="K1754" r:id="rId515" xr:uid="{F6B213E5-B94E-4C84-90AD-100DA98140A4}"/>
    <hyperlink ref="K1755" r:id="rId516" xr:uid="{C4A83D17-899D-43A7-AFF3-A512C2288F4A}"/>
    <hyperlink ref="K1757" r:id="rId517" xr:uid="{393D648F-4DF4-4299-AD0A-FC0722709E1C}"/>
    <hyperlink ref="K1760" r:id="rId518" xr:uid="{E9143E2E-874C-4DF8-8546-7F930F2D25C2}"/>
    <hyperlink ref="K1761" r:id="rId519" xr:uid="{BDAD194F-F6AA-4E7A-B2CD-18EE084BD5E0}"/>
    <hyperlink ref="K1765" r:id="rId520" xr:uid="{77B558E9-9330-4358-ACFD-5EFFC740A689}"/>
    <hyperlink ref="K1766" r:id="rId521" xr:uid="{D89CEDC2-147B-4860-AC1F-9B8D27B687F1}"/>
    <hyperlink ref="K1768" r:id="rId522" xr:uid="{F3FEA17B-09CF-4FFF-8572-004845C9BDAF}"/>
    <hyperlink ref="K1770" r:id="rId523" xr:uid="{D9DDE6B7-A7E0-4D01-BD73-D0DF31F710DC}"/>
    <hyperlink ref="K1776" r:id="rId524" xr:uid="{06804F3B-5AF2-4C9F-8AB0-D2EE8D97D0DA}"/>
    <hyperlink ref="K1780" r:id="rId525" xr:uid="{253BE20B-9E83-4FC2-B7B3-CDA986CAA38E}"/>
    <hyperlink ref="K1785" r:id="rId526" xr:uid="{F58C523C-7CAD-44B4-A0B2-7BB1DAF05CED}"/>
    <hyperlink ref="K1782" r:id="rId527" xr:uid="{F0703904-C857-4577-8F29-DFCFAEB45EC3}"/>
    <hyperlink ref="K1786" r:id="rId528" xr:uid="{77B0A388-A964-439C-9FE7-3B94AB68A05B}"/>
    <hyperlink ref="K1787" r:id="rId529" xr:uid="{6729D147-D7FA-4A40-9899-FF3ADDBDF061}"/>
    <hyperlink ref="K1788" r:id="rId530" xr:uid="{4BAFE656-E706-4E0B-B0C0-4CA9A678D85A}"/>
    <hyperlink ref="K1791" r:id="rId531" xr:uid="{5DAD0C62-05A4-4500-A4CD-D9E7FE3CBBA2}"/>
    <hyperlink ref="K1792" r:id="rId532" xr:uid="{4F7F9518-F2D0-4350-9031-02AF11B97231}"/>
    <hyperlink ref="K1794" r:id="rId533" xr:uid="{4189B8E2-3213-4D13-B7B8-CEC71E7F08CA}"/>
    <hyperlink ref="K1795" r:id="rId534" xr:uid="{8F9B0FA2-CD43-4413-9FB6-9DBD3FC699E4}"/>
    <hyperlink ref="K1796" r:id="rId535" xr:uid="{18769E31-E0DA-4B8E-A4EA-03A59496D7B0}"/>
    <hyperlink ref="K1798" r:id="rId536" xr:uid="{03280396-86DB-4842-B702-7A6BC58A8ECD}"/>
    <hyperlink ref="K1805" r:id="rId537" xr:uid="{F0F5E139-C1BB-494D-9CDC-4652A8517CC6}"/>
    <hyperlink ref="K1806" r:id="rId538" xr:uid="{063A1583-163E-459D-A167-3160B3BC8AC3}"/>
    <hyperlink ref="K1807" r:id="rId539" xr:uid="{FC6E987E-0F5D-45C6-9AB0-CA473749E8E6}"/>
    <hyperlink ref="K1810" r:id="rId540" xr:uid="{E3B3A5A5-2C66-4568-9FAB-77C4932119F6}"/>
    <hyperlink ref="K1811" r:id="rId541" xr:uid="{097DFEB6-A3FD-40B4-95D4-0D9AC4D9DB62}"/>
    <hyperlink ref="K1816" r:id="rId542" xr:uid="{AE4CA1B9-9CDC-4BB1-8D58-6F90B32E9F82}"/>
    <hyperlink ref="K1823" r:id="rId543" xr:uid="{9D581FDF-FD86-4628-A9EC-8E9436D2F008}"/>
    <hyperlink ref="K1822" r:id="rId544" xr:uid="{B1460FBC-8D61-4BCA-B737-D70888671F92}"/>
    <hyperlink ref="K1825" r:id="rId545" xr:uid="{3DB090FE-0992-456B-AD3E-6BEDD39544F3}"/>
    <hyperlink ref="K1826" r:id="rId546" xr:uid="{35A0A6A2-691E-401D-B87C-98EA3989F6A3}"/>
    <hyperlink ref="K1829" r:id="rId547" xr:uid="{7E2447CF-2F77-43C9-86B5-D82B5EE7BA0E}"/>
    <hyperlink ref="K1832" r:id="rId548" xr:uid="{EAECD91B-460F-4AD9-8437-39F09095C868}"/>
    <hyperlink ref="K1833" r:id="rId549" xr:uid="{844164CB-D6BC-4B1C-AF1D-D4341E19FC97}"/>
    <hyperlink ref="K1837" r:id="rId550" xr:uid="{AA29C0EA-9F89-492A-9FD7-B20906C762FA}"/>
    <hyperlink ref="K1840" r:id="rId551" xr:uid="{FFEEAB28-BED6-4BD3-B638-959A16F35B82}"/>
    <hyperlink ref="K1844" r:id="rId552" xr:uid="{9FDB1292-E5FB-4028-93F5-C067953837A3}"/>
    <hyperlink ref="K1846" r:id="rId553" xr:uid="{FCF549DB-374F-4FF0-8BDF-0854C50C5C5A}"/>
    <hyperlink ref="K1849" r:id="rId554" xr:uid="{5E6BEC5A-ED6C-4091-BC39-721DB852FDC1}"/>
    <hyperlink ref="K1850" r:id="rId555" xr:uid="{3791BFFF-C92C-49F4-B874-FB0CEDEB376C}"/>
    <hyperlink ref="K1851" r:id="rId556" xr:uid="{4203C76F-AE59-41D2-9D61-2E5B4AD7CAC8}"/>
    <hyperlink ref="K1852" r:id="rId557" xr:uid="{11811391-5B57-4C50-8F92-8301C738B08B}"/>
    <hyperlink ref="K1854" r:id="rId558" xr:uid="{CE1744A7-E24F-4089-B1AC-20ED7F95CDA8}"/>
    <hyperlink ref="K1839" r:id="rId559" xr:uid="{36332B4E-BE68-4486-86D5-0BB71A93AEB7}"/>
    <hyperlink ref="K1858" r:id="rId560" xr:uid="{D58CF158-3410-4BE5-A158-4603DF6DE9EA}"/>
    <hyperlink ref="K1859" r:id="rId561" xr:uid="{9C451ED2-B604-45CD-9706-9F25C91AE6AE}"/>
    <hyperlink ref="K1857" r:id="rId562" xr:uid="{EAE07155-D68C-4E5C-B9CC-C92328469C51}"/>
    <hyperlink ref="K1862" r:id="rId563" xr:uid="{7FEA2576-2F5D-48B3-9A9F-D315C717EBC2}"/>
    <hyperlink ref="K1870" r:id="rId564" xr:uid="{6E6DBE02-696D-48EC-8404-600DE0EF73F0}"/>
    <hyperlink ref="K1871" r:id="rId565" xr:uid="{46DEA9F7-3A9C-49DD-991C-230512307245}"/>
    <hyperlink ref="K1872" r:id="rId566" xr:uid="{7C76974D-4545-4312-BFCF-A492B53F18D3}"/>
    <hyperlink ref="K1873" r:id="rId567" xr:uid="{F4A64D69-D8FC-4521-90C9-FB5D85FD3B20}"/>
    <hyperlink ref="K1881" r:id="rId568" xr:uid="{617659B6-7529-4F9F-AAA0-DD6445E199C3}"/>
    <hyperlink ref="K1882" r:id="rId569" xr:uid="{15D24CF0-4FC1-4446-94A5-93FF51B0B6F3}"/>
    <hyperlink ref="K1886" r:id="rId570" xr:uid="{3385E976-1C73-4D35-B347-83C4891FE6B8}"/>
    <hyperlink ref="K1891" r:id="rId571" xr:uid="{901E48D4-FFB5-4DBC-9A6A-B45DF00C20E4}"/>
    <hyperlink ref="K1892" r:id="rId572" xr:uid="{4A80E35B-1CB9-4535-A309-9B9134B1214D}"/>
    <hyperlink ref="K1893" r:id="rId573" xr:uid="{789BD206-A3F3-499A-ACF8-6D138009DF6F}"/>
    <hyperlink ref="K1894" r:id="rId574" xr:uid="{2A814BCD-F806-4C4A-8E4F-5931EFC8230C}"/>
    <hyperlink ref="K1896" r:id="rId575" xr:uid="{92731AFA-10E4-45FA-AB92-D334E6D97450}"/>
    <hyperlink ref="K1898" r:id="rId576" xr:uid="{2F28FF1B-41A9-4569-B541-A55EB3D5C3EA}"/>
    <hyperlink ref="K1897" r:id="rId577" xr:uid="{03CA8069-7CD3-4962-8856-08DAC4F9F474}"/>
    <hyperlink ref="K1900" r:id="rId578" xr:uid="{CBE3EBD1-9453-4FEA-BA2D-A260D271F47B}"/>
    <hyperlink ref="K1902" r:id="rId579" xr:uid="{2D262371-4257-4F90-94DC-DAFF2ED9450F}"/>
    <hyperlink ref="K1903" r:id="rId580" xr:uid="{38A547CF-19A5-4171-A0EC-F93329F4B396}"/>
    <hyperlink ref="K1906" r:id="rId581" xr:uid="{E66FB500-FF11-425F-935C-5BF73FD49956}"/>
    <hyperlink ref="K1910" r:id="rId582" xr:uid="{56CFF308-4AF9-49C0-B793-94D1658862B4}"/>
    <hyperlink ref="K1912" r:id="rId583" xr:uid="{53A82784-6F07-4982-BE6B-B253023A638B}"/>
    <hyperlink ref="K1914" r:id="rId584" xr:uid="{5A3B3758-8147-4636-A35D-2F72DB638291}"/>
    <hyperlink ref="K1915" r:id="rId585" xr:uid="{DB60C3D9-E540-4AC2-98F9-25604FA0347C}"/>
    <hyperlink ref="K1917" r:id="rId586" xr:uid="{D7BFC443-DDB3-44B7-90E7-1442DA877215}"/>
    <hyperlink ref="K1925" r:id="rId587" xr:uid="{208C4295-B11C-4012-BF8F-049EB3C0B12F}"/>
    <hyperlink ref="K1926" r:id="rId588" xr:uid="{BBA0F374-E13F-4F0D-8419-B4717D8F3FB5}"/>
    <hyperlink ref="K1927" r:id="rId589" xr:uid="{C3DEDFD1-3360-4801-B90A-C6E1F823CBE6}"/>
    <hyperlink ref="K1930" r:id="rId590" xr:uid="{C08E239E-4407-4D64-BF2A-D7A94828B141}"/>
    <hyperlink ref="K1931" r:id="rId591" xr:uid="{6E84F751-BA18-4E8C-9B25-62D2E743DEE8}"/>
    <hyperlink ref="K1932" r:id="rId592" xr:uid="{F9EFD5CA-47F0-436D-97A5-2227FD7215B4}"/>
    <hyperlink ref="K1940" r:id="rId593" xr:uid="{5A352F7D-5A8D-4B0D-BF1E-6A31B5FCE8A7}"/>
    <hyperlink ref="K1943" r:id="rId594" xr:uid="{57876767-F5BD-4246-B5B2-B3BBBDBD10C2}"/>
    <hyperlink ref="K1944" r:id="rId595" xr:uid="{4A792927-8C65-4541-8CF2-7C028FC2B56B}"/>
    <hyperlink ref="K1946" r:id="rId596" xr:uid="{AB5E7C29-EDAB-4D9F-BD1D-52AB1E70D729}"/>
    <hyperlink ref="K1950" r:id="rId597" xr:uid="{D9790D61-8533-4455-8575-1E06EA085746}"/>
    <hyperlink ref="K1951" r:id="rId598" xr:uid="{C545B714-7D99-4165-982D-72DC4E946DD0}"/>
    <hyperlink ref="K1952" r:id="rId599" xr:uid="{F2CE8DD2-85EA-4D46-9CAF-C69ECC87D07D}"/>
    <hyperlink ref="K1953" r:id="rId600" xr:uid="{87437B7C-304C-460C-8CE9-6C0A862DCF10}"/>
    <hyperlink ref="K1954" r:id="rId601" xr:uid="{7ABEA6EB-770C-4581-BDDA-13534F54D475}"/>
    <hyperlink ref="K1955" r:id="rId602" xr:uid="{718E4FE7-156B-4ADB-9C8A-EE54BA6B5A68}"/>
    <hyperlink ref="K1960" r:id="rId603" xr:uid="{1B13F2B1-F64C-441E-90C9-9B55AE7ABBA6}"/>
    <hyperlink ref="K1961" r:id="rId604" xr:uid="{4C0598D4-BB9A-4224-871C-80579F123186}"/>
    <hyperlink ref="K1962" r:id="rId605" xr:uid="{2E9340EA-9669-4AB4-99D4-11A019543BFA}"/>
    <hyperlink ref="K1963" r:id="rId606" xr:uid="{B09DE637-C7CA-4784-97FF-4B03EDCD33F0}"/>
    <hyperlink ref="K1964" r:id="rId607" xr:uid="{623F0B89-2EE6-4EDB-88DE-4D97AE62BBC7}"/>
    <hyperlink ref="K1968" r:id="rId608" xr:uid="{4EBEEA22-AB23-4070-9B5F-95B4E05141C2}"/>
    <hyperlink ref="K1971" r:id="rId609" xr:uid="{61534D69-9E21-4AE9-B2D4-1EACEA9ADA3E}"/>
    <hyperlink ref="K1973" r:id="rId610" xr:uid="{991CAEA8-9878-41CC-A689-4528F0D6D21B}"/>
    <hyperlink ref="K1974" r:id="rId611" xr:uid="{3456A396-550C-4906-AFCE-2291DB2BEC44}"/>
    <hyperlink ref="K1976" r:id="rId612" xr:uid="{B57236CD-D4B0-4DC4-8EAE-DD54548095AF}"/>
    <hyperlink ref="K1977" r:id="rId613" xr:uid="{99695101-71C4-4178-AE10-509BDA7ED269}"/>
    <hyperlink ref="K1981" r:id="rId614" xr:uid="{EA6135B1-3DFF-4050-8A75-BF2B30574CEE}"/>
    <hyperlink ref="K1983" r:id="rId615" xr:uid="{8E752300-D466-43E0-875D-C7C10232E309}"/>
    <hyperlink ref="K1987" r:id="rId616" xr:uid="{8E02B841-5FFB-4668-84E2-1CE8633D7B59}"/>
    <hyperlink ref="K1988" r:id="rId617" xr:uid="{9D027F93-FEA9-45F3-ADE7-27ED8C56B194}"/>
    <hyperlink ref="K1989" r:id="rId618" xr:uid="{2BBF9B63-214A-48FD-A44C-51791453402B}"/>
    <hyperlink ref="K1994" r:id="rId619" xr:uid="{C1E2A023-3C25-4C54-86EC-C4620EB63E65}"/>
    <hyperlink ref="K1997" r:id="rId620" xr:uid="{AF2520F5-83BB-4543-A258-087482B63511}"/>
    <hyperlink ref="K2000" r:id="rId621" xr:uid="{47D50D97-5C98-41E0-A178-22A944369676}"/>
    <hyperlink ref="K1998" r:id="rId622" xr:uid="{DB2E9213-1308-4E76-AC75-342C6CA91ADC}"/>
    <hyperlink ref="K2001" r:id="rId623" xr:uid="{AD2C97FD-9FD3-4A04-9360-80E59D4BB3A3}"/>
    <hyperlink ref="K2004" r:id="rId624" xr:uid="{37141B8A-DEE8-4C4B-BB54-0434C5B4DECF}"/>
    <hyperlink ref="K2005" r:id="rId625" xr:uid="{B7D3CAE4-B169-40AC-966E-3F89CBC95558}"/>
    <hyperlink ref="K2007" r:id="rId626" xr:uid="{E0896D88-1562-4DB9-BDFF-8D86B028474E}"/>
    <hyperlink ref="K2008" r:id="rId627" xr:uid="{F4CCF124-4945-42B5-AB1D-90637FE3DE55}"/>
    <hyperlink ref="K2012" r:id="rId628" xr:uid="{EA4804E2-4FC4-4A4B-BC5F-05E9780F8114}"/>
    <hyperlink ref="K2013" r:id="rId629" xr:uid="{83005281-E008-4F25-9AE7-546B6BE9BF67}"/>
    <hyperlink ref="K2014" r:id="rId630" xr:uid="{9B0546A5-3CE5-4276-A38F-4D241D90E658}"/>
    <hyperlink ref="K2025" r:id="rId631" xr:uid="{73F5C624-E6D6-43B5-9607-E02D36D6CF45}"/>
    <hyperlink ref="K2026" r:id="rId632" xr:uid="{6FF6B41D-5274-462B-8852-7C73A0B376BA}"/>
    <hyperlink ref="K2023" r:id="rId633" xr:uid="{A78897E3-2447-4905-90B0-1B2A0F7E686B}"/>
    <hyperlink ref="K2024" r:id="rId634" xr:uid="{BEF226AE-F202-4492-8760-CE0859B5403E}"/>
    <hyperlink ref="K2028" r:id="rId635" xr:uid="{95AA1253-8815-4BA9-9D4C-7E1FE9122F2D}"/>
    <hyperlink ref="K2029" r:id="rId636" xr:uid="{6C81A991-BA06-4B91-8FD6-382F4B743A23}"/>
    <hyperlink ref="K2038" r:id="rId637" xr:uid="{1C5ED5C9-BCF8-43F9-BE96-3CA31BD5FA3D}"/>
    <hyperlink ref="K2039" r:id="rId638" xr:uid="{0C5F3AC4-9AF8-400F-A0F6-424BB7013999}"/>
    <hyperlink ref="K2041" r:id="rId639" xr:uid="{604A6921-56F0-4978-AC42-7D77C907467A}"/>
    <hyperlink ref="K2042" r:id="rId640" xr:uid="{C39CA5DF-57A9-403A-BECE-D194F424DD36}"/>
    <hyperlink ref="K2043" r:id="rId641" xr:uid="{63EAF1D7-C4BB-4B48-8FC9-8BBB2A664ACA}"/>
    <hyperlink ref="K2045" r:id="rId642" xr:uid="{AC3D8F75-4364-4948-9EB4-51B0F51CDEF9}"/>
    <hyperlink ref="K2048" r:id="rId643" xr:uid="{8E2C3CD9-BA6B-41B1-9AA7-C5D4F48421E9}"/>
    <hyperlink ref="K2052" r:id="rId644" xr:uid="{CA800299-0223-4D80-B3A5-51C402A84582}"/>
    <hyperlink ref="K2053" r:id="rId645" xr:uid="{7379CB72-EB80-42D8-9E75-0E2EDE1136DD}"/>
    <hyperlink ref="K2057" r:id="rId646" xr:uid="{54C0C431-AA0F-403B-8F78-457C78C62284}"/>
    <hyperlink ref="K2059" r:id="rId647" xr:uid="{82C887E5-DE9D-41D5-A6DD-5BDC8C1A46F4}"/>
    <hyperlink ref="K2070" r:id="rId648" xr:uid="{E2694EC2-CC57-4B40-A671-1B5D43C9FAFF}"/>
    <hyperlink ref="K2071" r:id="rId649" xr:uid="{508238B8-197D-46AE-AE47-FBE0D2285291}"/>
    <hyperlink ref="K2063" r:id="rId650" xr:uid="{E0A4E5BD-8CA9-4B7B-A893-A9FC5CEFC0A9}"/>
    <hyperlink ref="K2074" r:id="rId651" xr:uid="{264A1559-58BF-4E72-91A8-FCA54B1835BE}"/>
    <hyperlink ref="K2075" r:id="rId652" xr:uid="{605ABFBE-090E-4ACC-8839-59654BC38B34}"/>
    <hyperlink ref="K2076" r:id="rId653" xr:uid="{9A1223BE-8D9A-4433-9C78-6E56663E6C6B}"/>
    <hyperlink ref="K2079" r:id="rId654" xr:uid="{E0AC1FEE-3326-4511-A7E9-A1BD952A8195}"/>
    <hyperlink ref="K2081" r:id="rId655" xr:uid="{737A2F2B-1E2F-47B7-AF14-0939FB0E3DD6}"/>
    <hyperlink ref="K2082" r:id="rId656" display="alexander.jr007@gmail.com" xr:uid="{4D70AA4F-B225-4EF1-9D05-3999DC43E630}"/>
    <hyperlink ref="K2086" r:id="rId657" xr:uid="{5F064767-D71A-4E9A-8783-ECE8580D8482}"/>
    <hyperlink ref="K2088" r:id="rId658" xr:uid="{9DC14EEC-E048-46EE-8A46-291482DC2533}"/>
    <hyperlink ref="K2090" r:id="rId659" xr:uid="{CD26C48C-4B07-432B-AD80-4DC0B69BEC5D}"/>
    <hyperlink ref="K2091" r:id="rId660" xr:uid="{F49F7AD0-A73A-47CB-8337-E742BBAC1542}"/>
    <hyperlink ref="K2092" r:id="rId661" xr:uid="{77EA7A99-1AC2-487D-ADDA-A9A1341555A3}"/>
    <hyperlink ref="K2094" r:id="rId662" xr:uid="{8DE3A5F2-4DC3-48A1-8D11-3E520BA70EF2}"/>
    <hyperlink ref="K2093" r:id="rId663" xr:uid="{D2394F47-0E89-40B0-AC62-53A7B31CD91B}"/>
    <hyperlink ref="K2095" r:id="rId664" xr:uid="{A95DDFC4-A6BB-416A-9FCD-A1FFFC67F6D5}"/>
    <hyperlink ref="K2096" r:id="rId665" xr:uid="{0F0B33C3-731C-4C8B-9EF5-8B95E6C5DC2B}"/>
    <hyperlink ref="K2099" r:id="rId666" xr:uid="{CED98B4C-3405-47FC-BC05-EDFEDA0A416E}"/>
    <hyperlink ref="K2100" r:id="rId667" xr:uid="{0212FF5C-6428-4A24-97A3-E6D4C44B3224}"/>
    <hyperlink ref="K2101" r:id="rId668" xr:uid="{9C56AFCF-CF80-418D-A853-91884A5517D6}"/>
    <hyperlink ref="K2102" r:id="rId669" xr:uid="{02836F7E-69BB-4B9B-B120-5E0EF494A0DF}"/>
    <hyperlink ref="K2103" r:id="rId670" xr:uid="{8F3972F9-0EF8-46C7-A2E4-136E62031C5D}"/>
    <hyperlink ref="K2107" r:id="rId671" xr:uid="{4476732F-D603-4DCD-B322-F4ED7624A6B2}"/>
    <hyperlink ref="K2108" r:id="rId672" xr:uid="{01BE05FD-FE73-4E6E-A79B-46108E1516FD}"/>
    <hyperlink ref="K2110" r:id="rId673" xr:uid="{2EAF4F3D-6914-496B-9D87-B899D1DD91A3}"/>
    <hyperlink ref="K2113" r:id="rId674" xr:uid="{76677440-C82A-403C-96E3-65FD87BCFB3A}"/>
    <hyperlink ref="K2115" r:id="rId675" xr:uid="{721264AC-EA09-465D-A34A-1960E1B7EADF}"/>
    <hyperlink ref="K2117" r:id="rId676" xr:uid="{060832A2-BF62-42A5-BA95-C87D34EED454}"/>
    <hyperlink ref="K2120" r:id="rId677" xr:uid="{7AC7276E-C7C8-4DC0-ABC4-498AF9D57351}"/>
    <hyperlink ref="K2119" r:id="rId678" xr:uid="{C3E9FBB0-42C7-4C76-87C7-9B821B9376E5}"/>
    <hyperlink ref="K2121" r:id="rId679" xr:uid="{A4FFEEEA-E577-4606-AD18-182C8450FAF0}"/>
    <hyperlink ref="K2127" r:id="rId680" xr:uid="{953522D6-BDB2-4215-91E1-F597CDF45AB2}"/>
    <hyperlink ref="K2128" r:id="rId681" xr:uid="{BAA9268A-D549-4657-9B8B-A2BC0EF13C37}"/>
    <hyperlink ref="K2129" r:id="rId682" xr:uid="{01D9A9F7-43BF-4F47-8DBF-5CDF1F9AE939}"/>
    <hyperlink ref="K2132" r:id="rId683" xr:uid="{9B835492-8B88-4ED8-B746-3242B3219BD3}"/>
    <hyperlink ref="K2133" r:id="rId684" xr:uid="{9FC19B32-35F9-4074-8F87-330145C0EB15}"/>
    <hyperlink ref="K2134" r:id="rId685" xr:uid="{93EAB1F9-D418-4216-B7CD-EFA8F61E5F80}"/>
    <hyperlink ref="K2135" r:id="rId686" xr:uid="{5D71BE15-75CD-441E-9A15-1A9BA4FF2E4E}"/>
    <hyperlink ref="K2138" r:id="rId687" xr:uid="{8A548027-63F3-43CE-80FD-D844D0CC69EE}"/>
    <hyperlink ref="K2139" r:id="rId688" xr:uid="{4A804371-130C-49BF-9B98-F5CF02A65727}"/>
    <hyperlink ref="K2143" r:id="rId689" xr:uid="{85650323-DC5C-4DFB-86E6-4E04FA14C16B}"/>
    <hyperlink ref="K2145" r:id="rId690" xr:uid="{4F8D613C-4246-4C63-8753-F1DC3F460912}"/>
    <hyperlink ref="K2147" r:id="rId691" xr:uid="{2055D30D-49B5-436F-AE99-3D0F557F0050}"/>
    <hyperlink ref="K2149" r:id="rId692" xr:uid="{B5DBE48C-12F3-4E4D-BC01-44347E4BECE5}"/>
    <hyperlink ref="K2150" r:id="rId693" xr:uid="{81DDC299-431F-4C2C-B4A7-BEA0369B0E03}"/>
    <hyperlink ref="K2177" r:id="rId694" xr:uid="{B412F5CC-8731-4554-8492-3E44DE516877}"/>
    <hyperlink ref="K2176" r:id="rId695" xr:uid="{C406AF98-5060-45EE-8D82-4F5D4AE4FCF8}"/>
    <hyperlink ref="K2175" r:id="rId696" xr:uid="{5341BF26-20A3-499E-BB7D-E198349FEC1C}"/>
    <hyperlink ref="K2174" r:id="rId697" xr:uid="{A57FDBB7-C686-4361-A286-474B20BEA027}"/>
    <hyperlink ref="K2173" r:id="rId698" xr:uid="{24C83F9D-FB4F-4730-8463-26A9ED29E474}"/>
    <hyperlink ref="K2172" r:id="rId699" xr:uid="{3312C4E5-F55D-4356-A901-4E3C2667E590}"/>
    <hyperlink ref="K2171" r:id="rId700" xr:uid="{D909A7FA-20E3-4DF4-A29D-1057AD3A6565}"/>
    <hyperlink ref="K2169" r:id="rId701" xr:uid="{8761694E-77A2-4B8C-9B72-7A71A385951F}"/>
    <hyperlink ref="K2168" r:id="rId702" xr:uid="{3DA1D9FA-A44E-4849-A974-C33C27656ACC}"/>
    <hyperlink ref="K2167" r:id="rId703" xr:uid="{CEE7A156-8B3D-4020-88C7-75515CC89A62}"/>
    <hyperlink ref="K2166" r:id="rId704" xr:uid="{FD86CE00-E263-48D5-84CD-D5F7BF50A024}"/>
    <hyperlink ref="K2165" r:id="rId705" xr:uid="{78095A7B-CA5C-48C6-A3D7-29E7854D3A5D}"/>
    <hyperlink ref="K2164" r:id="rId706" xr:uid="{B20B9763-B591-4CD7-995C-F936F85DC7BB}"/>
    <hyperlink ref="K2163" r:id="rId707" xr:uid="{95CB8B50-FEC4-422D-9C9D-5DC998379FE8}"/>
    <hyperlink ref="K2161" r:id="rId708" xr:uid="{72D2375E-1D1A-4FDA-AFEF-37346DD73908}"/>
    <hyperlink ref="K2159" r:id="rId709" xr:uid="{E5490336-8FEF-4B17-9426-78B647894E67}"/>
    <hyperlink ref="K2158" r:id="rId710" xr:uid="{E1C9FB7F-FC3A-44FA-89DD-1D4DCA88CB00}"/>
    <hyperlink ref="K2154" r:id="rId711" xr:uid="{8262A06A-E5A8-439C-B42C-6C314F81B166}"/>
    <hyperlink ref="K2152" r:id="rId712" xr:uid="{18B47C33-DEC4-4743-B8C0-85B944DC386D}"/>
    <hyperlink ref="K2183" r:id="rId713" xr:uid="{C0D131DA-A0AE-4085-8619-B98840C41CED}"/>
    <hyperlink ref="K2184" r:id="rId714" xr:uid="{B76D0248-9358-4C48-9991-574F68239709}"/>
    <hyperlink ref="K2185" r:id="rId715" xr:uid="{F9AE4C5D-C2DD-4806-AA53-F28FD96DBFEA}"/>
    <hyperlink ref="K2186" r:id="rId716" xr:uid="{F7716A4E-12E1-45C0-B209-EF57DECD0821}"/>
    <hyperlink ref="K2189" r:id="rId717" xr:uid="{9F91F0B8-F40A-4E58-87C0-39F0E8199575}"/>
    <hyperlink ref="K2190" r:id="rId718" xr:uid="{61EBCC0D-63EF-4BE6-B72C-EE0DF922DD83}"/>
    <hyperlink ref="K2194" r:id="rId719" xr:uid="{4A655BD7-951E-484D-AE5B-340BF8BE8101}"/>
    <hyperlink ref="K2199" r:id="rId720" xr:uid="{571FB8BB-4E87-47EC-A994-4A8A0AC1C456}"/>
    <hyperlink ref="K2200" r:id="rId721" xr:uid="{B92D977E-6065-4F48-B77C-74EFF2149AF2}"/>
    <hyperlink ref="K2203" r:id="rId722" xr:uid="{2509B1AC-6A6D-4803-8B84-3B641CEA6976}"/>
    <hyperlink ref="K2204" r:id="rId723" xr:uid="{706EE315-7917-49DC-8F59-BBA5D1EEB56B}"/>
    <hyperlink ref="K2205" r:id="rId724" xr:uid="{10BC31C7-3382-48A8-AC93-156252C610C7}"/>
    <hyperlink ref="K2207" r:id="rId725" xr:uid="{A1DCEFB1-3D71-4F42-9295-BFC067DB7A13}"/>
    <hyperlink ref="K2208" r:id="rId726" xr:uid="{8E1C4656-2B0B-40C7-A548-423EA3273CEF}"/>
    <hyperlink ref="K2210" r:id="rId727" xr:uid="{BBC35906-D84A-4824-89A4-9B68C7B320B0}"/>
    <hyperlink ref="K2211" r:id="rId728" xr:uid="{572172BA-699C-4183-9C78-2AF13F7BD234}"/>
    <hyperlink ref="K2213" r:id="rId729" xr:uid="{2299936D-9DC2-40C4-9CB0-965AA7159528}"/>
    <hyperlink ref="K2214" r:id="rId730" xr:uid="{B66E9CAF-D49B-446E-8DF6-3317A4B7C2D4}"/>
    <hyperlink ref="K2215" r:id="rId731" xr:uid="{A1F315B9-BAB4-482A-8BB6-F30756BC1319}"/>
    <hyperlink ref="K2216" r:id="rId732" xr:uid="{539C5735-FE3D-49B1-ACE2-F8D775C118B9}"/>
    <hyperlink ref="K2217" r:id="rId733" xr:uid="{DAFE43EB-07E3-45AE-8580-C7D5D3AEBB19}"/>
    <hyperlink ref="K2218" r:id="rId734" xr:uid="{2895FC2C-0815-4433-9743-938DB7D81CBF}"/>
    <hyperlink ref="K2219" r:id="rId735" xr:uid="{120DB253-4682-435C-AB29-F4D90719EC9E}"/>
    <hyperlink ref="K2220" r:id="rId736" xr:uid="{8C0BCE48-782E-4CE7-895F-032B24582D5C}"/>
    <hyperlink ref="K2221" r:id="rId737" xr:uid="{3C1745DB-6FCA-4307-8B7B-3EC036D95032}"/>
    <hyperlink ref="K2222" r:id="rId738" xr:uid="{57582EED-F7AD-4E5D-8936-AB76D138F531}"/>
    <hyperlink ref="K2223" r:id="rId739" xr:uid="{97E80A3B-AF81-4198-851B-B9092F9CBDE4}"/>
    <hyperlink ref="K2224" r:id="rId740" xr:uid="{9E91002B-2961-4AAA-9081-2602E48E77F2}"/>
    <hyperlink ref="K2226" r:id="rId741" xr:uid="{F2C9C63F-E4C0-461B-9520-F7EA23D6BCCC}"/>
    <hyperlink ref="K2228" r:id="rId742" xr:uid="{FFE94A46-651C-44B6-8B1E-92F62BFA6915}"/>
    <hyperlink ref="K2229" r:id="rId743" xr:uid="{05D6FC8B-AFA9-4984-BA62-289F4D094122}"/>
    <hyperlink ref="K2232" r:id="rId744" xr:uid="{44B0C121-A4B8-4DA3-988D-8ECE78217117}"/>
    <hyperlink ref="K2234" r:id="rId745" xr:uid="{6EEC13CB-F48B-4822-9F52-4B0ED2E1F47F}"/>
    <hyperlink ref="K2235" r:id="rId746" xr:uid="{54F150CA-28B3-46AB-8F75-81D3FC5D3F02}"/>
    <hyperlink ref="K2236" r:id="rId747" xr:uid="{57705BA0-610F-4724-98C8-59753C87D778}"/>
    <hyperlink ref="K2237" r:id="rId748" xr:uid="{ECBC5598-5408-4479-8F2B-647FB64B5E9E}"/>
    <hyperlink ref="K2240" r:id="rId749" xr:uid="{A074877F-88B1-4507-944F-6271BF3922B5}"/>
    <hyperlink ref="K2242" r:id="rId750" xr:uid="{DC2D54A1-3114-428C-A8EE-7D2F848C862B}"/>
    <hyperlink ref="K2243" r:id="rId751" xr:uid="{9879BE58-662C-484F-A5D5-B7B7A7A4DFD3}"/>
    <hyperlink ref="K2244" r:id="rId752" xr:uid="{B06E708D-807B-4AEB-95D7-E78EB88F78BF}"/>
    <hyperlink ref="K2245" r:id="rId753" xr:uid="{9F5D2A91-3347-42E8-8473-24EE80226979}"/>
    <hyperlink ref="K2249" r:id="rId754" xr:uid="{E4D75204-FC10-4A74-87BC-B33C5673D15E}"/>
    <hyperlink ref="K2250" r:id="rId755" xr:uid="{73EB794C-9913-4A8B-9587-DE5DF0969C07}"/>
    <hyperlink ref="K2253" r:id="rId756" xr:uid="{89842493-B255-4BA0-8509-CD3EC26339C9}"/>
    <hyperlink ref="K2251" r:id="rId757" xr:uid="{0AFDDBAE-B0B3-4725-8F02-40E226ABAEE5}"/>
    <hyperlink ref="K2254" r:id="rId758" xr:uid="{53913527-C113-40EF-8471-C5E4703CA2AD}"/>
    <hyperlink ref="K2256" r:id="rId759" xr:uid="{7B9655B5-500A-4D18-A8F9-B50BA506D776}"/>
    <hyperlink ref="K2257" r:id="rId760" xr:uid="{7F3DF1AF-CEAE-44C3-B79B-83B6C01A18E7}"/>
    <hyperlink ref="K2258" r:id="rId761" xr:uid="{6F06B6CF-0699-4520-8918-DCC80EB4BF28}"/>
    <hyperlink ref="K2260" r:id="rId762" xr:uid="{0BA360EB-D164-46A4-B591-D383BC1D76AB}"/>
    <hyperlink ref="K2261" r:id="rId763" xr:uid="{0D076CF9-460D-44C5-B767-34B1464C04DD}"/>
    <hyperlink ref="K2264" r:id="rId764" xr:uid="{D0DAF553-B3CF-4D85-96D2-E2431E7DD3E8}"/>
    <hyperlink ref="K2263" r:id="rId765" xr:uid="{E93661F8-CD9C-412D-905C-3D90DE944272}"/>
    <hyperlink ref="K2265" r:id="rId766" xr:uid="{7667A0F4-AE39-4CF4-812A-B80C2D5622F3}"/>
    <hyperlink ref="K2268" r:id="rId767" xr:uid="{D0EDD9A6-24EC-4DDD-8D30-CF52BDAD54A8}"/>
    <hyperlink ref="K2269" r:id="rId768" xr:uid="{02528E1F-7F58-40F6-9CA1-8BDD55E53BC0}"/>
    <hyperlink ref="K2270" r:id="rId769" xr:uid="{8FFA822F-AE84-4EAB-B2B2-C767F3B217AA}"/>
    <hyperlink ref="K2272" r:id="rId770" xr:uid="{F8FA8B4F-92A4-4C4B-A335-D65F7ECB6F9C}"/>
    <hyperlink ref="K2275" r:id="rId771" xr:uid="{3881398F-1392-44B2-AFFB-0A3CEDA48581}"/>
    <hyperlink ref="K2277" r:id="rId772" xr:uid="{346374C6-AA9A-4DAA-91D1-FF9EF874D058}"/>
    <hyperlink ref="K2278" r:id="rId773" xr:uid="{73979690-9C81-451A-A917-AAF6B569C998}"/>
    <hyperlink ref="K2281" r:id="rId774" xr:uid="{C89368FB-C300-4B3D-A697-93DA81121D88}"/>
    <hyperlink ref="K2282" r:id="rId775" xr:uid="{6BDEB032-FEF0-4855-A8AA-AF1F81F97660}"/>
  </hyperlinks>
  <pageMargins left="0.7" right="0.7" top="0.75" bottom="0.75" header="0.3" footer="0.3"/>
  <pageSetup paperSize="9" scale="25" orientation="landscape" horizontalDpi="4294967293" r:id="rId776"/>
  <rowBreaks count="2" manualBreakCount="2">
    <brk id="38" max="11" man="1"/>
    <brk id="93" max="16383" man="1"/>
  </rowBreaks>
  <legacyDrawing r:id="rId7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8DF1-F3AD-400E-93CE-CFD029FC988D}">
  <dimension ref="A1:B54"/>
  <sheetViews>
    <sheetView workbookViewId="0">
      <selection activeCell="F22" sqref="F22"/>
    </sheetView>
  </sheetViews>
  <sheetFormatPr defaultRowHeight="13.2"/>
  <cols>
    <col min="1" max="1" width="20.6640625" customWidth="1"/>
    <col min="2" max="2" width="13.77734375" bestFit="1" customWidth="1"/>
  </cols>
  <sheetData>
    <row r="1" spans="1:2">
      <c r="A1" t="s">
        <v>10224</v>
      </c>
    </row>
    <row r="3" spans="1:2">
      <c r="A3" t="s">
        <v>10225</v>
      </c>
    </row>
    <row r="4" spans="1:2">
      <c r="A4" t="s">
        <v>10226</v>
      </c>
      <c r="B4">
        <f>月別会員数!CI38</f>
        <v>198</v>
      </c>
    </row>
    <row r="5" spans="1:2">
      <c r="A5" t="s">
        <v>10227</v>
      </c>
      <c r="B5">
        <f>入会者!K26</f>
        <v>9</v>
      </c>
    </row>
    <row r="6" spans="1:2">
      <c r="A6" t="s">
        <v>10228</v>
      </c>
      <c r="B6">
        <f>退会者!K25</f>
        <v>5</v>
      </c>
    </row>
    <row r="7" spans="1:2">
      <c r="A7" t="s">
        <v>10229</v>
      </c>
      <c r="B7">
        <v>5</v>
      </c>
    </row>
    <row r="8" spans="1:2">
      <c r="A8" t="s">
        <v>10230</v>
      </c>
      <c r="B8">
        <f>月別会員数!CJ38</f>
        <v>202</v>
      </c>
    </row>
    <row r="9" spans="1:2">
      <c r="A9" t="s">
        <v>10231</v>
      </c>
      <c r="B9" s="272">
        <v>3237000</v>
      </c>
    </row>
    <row r="11" spans="1:2">
      <c r="A11" t="s">
        <v>10232</v>
      </c>
    </row>
    <row r="12" spans="1:2">
      <c r="A12" t="s">
        <v>10233</v>
      </c>
      <c r="B12">
        <f>体験利用者数!K18</f>
        <v>12</v>
      </c>
    </row>
    <row r="13" spans="1:2">
      <c r="A13" t="s">
        <v>10234</v>
      </c>
      <c r="B13">
        <f>体験利用者数!K19</f>
        <v>9</v>
      </c>
    </row>
    <row r="14" spans="1:2">
      <c r="A14" t="s">
        <v>10235</v>
      </c>
      <c r="B14" s="273">
        <f>B13/B12</f>
        <v>0.75</v>
      </c>
    </row>
    <row r="15" spans="1:2">
      <c r="A15" t="s">
        <v>10236</v>
      </c>
      <c r="B15" t="s">
        <v>10265</v>
      </c>
    </row>
    <row r="16" spans="1:2">
      <c r="A16" t="s">
        <v>10237</v>
      </c>
      <c r="B16" t="s">
        <v>10265</v>
      </c>
    </row>
    <row r="18" spans="1:2">
      <c r="A18" t="s">
        <v>10238</v>
      </c>
    </row>
    <row r="19" spans="1:2">
      <c r="A19" t="s">
        <v>10239</v>
      </c>
      <c r="B19">
        <v>2</v>
      </c>
    </row>
    <row r="20" spans="1:2">
      <c r="A20" t="s">
        <v>10240</v>
      </c>
      <c r="B20">
        <v>5</v>
      </c>
    </row>
    <row r="21" spans="1:2">
      <c r="A21" t="s">
        <v>10241</v>
      </c>
      <c r="B21">
        <v>0</v>
      </c>
    </row>
    <row r="22" spans="1:2">
      <c r="A22" t="s">
        <v>10242</v>
      </c>
      <c r="B22">
        <v>0</v>
      </c>
    </row>
    <row r="23" spans="1:2">
      <c r="A23" t="s">
        <v>10243</v>
      </c>
      <c r="B23">
        <v>5</v>
      </c>
    </row>
    <row r="24" spans="1:2">
      <c r="A24" t="s">
        <v>10244</v>
      </c>
      <c r="B24">
        <v>0</v>
      </c>
    </row>
    <row r="25" spans="1:2">
      <c r="A25" t="s">
        <v>10245</v>
      </c>
      <c r="B25">
        <v>0</v>
      </c>
    </row>
    <row r="27" spans="1:2">
      <c r="A27" t="s">
        <v>10267</v>
      </c>
    </row>
    <row r="28" spans="1:2">
      <c r="A28" t="s">
        <v>10268</v>
      </c>
      <c r="B28" s="274">
        <v>809470</v>
      </c>
    </row>
    <row r="29" spans="1:2">
      <c r="A29" t="s">
        <v>10246</v>
      </c>
      <c r="B29" s="274">
        <v>388430</v>
      </c>
    </row>
    <row r="30" spans="1:2">
      <c r="A30" t="s">
        <v>10247</v>
      </c>
      <c r="B30" s="274">
        <v>328980</v>
      </c>
    </row>
    <row r="31" spans="1:2">
      <c r="A31" t="s">
        <v>10244</v>
      </c>
      <c r="B31" s="274">
        <v>92060</v>
      </c>
    </row>
    <row r="32" spans="1:2">
      <c r="A32" t="s">
        <v>10248</v>
      </c>
      <c r="B32" s="274">
        <v>534089</v>
      </c>
    </row>
    <row r="34" spans="1:2">
      <c r="A34" t="s">
        <v>10249</v>
      </c>
    </row>
    <row r="35" spans="1:2">
      <c r="A35" t="s">
        <v>10250</v>
      </c>
      <c r="B35" s="275">
        <v>5</v>
      </c>
    </row>
    <row r="36" spans="1:2">
      <c r="A36" t="s">
        <v>10251</v>
      </c>
      <c r="B36" s="275">
        <v>5</v>
      </c>
    </row>
    <row r="37" spans="1:2">
      <c r="A37" t="s">
        <v>10252</v>
      </c>
      <c r="B37" t="s">
        <v>10269</v>
      </c>
    </row>
    <row r="39" spans="1:2">
      <c r="A39" t="s">
        <v>10253</v>
      </c>
    </row>
    <row r="40" spans="1:2">
      <c r="A40" t="s">
        <v>10254</v>
      </c>
      <c r="B40">
        <v>23</v>
      </c>
    </row>
    <row r="41" spans="1:2">
      <c r="A41" t="s">
        <v>10255</v>
      </c>
      <c r="B41" t="s">
        <v>10270</v>
      </c>
    </row>
    <row r="43" spans="1:2">
      <c r="A43" t="s">
        <v>10256</v>
      </c>
    </row>
    <row r="44" spans="1:2">
      <c r="A44" t="s">
        <v>10257</v>
      </c>
      <c r="B44" t="s">
        <v>10271</v>
      </c>
    </row>
    <row r="45" spans="1:2">
      <c r="A45" t="s">
        <v>10258</v>
      </c>
      <c r="B45" t="s">
        <v>10272</v>
      </c>
    </row>
    <row r="46" spans="1:2">
      <c r="A46" t="s">
        <v>10259</v>
      </c>
      <c r="B46" t="s">
        <v>10272</v>
      </c>
    </row>
    <row r="47" spans="1:2">
      <c r="A47" t="s">
        <v>10260</v>
      </c>
      <c r="B47" t="s">
        <v>10273</v>
      </c>
    </row>
    <row r="49" spans="1:2">
      <c r="A49" t="s">
        <v>10261</v>
      </c>
    </row>
    <row r="50" spans="1:2">
      <c r="A50" t="s">
        <v>10262</v>
      </c>
      <c r="B50" t="s">
        <v>10275</v>
      </c>
    </row>
    <row r="51" spans="1:2">
      <c r="A51" t="s">
        <v>10263</v>
      </c>
      <c r="B51" t="s">
        <v>10274</v>
      </c>
    </row>
    <row r="52" spans="1:2">
      <c r="A52" t="s">
        <v>10264</v>
      </c>
      <c r="B52" t="s">
        <v>10276</v>
      </c>
    </row>
    <row r="53" spans="1:2">
      <c r="B53" t="s">
        <v>10277</v>
      </c>
    </row>
    <row r="54" spans="1:2">
      <c r="A54" t="s">
        <v>39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opLeftCell="A6" zoomScale="70" zoomScaleNormal="70" workbookViewId="0">
      <selection activeCell="L21" sqref="L21"/>
    </sheetView>
  </sheetViews>
  <sheetFormatPr defaultRowHeight="13.2"/>
  <sheetData>
    <row r="1" spans="1:13">
      <c r="A1" s="117" t="s">
        <v>8567</v>
      </c>
    </row>
    <row r="2" spans="1:13" ht="17.399999999999999">
      <c r="A2" s="122" t="s">
        <v>8571</v>
      </c>
      <c r="B2" s="123" t="s">
        <v>8559</v>
      </c>
      <c r="C2" s="123" t="s">
        <v>8517</v>
      </c>
      <c r="D2" s="123" t="s">
        <v>8516</v>
      </c>
      <c r="E2" s="123" t="s">
        <v>8515</v>
      </c>
      <c r="F2" s="123" t="s">
        <v>8514</v>
      </c>
      <c r="G2" s="123" t="s">
        <v>8513</v>
      </c>
      <c r="H2" s="123" t="s">
        <v>8512</v>
      </c>
      <c r="I2" s="123" t="s">
        <v>8557</v>
      </c>
      <c r="J2" s="123" t="s">
        <v>8522</v>
      </c>
      <c r="K2" s="123" t="s">
        <v>8521</v>
      </c>
      <c r="L2" s="123" t="s">
        <v>8520</v>
      </c>
      <c r="M2" s="123" t="s">
        <v>8519</v>
      </c>
    </row>
    <row r="3" spans="1:13">
      <c r="A3" s="122" t="s">
        <v>8560</v>
      </c>
      <c r="B3" s="110">
        <v>1</v>
      </c>
      <c r="C3" s="110">
        <v>3</v>
      </c>
      <c r="D3" s="110">
        <v>2</v>
      </c>
      <c r="E3" s="127"/>
      <c r="F3" s="110"/>
      <c r="G3" s="110">
        <v>1</v>
      </c>
      <c r="H3" s="110"/>
      <c r="I3" s="120">
        <v>1</v>
      </c>
      <c r="J3" s="120">
        <v>1</v>
      </c>
      <c r="K3" s="120"/>
      <c r="L3" s="120"/>
      <c r="M3" s="120">
        <v>0</v>
      </c>
    </row>
    <row r="4" spans="1:13">
      <c r="A4" s="122" t="s">
        <v>8561</v>
      </c>
      <c r="B4" s="110">
        <v>6</v>
      </c>
      <c r="C4" s="110">
        <v>5</v>
      </c>
      <c r="D4" s="127">
        <v>12</v>
      </c>
      <c r="E4" s="127">
        <v>8</v>
      </c>
      <c r="F4" s="110">
        <v>9</v>
      </c>
      <c r="G4" s="110">
        <v>8</v>
      </c>
      <c r="H4" s="110">
        <v>4</v>
      </c>
      <c r="I4" s="120">
        <v>6</v>
      </c>
      <c r="J4" s="120">
        <v>10</v>
      </c>
      <c r="K4" s="120">
        <v>9</v>
      </c>
      <c r="L4" s="120">
        <v>4</v>
      </c>
      <c r="M4" s="120">
        <v>5</v>
      </c>
    </row>
    <row r="5" spans="1:13">
      <c r="A5" s="122" t="s">
        <v>8562</v>
      </c>
      <c r="B5" s="128">
        <v>0</v>
      </c>
      <c r="C5" s="128">
        <v>0</v>
      </c>
      <c r="D5" s="128"/>
      <c r="E5" s="129"/>
      <c r="F5" s="128"/>
      <c r="G5" s="128"/>
      <c r="H5" s="128"/>
      <c r="I5" s="125"/>
      <c r="J5" s="125"/>
      <c r="K5" s="125"/>
      <c r="L5" s="125"/>
      <c r="M5" s="125"/>
    </row>
    <row r="6" spans="1:13">
      <c r="A6" s="122" t="s">
        <v>8563</v>
      </c>
      <c r="B6" s="110">
        <v>0</v>
      </c>
      <c r="C6" s="110">
        <v>0</v>
      </c>
      <c r="D6" s="110"/>
      <c r="E6" s="127"/>
      <c r="F6" s="110"/>
      <c r="G6" s="110"/>
      <c r="H6" s="110"/>
      <c r="I6" s="120"/>
      <c r="J6" s="120"/>
      <c r="K6" s="120"/>
      <c r="L6" s="120">
        <v>1</v>
      </c>
      <c r="M6" s="120"/>
    </row>
    <row r="7" spans="1:13">
      <c r="A7" s="122" t="s">
        <v>8564</v>
      </c>
      <c r="B7" s="110">
        <v>0</v>
      </c>
      <c r="C7" s="110">
        <v>1</v>
      </c>
      <c r="D7" s="127">
        <v>1</v>
      </c>
      <c r="E7" s="127"/>
      <c r="F7" s="110"/>
      <c r="G7" s="110">
        <v>1</v>
      </c>
      <c r="H7" s="110"/>
      <c r="I7" s="120"/>
      <c r="J7" s="120"/>
      <c r="K7" s="120">
        <v>1</v>
      </c>
      <c r="L7" s="120">
        <v>1</v>
      </c>
      <c r="M7" s="120">
        <v>1</v>
      </c>
    </row>
    <row r="8" spans="1:13">
      <c r="A8" s="122" t="s">
        <v>8565</v>
      </c>
      <c r="B8" s="121">
        <f>SUM(B3:B7)</f>
        <v>7</v>
      </c>
      <c r="C8" s="121">
        <f t="shared" ref="C8:M8" si="0">SUM(C3:C7)</f>
        <v>9</v>
      </c>
      <c r="D8" s="121">
        <f t="shared" si="0"/>
        <v>15</v>
      </c>
      <c r="E8" s="121">
        <f t="shared" si="0"/>
        <v>8</v>
      </c>
      <c r="F8" s="121">
        <f t="shared" si="0"/>
        <v>9</v>
      </c>
      <c r="G8" s="121">
        <f t="shared" si="0"/>
        <v>10</v>
      </c>
      <c r="H8" s="121">
        <f t="shared" si="0"/>
        <v>4</v>
      </c>
      <c r="I8" s="121">
        <f t="shared" si="0"/>
        <v>7</v>
      </c>
      <c r="J8" s="121">
        <f t="shared" si="0"/>
        <v>11</v>
      </c>
      <c r="K8" s="121">
        <f t="shared" si="0"/>
        <v>10</v>
      </c>
      <c r="L8" s="121">
        <f t="shared" si="0"/>
        <v>6</v>
      </c>
      <c r="M8" s="121">
        <f t="shared" si="0"/>
        <v>6</v>
      </c>
    </row>
    <row r="10" spans="1:13">
      <c r="A10" s="118" t="s">
        <v>8568</v>
      </c>
    </row>
    <row r="11" spans="1:13" ht="17.399999999999999">
      <c r="A11" s="235" t="s">
        <v>8571</v>
      </c>
      <c r="B11" s="236" t="s">
        <v>8559</v>
      </c>
      <c r="C11" s="236" t="s">
        <v>8517</v>
      </c>
      <c r="D11" s="236" t="s">
        <v>8516</v>
      </c>
      <c r="E11" s="236" t="s">
        <v>8515</v>
      </c>
      <c r="F11" s="236" t="s">
        <v>8514</v>
      </c>
      <c r="G11" s="236" t="s">
        <v>8513</v>
      </c>
      <c r="H11" s="236" t="s">
        <v>8512</v>
      </c>
      <c r="I11" s="236" t="s">
        <v>8557</v>
      </c>
      <c r="J11" s="236" t="s">
        <v>8522</v>
      </c>
      <c r="K11" s="236" t="s">
        <v>8521</v>
      </c>
      <c r="L11" s="236" t="s">
        <v>8520</v>
      </c>
      <c r="M11" s="236" t="s">
        <v>8519</v>
      </c>
    </row>
    <row r="12" spans="1:13">
      <c r="A12" s="235" t="s">
        <v>8560</v>
      </c>
      <c r="B12" s="120">
        <v>4</v>
      </c>
      <c r="C12" s="120">
        <v>2</v>
      </c>
      <c r="D12" s="120">
        <v>0</v>
      </c>
      <c r="E12" s="120">
        <v>2</v>
      </c>
      <c r="F12" s="120"/>
      <c r="G12" s="120"/>
      <c r="H12" s="120"/>
      <c r="I12" s="120">
        <v>1</v>
      </c>
      <c r="J12" s="120"/>
      <c r="K12" s="120"/>
      <c r="L12" s="120">
        <v>1</v>
      </c>
      <c r="M12" s="120">
        <v>1</v>
      </c>
    </row>
    <row r="13" spans="1:13">
      <c r="A13" s="235" t="s">
        <v>8561</v>
      </c>
      <c r="B13" s="120">
        <v>5</v>
      </c>
      <c r="C13" s="110">
        <v>7</v>
      </c>
      <c r="D13" s="120">
        <v>6</v>
      </c>
      <c r="E13" s="120">
        <v>9</v>
      </c>
      <c r="F13" s="120">
        <v>5</v>
      </c>
      <c r="G13" s="120">
        <v>2</v>
      </c>
      <c r="H13" s="120">
        <v>3</v>
      </c>
      <c r="I13" s="120">
        <v>4</v>
      </c>
      <c r="J13" s="120">
        <v>3</v>
      </c>
      <c r="K13" s="120">
        <v>2</v>
      </c>
      <c r="L13" s="120">
        <v>3</v>
      </c>
      <c r="M13" s="120">
        <v>6</v>
      </c>
    </row>
    <row r="14" spans="1:13">
      <c r="A14" s="235" t="s">
        <v>8562</v>
      </c>
      <c r="B14" s="125"/>
      <c r="C14" s="125"/>
      <c r="D14" s="125">
        <v>0</v>
      </c>
      <c r="E14" s="125">
        <v>0</v>
      </c>
      <c r="F14" s="125"/>
      <c r="G14" s="125"/>
      <c r="H14" s="125"/>
      <c r="I14" s="125"/>
      <c r="J14" s="125"/>
      <c r="K14" s="125"/>
      <c r="L14" s="125"/>
      <c r="M14" s="125"/>
    </row>
    <row r="15" spans="1:13">
      <c r="A15" s="235" t="s">
        <v>8563</v>
      </c>
      <c r="B15" s="120"/>
      <c r="C15" s="120"/>
      <c r="D15" s="120">
        <v>1</v>
      </c>
      <c r="E15" s="120">
        <v>0</v>
      </c>
      <c r="F15" s="120"/>
      <c r="G15" s="120"/>
      <c r="H15" s="120"/>
      <c r="I15" s="120"/>
      <c r="J15" s="120"/>
      <c r="K15" s="120"/>
      <c r="L15" s="120"/>
      <c r="M15" s="120">
        <v>1</v>
      </c>
    </row>
    <row r="16" spans="1:13">
      <c r="A16" s="235" t="s">
        <v>8564</v>
      </c>
      <c r="B16" s="120"/>
      <c r="C16" s="120"/>
      <c r="D16" s="120">
        <v>1</v>
      </c>
      <c r="E16" s="120">
        <v>0</v>
      </c>
      <c r="F16" s="120">
        <v>1</v>
      </c>
      <c r="G16" s="120"/>
      <c r="H16" s="120"/>
      <c r="I16" s="120"/>
      <c r="J16" s="120">
        <v>1</v>
      </c>
      <c r="K16" s="120">
        <v>1</v>
      </c>
      <c r="L16" s="120">
        <v>2</v>
      </c>
      <c r="M16" s="120"/>
    </row>
    <row r="17" spans="1:13">
      <c r="A17" s="235" t="s">
        <v>8565</v>
      </c>
      <c r="B17" s="121">
        <f>SUM(B12:B16)</f>
        <v>9</v>
      </c>
      <c r="C17" s="121">
        <f t="shared" ref="C17:M17" si="1">SUM(C12:C16)</f>
        <v>9</v>
      </c>
      <c r="D17" s="121">
        <f t="shared" si="1"/>
        <v>8</v>
      </c>
      <c r="E17" s="121">
        <f t="shared" si="1"/>
        <v>11</v>
      </c>
      <c r="F17" s="121">
        <f t="shared" si="1"/>
        <v>6</v>
      </c>
      <c r="G17" s="121">
        <f t="shared" si="1"/>
        <v>2</v>
      </c>
      <c r="H17" s="121">
        <f t="shared" si="1"/>
        <v>3</v>
      </c>
      <c r="I17" s="121">
        <f t="shared" si="1"/>
        <v>5</v>
      </c>
      <c r="J17" s="121">
        <f t="shared" si="1"/>
        <v>4</v>
      </c>
      <c r="K17" s="121">
        <f t="shared" si="1"/>
        <v>3</v>
      </c>
      <c r="L17" s="121">
        <f t="shared" si="1"/>
        <v>6</v>
      </c>
      <c r="M17" s="121">
        <f t="shared" si="1"/>
        <v>8</v>
      </c>
    </row>
    <row r="19" spans="1:13">
      <c r="A19" s="234" t="s">
        <v>8569</v>
      </c>
    </row>
    <row r="20" spans="1:13" ht="17.399999999999999">
      <c r="A20" s="235" t="s">
        <v>8573</v>
      </c>
      <c r="B20" s="236" t="s">
        <v>8559</v>
      </c>
      <c r="C20" s="236" t="s">
        <v>8517</v>
      </c>
      <c r="D20" s="236" t="s">
        <v>8516</v>
      </c>
      <c r="E20" s="236" t="s">
        <v>8515</v>
      </c>
      <c r="F20" s="236" t="s">
        <v>8514</v>
      </c>
      <c r="G20" s="236" t="s">
        <v>8513</v>
      </c>
      <c r="H20" s="236" t="s">
        <v>8512</v>
      </c>
      <c r="I20" s="236" t="s">
        <v>8557</v>
      </c>
      <c r="J20" s="236" t="s">
        <v>8522</v>
      </c>
      <c r="K20" s="236" t="s">
        <v>8521</v>
      </c>
      <c r="L20" s="236" t="s">
        <v>8520</v>
      </c>
      <c r="M20" s="236" t="s">
        <v>8519</v>
      </c>
    </row>
    <row r="21" spans="1:13">
      <c r="A21" s="235" t="s">
        <v>8560</v>
      </c>
      <c r="B21" s="120">
        <v>0</v>
      </c>
      <c r="C21" s="120">
        <v>2</v>
      </c>
      <c r="D21" s="120">
        <v>0</v>
      </c>
      <c r="E21" s="120">
        <v>0</v>
      </c>
      <c r="F21" s="120">
        <v>0</v>
      </c>
      <c r="G21" s="120">
        <v>1</v>
      </c>
      <c r="H21" s="120">
        <v>2</v>
      </c>
      <c r="I21" s="120">
        <v>1</v>
      </c>
      <c r="J21" s="120">
        <v>3</v>
      </c>
      <c r="K21" s="120">
        <v>2</v>
      </c>
      <c r="L21" s="120">
        <v>3</v>
      </c>
      <c r="M21" s="120">
        <v>2</v>
      </c>
    </row>
    <row r="22" spans="1:13">
      <c r="A22" s="235" t="s">
        <v>8561</v>
      </c>
      <c r="B22" s="120">
        <v>7</v>
      </c>
      <c r="C22" s="120">
        <v>6</v>
      </c>
      <c r="D22" s="120">
        <v>10</v>
      </c>
      <c r="E22" s="120">
        <v>5</v>
      </c>
      <c r="F22" s="120">
        <v>7</v>
      </c>
      <c r="G22" s="120">
        <v>8</v>
      </c>
      <c r="H22" s="120">
        <v>8</v>
      </c>
      <c r="I22" s="120">
        <v>1</v>
      </c>
      <c r="J22" s="120">
        <v>4</v>
      </c>
      <c r="K22" s="120">
        <v>6</v>
      </c>
      <c r="L22" s="120">
        <v>2</v>
      </c>
      <c r="M22" s="120">
        <v>8</v>
      </c>
    </row>
    <row r="23" spans="1:13">
      <c r="A23" s="235" t="s">
        <v>8562</v>
      </c>
      <c r="B23" s="120">
        <v>0</v>
      </c>
      <c r="C23" s="120">
        <v>0</v>
      </c>
      <c r="D23" s="120">
        <v>0</v>
      </c>
      <c r="E23" s="120">
        <v>0</v>
      </c>
      <c r="F23" s="120">
        <v>0</v>
      </c>
      <c r="G23" s="120">
        <v>0</v>
      </c>
      <c r="H23" s="120">
        <v>0</v>
      </c>
      <c r="I23" s="120">
        <v>0</v>
      </c>
      <c r="J23" s="120">
        <v>0</v>
      </c>
      <c r="K23" s="120"/>
      <c r="L23" s="120">
        <v>0</v>
      </c>
      <c r="M23" s="120">
        <v>0</v>
      </c>
    </row>
    <row r="24" spans="1:13">
      <c r="A24" s="235" t="s">
        <v>8563</v>
      </c>
      <c r="B24" s="120">
        <v>1</v>
      </c>
      <c r="C24" s="120">
        <v>1</v>
      </c>
      <c r="D24" s="120">
        <v>0</v>
      </c>
      <c r="E24" s="120">
        <v>2</v>
      </c>
      <c r="F24" s="120">
        <v>1</v>
      </c>
      <c r="G24" s="120">
        <v>1</v>
      </c>
      <c r="H24" s="120">
        <v>0</v>
      </c>
      <c r="I24" s="120">
        <v>0</v>
      </c>
      <c r="J24" s="120">
        <v>0</v>
      </c>
      <c r="K24" s="120"/>
      <c r="L24" s="120">
        <v>1</v>
      </c>
      <c r="M24" s="120">
        <v>0</v>
      </c>
    </row>
    <row r="25" spans="1:13">
      <c r="A25" s="235" t="s">
        <v>8564</v>
      </c>
      <c r="B25" s="120">
        <v>0</v>
      </c>
      <c r="C25" s="120">
        <v>0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  <c r="I25" s="120">
        <v>2</v>
      </c>
      <c r="J25" s="120">
        <v>1</v>
      </c>
      <c r="K25" s="120">
        <v>1</v>
      </c>
      <c r="L25" s="120">
        <v>1</v>
      </c>
      <c r="M25" s="120">
        <v>0</v>
      </c>
    </row>
    <row r="26" spans="1:13">
      <c r="A26" s="235" t="s">
        <v>8565</v>
      </c>
      <c r="B26" s="121">
        <f>SUM(B21:B25)</f>
        <v>8</v>
      </c>
      <c r="C26" s="121">
        <f t="shared" ref="C26:M26" si="2">SUM(C21:C25)</f>
        <v>9</v>
      </c>
      <c r="D26" s="121">
        <f t="shared" si="2"/>
        <v>11</v>
      </c>
      <c r="E26" s="121">
        <f t="shared" si="2"/>
        <v>7</v>
      </c>
      <c r="F26" s="121">
        <f t="shared" si="2"/>
        <v>8</v>
      </c>
      <c r="G26" s="121">
        <f t="shared" si="2"/>
        <v>10</v>
      </c>
      <c r="H26" s="121">
        <f t="shared" si="2"/>
        <v>10</v>
      </c>
      <c r="I26" s="121">
        <f t="shared" si="2"/>
        <v>4</v>
      </c>
      <c r="J26" s="121">
        <f t="shared" si="2"/>
        <v>8</v>
      </c>
      <c r="K26" s="121">
        <f t="shared" si="2"/>
        <v>9</v>
      </c>
      <c r="L26" s="121">
        <f t="shared" si="2"/>
        <v>7</v>
      </c>
      <c r="M26" s="121">
        <f t="shared" si="2"/>
        <v>10</v>
      </c>
    </row>
    <row r="27" spans="1:13">
      <c r="A27" s="252" t="s">
        <v>8812</v>
      </c>
      <c r="B27" s="253">
        <v>0</v>
      </c>
      <c r="C27" s="253">
        <v>2</v>
      </c>
      <c r="D27" s="253">
        <v>2</v>
      </c>
      <c r="E27" s="253">
        <v>0</v>
      </c>
      <c r="F27" s="253">
        <v>0</v>
      </c>
      <c r="G27" s="253">
        <v>0</v>
      </c>
      <c r="H27" s="253">
        <v>0</v>
      </c>
      <c r="I27" s="253">
        <v>0</v>
      </c>
      <c r="J27" s="253">
        <v>0</v>
      </c>
      <c r="K27" s="253">
        <v>0</v>
      </c>
      <c r="L27" s="253">
        <v>0</v>
      </c>
      <c r="M27" s="253">
        <v>4</v>
      </c>
    </row>
    <row r="29" spans="1:13">
      <c r="A29" s="234" t="s">
        <v>10572</v>
      </c>
    </row>
    <row r="30" spans="1:13" ht="17.399999999999999">
      <c r="A30" s="235" t="s">
        <v>8573</v>
      </c>
      <c r="B30" s="236" t="s">
        <v>8559</v>
      </c>
      <c r="C30" s="236" t="s">
        <v>8517</v>
      </c>
      <c r="D30" s="236" t="s">
        <v>8516</v>
      </c>
      <c r="E30" s="236" t="s">
        <v>8515</v>
      </c>
      <c r="F30" s="236" t="s">
        <v>8514</v>
      </c>
      <c r="G30" s="236" t="s">
        <v>8513</v>
      </c>
      <c r="H30" s="236" t="s">
        <v>8512</v>
      </c>
      <c r="I30" s="236" t="s">
        <v>8557</v>
      </c>
      <c r="J30" s="236" t="s">
        <v>8522</v>
      </c>
      <c r="K30" s="236" t="s">
        <v>8521</v>
      </c>
      <c r="L30" s="236" t="s">
        <v>8520</v>
      </c>
      <c r="M30" s="236" t="s">
        <v>8519</v>
      </c>
    </row>
    <row r="31" spans="1:13">
      <c r="A31" s="235" t="s">
        <v>8560</v>
      </c>
      <c r="B31" s="120">
        <v>2</v>
      </c>
      <c r="C31" s="120">
        <v>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  <c r="L31" s="120">
        <v>0</v>
      </c>
      <c r="M31" s="120">
        <v>0</v>
      </c>
    </row>
    <row r="32" spans="1:13">
      <c r="A32" s="235" t="s">
        <v>8561</v>
      </c>
      <c r="B32" s="120">
        <v>3</v>
      </c>
      <c r="C32" s="120">
        <v>0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  <c r="I32" s="120">
        <v>0</v>
      </c>
      <c r="J32" s="120">
        <v>0</v>
      </c>
      <c r="K32" s="120">
        <v>0</v>
      </c>
      <c r="L32" s="120">
        <v>0</v>
      </c>
      <c r="M32" s="120">
        <v>0</v>
      </c>
    </row>
    <row r="33" spans="1:13">
      <c r="A33" s="235" t="s">
        <v>8562</v>
      </c>
      <c r="B33" s="120">
        <v>0</v>
      </c>
      <c r="C33" s="120">
        <v>0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  <c r="L33" s="120">
        <v>0</v>
      </c>
      <c r="M33" s="120">
        <v>0</v>
      </c>
    </row>
    <row r="34" spans="1:13">
      <c r="A34" s="235" t="s">
        <v>8563</v>
      </c>
      <c r="B34" s="120">
        <v>0</v>
      </c>
      <c r="C34" s="120">
        <v>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  <c r="I34" s="120">
        <v>0</v>
      </c>
      <c r="J34" s="120">
        <v>0</v>
      </c>
      <c r="K34" s="120">
        <v>0</v>
      </c>
      <c r="L34" s="120">
        <v>0</v>
      </c>
      <c r="M34" s="120">
        <v>0</v>
      </c>
    </row>
    <row r="35" spans="1:13">
      <c r="A35" s="235" t="s">
        <v>8564</v>
      </c>
      <c r="B35" s="120">
        <v>1</v>
      </c>
      <c r="C35" s="120">
        <v>0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  <c r="L35" s="120">
        <v>0</v>
      </c>
      <c r="M35" s="120">
        <v>0</v>
      </c>
    </row>
    <row r="36" spans="1:13">
      <c r="A36" s="235" t="s">
        <v>8565</v>
      </c>
      <c r="B36" s="121">
        <f>SUM(B31:B35)</f>
        <v>6</v>
      </c>
      <c r="C36" s="121">
        <f t="shared" ref="C36:M36" si="3">SUM(C31:C35)</f>
        <v>0</v>
      </c>
      <c r="D36" s="121">
        <f t="shared" si="3"/>
        <v>0</v>
      </c>
      <c r="E36" s="121">
        <f t="shared" si="3"/>
        <v>0</v>
      </c>
      <c r="F36" s="121">
        <f t="shared" si="3"/>
        <v>0</v>
      </c>
      <c r="G36" s="121">
        <f t="shared" si="3"/>
        <v>0</v>
      </c>
      <c r="H36" s="121">
        <f t="shared" si="3"/>
        <v>0</v>
      </c>
      <c r="I36" s="121">
        <f t="shared" si="3"/>
        <v>0</v>
      </c>
      <c r="J36" s="121">
        <f t="shared" si="3"/>
        <v>0</v>
      </c>
      <c r="K36" s="121">
        <f t="shared" si="3"/>
        <v>0</v>
      </c>
      <c r="L36" s="121">
        <f t="shared" si="3"/>
        <v>0</v>
      </c>
      <c r="M36" s="121">
        <f t="shared" si="3"/>
        <v>0</v>
      </c>
    </row>
    <row r="37" spans="1:13">
      <c r="A37" s="252" t="s">
        <v>8812</v>
      </c>
      <c r="B37" s="253">
        <v>2</v>
      </c>
      <c r="C37" s="253">
        <v>2</v>
      </c>
      <c r="D37" s="253">
        <v>2</v>
      </c>
      <c r="E37" s="253">
        <v>0</v>
      </c>
      <c r="F37" s="253">
        <v>0</v>
      </c>
      <c r="G37" s="253">
        <v>0</v>
      </c>
      <c r="H37" s="253">
        <v>0</v>
      </c>
      <c r="I37" s="253">
        <v>0</v>
      </c>
      <c r="J37" s="253">
        <v>0</v>
      </c>
      <c r="K37" s="253">
        <v>0</v>
      </c>
      <c r="L37" s="253">
        <v>0</v>
      </c>
      <c r="M37" s="253">
        <v>0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topLeftCell="A9" zoomScale="70" zoomScaleNormal="70" workbookViewId="0">
      <selection activeCell="M35" sqref="M35"/>
    </sheetView>
  </sheetViews>
  <sheetFormatPr defaultRowHeight="13.2"/>
  <sheetData>
    <row r="1" spans="1:13" ht="17.399999999999999">
      <c r="A1" s="237" t="s">
        <v>8567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</row>
    <row r="2" spans="1:13" ht="17.399999999999999">
      <c r="A2" s="123" t="s">
        <v>8558</v>
      </c>
      <c r="B2" s="123" t="s">
        <v>8559</v>
      </c>
      <c r="C2" s="123" t="s">
        <v>8517</v>
      </c>
      <c r="D2" s="123" t="s">
        <v>8516</v>
      </c>
      <c r="E2" s="123" t="s">
        <v>8515</v>
      </c>
      <c r="F2" s="123" t="s">
        <v>8514</v>
      </c>
      <c r="G2" s="123" t="s">
        <v>8513</v>
      </c>
      <c r="H2" s="123" t="s">
        <v>8512</v>
      </c>
      <c r="I2" s="123" t="s">
        <v>8557</v>
      </c>
      <c r="J2" s="123" t="s">
        <v>8522</v>
      </c>
      <c r="K2" s="123" t="s">
        <v>8521</v>
      </c>
      <c r="L2" s="123" t="s">
        <v>8520</v>
      </c>
      <c r="M2" s="123" t="s">
        <v>8519</v>
      </c>
    </row>
    <row r="3" spans="1:13" ht="17.399999999999999">
      <c r="A3" s="123" t="s">
        <v>8560</v>
      </c>
      <c r="B3" s="239"/>
      <c r="C3" s="239"/>
      <c r="D3" s="239"/>
      <c r="E3" s="239"/>
      <c r="F3" s="239"/>
      <c r="G3" s="239">
        <v>2</v>
      </c>
      <c r="H3" s="239"/>
      <c r="I3" s="239">
        <v>1</v>
      </c>
      <c r="J3" s="239">
        <v>1</v>
      </c>
      <c r="K3" s="239">
        <v>2</v>
      </c>
      <c r="L3" s="239">
        <v>0</v>
      </c>
      <c r="M3" s="239"/>
    </row>
    <row r="4" spans="1:13" ht="17.399999999999999">
      <c r="A4" s="123" t="s">
        <v>8561</v>
      </c>
      <c r="B4" s="239">
        <v>5</v>
      </c>
      <c r="C4" s="239">
        <v>2</v>
      </c>
      <c r="D4" s="239">
        <v>3</v>
      </c>
      <c r="E4" s="239">
        <v>5</v>
      </c>
      <c r="F4" s="239">
        <v>4</v>
      </c>
      <c r="G4" s="239">
        <v>6</v>
      </c>
      <c r="H4" s="239">
        <v>7</v>
      </c>
      <c r="I4" s="239">
        <v>3</v>
      </c>
      <c r="J4" s="239">
        <v>5</v>
      </c>
      <c r="K4" s="239">
        <v>5</v>
      </c>
      <c r="L4" s="239">
        <v>1</v>
      </c>
      <c r="M4" s="239">
        <v>7</v>
      </c>
    </row>
    <row r="5" spans="1:13" ht="17.399999999999999">
      <c r="A5" s="123" t="s">
        <v>8562</v>
      </c>
      <c r="B5" s="239">
        <v>1</v>
      </c>
      <c r="C5" s="239">
        <v>1</v>
      </c>
      <c r="D5" s="239"/>
      <c r="E5" s="239"/>
      <c r="F5" s="239"/>
      <c r="G5" s="239">
        <v>1</v>
      </c>
      <c r="H5" s="239">
        <v>2</v>
      </c>
      <c r="I5" s="239"/>
      <c r="J5" s="239"/>
      <c r="K5" s="239"/>
      <c r="L5" s="239"/>
      <c r="M5" s="239"/>
    </row>
    <row r="6" spans="1:13" ht="17.399999999999999">
      <c r="A6" s="123" t="s">
        <v>8563</v>
      </c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>
        <v>1</v>
      </c>
      <c r="M6" s="239">
        <v>1</v>
      </c>
    </row>
    <row r="7" spans="1:13" ht="17.399999999999999">
      <c r="A7" s="123" t="s">
        <v>8564</v>
      </c>
      <c r="B7" s="239"/>
      <c r="C7" s="239"/>
      <c r="D7" s="239"/>
      <c r="E7" s="239"/>
      <c r="F7" s="239"/>
      <c r="G7" s="239"/>
      <c r="H7" s="239">
        <v>0</v>
      </c>
      <c r="I7" s="239">
        <v>1</v>
      </c>
      <c r="J7" s="239">
        <v>2</v>
      </c>
      <c r="K7" s="239">
        <v>1</v>
      </c>
      <c r="L7" s="239">
        <v>2</v>
      </c>
      <c r="M7" s="239">
        <v>1</v>
      </c>
    </row>
    <row r="8" spans="1:13" ht="17.399999999999999">
      <c r="A8" s="123" t="s">
        <v>8570</v>
      </c>
      <c r="B8" s="240">
        <f>SUM(B3:B7)</f>
        <v>6</v>
      </c>
      <c r="C8" s="240">
        <f t="shared" ref="C8:M8" si="0">SUM(C3:C7)</f>
        <v>3</v>
      </c>
      <c r="D8" s="240">
        <f t="shared" si="0"/>
        <v>3</v>
      </c>
      <c r="E8" s="240">
        <f t="shared" si="0"/>
        <v>5</v>
      </c>
      <c r="F8" s="240">
        <f t="shared" si="0"/>
        <v>4</v>
      </c>
      <c r="G8" s="240">
        <f t="shared" si="0"/>
        <v>9</v>
      </c>
      <c r="H8" s="240">
        <f t="shared" si="0"/>
        <v>9</v>
      </c>
      <c r="I8" s="240">
        <f t="shared" si="0"/>
        <v>5</v>
      </c>
      <c r="J8" s="240">
        <f t="shared" si="0"/>
        <v>8</v>
      </c>
      <c r="K8" s="240">
        <f t="shared" si="0"/>
        <v>8</v>
      </c>
      <c r="L8" s="240">
        <f t="shared" si="0"/>
        <v>4</v>
      </c>
      <c r="M8" s="240">
        <f t="shared" si="0"/>
        <v>9</v>
      </c>
    </row>
    <row r="9" spans="1:13" ht="17.399999999999999">
      <c r="A9" s="241" t="s">
        <v>8568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</row>
    <row r="10" spans="1:13" ht="17.399999999999999">
      <c r="A10" s="123" t="s">
        <v>8566</v>
      </c>
      <c r="B10" s="123" t="s">
        <v>8559</v>
      </c>
      <c r="C10" s="123" t="s">
        <v>8517</v>
      </c>
      <c r="D10" s="123" t="s">
        <v>8516</v>
      </c>
      <c r="E10" s="123" t="s">
        <v>8515</v>
      </c>
      <c r="F10" s="123" t="s">
        <v>8514</v>
      </c>
      <c r="G10" s="123" t="s">
        <v>8513</v>
      </c>
      <c r="H10" s="123" t="s">
        <v>8512</v>
      </c>
      <c r="I10" s="123" t="s">
        <v>8557</v>
      </c>
      <c r="J10" s="123" t="s">
        <v>8522</v>
      </c>
      <c r="K10" s="123" t="s">
        <v>8521</v>
      </c>
      <c r="L10" s="123" t="s">
        <v>8520</v>
      </c>
      <c r="M10" s="123" t="s">
        <v>8519</v>
      </c>
    </row>
    <row r="11" spans="1:13" ht="17.399999999999999">
      <c r="A11" s="123" t="s">
        <v>8560</v>
      </c>
      <c r="B11" s="242">
        <v>1</v>
      </c>
      <c r="C11" s="242">
        <v>3</v>
      </c>
      <c r="D11" s="242"/>
      <c r="E11" s="242"/>
      <c r="F11" s="242">
        <v>1</v>
      </c>
      <c r="G11" s="242"/>
      <c r="H11" s="242"/>
      <c r="I11" s="242"/>
      <c r="J11" s="242"/>
      <c r="K11" s="242">
        <v>2</v>
      </c>
      <c r="L11" s="242">
        <v>1</v>
      </c>
      <c r="M11" s="242">
        <v>1</v>
      </c>
    </row>
    <row r="12" spans="1:13" ht="17.399999999999999">
      <c r="A12" s="123" t="s">
        <v>8561</v>
      </c>
      <c r="B12" s="242">
        <v>7</v>
      </c>
      <c r="C12" s="242">
        <v>3</v>
      </c>
      <c r="D12" s="242">
        <v>6</v>
      </c>
      <c r="E12" s="242">
        <v>8</v>
      </c>
      <c r="F12" s="242">
        <v>4</v>
      </c>
      <c r="G12" s="242">
        <v>7</v>
      </c>
      <c r="H12" s="242">
        <v>1</v>
      </c>
      <c r="I12" s="242">
        <v>5</v>
      </c>
      <c r="J12" s="242">
        <v>5</v>
      </c>
      <c r="K12" s="242">
        <v>3</v>
      </c>
      <c r="L12" s="242">
        <v>10</v>
      </c>
      <c r="M12" s="242">
        <v>3</v>
      </c>
    </row>
    <row r="13" spans="1:13" ht="17.399999999999999">
      <c r="A13" s="123" t="s">
        <v>8562</v>
      </c>
      <c r="B13" s="242">
        <v>0</v>
      </c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</row>
    <row r="14" spans="1:13" ht="17.399999999999999">
      <c r="A14" s="123" t="s">
        <v>8563</v>
      </c>
      <c r="B14" s="242">
        <v>0</v>
      </c>
      <c r="C14" s="242"/>
      <c r="D14" s="242">
        <v>1</v>
      </c>
      <c r="E14" s="242"/>
      <c r="F14" s="242"/>
      <c r="G14" s="242"/>
      <c r="H14" s="242">
        <v>1</v>
      </c>
      <c r="I14" s="242"/>
      <c r="J14" s="242"/>
      <c r="K14" s="242"/>
      <c r="L14" s="242"/>
      <c r="M14" s="242"/>
    </row>
    <row r="15" spans="1:13" ht="17.399999999999999">
      <c r="A15" s="123" t="s">
        <v>8564</v>
      </c>
      <c r="B15" s="242">
        <v>1</v>
      </c>
      <c r="C15" s="242"/>
      <c r="D15" s="242"/>
      <c r="E15" s="242"/>
      <c r="F15" s="242">
        <v>1</v>
      </c>
      <c r="G15" s="242">
        <v>1</v>
      </c>
      <c r="H15" s="242"/>
      <c r="I15" s="242">
        <v>1</v>
      </c>
      <c r="J15" s="242">
        <v>1</v>
      </c>
      <c r="K15" s="242"/>
      <c r="L15" s="242"/>
      <c r="M15" s="242"/>
    </row>
    <row r="16" spans="1:13" ht="17.399999999999999">
      <c r="A16" s="123" t="s">
        <v>8565</v>
      </c>
      <c r="B16" s="240">
        <f>SUM(B11:B15)</f>
        <v>9</v>
      </c>
      <c r="C16" s="240">
        <f t="shared" ref="C16:M16" si="1">SUM(C11:C15)</f>
        <v>6</v>
      </c>
      <c r="D16" s="240">
        <f t="shared" si="1"/>
        <v>7</v>
      </c>
      <c r="E16" s="240">
        <f t="shared" si="1"/>
        <v>8</v>
      </c>
      <c r="F16" s="240">
        <f t="shared" si="1"/>
        <v>6</v>
      </c>
      <c r="G16" s="240">
        <f t="shared" si="1"/>
        <v>8</v>
      </c>
      <c r="H16" s="240">
        <f t="shared" si="1"/>
        <v>2</v>
      </c>
      <c r="I16" s="240">
        <f t="shared" si="1"/>
        <v>6</v>
      </c>
      <c r="J16" s="240">
        <f t="shared" si="1"/>
        <v>6</v>
      </c>
      <c r="K16" s="240">
        <f t="shared" si="1"/>
        <v>5</v>
      </c>
      <c r="L16" s="240">
        <f t="shared" si="1"/>
        <v>11</v>
      </c>
      <c r="M16" s="240">
        <f t="shared" si="1"/>
        <v>4</v>
      </c>
    </row>
    <row r="17" spans="1:13" ht="17.399999999999999">
      <c r="A17" s="123" t="s">
        <v>8640</v>
      </c>
      <c r="B17" s="243">
        <f>B16/月別会員数!BO38</f>
        <v>5.113636363636364E-2</v>
      </c>
      <c r="C17" s="243">
        <f>C16/月別会員数!BP38</f>
        <v>3.3519553072625698E-2</v>
      </c>
      <c r="D17" s="243">
        <f>D16/月別会員数!BQ38</f>
        <v>3.888888888888889E-2</v>
      </c>
      <c r="E17" s="243">
        <f>E16/月別会員数!BR38</f>
        <v>4.3715846994535519E-2</v>
      </c>
      <c r="F17" s="243">
        <f>F16/月別会員数!BS38</f>
        <v>3.2786885245901641E-2</v>
      </c>
      <c r="G17" s="243">
        <f>G16/月別会員数!BT38</f>
        <v>4.519774011299435E-2</v>
      </c>
      <c r="H17" s="243">
        <f>H16/月別会員数!BU38</f>
        <v>1.1235955056179775E-2</v>
      </c>
      <c r="I17" s="243">
        <f>I16/月別会員数!BV38</f>
        <v>3.3898305084745763E-2</v>
      </c>
      <c r="J17" s="243">
        <f>J16/月別会員数!BW38</f>
        <v>3.4285714285714287E-2</v>
      </c>
      <c r="K17" s="243">
        <f>K16/月別会員数!BX38</f>
        <v>2.8571428571428571E-2</v>
      </c>
      <c r="L17" s="243">
        <f>L16/月別会員数!BY38</f>
        <v>6.4705882352941183E-2</v>
      </c>
      <c r="M17" s="243">
        <f>M16/月別会員数!BZ38</f>
        <v>2.2988505747126436E-2</v>
      </c>
    </row>
    <row r="18" spans="1:13" ht="17.399999999999999">
      <c r="A18" s="244" t="s">
        <v>8569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</row>
    <row r="19" spans="1:13" ht="17.399999999999999">
      <c r="A19" s="124" t="s">
        <v>8566</v>
      </c>
      <c r="B19" s="124" t="s">
        <v>8559</v>
      </c>
      <c r="C19" s="124" t="s">
        <v>8517</v>
      </c>
      <c r="D19" s="124" t="s">
        <v>8516</v>
      </c>
      <c r="E19" s="124" t="s">
        <v>8515</v>
      </c>
      <c r="F19" s="124" t="s">
        <v>8514</v>
      </c>
      <c r="G19" s="124" t="s">
        <v>8513</v>
      </c>
      <c r="H19" s="124" t="s">
        <v>8512</v>
      </c>
      <c r="I19" s="124" t="s">
        <v>8557</v>
      </c>
      <c r="J19" s="124" t="s">
        <v>8522</v>
      </c>
      <c r="K19" s="124" t="s">
        <v>8521</v>
      </c>
      <c r="L19" s="124" t="s">
        <v>8520</v>
      </c>
      <c r="M19" s="124" t="s">
        <v>8519</v>
      </c>
    </row>
    <row r="20" spans="1:13" ht="17.399999999999999">
      <c r="A20" s="124" t="s">
        <v>8560</v>
      </c>
      <c r="B20" s="242">
        <v>0</v>
      </c>
      <c r="C20" s="242">
        <v>0</v>
      </c>
      <c r="D20" s="242">
        <v>0</v>
      </c>
      <c r="E20" s="242">
        <v>1</v>
      </c>
      <c r="F20" s="242">
        <v>0</v>
      </c>
      <c r="G20" s="242">
        <v>0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</row>
    <row r="21" spans="1:13" ht="17.399999999999999">
      <c r="A21" s="124" t="s">
        <v>8561</v>
      </c>
      <c r="B21" s="242">
        <v>4</v>
      </c>
      <c r="C21" s="242">
        <v>6</v>
      </c>
      <c r="D21" s="242">
        <v>3</v>
      </c>
      <c r="E21" s="242">
        <v>6</v>
      </c>
      <c r="F21" s="242">
        <v>4</v>
      </c>
      <c r="G21" s="242">
        <v>4</v>
      </c>
      <c r="H21" s="242">
        <v>5</v>
      </c>
      <c r="I21" s="242">
        <v>4</v>
      </c>
      <c r="J21" s="242">
        <v>3</v>
      </c>
      <c r="K21" s="242">
        <v>5</v>
      </c>
      <c r="L21" s="242">
        <v>2</v>
      </c>
      <c r="M21" s="242">
        <v>6</v>
      </c>
    </row>
    <row r="22" spans="1:13" ht="17.399999999999999">
      <c r="A22" s="124" t="s">
        <v>8562</v>
      </c>
      <c r="B22" s="242">
        <v>0</v>
      </c>
      <c r="C22" s="242">
        <v>0</v>
      </c>
      <c r="D22" s="242">
        <v>0</v>
      </c>
      <c r="E22" s="242">
        <v>0</v>
      </c>
      <c r="F22" s="242">
        <v>1</v>
      </c>
      <c r="G22" s="242">
        <v>0</v>
      </c>
      <c r="H22" s="242">
        <v>1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</row>
    <row r="23" spans="1:13" ht="17.399999999999999">
      <c r="A23" s="124" t="s">
        <v>8563</v>
      </c>
      <c r="B23" s="242">
        <v>0</v>
      </c>
      <c r="C23" s="242">
        <v>0</v>
      </c>
      <c r="D23" s="242">
        <v>0</v>
      </c>
      <c r="E23" s="242">
        <v>0</v>
      </c>
      <c r="F23" s="242">
        <v>0</v>
      </c>
      <c r="G23" s="242">
        <v>0</v>
      </c>
      <c r="H23" s="242">
        <v>1</v>
      </c>
      <c r="I23" s="242">
        <v>0</v>
      </c>
      <c r="J23" s="242">
        <v>0</v>
      </c>
      <c r="K23" s="242">
        <v>0</v>
      </c>
      <c r="L23" s="242">
        <v>0</v>
      </c>
      <c r="M23" s="242">
        <v>0</v>
      </c>
    </row>
    <row r="24" spans="1:13" ht="17.399999999999999">
      <c r="A24" s="124" t="s">
        <v>8564</v>
      </c>
      <c r="B24" s="242">
        <v>1</v>
      </c>
      <c r="C24" s="242">
        <v>0</v>
      </c>
      <c r="D24" s="242">
        <v>2</v>
      </c>
      <c r="E24" s="242">
        <v>2</v>
      </c>
      <c r="F24" s="242">
        <v>0</v>
      </c>
      <c r="G24" s="242">
        <v>0</v>
      </c>
      <c r="H24" s="242">
        <v>0</v>
      </c>
      <c r="I24" s="242">
        <v>0</v>
      </c>
      <c r="J24" s="242">
        <v>0</v>
      </c>
      <c r="K24" s="242">
        <v>0</v>
      </c>
      <c r="L24" s="242">
        <v>0</v>
      </c>
      <c r="M24" s="242">
        <v>0</v>
      </c>
    </row>
    <row r="25" spans="1:13" ht="17.399999999999999">
      <c r="A25" s="124" t="s">
        <v>8565</v>
      </c>
      <c r="B25" s="240">
        <f>SUM(B20:B24)</f>
        <v>5</v>
      </c>
      <c r="C25" s="240">
        <f t="shared" ref="C25:M25" si="2">SUM(C20:C24)</f>
        <v>6</v>
      </c>
      <c r="D25" s="240">
        <f t="shared" si="2"/>
        <v>5</v>
      </c>
      <c r="E25" s="240">
        <f t="shared" si="2"/>
        <v>9</v>
      </c>
      <c r="F25" s="240">
        <f t="shared" si="2"/>
        <v>5</v>
      </c>
      <c r="G25" s="240">
        <f t="shared" si="2"/>
        <v>4</v>
      </c>
      <c r="H25" s="240">
        <f t="shared" si="2"/>
        <v>7</v>
      </c>
      <c r="I25" s="240">
        <f t="shared" si="2"/>
        <v>4</v>
      </c>
      <c r="J25" s="240">
        <f t="shared" si="2"/>
        <v>3</v>
      </c>
      <c r="K25" s="240">
        <f t="shared" si="2"/>
        <v>5</v>
      </c>
      <c r="L25" s="240">
        <f t="shared" si="2"/>
        <v>2</v>
      </c>
      <c r="M25" s="240">
        <f t="shared" si="2"/>
        <v>6</v>
      </c>
    </row>
    <row r="26" spans="1:13" ht="17.399999999999999">
      <c r="A26" s="244" t="s">
        <v>10573</v>
      </c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</row>
    <row r="27" spans="1:13" ht="17.399999999999999">
      <c r="A27" s="124" t="s">
        <v>8566</v>
      </c>
      <c r="B27" s="124" t="s">
        <v>8559</v>
      </c>
      <c r="C27" s="124" t="s">
        <v>8517</v>
      </c>
      <c r="D27" s="124" t="s">
        <v>8516</v>
      </c>
      <c r="E27" s="124" t="s">
        <v>8515</v>
      </c>
      <c r="F27" s="124" t="s">
        <v>8514</v>
      </c>
      <c r="G27" s="124" t="s">
        <v>8513</v>
      </c>
      <c r="H27" s="124" t="s">
        <v>8512</v>
      </c>
      <c r="I27" s="124" t="s">
        <v>8557</v>
      </c>
      <c r="J27" s="124" t="s">
        <v>8522</v>
      </c>
      <c r="K27" s="124" t="s">
        <v>8521</v>
      </c>
      <c r="L27" s="124" t="s">
        <v>8520</v>
      </c>
      <c r="M27" s="124" t="s">
        <v>8519</v>
      </c>
    </row>
    <row r="28" spans="1:13" ht="17.399999999999999">
      <c r="A28" s="124" t="s">
        <v>8560</v>
      </c>
      <c r="B28" s="242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0</v>
      </c>
    </row>
    <row r="29" spans="1:13" ht="17.399999999999999">
      <c r="A29" s="124" t="s">
        <v>8561</v>
      </c>
      <c r="B29" s="242">
        <v>7</v>
      </c>
      <c r="C29" s="242">
        <v>0</v>
      </c>
      <c r="D29" s="242">
        <v>0</v>
      </c>
      <c r="E29" s="242">
        <v>0</v>
      </c>
      <c r="F29" s="242">
        <v>0</v>
      </c>
      <c r="G29" s="242">
        <v>0</v>
      </c>
      <c r="H29" s="242">
        <v>0</v>
      </c>
      <c r="I29" s="242">
        <v>0</v>
      </c>
      <c r="J29" s="242">
        <v>0</v>
      </c>
      <c r="K29" s="242">
        <v>0</v>
      </c>
      <c r="L29" s="242">
        <v>0</v>
      </c>
      <c r="M29" s="242">
        <v>0</v>
      </c>
    </row>
    <row r="30" spans="1:13" ht="17.399999999999999">
      <c r="A30" s="124" t="s">
        <v>8562</v>
      </c>
      <c r="B30" s="242">
        <v>0</v>
      </c>
      <c r="C30" s="242">
        <v>0</v>
      </c>
      <c r="D30" s="242">
        <v>0</v>
      </c>
      <c r="E30" s="242">
        <v>0</v>
      </c>
      <c r="F30" s="242">
        <v>0</v>
      </c>
      <c r="G30" s="242">
        <v>0</v>
      </c>
      <c r="H30" s="242">
        <v>0</v>
      </c>
      <c r="I30" s="242">
        <v>0</v>
      </c>
      <c r="J30" s="242">
        <v>0</v>
      </c>
      <c r="K30" s="242">
        <v>0</v>
      </c>
      <c r="L30" s="242">
        <v>0</v>
      </c>
      <c r="M30" s="242">
        <v>0</v>
      </c>
    </row>
    <row r="31" spans="1:13" ht="17.399999999999999">
      <c r="A31" s="124" t="s">
        <v>8563</v>
      </c>
      <c r="B31" s="242">
        <v>0</v>
      </c>
      <c r="C31" s="242">
        <v>0</v>
      </c>
      <c r="D31" s="242">
        <v>0</v>
      </c>
      <c r="E31" s="242">
        <v>0</v>
      </c>
      <c r="F31" s="242">
        <v>0</v>
      </c>
      <c r="G31" s="242">
        <v>0</v>
      </c>
      <c r="H31" s="242">
        <v>0</v>
      </c>
      <c r="I31" s="242">
        <v>0</v>
      </c>
      <c r="J31" s="242">
        <v>0</v>
      </c>
      <c r="K31" s="242">
        <v>0</v>
      </c>
      <c r="L31" s="242">
        <v>0</v>
      </c>
      <c r="M31" s="242">
        <v>0</v>
      </c>
    </row>
    <row r="32" spans="1:13" ht="17.399999999999999">
      <c r="A32" s="124" t="s">
        <v>8564</v>
      </c>
      <c r="B32" s="242">
        <v>0</v>
      </c>
      <c r="C32" s="242">
        <v>0</v>
      </c>
      <c r="D32" s="242">
        <v>0</v>
      </c>
      <c r="E32" s="242">
        <v>0</v>
      </c>
      <c r="F32" s="242">
        <v>0</v>
      </c>
      <c r="G32" s="242">
        <v>0</v>
      </c>
      <c r="H32" s="242">
        <v>0</v>
      </c>
      <c r="I32" s="242">
        <v>0</v>
      </c>
      <c r="J32" s="242">
        <v>0</v>
      </c>
      <c r="K32" s="242">
        <v>0</v>
      </c>
      <c r="L32" s="242">
        <v>0</v>
      </c>
      <c r="M32" s="242">
        <v>0</v>
      </c>
    </row>
    <row r="33" spans="1:13" ht="17.399999999999999">
      <c r="A33" s="124" t="s">
        <v>8565</v>
      </c>
      <c r="B33" s="240">
        <f>SUM(B28:B32)</f>
        <v>7</v>
      </c>
      <c r="C33" s="240">
        <f t="shared" ref="C33:M33" si="3">SUM(C28:C32)</f>
        <v>0</v>
      </c>
      <c r="D33" s="240">
        <f t="shared" si="3"/>
        <v>0</v>
      </c>
      <c r="E33" s="240">
        <f t="shared" si="3"/>
        <v>0</v>
      </c>
      <c r="F33" s="240">
        <f t="shared" si="3"/>
        <v>0</v>
      </c>
      <c r="G33" s="240">
        <f t="shared" si="3"/>
        <v>0</v>
      </c>
      <c r="H33" s="240">
        <f t="shared" si="3"/>
        <v>0</v>
      </c>
      <c r="I33" s="240">
        <f t="shared" si="3"/>
        <v>0</v>
      </c>
      <c r="J33" s="240">
        <f t="shared" si="3"/>
        <v>0</v>
      </c>
      <c r="K33" s="240">
        <f t="shared" si="3"/>
        <v>0</v>
      </c>
      <c r="L33" s="240">
        <f t="shared" si="3"/>
        <v>0</v>
      </c>
      <c r="M33" s="240">
        <f t="shared" si="3"/>
        <v>0</v>
      </c>
    </row>
  </sheetData>
  <phoneticPr fontI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zoomScaleNormal="100" workbookViewId="0">
      <selection activeCell="O20" sqref="O20"/>
    </sheetView>
  </sheetViews>
  <sheetFormatPr defaultRowHeight="13.2"/>
  <cols>
    <col min="1" max="1" width="12.109375" style="107" bestFit="1" customWidth="1"/>
    <col min="2" max="13" width="11.6640625" style="107" customWidth="1"/>
    <col min="14" max="14" width="1.44140625" style="107" customWidth="1"/>
    <col min="15" max="15" width="11.6640625" style="107" customWidth="1"/>
    <col min="16" max="16" width="1.109375" style="107" customWidth="1"/>
    <col min="17" max="20" width="11.6640625" style="107" customWidth="1"/>
    <col min="21" max="22" width="9.88671875" style="107" bestFit="1" customWidth="1"/>
    <col min="23" max="23" width="10.88671875" bestFit="1" customWidth="1"/>
  </cols>
  <sheetData>
    <row r="1" spans="1:18">
      <c r="A1" s="111" t="s">
        <v>8599</v>
      </c>
      <c r="I1" s="111" t="s">
        <v>8523</v>
      </c>
      <c r="J1" s="111" t="s">
        <v>8522</v>
      </c>
      <c r="K1" s="111" t="s">
        <v>8521</v>
      </c>
      <c r="L1" s="111" t="s">
        <v>8520</v>
      </c>
      <c r="M1" s="111" t="s">
        <v>8519</v>
      </c>
      <c r="O1" s="110" t="s">
        <v>8511</v>
      </c>
      <c r="Q1" s="110" t="s">
        <v>8510</v>
      </c>
    </row>
    <row r="2" spans="1:18">
      <c r="A2" s="116" t="s">
        <v>8524</v>
      </c>
      <c r="I2" s="110">
        <v>22</v>
      </c>
      <c r="J2" s="110">
        <v>18</v>
      </c>
      <c r="K2" s="110">
        <v>9</v>
      </c>
      <c r="L2" s="110">
        <v>13</v>
      </c>
      <c r="M2" s="110">
        <v>14</v>
      </c>
      <c r="O2" s="110">
        <f>SUM(G2:N2)</f>
        <v>76</v>
      </c>
      <c r="Q2" s="109">
        <f>O2/12</f>
        <v>6.333333333333333</v>
      </c>
    </row>
    <row r="3" spans="1:18">
      <c r="A3" s="110" t="s">
        <v>8508</v>
      </c>
      <c r="I3" s="110">
        <v>5</v>
      </c>
      <c r="J3" s="110">
        <v>10</v>
      </c>
      <c r="K3" s="110">
        <v>8</v>
      </c>
      <c r="L3" s="110">
        <v>0</v>
      </c>
      <c r="M3" s="110">
        <v>4</v>
      </c>
      <c r="O3" s="110">
        <f>SUM(G3:N3)</f>
        <v>27</v>
      </c>
      <c r="Q3" s="109">
        <f>O3/12</f>
        <v>2.25</v>
      </c>
    </row>
    <row r="4" spans="1:18" ht="3.9" customHeight="1"/>
    <row r="5" spans="1:18" s="115" customFormat="1">
      <c r="A5" s="111" t="s">
        <v>8600</v>
      </c>
      <c r="B5" s="111" t="s">
        <v>8518</v>
      </c>
      <c r="C5" s="111" t="s">
        <v>8517</v>
      </c>
      <c r="D5" s="111" t="s">
        <v>8516</v>
      </c>
      <c r="E5" s="111" t="s">
        <v>8515</v>
      </c>
      <c r="F5" s="111" t="s">
        <v>8514</v>
      </c>
      <c r="G5" s="111" t="s">
        <v>8513</v>
      </c>
      <c r="H5" s="111" t="s">
        <v>8512</v>
      </c>
      <c r="I5" s="111" t="s">
        <v>8523</v>
      </c>
      <c r="J5" s="111" t="s">
        <v>8522</v>
      </c>
      <c r="K5" s="111" t="s">
        <v>8521</v>
      </c>
      <c r="L5" s="111" t="s">
        <v>8520</v>
      </c>
      <c r="M5" s="111" t="s">
        <v>8519</v>
      </c>
      <c r="O5" s="111" t="s">
        <v>8511</v>
      </c>
      <c r="Q5" s="110" t="s">
        <v>8510</v>
      </c>
    </row>
    <row r="6" spans="1:18" s="107" customFormat="1">
      <c r="A6" s="114" t="s">
        <v>8509</v>
      </c>
      <c r="B6" s="110">
        <v>10</v>
      </c>
      <c r="C6" s="110">
        <v>8</v>
      </c>
      <c r="D6" s="110">
        <v>9</v>
      </c>
      <c r="E6" s="110">
        <v>10</v>
      </c>
      <c r="F6" s="110">
        <v>9</v>
      </c>
      <c r="G6" s="110">
        <v>13</v>
      </c>
      <c r="H6" s="110">
        <v>10</v>
      </c>
      <c r="I6" s="110">
        <v>13</v>
      </c>
      <c r="J6" s="110">
        <v>13</v>
      </c>
      <c r="K6" s="110">
        <v>9</v>
      </c>
      <c r="L6" s="110">
        <v>13</v>
      </c>
      <c r="M6" s="110">
        <v>12</v>
      </c>
      <c r="O6" s="110">
        <f>SUM(I6:N6)</f>
        <v>60</v>
      </c>
      <c r="Q6" s="109">
        <f>O6/12</f>
        <v>5</v>
      </c>
    </row>
    <row r="7" spans="1:18" s="107" customFormat="1">
      <c r="A7" s="110" t="s">
        <v>8508</v>
      </c>
      <c r="B7" s="110">
        <v>6</v>
      </c>
      <c r="C7" s="110">
        <v>3</v>
      </c>
      <c r="D7" s="110">
        <v>7</v>
      </c>
      <c r="E7" s="110">
        <v>6</v>
      </c>
      <c r="F7" s="110">
        <v>6</v>
      </c>
      <c r="G7" s="110">
        <v>4</v>
      </c>
      <c r="H7" s="110">
        <v>4</v>
      </c>
      <c r="I7" s="110">
        <v>11</v>
      </c>
      <c r="J7" s="110">
        <v>4</v>
      </c>
      <c r="K7" s="110">
        <v>9</v>
      </c>
      <c r="L7" s="110">
        <v>8</v>
      </c>
      <c r="M7" s="110">
        <v>6</v>
      </c>
      <c r="O7" s="110">
        <f>SUM(I7:N7)</f>
        <v>38</v>
      </c>
      <c r="Q7" s="109">
        <f>O7/12</f>
        <v>3.1666666666666665</v>
      </c>
    </row>
    <row r="8" spans="1:18" ht="2.4" customHeight="1"/>
    <row r="9" spans="1:18">
      <c r="A9" s="110" t="s">
        <v>8601</v>
      </c>
      <c r="B9" s="111" t="s">
        <v>8518</v>
      </c>
      <c r="C9" s="111" t="s">
        <v>8517</v>
      </c>
      <c r="D9" s="111" t="s">
        <v>8516</v>
      </c>
      <c r="E9" s="111" t="s">
        <v>8515</v>
      </c>
      <c r="F9" s="111" t="s">
        <v>8514</v>
      </c>
      <c r="G9" s="111" t="s">
        <v>8513</v>
      </c>
      <c r="H9" s="111" t="s">
        <v>8512</v>
      </c>
      <c r="I9" s="111" t="s">
        <v>8523</v>
      </c>
      <c r="J9" s="111" t="s">
        <v>8522</v>
      </c>
      <c r="K9" s="111" t="s">
        <v>8521</v>
      </c>
      <c r="L9" s="111" t="s">
        <v>8520</v>
      </c>
      <c r="M9" s="111" t="s">
        <v>8519</v>
      </c>
      <c r="O9" s="110" t="s">
        <v>8511</v>
      </c>
      <c r="Q9" s="110" t="s">
        <v>8510</v>
      </c>
    </row>
    <row r="10" spans="1:18">
      <c r="A10" s="113" t="s">
        <v>8509</v>
      </c>
      <c r="B10" s="110">
        <v>7</v>
      </c>
      <c r="C10" s="110">
        <v>13</v>
      </c>
      <c r="D10" s="110">
        <v>8</v>
      </c>
      <c r="E10" s="110">
        <v>8</v>
      </c>
      <c r="F10" s="110">
        <v>11</v>
      </c>
      <c r="G10" s="110">
        <v>14</v>
      </c>
      <c r="H10" s="110">
        <v>6</v>
      </c>
      <c r="I10" s="110">
        <v>11</v>
      </c>
      <c r="J10" s="110">
        <v>12</v>
      </c>
      <c r="K10" s="110">
        <v>8</v>
      </c>
      <c r="L10" s="110">
        <v>7</v>
      </c>
      <c r="M10" s="110">
        <v>6</v>
      </c>
      <c r="O10" s="110">
        <f>SUM(I10:M10)</f>
        <v>44</v>
      </c>
      <c r="Q10" s="109">
        <f>O10/12</f>
        <v>3.6666666666666665</v>
      </c>
      <c r="R10" s="112"/>
    </row>
    <row r="11" spans="1:18">
      <c r="A11" s="110" t="s">
        <v>8508</v>
      </c>
      <c r="B11" s="110">
        <v>7</v>
      </c>
      <c r="C11" s="110">
        <v>9</v>
      </c>
      <c r="D11" s="110">
        <v>15</v>
      </c>
      <c r="E11" s="110">
        <v>8</v>
      </c>
      <c r="F11" s="110">
        <v>9</v>
      </c>
      <c r="G11" s="110">
        <v>10</v>
      </c>
      <c r="H11" s="110">
        <v>4</v>
      </c>
      <c r="I11" s="110">
        <v>7</v>
      </c>
      <c r="J11" s="110">
        <v>11</v>
      </c>
      <c r="K11" s="110">
        <v>10</v>
      </c>
      <c r="L11" s="110">
        <v>6</v>
      </c>
      <c r="M11" s="110">
        <v>6</v>
      </c>
      <c r="O11" s="110">
        <f>SUM(I11:N11)</f>
        <v>40</v>
      </c>
      <c r="Q11" s="109">
        <f>O11/12</f>
        <v>3.3333333333333335</v>
      </c>
      <c r="R11" s="112"/>
    </row>
    <row r="12" spans="1:18" ht="5.4" customHeight="1"/>
    <row r="13" spans="1:18">
      <c r="A13" s="110" t="s">
        <v>8572</v>
      </c>
      <c r="B13" s="111" t="s">
        <v>8518</v>
      </c>
      <c r="C13" s="111" t="s">
        <v>8517</v>
      </c>
      <c r="D13" s="111" t="s">
        <v>8516</v>
      </c>
      <c r="E13" s="111" t="s">
        <v>8515</v>
      </c>
      <c r="F13" s="111" t="s">
        <v>8514</v>
      </c>
      <c r="G13" s="111" t="s">
        <v>8513</v>
      </c>
      <c r="H13" s="111" t="s">
        <v>8512</v>
      </c>
      <c r="I13" s="111" t="s">
        <v>8523</v>
      </c>
      <c r="J13" s="111" t="s">
        <v>8522</v>
      </c>
      <c r="K13" s="111" t="s">
        <v>8521</v>
      </c>
      <c r="L13" s="111" t="s">
        <v>8520</v>
      </c>
      <c r="M13" s="111" t="s">
        <v>8519</v>
      </c>
      <c r="O13" s="110" t="s">
        <v>8511</v>
      </c>
      <c r="Q13" s="110" t="s">
        <v>8510</v>
      </c>
    </row>
    <row r="14" spans="1:18">
      <c r="A14" s="110" t="s">
        <v>8509</v>
      </c>
      <c r="B14" s="110">
        <v>12</v>
      </c>
      <c r="C14" s="110">
        <v>5</v>
      </c>
      <c r="D14" s="110">
        <v>11</v>
      </c>
      <c r="E14" s="110">
        <v>5</v>
      </c>
      <c r="F14" s="110">
        <v>2</v>
      </c>
      <c r="G14" s="110">
        <v>3</v>
      </c>
      <c r="H14" s="110">
        <v>5</v>
      </c>
      <c r="I14" s="110">
        <v>9</v>
      </c>
      <c r="J14" s="110">
        <v>3</v>
      </c>
      <c r="K14" s="110">
        <v>8</v>
      </c>
      <c r="L14" s="110">
        <v>14</v>
      </c>
      <c r="M14" s="110">
        <v>5</v>
      </c>
      <c r="O14" s="110">
        <f>SUM(I14:M14)</f>
        <v>39</v>
      </c>
      <c r="Q14" s="109">
        <f>O14/12</f>
        <v>3.25</v>
      </c>
    </row>
    <row r="15" spans="1:18">
      <c r="A15" s="110" t="s">
        <v>8508</v>
      </c>
      <c r="B15" s="110">
        <v>9</v>
      </c>
      <c r="C15" s="110">
        <v>9</v>
      </c>
      <c r="D15" s="110">
        <v>8</v>
      </c>
      <c r="E15" s="110">
        <v>11</v>
      </c>
      <c r="F15" s="110">
        <v>6</v>
      </c>
      <c r="G15" s="110">
        <v>2</v>
      </c>
      <c r="H15" s="110">
        <v>3</v>
      </c>
      <c r="I15" s="110">
        <v>5</v>
      </c>
      <c r="J15" s="110">
        <v>4</v>
      </c>
      <c r="K15" s="110">
        <v>3</v>
      </c>
      <c r="L15" s="110">
        <v>6</v>
      </c>
      <c r="M15" s="110">
        <v>4</v>
      </c>
      <c r="O15" s="110">
        <f>SUM(I15:M15)</f>
        <v>22</v>
      </c>
      <c r="Q15" s="109">
        <f>O15/12</f>
        <v>1.8333333333333333</v>
      </c>
    </row>
    <row r="16" spans="1:18" ht="7.5" customHeight="1"/>
    <row r="17" spans="1:17">
      <c r="A17" s="110" t="s">
        <v>8602</v>
      </c>
      <c r="B17" s="111" t="s">
        <v>8518</v>
      </c>
      <c r="C17" s="111" t="s">
        <v>8517</v>
      </c>
      <c r="D17" s="111" t="s">
        <v>8516</v>
      </c>
      <c r="E17" s="111" t="s">
        <v>8515</v>
      </c>
      <c r="F17" s="111" t="s">
        <v>8514</v>
      </c>
      <c r="G17" s="111" t="s">
        <v>8513</v>
      </c>
      <c r="H17" s="111" t="s">
        <v>8512</v>
      </c>
      <c r="I17" s="111" t="s">
        <v>8523</v>
      </c>
      <c r="J17" s="111" t="s">
        <v>8522</v>
      </c>
      <c r="K17" s="111" t="s">
        <v>8521</v>
      </c>
      <c r="L17" s="111" t="s">
        <v>8520</v>
      </c>
      <c r="M17" s="111" t="s">
        <v>8519</v>
      </c>
      <c r="O17" s="110" t="s">
        <v>8511</v>
      </c>
      <c r="Q17" s="110" t="s">
        <v>8510</v>
      </c>
    </row>
    <row r="18" spans="1:17">
      <c r="A18" s="110" t="s">
        <v>8509</v>
      </c>
      <c r="B18" s="110">
        <v>7</v>
      </c>
      <c r="C18" s="110">
        <v>15</v>
      </c>
      <c r="D18" s="110">
        <v>13</v>
      </c>
      <c r="E18" s="110">
        <v>21</v>
      </c>
      <c r="F18" s="110">
        <v>14</v>
      </c>
      <c r="G18" s="110">
        <v>22</v>
      </c>
      <c r="H18" s="110">
        <v>9</v>
      </c>
      <c r="I18" s="110">
        <v>19</v>
      </c>
      <c r="J18" s="110">
        <v>21</v>
      </c>
      <c r="K18" s="110">
        <v>12</v>
      </c>
      <c r="L18" s="110">
        <v>10</v>
      </c>
      <c r="M18" s="110">
        <v>19</v>
      </c>
      <c r="O18" s="110">
        <f>SUM(B18:M18)</f>
        <v>182</v>
      </c>
      <c r="Q18" s="109">
        <f>O18/10</f>
        <v>18.2</v>
      </c>
    </row>
    <row r="19" spans="1:17">
      <c r="A19" s="110" t="s">
        <v>8508</v>
      </c>
      <c r="B19" s="110">
        <f>入会者!B26</f>
        <v>8</v>
      </c>
      <c r="C19" s="110">
        <v>11</v>
      </c>
      <c r="D19" s="110">
        <v>11</v>
      </c>
      <c r="E19" s="110">
        <v>5</v>
      </c>
      <c r="F19" s="110">
        <v>8</v>
      </c>
      <c r="G19" s="110">
        <v>10</v>
      </c>
      <c r="H19" s="110">
        <v>10</v>
      </c>
      <c r="I19" s="110">
        <v>4</v>
      </c>
      <c r="J19" s="110">
        <v>8</v>
      </c>
      <c r="K19" s="110">
        <v>9</v>
      </c>
      <c r="L19" s="110">
        <v>7</v>
      </c>
      <c r="M19" s="110">
        <v>10</v>
      </c>
      <c r="O19" s="110">
        <f>SUM(B19:M19)</f>
        <v>101</v>
      </c>
      <c r="Q19" s="109">
        <f>O19/12</f>
        <v>8.4166666666666661</v>
      </c>
    </row>
    <row r="20" spans="1:17">
      <c r="D20" s="107" t="s">
        <v>9074</v>
      </c>
    </row>
    <row r="23" spans="1:17">
      <c r="H23" s="107" t="s">
        <v>8643</v>
      </c>
      <c r="I23" s="107" t="s">
        <v>8644</v>
      </c>
      <c r="J23" s="107" t="s">
        <v>8646</v>
      </c>
      <c r="K23" s="107" t="s">
        <v>8648</v>
      </c>
      <c r="L23" s="107" t="s">
        <v>8647</v>
      </c>
      <c r="M23" s="107" t="s">
        <v>8628</v>
      </c>
    </row>
    <row r="24" spans="1:17">
      <c r="I24" s="107" t="s">
        <v>3848</v>
      </c>
      <c r="J24" s="107">
        <v>6</v>
      </c>
      <c r="K24" s="251">
        <f>J24/J31</f>
        <v>7.3170731707317069E-2</v>
      </c>
      <c r="L24" s="107">
        <v>4</v>
      </c>
      <c r="M24" s="251">
        <f t="shared" ref="M24:M30" si="0">L24/J24</f>
        <v>0.66666666666666663</v>
      </c>
    </row>
    <row r="25" spans="1:17">
      <c r="I25" s="107" t="s">
        <v>6747</v>
      </c>
      <c r="J25" s="107">
        <v>30</v>
      </c>
      <c r="K25" s="251">
        <f>J25/$J$31</f>
        <v>0.36585365853658536</v>
      </c>
      <c r="L25" s="107">
        <v>21</v>
      </c>
      <c r="M25" s="251">
        <f t="shared" si="0"/>
        <v>0.7</v>
      </c>
    </row>
    <row r="26" spans="1:17">
      <c r="I26" s="107" t="s">
        <v>8</v>
      </c>
      <c r="J26" s="107">
        <v>13</v>
      </c>
      <c r="K26" s="251">
        <f t="shared" ref="K26:K30" si="1">J26/$J$31</f>
        <v>0.15853658536585366</v>
      </c>
      <c r="L26" s="107">
        <v>9</v>
      </c>
      <c r="M26" s="251">
        <f t="shared" si="0"/>
        <v>0.69230769230769229</v>
      </c>
    </row>
    <row r="27" spans="1:17">
      <c r="I27" s="107" t="s">
        <v>3282</v>
      </c>
      <c r="J27" s="107">
        <v>3</v>
      </c>
      <c r="K27" s="251">
        <f t="shared" si="1"/>
        <v>3.6585365853658534E-2</v>
      </c>
      <c r="L27" s="107">
        <v>0</v>
      </c>
      <c r="M27" s="251">
        <f t="shared" si="0"/>
        <v>0</v>
      </c>
    </row>
    <row r="28" spans="1:17">
      <c r="I28" s="107" t="s">
        <v>4073</v>
      </c>
      <c r="J28" s="107">
        <v>21</v>
      </c>
      <c r="K28" s="251">
        <f t="shared" si="1"/>
        <v>0.25609756097560976</v>
      </c>
      <c r="L28" s="107">
        <v>9</v>
      </c>
      <c r="M28" s="251">
        <f t="shared" si="0"/>
        <v>0.42857142857142855</v>
      </c>
    </row>
    <row r="29" spans="1:17">
      <c r="I29" s="107" t="s">
        <v>39</v>
      </c>
      <c r="J29" s="107">
        <v>4</v>
      </c>
      <c r="K29" s="251">
        <f t="shared" si="1"/>
        <v>4.878048780487805E-2</v>
      </c>
      <c r="L29" s="107">
        <v>2</v>
      </c>
      <c r="M29" s="251">
        <f t="shared" si="0"/>
        <v>0.5</v>
      </c>
    </row>
    <row r="30" spans="1:17">
      <c r="I30" s="107" t="s">
        <v>8645</v>
      </c>
      <c r="J30" s="107">
        <v>5</v>
      </c>
      <c r="K30" s="251">
        <f t="shared" si="1"/>
        <v>6.097560975609756E-2</v>
      </c>
      <c r="L30" s="107">
        <v>2</v>
      </c>
      <c r="M30" s="251">
        <f t="shared" si="0"/>
        <v>0.4</v>
      </c>
    </row>
    <row r="31" spans="1:17">
      <c r="I31" s="107" t="s">
        <v>8511</v>
      </c>
      <c r="J31" s="107">
        <f>SUM(J24:J30)</f>
        <v>82</v>
      </c>
    </row>
  </sheetData>
  <phoneticPr fontId="1"/>
  <conditionalFormatting sqref="B18:M18">
    <cfRule type="cellIs" dxfId="1" priority="1" operator="greaterThanOrEqual">
      <formula>10</formula>
    </cfRule>
  </conditionalFormatting>
  <conditionalFormatting sqref="I2:M2 B6:M6 B10:M10 B14:M14">
    <cfRule type="cellIs" dxfId="0" priority="5" operator="greaterThanOrEqual">
      <formula>10</formula>
    </cfRule>
  </conditionalFormatting>
  <pageMargins left="0.7" right="0.7" top="0.75" bottom="0.75" header="0.3" footer="0.3"/>
  <pageSetup paperSize="9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topLeftCell="A4" zoomScale="85" zoomScaleNormal="85" workbookViewId="0">
      <selection activeCell="Q30" sqref="Q30"/>
    </sheetView>
  </sheetViews>
  <sheetFormatPr defaultRowHeight="13.2"/>
  <cols>
    <col min="1" max="1" width="22.88671875" bestFit="1" customWidth="1"/>
    <col min="14" max="14" width="1.33203125" customWidth="1"/>
    <col min="16" max="16" width="1.6640625" customWidth="1"/>
  </cols>
  <sheetData>
    <row r="1" spans="1:17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>
      <c r="A2" s="229" t="s">
        <v>8600</v>
      </c>
      <c r="B2" s="229" t="s">
        <v>8518</v>
      </c>
      <c r="C2" s="230" t="s">
        <v>8517</v>
      </c>
      <c r="D2" s="230" t="s">
        <v>8516</v>
      </c>
      <c r="E2" s="230" t="s">
        <v>8515</v>
      </c>
      <c r="F2" s="230" t="s">
        <v>8514</v>
      </c>
      <c r="G2" s="230" t="s">
        <v>8513</v>
      </c>
      <c r="H2" s="230" t="s">
        <v>8512</v>
      </c>
      <c r="I2" s="230" t="s">
        <v>8523</v>
      </c>
      <c r="J2" s="230" t="s">
        <v>8522</v>
      </c>
      <c r="K2" s="230" t="s">
        <v>8521</v>
      </c>
      <c r="L2" s="230" t="s">
        <v>8520</v>
      </c>
      <c r="M2" s="230" t="s">
        <v>8519</v>
      </c>
      <c r="N2" s="107"/>
      <c r="O2" s="110" t="s">
        <v>8511</v>
      </c>
      <c r="P2" s="107"/>
      <c r="Q2" s="110" t="s">
        <v>8510</v>
      </c>
    </row>
    <row r="3" spans="1:17">
      <c r="A3" s="232" t="s">
        <v>8526</v>
      </c>
      <c r="B3" s="110">
        <v>8</v>
      </c>
      <c r="C3" s="110">
        <v>13</v>
      </c>
      <c r="D3" s="110">
        <v>13</v>
      </c>
      <c r="E3" s="110">
        <v>15</v>
      </c>
      <c r="F3" s="110">
        <v>9</v>
      </c>
      <c r="G3" s="110">
        <v>13</v>
      </c>
      <c r="H3" s="110">
        <v>6</v>
      </c>
      <c r="I3" s="110">
        <v>12</v>
      </c>
      <c r="J3" s="110">
        <v>7</v>
      </c>
      <c r="K3" s="110">
        <v>13</v>
      </c>
      <c r="L3" s="110">
        <v>8</v>
      </c>
      <c r="M3" s="110">
        <v>9</v>
      </c>
      <c r="N3" s="107"/>
      <c r="O3" s="110">
        <f>SUM(B3:N3)</f>
        <v>126</v>
      </c>
      <c r="P3" s="107"/>
      <c r="Q3" s="109">
        <f>O3/12</f>
        <v>10.5</v>
      </c>
    </row>
    <row r="4" spans="1:17">
      <c r="A4" s="232" t="s">
        <v>8525</v>
      </c>
      <c r="B4" s="110">
        <v>4</v>
      </c>
      <c r="C4" s="110">
        <v>9</v>
      </c>
      <c r="D4" s="110">
        <v>6</v>
      </c>
      <c r="E4" s="110">
        <v>8</v>
      </c>
      <c r="F4" s="110">
        <v>5</v>
      </c>
      <c r="G4" s="110">
        <v>6</v>
      </c>
      <c r="H4" s="110">
        <v>5</v>
      </c>
      <c r="I4" s="110">
        <v>7</v>
      </c>
      <c r="J4" s="110">
        <v>5</v>
      </c>
      <c r="K4" s="110">
        <v>10</v>
      </c>
      <c r="L4" s="110">
        <v>7</v>
      </c>
      <c r="M4" s="110">
        <v>7</v>
      </c>
      <c r="N4" s="107"/>
      <c r="O4" s="110">
        <f>SUM(B4:M4)</f>
        <v>79</v>
      </c>
      <c r="P4" s="107"/>
      <c r="Q4" s="109">
        <f>O4/12</f>
        <v>6.583333333333333</v>
      </c>
    </row>
    <row r="5" spans="1:17">
      <c r="A5" s="232" t="s">
        <v>8639</v>
      </c>
      <c r="B5" s="228">
        <f>B4/B3</f>
        <v>0.5</v>
      </c>
      <c r="C5" s="228">
        <f t="shared" ref="C5:M5" si="0">C4/C3</f>
        <v>0.69230769230769229</v>
      </c>
      <c r="D5" s="228">
        <f t="shared" si="0"/>
        <v>0.46153846153846156</v>
      </c>
      <c r="E5" s="228">
        <f t="shared" si="0"/>
        <v>0.53333333333333333</v>
      </c>
      <c r="F5" s="228">
        <f t="shared" si="0"/>
        <v>0.55555555555555558</v>
      </c>
      <c r="G5" s="228">
        <f t="shared" si="0"/>
        <v>0.46153846153846156</v>
      </c>
      <c r="H5" s="228">
        <f t="shared" si="0"/>
        <v>0.83333333333333337</v>
      </c>
      <c r="I5" s="228">
        <f t="shared" si="0"/>
        <v>0.58333333333333337</v>
      </c>
      <c r="J5" s="228">
        <f t="shared" si="0"/>
        <v>0.7142857142857143</v>
      </c>
      <c r="K5" s="228">
        <f t="shared" si="0"/>
        <v>0.76923076923076927</v>
      </c>
      <c r="L5" s="228">
        <f t="shared" si="0"/>
        <v>0.875</v>
      </c>
      <c r="M5" s="228">
        <f t="shared" si="0"/>
        <v>0.77777777777777779</v>
      </c>
      <c r="N5" s="107"/>
      <c r="O5" s="107"/>
      <c r="P5" s="107"/>
      <c r="Q5" s="227"/>
    </row>
    <row r="6" spans="1:17" ht="3" customHeight="1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>
      <c r="A7" s="229" t="s">
        <v>8601</v>
      </c>
      <c r="B7" s="230" t="s">
        <v>8518</v>
      </c>
      <c r="C7" s="230" t="s">
        <v>8517</v>
      </c>
      <c r="D7" s="230" t="s">
        <v>8516</v>
      </c>
      <c r="E7" s="230" t="s">
        <v>8515</v>
      </c>
      <c r="F7" s="230" t="s">
        <v>8514</v>
      </c>
      <c r="G7" s="230" t="s">
        <v>8513</v>
      </c>
      <c r="H7" s="230" t="s">
        <v>8512</v>
      </c>
      <c r="I7" s="230" t="s">
        <v>8523</v>
      </c>
      <c r="J7" s="230" t="s">
        <v>8522</v>
      </c>
      <c r="K7" s="230" t="s">
        <v>8521</v>
      </c>
      <c r="L7" s="230" t="s">
        <v>8520</v>
      </c>
      <c r="M7" s="230" t="s">
        <v>8519</v>
      </c>
      <c r="N7" s="115"/>
      <c r="O7" s="111" t="s">
        <v>8511</v>
      </c>
      <c r="P7" s="115"/>
      <c r="Q7" s="110" t="s">
        <v>8510</v>
      </c>
    </row>
    <row r="8" spans="1:17">
      <c r="A8" s="231" t="s">
        <v>8526</v>
      </c>
      <c r="B8" s="110">
        <v>9</v>
      </c>
      <c r="C8" s="110">
        <v>8</v>
      </c>
      <c r="D8" s="110">
        <v>10</v>
      </c>
      <c r="E8" s="110">
        <v>6</v>
      </c>
      <c r="F8" s="110">
        <v>9</v>
      </c>
      <c r="G8" s="110">
        <v>12</v>
      </c>
      <c r="H8" s="110">
        <v>4</v>
      </c>
      <c r="I8" s="110">
        <v>13</v>
      </c>
      <c r="J8" s="110">
        <v>14</v>
      </c>
      <c r="K8" s="110">
        <v>17</v>
      </c>
      <c r="L8" s="110">
        <v>12</v>
      </c>
      <c r="M8" s="110">
        <v>10</v>
      </c>
      <c r="N8" s="107"/>
      <c r="O8" s="110">
        <f>SUM(B8:N8)</f>
        <v>124</v>
      </c>
      <c r="P8" s="107"/>
      <c r="Q8" s="109">
        <f>O8/12</f>
        <v>10.333333333333334</v>
      </c>
    </row>
    <row r="9" spans="1:17">
      <c r="A9" s="232" t="s">
        <v>8525</v>
      </c>
      <c r="B9" s="110">
        <v>6</v>
      </c>
      <c r="C9" s="110">
        <v>2</v>
      </c>
      <c r="D9" s="110">
        <v>7</v>
      </c>
      <c r="E9" s="110">
        <v>3</v>
      </c>
      <c r="F9" s="110">
        <v>6</v>
      </c>
      <c r="G9" s="110">
        <v>7</v>
      </c>
      <c r="H9" s="110">
        <v>4</v>
      </c>
      <c r="I9" s="110">
        <v>7</v>
      </c>
      <c r="J9" s="110">
        <v>12</v>
      </c>
      <c r="K9" s="110">
        <v>12</v>
      </c>
      <c r="L9" s="110">
        <v>10</v>
      </c>
      <c r="M9" s="110">
        <v>7</v>
      </c>
      <c r="N9" s="107"/>
      <c r="O9" s="110">
        <f>SUM(B9:N9)</f>
        <v>83</v>
      </c>
      <c r="P9" s="107"/>
      <c r="Q9" s="109">
        <f>O9/12</f>
        <v>6.916666666666667</v>
      </c>
    </row>
    <row r="10" spans="1:17">
      <c r="A10" s="232" t="s">
        <v>8639</v>
      </c>
      <c r="B10" s="228">
        <f>B9/B8</f>
        <v>0.66666666666666663</v>
      </c>
      <c r="C10" s="228">
        <f t="shared" ref="C10" si="1">C9/C8</f>
        <v>0.25</v>
      </c>
      <c r="D10" s="228">
        <f t="shared" ref="D10" si="2">D9/D8</f>
        <v>0.7</v>
      </c>
      <c r="E10" s="228">
        <f t="shared" ref="E10" si="3">E9/E8</f>
        <v>0.5</v>
      </c>
      <c r="F10" s="228">
        <f t="shared" ref="F10" si="4">F9/F8</f>
        <v>0.66666666666666663</v>
      </c>
      <c r="G10" s="228">
        <f t="shared" ref="G10" si="5">G9/G8</f>
        <v>0.58333333333333337</v>
      </c>
      <c r="H10" s="228">
        <f t="shared" ref="H10" si="6">H9/H8</f>
        <v>1</v>
      </c>
      <c r="I10" s="228">
        <f t="shared" ref="I10" si="7">I9/I8</f>
        <v>0.53846153846153844</v>
      </c>
      <c r="J10" s="228">
        <f t="shared" ref="J10" si="8">J9/J8</f>
        <v>0.8571428571428571</v>
      </c>
      <c r="K10" s="228">
        <f t="shared" ref="K10" si="9">K9/K8</f>
        <v>0.70588235294117652</v>
      </c>
      <c r="L10" s="228">
        <f t="shared" ref="L10" si="10">L9/L8</f>
        <v>0.83333333333333337</v>
      </c>
      <c r="M10" s="228">
        <f t="shared" ref="M10" si="11">M9/M8</f>
        <v>0.7</v>
      </c>
      <c r="N10" s="107"/>
      <c r="O10" s="107"/>
      <c r="P10" s="107"/>
      <c r="Q10" s="227"/>
    </row>
    <row r="11" spans="1:17" ht="3.75" customHeight="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</row>
    <row r="12" spans="1:17">
      <c r="A12" s="231" t="s">
        <v>8572</v>
      </c>
      <c r="B12" s="229" t="s">
        <v>8518</v>
      </c>
      <c r="C12" s="230" t="s">
        <v>8517</v>
      </c>
      <c r="D12" s="230" t="s">
        <v>8516</v>
      </c>
      <c r="E12" s="230" t="s">
        <v>8515</v>
      </c>
      <c r="F12" s="230" t="s">
        <v>8514</v>
      </c>
      <c r="G12" s="230" t="s">
        <v>8513</v>
      </c>
      <c r="H12" s="230" t="s">
        <v>8512</v>
      </c>
      <c r="I12" s="230" t="s">
        <v>8523</v>
      </c>
      <c r="J12" s="230" t="s">
        <v>8522</v>
      </c>
      <c r="K12" s="230" t="s">
        <v>8521</v>
      </c>
      <c r="L12" s="230" t="s">
        <v>8520</v>
      </c>
      <c r="M12" s="230" t="s">
        <v>8519</v>
      </c>
      <c r="N12" s="107"/>
      <c r="O12" s="110" t="s">
        <v>8511</v>
      </c>
      <c r="P12" s="107"/>
      <c r="Q12" s="110" t="s">
        <v>8510</v>
      </c>
    </row>
    <row r="13" spans="1:17">
      <c r="A13" s="232" t="s">
        <v>8526</v>
      </c>
      <c r="B13" s="233">
        <v>16</v>
      </c>
      <c r="C13" s="233">
        <v>20</v>
      </c>
      <c r="D13" s="233">
        <v>6</v>
      </c>
      <c r="E13" s="233">
        <v>11</v>
      </c>
      <c r="F13" s="233">
        <v>11</v>
      </c>
      <c r="G13" s="233">
        <v>17</v>
      </c>
      <c r="H13" s="233">
        <v>4</v>
      </c>
      <c r="I13" s="233">
        <v>6</v>
      </c>
      <c r="J13" s="233">
        <v>12</v>
      </c>
      <c r="K13" s="233">
        <v>4</v>
      </c>
      <c r="L13" s="233">
        <v>12</v>
      </c>
      <c r="M13" s="233">
        <v>12</v>
      </c>
      <c r="N13" s="107"/>
      <c r="O13" s="110">
        <f>SUM(B13:M13)</f>
        <v>131</v>
      </c>
      <c r="P13" s="107"/>
      <c r="Q13" s="109">
        <f>O13/12</f>
        <v>10.916666666666666</v>
      </c>
    </row>
    <row r="14" spans="1:17">
      <c r="A14" s="232" t="s">
        <v>8525</v>
      </c>
      <c r="B14" s="233">
        <v>10</v>
      </c>
      <c r="C14" s="233">
        <v>14</v>
      </c>
      <c r="D14" s="233">
        <v>4</v>
      </c>
      <c r="E14" s="233">
        <v>8</v>
      </c>
      <c r="F14" s="233">
        <v>8</v>
      </c>
      <c r="G14" s="233">
        <v>12</v>
      </c>
      <c r="H14" s="233">
        <v>3</v>
      </c>
      <c r="I14" s="233">
        <v>4</v>
      </c>
      <c r="J14" s="233">
        <v>11</v>
      </c>
      <c r="K14" s="233">
        <v>3</v>
      </c>
      <c r="L14" s="233">
        <v>8</v>
      </c>
      <c r="M14" s="233">
        <v>7</v>
      </c>
      <c r="N14" s="107"/>
      <c r="O14" s="110">
        <f>SUM(B14:N14)</f>
        <v>92</v>
      </c>
      <c r="P14" s="107"/>
      <c r="Q14" s="109">
        <f>O14/12</f>
        <v>7.666666666666667</v>
      </c>
    </row>
    <row r="15" spans="1:17">
      <c r="A15" s="232" t="s">
        <v>8639</v>
      </c>
      <c r="B15" s="228">
        <f>B14/B13</f>
        <v>0.625</v>
      </c>
      <c r="C15" s="228">
        <f t="shared" ref="C15" si="12">C14/C13</f>
        <v>0.7</v>
      </c>
      <c r="D15" s="228">
        <f t="shared" ref="D15" si="13">D14/D13</f>
        <v>0.66666666666666663</v>
      </c>
      <c r="E15" s="228">
        <f t="shared" ref="E15" si="14">E14/E13</f>
        <v>0.72727272727272729</v>
      </c>
      <c r="F15" s="228">
        <f t="shared" ref="F15" si="15">F14/F13</f>
        <v>0.72727272727272729</v>
      </c>
      <c r="G15" s="228">
        <f t="shared" ref="G15" si="16">G14/G13</f>
        <v>0.70588235294117652</v>
      </c>
      <c r="H15" s="228">
        <f t="shared" ref="H15" si="17">H14/H13</f>
        <v>0.75</v>
      </c>
      <c r="I15" s="228">
        <f t="shared" ref="I15" si="18">I14/I13</f>
        <v>0.66666666666666663</v>
      </c>
      <c r="J15" s="228">
        <f t="shared" ref="J15" si="19">J14/J13</f>
        <v>0.91666666666666663</v>
      </c>
      <c r="K15" s="228">
        <f t="shared" ref="K15" si="20">K14/K13</f>
        <v>0.75</v>
      </c>
      <c r="L15" s="228">
        <f t="shared" ref="L15" si="21">L14/L13</f>
        <v>0.66666666666666663</v>
      </c>
      <c r="M15" s="228">
        <f t="shared" ref="M15" si="22">M14/M13</f>
        <v>0.58333333333333337</v>
      </c>
      <c r="N15" s="107"/>
      <c r="O15" s="107"/>
      <c r="P15" s="107"/>
      <c r="Q15" s="227"/>
    </row>
    <row r="16" spans="1:17" ht="3" customHeight="1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</row>
    <row r="17" spans="1:17">
      <c r="A17" s="231" t="s">
        <v>8602</v>
      </c>
      <c r="B17" s="230" t="s">
        <v>8518</v>
      </c>
      <c r="C17" s="230" t="s">
        <v>8517</v>
      </c>
      <c r="D17" s="230" t="s">
        <v>8516</v>
      </c>
      <c r="E17" s="230" t="s">
        <v>8515</v>
      </c>
      <c r="F17" s="230" t="s">
        <v>8514</v>
      </c>
      <c r="G17" s="230" t="s">
        <v>8513</v>
      </c>
      <c r="H17" s="230" t="s">
        <v>8512</v>
      </c>
      <c r="I17" s="230" t="s">
        <v>8523</v>
      </c>
      <c r="J17" s="230" t="s">
        <v>8522</v>
      </c>
      <c r="K17" s="230" t="s">
        <v>8521</v>
      </c>
      <c r="L17" s="230" t="s">
        <v>8520</v>
      </c>
      <c r="M17" s="230" t="s">
        <v>8519</v>
      </c>
      <c r="N17" s="107"/>
      <c r="O17" s="110" t="s">
        <v>8511</v>
      </c>
      <c r="P17" s="107"/>
      <c r="Q17" s="110" t="s">
        <v>8510</v>
      </c>
    </row>
    <row r="18" spans="1:17">
      <c r="A18" s="232" t="s">
        <v>8526</v>
      </c>
      <c r="B18" s="110">
        <v>9</v>
      </c>
      <c r="C18" s="110">
        <v>14</v>
      </c>
      <c r="D18" s="110">
        <v>6</v>
      </c>
      <c r="E18" s="110">
        <v>6</v>
      </c>
      <c r="F18" s="110">
        <v>6</v>
      </c>
      <c r="G18" s="110">
        <v>9</v>
      </c>
      <c r="H18" s="110">
        <v>7</v>
      </c>
      <c r="I18" s="110">
        <v>6</v>
      </c>
      <c r="J18" s="110">
        <v>2</v>
      </c>
      <c r="K18" s="110">
        <v>5</v>
      </c>
      <c r="L18" s="110">
        <v>8</v>
      </c>
      <c r="M18" s="110">
        <v>14</v>
      </c>
      <c r="N18" s="107"/>
      <c r="O18" s="110">
        <f>SUM(B18:M18)</f>
        <v>92</v>
      </c>
      <c r="P18" s="107"/>
      <c r="Q18" s="109">
        <f>O18/12</f>
        <v>7.666666666666667</v>
      </c>
    </row>
    <row r="19" spans="1:17">
      <c r="A19" s="232" t="s">
        <v>8525</v>
      </c>
      <c r="B19" s="110">
        <v>5</v>
      </c>
      <c r="C19" s="110">
        <v>10</v>
      </c>
      <c r="D19" s="110">
        <v>5</v>
      </c>
      <c r="E19" s="110">
        <v>2</v>
      </c>
      <c r="F19" s="110">
        <v>4</v>
      </c>
      <c r="G19" s="110">
        <v>4</v>
      </c>
      <c r="H19" s="110">
        <v>5</v>
      </c>
      <c r="I19" s="110">
        <v>3</v>
      </c>
      <c r="J19" s="110">
        <v>2</v>
      </c>
      <c r="K19" s="110">
        <v>5</v>
      </c>
      <c r="L19" s="110">
        <v>6</v>
      </c>
      <c r="M19" s="110">
        <v>9</v>
      </c>
      <c r="N19" s="107"/>
      <c r="O19" s="110">
        <f>SUM(B19:M19)</f>
        <v>60</v>
      </c>
      <c r="P19" s="107"/>
      <c r="Q19" s="109">
        <f>O19/12</f>
        <v>5</v>
      </c>
    </row>
    <row r="20" spans="1:17">
      <c r="A20" s="232" t="s">
        <v>8639</v>
      </c>
      <c r="B20" s="228">
        <f>B19/B18</f>
        <v>0.55555555555555558</v>
      </c>
      <c r="C20" s="228">
        <f t="shared" ref="C20" si="23">C19/C18</f>
        <v>0.7142857142857143</v>
      </c>
      <c r="D20" s="228">
        <f t="shared" ref="D20" si="24">D19/D18</f>
        <v>0.83333333333333337</v>
      </c>
      <c r="E20" s="228">
        <f t="shared" ref="E20" si="25">E19/E18</f>
        <v>0.33333333333333331</v>
      </c>
      <c r="F20" s="228">
        <f t="shared" ref="F20" si="26">F19/F18</f>
        <v>0.66666666666666663</v>
      </c>
      <c r="G20" s="228">
        <f t="shared" ref="G20" si="27">G19/G18</f>
        <v>0.44444444444444442</v>
      </c>
      <c r="H20" s="228">
        <f t="shared" ref="H20" si="28">H19/H18</f>
        <v>0.7142857142857143</v>
      </c>
      <c r="I20" s="228">
        <f t="shared" ref="I20" si="29">I19/I18</f>
        <v>0.5</v>
      </c>
      <c r="J20" s="228">
        <f t="shared" ref="J20" si="30">J19/J18</f>
        <v>1</v>
      </c>
      <c r="K20" s="228">
        <f t="shared" ref="K20" si="31">K19/K18</f>
        <v>1</v>
      </c>
      <c r="L20" s="228">
        <f t="shared" ref="L20" si="32">L19/L18</f>
        <v>0.75</v>
      </c>
      <c r="M20" s="228">
        <f t="shared" ref="M20" si="33">M19/M18</f>
        <v>0.6428571428571429</v>
      </c>
    </row>
    <row r="22" spans="1:17">
      <c r="A22" s="231" t="s">
        <v>10574</v>
      </c>
      <c r="B22" s="230" t="s">
        <v>8518</v>
      </c>
      <c r="C22" s="230" t="s">
        <v>8517</v>
      </c>
      <c r="D22" s="230" t="s">
        <v>8516</v>
      </c>
      <c r="E22" s="230" t="s">
        <v>8515</v>
      </c>
      <c r="F22" s="230" t="s">
        <v>8514</v>
      </c>
      <c r="G22" s="230" t="s">
        <v>8513</v>
      </c>
      <c r="H22" s="230" t="s">
        <v>8512</v>
      </c>
      <c r="I22" s="230" t="s">
        <v>8523</v>
      </c>
      <c r="J22" s="230" t="s">
        <v>8522</v>
      </c>
      <c r="K22" s="230" t="s">
        <v>8521</v>
      </c>
      <c r="L22" s="230" t="s">
        <v>8520</v>
      </c>
      <c r="M22" s="230" t="s">
        <v>8519</v>
      </c>
    </row>
    <row r="23" spans="1:17">
      <c r="A23" s="232" t="s">
        <v>8526</v>
      </c>
      <c r="B23" s="110">
        <v>0</v>
      </c>
      <c r="C23" s="110">
        <v>0</v>
      </c>
      <c r="D23" s="110">
        <v>0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</row>
    <row r="24" spans="1:17">
      <c r="A24" s="232" t="s">
        <v>8525</v>
      </c>
      <c r="B24" s="110">
        <v>0</v>
      </c>
      <c r="C24" s="110">
        <v>0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</row>
    <row r="25" spans="1:17">
      <c r="A25" s="232" t="s">
        <v>8639</v>
      </c>
      <c r="B25" s="228" t="e">
        <f>B24/B23</f>
        <v>#DIV/0!</v>
      </c>
      <c r="C25" s="228" t="e">
        <f t="shared" ref="C25:M25" si="34">C24/C23</f>
        <v>#DIV/0!</v>
      </c>
      <c r="D25" s="228" t="e">
        <f t="shared" si="34"/>
        <v>#DIV/0!</v>
      </c>
      <c r="E25" s="228" t="e">
        <f t="shared" si="34"/>
        <v>#DIV/0!</v>
      </c>
      <c r="F25" s="228" t="e">
        <f t="shared" si="34"/>
        <v>#DIV/0!</v>
      </c>
      <c r="G25" s="228" t="e">
        <f t="shared" si="34"/>
        <v>#DIV/0!</v>
      </c>
      <c r="H25" s="228" t="e">
        <f t="shared" si="34"/>
        <v>#DIV/0!</v>
      </c>
      <c r="I25" s="228" t="e">
        <f t="shared" si="34"/>
        <v>#DIV/0!</v>
      </c>
      <c r="J25" s="228" t="e">
        <f t="shared" si="34"/>
        <v>#DIV/0!</v>
      </c>
      <c r="K25" s="228" t="e">
        <f t="shared" si="34"/>
        <v>#DIV/0!</v>
      </c>
      <c r="L25" s="228" t="e">
        <f t="shared" si="34"/>
        <v>#DIV/0!</v>
      </c>
      <c r="M25" s="228" t="e">
        <f t="shared" si="34"/>
        <v>#DIV/0!</v>
      </c>
    </row>
  </sheetData>
  <phoneticPr fontId="1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>
      <selection activeCell="H29" sqref="H29"/>
    </sheetView>
  </sheetViews>
  <sheetFormatPr defaultRowHeight="13.2"/>
  <cols>
    <col min="1" max="1" width="14.109375" bestFit="1" customWidth="1"/>
    <col min="13" max="13" width="10.33203125" bestFit="1" customWidth="1"/>
  </cols>
  <sheetData>
    <row r="1" spans="1:13">
      <c r="A1" s="132" t="s">
        <v>8572</v>
      </c>
      <c r="B1" s="133" t="s">
        <v>8581</v>
      </c>
      <c r="C1" s="133" t="s">
        <v>8582</v>
      </c>
      <c r="D1" s="133" t="s">
        <v>8583</v>
      </c>
      <c r="E1" s="133" t="s">
        <v>8584</v>
      </c>
      <c r="F1" s="133" t="s">
        <v>8585</v>
      </c>
      <c r="G1" s="133" t="s">
        <v>8586</v>
      </c>
      <c r="H1" s="133" t="s">
        <v>8587</v>
      </c>
      <c r="I1" s="133" t="s">
        <v>8588</v>
      </c>
      <c r="J1" s="133" t="s">
        <v>8589</v>
      </c>
      <c r="K1" s="133" t="s">
        <v>8590</v>
      </c>
      <c r="L1" s="133" t="s">
        <v>8591</v>
      </c>
      <c r="M1" s="133" t="s">
        <v>8592</v>
      </c>
    </row>
    <row r="2" spans="1:13">
      <c r="A2" s="132" t="s">
        <v>8574</v>
      </c>
      <c r="B2" s="126">
        <f>月別会員数!BO9</f>
        <v>9</v>
      </c>
      <c r="C2" s="126">
        <f>月別会員数!BP9</f>
        <v>9</v>
      </c>
      <c r="D2" s="126">
        <f>月別会員数!BQ9</f>
        <v>8</v>
      </c>
      <c r="E2" s="126">
        <f>月別会員数!BR9</f>
        <v>11</v>
      </c>
      <c r="F2" s="126">
        <f>月別会員数!BS9</f>
        <v>6</v>
      </c>
      <c r="G2" s="126">
        <f>月別会員数!BT9</f>
        <v>2</v>
      </c>
      <c r="H2" s="126">
        <f>月別会員数!BU9</f>
        <v>3</v>
      </c>
      <c r="I2" s="126">
        <f>月別会員数!BV9</f>
        <v>5</v>
      </c>
      <c r="J2" s="126">
        <f>月別会員数!BW9</f>
        <v>4</v>
      </c>
      <c r="K2" s="126">
        <f>月別会員数!BX9</f>
        <v>3</v>
      </c>
      <c r="L2" s="126">
        <f>月別会員数!BY9</f>
        <v>6</v>
      </c>
      <c r="M2" s="126">
        <f>月別会員数!BZ9</f>
        <v>8</v>
      </c>
    </row>
    <row r="3" spans="1:13">
      <c r="A3" s="132" t="s">
        <v>8575</v>
      </c>
      <c r="B3" s="126">
        <f>月別会員数!BO19</f>
        <v>9</v>
      </c>
      <c r="C3" s="126">
        <f>月別会員数!BP19</f>
        <v>6</v>
      </c>
      <c r="D3" s="126">
        <f>月別会員数!BQ19</f>
        <v>7</v>
      </c>
      <c r="E3" s="126">
        <f>月別会員数!BR19</f>
        <v>8</v>
      </c>
      <c r="F3" s="126">
        <f>月別会員数!BS19</f>
        <v>6</v>
      </c>
      <c r="G3" s="126">
        <f>月別会員数!BT19</f>
        <v>8</v>
      </c>
      <c r="H3" s="126">
        <f>月別会員数!BU19</f>
        <v>2</v>
      </c>
      <c r="I3" s="126">
        <f>月別会員数!BV19</f>
        <v>6</v>
      </c>
      <c r="J3" s="126">
        <f>月別会員数!BW19</f>
        <v>6</v>
      </c>
      <c r="K3" s="126">
        <f>月別会員数!BX19</f>
        <v>5</v>
      </c>
      <c r="L3" s="126">
        <f>月別会員数!BY19</f>
        <v>11</v>
      </c>
      <c r="M3" s="126">
        <f>月別会員数!BZ19</f>
        <v>4</v>
      </c>
    </row>
    <row r="4" spans="1:13">
      <c r="A4" s="132" t="s">
        <v>8576</v>
      </c>
      <c r="B4" s="126">
        <f>体験利用者数!B14</f>
        <v>12</v>
      </c>
      <c r="C4" s="126">
        <f>体験利用者数!C14</f>
        <v>5</v>
      </c>
      <c r="D4" s="126">
        <f>体験利用者数!D14</f>
        <v>11</v>
      </c>
      <c r="E4" s="126">
        <f>体験利用者数!E14</f>
        <v>5</v>
      </c>
      <c r="F4" s="126">
        <f>体験利用者数!F14</f>
        <v>2</v>
      </c>
      <c r="G4" s="126">
        <f>体験利用者数!G14</f>
        <v>3</v>
      </c>
      <c r="H4" s="126">
        <f>体験利用者数!H14</f>
        <v>5</v>
      </c>
      <c r="I4" s="126">
        <f>体験利用者数!I14</f>
        <v>9</v>
      </c>
      <c r="J4" s="126">
        <f>体験利用者数!J14</f>
        <v>3</v>
      </c>
      <c r="K4" s="126">
        <f>体験利用者数!K14</f>
        <v>8</v>
      </c>
      <c r="L4" s="126">
        <f>体験利用者数!L14</f>
        <v>14</v>
      </c>
      <c r="M4" s="126">
        <f>体験利用者数!M14</f>
        <v>5</v>
      </c>
    </row>
    <row r="5" spans="1:13">
      <c r="A5" s="132" t="s">
        <v>8577</v>
      </c>
      <c r="B5" s="126">
        <f>フィッティング者数!B13</f>
        <v>16</v>
      </c>
      <c r="C5" s="126">
        <f>フィッティング者数!C13</f>
        <v>20</v>
      </c>
      <c r="D5" s="126">
        <f>フィッティング者数!D13</f>
        <v>6</v>
      </c>
      <c r="E5" s="126">
        <f>フィッティング者数!E13</f>
        <v>11</v>
      </c>
      <c r="F5" s="126">
        <f>フィッティング者数!F13</f>
        <v>11</v>
      </c>
      <c r="G5" s="126">
        <f>フィッティング者数!G13</f>
        <v>17</v>
      </c>
      <c r="H5" s="126">
        <f>フィッティング者数!H13</f>
        <v>4</v>
      </c>
      <c r="I5" s="126">
        <f>フィッティング者数!I13</f>
        <v>6</v>
      </c>
      <c r="J5" s="126">
        <f>フィッティング者数!J13</f>
        <v>12</v>
      </c>
      <c r="K5" s="126">
        <f>フィッティング者数!K13</f>
        <v>4</v>
      </c>
      <c r="L5" s="126">
        <f>フィッティング者数!L13</f>
        <v>12</v>
      </c>
      <c r="M5" s="126">
        <f>フィッティング者数!M13</f>
        <v>12</v>
      </c>
    </row>
    <row r="6" spans="1:13" hidden="1">
      <c r="A6" s="132" t="s">
        <v>8578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34">
        <v>1114215</v>
      </c>
    </row>
    <row r="7" spans="1:13" hidden="1">
      <c r="A7" s="132" t="s">
        <v>8579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34">
        <v>628910</v>
      </c>
    </row>
    <row r="8" spans="1:13" hidden="1">
      <c r="A8" s="132" t="s">
        <v>8580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34">
        <v>311100</v>
      </c>
    </row>
    <row r="9" spans="1:13" hidden="1">
      <c r="A9" s="132" t="s">
        <v>8593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34">
        <v>585800</v>
      </c>
    </row>
    <row r="10" spans="1:13" hidden="1">
      <c r="A10" s="132" t="s">
        <v>8594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34">
        <v>270000</v>
      </c>
    </row>
    <row r="14" spans="1:13">
      <c r="A14" s="130" t="s">
        <v>8569</v>
      </c>
      <c r="B14" s="131" t="s">
        <v>8581</v>
      </c>
      <c r="C14" s="131" t="s">
        <v>8582</v>
      </c>
      <c r="D14" s="131" t="s">
        <v>8583</v>
      </c>
      <c r="E14" s="131" t="s">
        <v>8584</v>
      </c>
      <c r="F14" s="131" t="s">
        <v>8585</v>
      </c>
      <c r="G14" s="131" t="s">
        <v>8586</v>
      </c>
      <c r="H14" s="131" t="s">
        <v>8587</v>
      </c>
      <c r="I14" s="131" t="s">
        <v>8588</v>
      </c>
      <c r="J14" s="131" t="s">
        <v>8589</v>
      </c>
      <c r="K14" s="131" t="s">
        <v>8590</v>
      </c>
      <c r="L14" s="131" t="s">
        <v>8591</v>
      </c>
      <c r="M14" s="131" t="s">
        <v>8592</v>
      </c>
    </row>
    <row r="15" spans="1:13">
      <c r="A15" s="130" t="s">
        <v>8574</v>
      </c>
      <c r="B15" s="126">
        <f>月別会員数!CA9</f>
        <v>7</v>
      </c>
      <c r="C15" s="126">
        <v>9</v>
      </c>
      <c r="D15" s="126">
        <f>月別会員数!CC9</f>
        <v>11</v>
      </c>
      <c r="E15" s="126">
        <f>月別会員数!CD9</f>
        <v>7</v>
      </c>
      <c r="F15" s="126">
        <f>月別会員数!CE9</f>
        <v>8</v>
      </c>
      <c r="G15" s="126">
        <f>月別会員数!CF9</f>
        <v>10</v>
      </c>
      <c r="H15" s="126">
        <f>月別会員数!CG9</f>
        <v>10</v>
      </c>
      <c r="I15" s="126">
        <f>月別会員数!CH9</f>
        <v>4</v>
      </c>
      <c r="J15" s="126">
        <f>月別会員数!CI9</f>
        <v>8</v>
      </c>
      <c r="K15" s="126">
        <f>月別会員数!CJ9</f>
        <v>9</v>
      </c>
      <c r="L15" s="126">
        <f>月別会員数!CK9</f>
        <v>7</v>
      </c>
      <c r="M15" s="126">
        <f>月別会員数!CL9</f>
        <v>10</v>
      </c>
    </row>
    <row r="16" spans="1:13">
      <c r="A16" s="130" t="s">
        <v>8575</v>
      </c>
      <c r="B16" s="126">
        <f>退会者!B25</f>
        <v>5</v>
      </c>
      <c r="C16" s="126">
        <f>退会者!C25</f>
        <v>6</v>
      </c>
      <c r="D16" s="126">
        <f>退会者!D25</f>
        <v>5</v>
      </c>
      <c r="E16" s="126">
        <f>退会者!E25</f>
        <v>9</v>
      </c>
      <c r="F16" s="126">
        <f>退会者!F25</f>
        <v>5</v>
      </c>
      <c r="G16" s="126">
        <f>退会者!G25</f>
        <v>4</v>
      </c>
      <c r="H16" s="126">
        <f>退会者!H25</f>
        <v>7</v>
      </c>
      <c r="I16" s="126">
        <f>退会者!I25</f>
        <v>4</v>
      </c>
      <c r="J16" s="126">
        <f>退会者!J25</f>
        <v>3</v>
      </c>
      <c r="K16" s="126">
        <f>退会者!K25</f>
        <v>5</v>
      </c>
      <c r="L16" s="126">
        <f>退会者!L25</f>
        <v>2</v>
      </c>
      <c r="M16" s="126">
        <f>退会者!M25</f>
        <v>6</v>
      </c>
    </row>
    <row r="17" spans="1:13">
      <c r="A17" s="130" t="s">
        <v>8576</v>
      </c>
      <c r="B17" s="126">
        <f>体験利用者数!B18</f>
        <v>7</v>
      </c>
      <c r="C17" s="126">
        <f>体験利用者数!C18</f>
        <v>15</v>
      </c>
      <c r="D17" s="126">
        <f>体験利用者数!D18</f>
        <v>13</v>
      </c>
      <c r="E17" s="126">
        <f>体験利用者数!E18</f>
        <v>21</v>
      </c>
      <c r="F17" s="126">
        <f>体験利用者数!F18</f>
        <v>14</v>
      </c>
      <c r="G17" s="126">
        <f>体験利用者数!G18</f>
        <v>22</v>
      </c>
      <c r="H17" s="126">
        <f>体験利用者数!H18</f>
        <v>9</v>
      </c>
      <c r="I17" s="126">
        <f>体験利用者数!I18</f>
        <v>19</v>
      </c>
      <c r="J17" s="126">
        <f>体験利用者数!J18</f>
        <v>21</v>
      </c>
      <c r="K17" s="126">
        <f>体験利用者数!K18</f>
        <v>12</v>
      </c>
      <c r="L17" s="126">
        <f>体験利用者数!L18</f>
        <v>10</v>
      </c>
      <c r="M17" s="126">
        <f>体験利用者数!M18</f>
        <v>19</v>
      </c>
    </row>
    <row r="18" spans="1:13">
      <c r="A18" s="130" t="s">
        <v>8577</v>
      </c>
      <c r="B18" s="126" cm="1">
        <f t="array" ref="B18:M18">フィッティング者数!B18:M18</f>
        <v>9</v>
      </c>
      <c r="C18" s="126">
        <v>14</v>
      </c>
      <c r="D18" s="126">
        <v>6</v>
      </c>
      <c r="E18" s="126">
        <v>6</v>
      </c>
      <c r="F18" s="126">
        <v>6</v>
      </c>
      <c r="G18" s="126">
        <v>9</v>
      </c>
      <c r="H18" s="126">
        <v>7</v>
      </c>
      <c r="I18" s="126">
        <v>6</v>
      </c>
      <c r="J18" s="126">
        <v>2</v>
      </c>
      <c r="K18" s="126">
        <v>5</v>
      </c>
      <c r="L18" s="126">
        <v>8</v>
      </c>
      <c r="M18" s="126">
        <v>14</v>
      </c>
    </row>
    <row r="19" spans="1:13">
      <c r="A19" s="130" t="s">
        <v>8578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</row>
    <row r="20" spans="1:13">
      <c r="A20" s="130" t="s">
        <v>8579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</row>
    <row r="21" spans="1:13">
      <c r="A21" s="130" t="s">
        <v>8580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</row>
    <row r="22" spans="1:13">
      <c r="A22" s="130" t="s">
        <v>8593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</row>
    <row r="23" spans="1:13">
      <c r="A23" s="130" t="s">
        <v>8594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58"/>
  <sheetViews>
    <sheetView topLeftCell="H1" zoomScale="70" zoomScaleNormal="70" zoomScaleSheetLayoutView="85" workbookViewId="0">
      <pane xSplit="11" topLeftCell="BX1" activePane="topRight" state="frozen"/>
      <selection activeCell="H25" sqref="H25"/>
      <selection pane="topRight" activeCell="CP40" sqref="CP40"/>
    </sheetView>
  </sheetViews>
  <sheetFormatPr defaultRowHeight="13.2"/>
  <cols>
    <col min="1" max="1" width="10.21875" bestFit="1" customWidth="1"/>
    <col min="2" max="2" width="10.21875" customWidth="1"/>
    <col min="3" max="17" width="5.6640625" style="107" customWidth="1"/>
    <col min="18" max="18" width="10.21875" style="107" bestFit="1" customWidth="1"/>
    <col min="19" max="29" width="5.6640625" style="107" customWidth="1"/>
    <col min="30" max="31" width="5.6640625" customWidth="1"/>
    <col min="32" max="42" width="5.77734375" customWidth="1"/>
    <col min="43" max="43" width="5.6640625" customWidth="1"/>
    <col min="44" max="65" width="5.77734375" customWidth="1"/>
    <col min="67" max="75" width="5.6640625" customWidth="1"/>
    <col min="76" max="76" width="7.77734375" bestFit="1" customWidth="1"/>
    <col min="77" max="78" width="5.6640625" customWidth="1"/>
    <col min="79" max="89" width="5.77734375" customWidth="1"/>
  </cols>
  <sheetData>
    <row r="1" spans="1:98">
      <c r="C1" s="278" t="s">
        <v>8595</v>
      </c>
      <c r="D1" s="279"/>
      <c r="E1" s="279"/>
      <c r="F1" s="279"/>
      <c r="G1" s="279"/>
      <c r="H1" s="279"/>
      <c r="I1" s="279"/>
      <c r="J1" s="279"/>
      <c r="K1" s="280"/>
      <c r="L1" s="135" t="s">
        <v>8596</v>
      </c>
      <c r="M1" s="136"/>
      <c r="N1" s="136"/>
      <c r="O1" s="136"/>
      <c r="P1" s="136"/>
      <c r="Q1" s="136"/>
      <c r="CT1">
        <v>1</v>
      </c>
    </row>
    <row r="2" spans="1:98">
      <c r="C2" s="110" t="s">
        <v>8597</v>
      </c>
      <c r="D2" s="110" t="s">
        <v>8519</v>
      </c>
      <c r="E2" s="110" t="s">
        <v>8518</v>
      </c>
      <c r="F2" s="110" t="s">
        <v>8517</v>
      </c>
      <c r="G2" s="110" t="s">
        <v>8516</v>
      </c>
      <c r="H2" s="110" t="s">
        <v>8515</v>
      </c>
      <c r="I2" s="110" t="s">
        <v>8514</v>
      </c>
      <c r="J2" s="110" t="s">
        <v>8513</v>
      </c>
      <c r="K2" s="110" t="s">
        <v>8512</v>
      </c>
      <c r="L2" s="110" t="s">
        <v>8557</v>
      </c>
      <c r="M2" s="110" t="s">
        <v>8522</v>
      </c>
      <c r="N2" s="110" t="s">
        <v>8521</v>
      </c>
      <c r="O2" s="110" t="s">
        <v>8520</v>
      </c>
      <c r="P2" s="110" t="s">
        <v>8519</v>
      </c>
      <c r="Q2" s="137"/>
      <c r="S2" s="107" t="s">
        <v>8598</v>
      </c>
      <c r="AE2" t="s">
        <v>8599</v>
      </c>
      <c r="AQ2" t="s">
        <v>8600</v>
      </c>
      <c r="BC2" t="s">
        <v>8601</v>
      </c>
      <c r="BO2" t="s">
        <v>8572</v>
      </c>
      <c r="CA2" t="s">
        <v>8602</v>
      </c>
    </row>
    <row r="3" spans="1:98" ht="18" thickBot="1">
      <c r="A3" t="s">
        <v>8571</v>
      </c>
      <c r="B3" s="120" t="s">
        <v>8603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28"/>
      <c r="P3" s="128"/>
      <c r="Q3" s="137"/>
      <c r="R3" s="138" t="s">
        <v>8571</v>
      </c>
      <c r="S3" s="139" t="s">
        <v>8518</v>
      </c>
      <c r="T3" s="139" t="s">
        <v>8517</v>
      </c>
      <c r="U3" s="139" t="s">
        <v>8516</v>
      </c>
      <c r="V3" s="139" t="s">
        <v>8515</v>
      </c>
      <c r="W3" s="139" t="s">
        <v>8514</v>
      </c>
      <c r="X3" s="139" t="s">
        <v>8513</v>
      </c>
      <c r="Y3" s="139" t="s">
        <v>8512</v>
      </c>
      <c r="Z3" s="139" t="s">
        <v>8557</v>
      </c>
      <c r="AA3" s="139" t="s">
        <v>8522</v>
      </c>
      <c r="AB3" s="139" t="s">
        <v>8521</v>
      </c>
      <c r="AC3" s="139" t="s">
        <v>8520</v>
      </c>
      <c r="AD3" s="140" t="s">
        <v>8519</v>
      </c>
      <c r="AE3" s="141" t="s">
        <v>8559</v>
      </c>
      <c r="AF3" s="139" t="s">
        <v>8517</v>
      </c>
      <c r="AG3" s="139" t="s">
        <v>8516</v>
      </c>
      <c r="AH3" s="139" t="s">
        <v>8515</v>
      </c>
      <c r="AI3" s="139" t="s">
        <v>8514</v>
      </c>
      <c r="AJ3" s="139" t="s">
        <v>8513</v>
      </c>
      <c r="AK3" s="139" t="s">
        <v>8512</v>
      </c>
      <c r="AL3" s="139" t="s">
        <v>8557</v>
      </c>
      <c r="AM3" s="139" t="s">
        <v>8522</v>
      </c>
      <c r="AN3" s="139" t="s">
        <v>8521</v>
      </c>
      <c r="AO3" s="139" t="s">
        <v>8520</v>
      </c>
      <c r="AP3" s="140" t="s">
        <v>8519</v>
      </c>
      <c r="AQ3" s="142" t="s">
        <v>8559</v>
      </c>
      <c r="AR3" s="143" t="s">
        <v>8517</v>
      </c>
      <c r="AS3" s="143" t="s">
        <v>8516</v>
      </c>
      <c r="AT3" s="143" t="s">
        <v>8515</v>
      </c>
      <c r="AU3" s="143" t="s">
        <v>8514</v>
      </c>
      <c r="AV3" s="143" t="s">
        <v>8513</v>
      </c>
      <c r="AW3" s="143" t="s">
        <v>8512</v>
      </c>
      <c r="AX3" s="143" t="s">
        <v>8557</v>
      </c>
      <c r="AY3" s="143" t="s">
        <v>8522</v>
      </c>
      <c r="AZ3" s="143" t="s">
        <v>8521</v>
      </c>
      <c r="BA3" s="143" t="s">
        <v>8520</v>
      </c>
      <c r="BB3" s="144" t="s">
        <v>8519</v>
      </c>
      <c r="BC3" s="141" t="s">
        <v>8559</v>
      </c>
      <c r="BD3" s="139" t="s">
        <v>8517</v>
      </c>
      <c r="BE3" s="145" t="s">
        <v>8516</v>
      </c>
      <c r="BF3" s="145" t="s">
        <v>8515</v>
      </c>
      <c r="BG3" s="145" t="s">
        <v>8514</v>
      </c>
      <c r="BH3" s="145" t="s">
        <v>8513</v>
      </c>
      <c r="BI3" s="145" t="s">
        <v>8512</v>
      </c>
      <c r="BJ3" s="145" t="s">
        <v>8557</v>
      </c>
      <c r="BK3" s="145" t="s">
        <v>8522</v>
      </c>
      <c r="BL3" s="145" t="s">
        <v>8521</v>
      </c>
      <c r="BM3" s="145" t="s">
        <v>8520</v>
      </c>
      <c r="BN3" s="146" t="s">
        <v>8519</v>
      </c>
      <c r="BO3" s="119" t="s">
        <v>8559</v>
      </c>
      <c r="BP3" s="119" t="s">
        <v>8517</v>
      </c>
      <c r="BQ3" s="119" t="s">
        <v>8516</v>
      </c>
      <c r="BR3" s="119" t="s">
        <v>8515</v>
      </c>
      <c r="BS3" s="119" t="s">
        <v>8514</v>
      </c>
      <c r="BT3" s="119" t="s">
        <v>8513</v>
      </c>
      <c r="BU3" s="119" t="s">
        <v>8512</v>
      </c>
      <c r="BV3" s="119" t="s">
        <v>8557</v>
      </c>
      <c r="BW3" s="119" t="s">
        <v>8522</v>
      </c>
      <c r="BX3" s="119" t="s">
        <v>8521</v>
      </c>
      <c r="BY3" s="119" t="s">
        <v>8520</v>
      </c>
      <c r="BZ3" s="119" t="s">
        <v>8519</v>
      </c>
      <c r="CA3" s="147" t="s">
        <v>8559</v>
      </c>
      <c r="CB3" s="145" t="s">
        <v>8517</v>
      </c>
      <c r="CC3" s="145" t="s">
        <v>8516</v>
      </c>
      <c r="CD3" s="145" t="s">
        <v>8515</v>
      </c>
      <c r="CE3" s="145" t="s">
        <v>8514</v>
      </c>
      <c r="CF3" s="145" t="s">
        <v>8513</v>
      </c>
      <c r="CG3" s="145" t="s">
        <v>8512</v>
      </c>
      <c r="CH3" s="145" t="s">
        <v>8557</v>
      </c>
      <c r="CI3" s="145" t="s">
        <v>8522</v>
      </c>
      <c r="CJ3" s="145" t="s">
        <v>8521</v>
      </c>
      <c r="CK3" s="145" t="s">
        <v>8520</v>
      </c>
      <c r="CL3" s="148" t="s">
        <v>8519</v>
      </c>
      <c r="CM3" s="148" t="s">
        <v>8518</v>
      </c>
      <c r="CN3" s="148" t="s">
        <v>8517</v>
      </c>
      <c r="CO3" s="148" t="s">
        <v>8516</v>
      </c>
      <c r="CP3" s="148" t="s">
        <v>8515</v>
      </c>
      <c r="CQ3" s="148" t="s">
        <v>8514</v>
      </c>
      <c r="CR3" s="148" t="s">
        <v>8513</v>
      </c>
    </row>
    <row r="4" spans="1:98" ht="13.8" thickTop="1">
      <c r="B4" s="120" t="s">
        <v>8560</v>
      </c>
      <c r="C4" s="110">
        <v>3</v>
      </c>
      <c r="D4" s="110"/>
      <c r="E4" s="110">
        <v>1</v>
      </c>
      <c r="F4" s="110">
        <v>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37"/>
      <c r="R4" s="149" t="s">
        <v>8560</v>
      </c>
      <c r="S4" s="150">
        <v>1</v>
      </c>
      <c r="T4" s="150">
        <v>0</v>
      </c>
      <c r="U4" s="150">
        <v>1</v>
      </c>
      <c r="V4" s="150">
        <v>2</v>
      </c>
      <c r="W4" s="150">
        <v>1</v>
      </c>
      <c r="X4" s="150">
        <v>2</v>
      </c>
      <c r="Y4" s="150">
        <v>0</v>
      </c>
      <c r="Z4" s="150">
        <v>2</v>
      </c>
      <c r="AA4" s="150">
        <v>1</v>
      </c>
      <c r="AB4" s="151">
        <v>0</v>
      </c>
      <c r="AC4" s="151">
        <v>0</v>
      </c>
      <c r="AD4" s="152">
        <v>0</v>
      </c>
      <c r="AE4" s="150">
        <v>0</v>
      </c>
      <c r="AF4" s="150">
        <v>0</v>
      </c>
      <c r="AG4" s="151">
        <v>2</v>
      </c>
      <c r="AH4" s="151">
        <v>1</v>
      </c>
      <c r="AI4" s="150">
        <v>0</v>
      </c>
      <c r="AJ4" s="153">
        <v>0</v>
      </c>
      <c r="AK4" s="153">
        <v>2</v>
      </c>
      <c r="AL4" s="153">
        <v>1</v>
      </c>
      <c r="AM4" s="153">
        <v>1</v>
      </c>
      <c r="AN4" s="153">
        <v>1</v>
      </c>
      <c r="AO4" s="153">
        <v>0</v>
      </c>
      <c r="AP4" s="153">
        <v>3</v>
      </c>
      <c r="AQ4" s="150">
        <v>0</v>
      </c>
      <c r="AR4" s="150">
        <v>0</v>
      </c>
      <c r="AS4" s="150">
        <v>0</v>
      </c>
      <c r="AT4" s="151">
        <v>0</v>
      </c>
      <c r="AU4" s="150">
        <v>0</v>
      </c>
      <c r="AV4" s="150">
        <v>1</v>
      </c>
      <c r="AW4" s="150">
        <v>1</v>
      </c>
      <c r="AX4" s="153">
        <v>0</v>
      </c>
      <c r="AY4" s="153">
        <v>0</v>
      </c>
      <c r="AZ4" s="153">
        <v>0</v>
      </c>
      <c r="BA4" s="153">
        <v>0</v>
      </c>
      <c r="BB4" s="153">
        <v>0</v>
      </c>
      <c r="BC4" s="150">
        <v>1</v>
      </c>
      <c r="BD4" s="152">
        <v>3</v>
      </c>
      <c r="BE4" s="150">
        <v>2</v>
      </c>
      <c r="BF4" s="151"/>
      <c r="BG4" s="150"/>
      <c r="BH4" s="150">
        <v>1</v>
      </c>
      <c r="BI4" s="150"/>
      <c r="BJ4" s="153">
        <v>1</v>
      </c>
      <c r="BK4" s="153">
        <v>1</v>
      </c>
      <c r="BL4" s="154"/>
      <c r="BM4" s="154"/>
      <c r="BN4" s="155">
        <v>0</v>
      </c>
      <c r="BO4" s="120">
        <v>4</v>
      </c>
      <c r="BP4" s="120">
        <v>2</v>
      </c>
      <c r="BQ4" s="120"/>
      <c r="BR4" s="120">
        <v>2</v>
      </c>
      <c r="BS4" s="120"/>
      <c r="BT4" s="120"/>
      <c r="BU4" s="120"/>
      <c r="BV4" s="120">
        <v>1</v>
      </c>
      <c r="BW4" s="120"/>
      <c r="BX4" s="120"/>
      <c r="BY4" s="120">
        <v>1</v>
      </c>
      <c r="BZ4" s="120">
        <v>1</v>
      </c>
      <c r="CA4" s="110">
        <v>0</v>
      </c>
      <c r="CB4" s="110">
        <v>1</v>
      </c>
      <c r="CC4" s="110">
        <v>0</v>
      </c>
      <c r="CD4" s="110">
        <v>0</v>
      </c>
      <c r="CE4" s="110">
        <v>0</v>
      </c>
      <c r="CF4" s="110">
        <v>1</v>
      </c>
      <c r="CG4" s="110">
        <v>2</v>
      </c>
      <c r="CH4" s="110">
        <v>1</v>
      </c>
      <c r="CI4" s="110">
        <v>3</v>
      </c>
      <c r="CJ4" s="110">
        <f>入会者!K21</f>
        <v>2</v>
      </c>
      <c r="CK4" s="110">
        <f>入会者!L21</f>
        <v>3</v>
      </c>
      <c r="CL4" s="110">
        <v>2</v>
      </c>
      <c r="CM4" s="110"/>
      <c r="CN4" s="110"/>
      <c r="CO4" s="110"/>
      <c r="CP4" s="110"/>
      <c r="CQ4" s="110"/>
      <c r="CR4" s="110"/>
    </row>
    <row r="5" spans="1:98">
      <c r="B5" s="120" t="s">
        <v>8561</v>
      </c>
      <c r="C5" s="110">
        <v>14</v>
      </c>
      <c r="D5" s="110">
        <v>13</v>
      </c>
      <c r="E5" s="110">
        <v>5</v>
      </c>
      <c r="F5" s="110">
        <v>6</v>
      </c>
      <c r="G5" s="110">
        <v>8</v>
      </c>
      <c r="H5" s="110">
        <v>6</v>
      </c>
      <c r="I5" s="110">
        <v>1</v>
      </c>
      <c r="J5" s="110">
        <v>3</v>
      </c>
      <c r="K5" s="110">
        <v>2</v>
      </c>
      <c r="L5" s="110">
        <v>10</v>
      </c>
      <c r="M5" s="110">
        <v>2</v>
      </c>
      <c r="N5" s="110">
        <v>0</v>
      </c>
      <c r="O5" s="110">
        <v>3</v>
      </c>
      <c r="P5" s="110">
        <v>2</v>
      </c>
      <c r="Q5" s="137"/>
      <c r="R5" s="149" t="s">
        <v>8561</v>
      </c>
      <c r="S5" s="150">
        <v>10</v>
      </c>
      <c r="T5" s="150">
        <v>3</v>
      </c>
      <c r="U5" s="150">
        <v>1</v>
      </c>
      <c r="V5" s="150">
        <v>2</v>
      </c>
      <c r="W5" s="150">
        <v>5</v>
      </c>
      <c r="X5" s="150">
        <v>4</v>
      </c>
      <c r="Y5" s="150">
        <v>7</v>
      </c>
      <c r="Z5" s="150">
        <v>6</v>
      </c>
      <c r="AA5" s="150">
        <v>3</v>
      </c>
      <c r="AB5" s="151">
        <v>9</v>
      </c>
      <c r="AC5" s="151">
        <v>6</v>
      </c>
      <c r="AD5" s="152">
        <v>8</v>
      </c>
      <c r="AE5" s="150">
        <v>5</v>
      </c>
      <c r="AF5" s="150">
        <v>5</v>
      </c>
      <c r="AG5" s="151">
        <v>7</v>
      </c>
      <c r="AH5" s="151">
        <v>7</v>
      </c>
      <c r="AI5" s="150">
        <v>2</v>
      </c>
      <c r="AJ5" s="153">
        <v>6</v>
      </c>
      <c r="AK5" s="153">
        <v>3</v>
      </c>
      <c r="AL5" s="153">
        <v>4</v>
      </c>
      <c r="AM5" s="153">
        <v>8</v>
      </c>
      <c r="AN5" s="153">
        <v>5</v>
      </c>
      <c r="AO5" s="153">
        <v>0</v>
      </c>
      <c r="AP5" s="153">
        <v>1</v>
      </c>
      <c r="AQ5" s="150">
        <v>6</v>
      </c>
      <c r="AR5" s="150">
        <v>3</v>
      </c>
      <c r="AS5" s="151">
        <v>5</v>
      </c>
      <c r="AT5" s="151">
        <v>5</v>
      </c>
      <c r="AU5" s="150">
        <v>6</v>
      </c>
      <c r="AV5" s="150">
        <v>3</v>
      </c>
      <c r="AW5" s="150">
        <v>2</v>
      </c>
      <c r="AX5" s="153">
        <v>8</v>
      </c>
      <c r="AY5" s="153">
        <v>4</v>
      </c>
      <c r="AZ5" s="120">
        <v>5</v>
      </c>
      <c r="BA5" s="153">
        <v>8</v>
      </c>
      <c r="BB5" s="153">
        <v>5</v>
      </c>
      <c r="BC5" s="150">
        <v>6</v>
      </c>
      <c r="BD5" s="152">
        <v>5</v>
      </c>
      <c r="BE5" s="151">
        <v>12</v>
      </c>
      <c r="BF5" s="151">
        <v>8</v>
      </c>
      <c r="BG5" s="150">
        <v>9</v>
      </c>
      <c r="BH5" s="150">
        <v>8</v>
      </c>
      <c r="BI5" s="150">
        <v>4</v>
      </c>
      <c r="BJ5" s="153">
        <v>6</v>
      </c>
      <c r="BK5" s="153">
        <v>10</v>
      </c>
      <c r="BL5" s="156">
        <v>9</v>
      </c>
      <c r="BM5" s="153">
        <v>4</v>
      </c>
      <c r="BN5" s="157">
        <v>5</v>
      </c>
      <c r="BO5" s="120">
        <v>5</v>
      </c>
      <c r="BP5" s="120">
        <v>7</v>
      </c>
      <c r="BQ5" s="120">
        <v>6</v>
      </c>
      <c r="BR5" s="120">
        <v>9</v>
      </c>
      <c r="BS5" s="120">
        <v>5</v>
      </c>
      <c r="BT5" s="120">
        <v>2</v>
      </c>
      <c r="BU5" s="120">
        <v>3</v>
      </c>
      <c r="BV5" s="120">
        <v>4</v>
      </c>
      <c r="BW5" s="120">
        <v>3</v>
      </c>
      <c r="BX5" s="120">
        <v>2</v>
      </c>
      <c r="BY5" s="120">
        <v>3</v>
      </c>
      <c r="BZ5" s="120">
        <v>6</v>
      </c>
      <c r="CA5" s="110">
        <v>7</v>
      </c>
      <c r="CB5" s="110">
        <v>8</v>
      </c>
      <c r="CC5" s="110">
        <v>10</v>
      </c>
      <c r="CD5" s="110">
        <v>5</v>
      </c>
      <c r="CE5" s="110">
        <v>7</v>
      </c>
      <c r="CF5" s="110">
        <v>8</v>
      </c>
      <c r="CG5" s="110">
        <v>8</v>
      </c>
      <c r="CH5" s="110">
        <v>1</v>
      </c>
      <c r="CI5" s="110">
        <v>4</v>
      </c>
      <c r="CJ5" s="110">
        <f>入会者!K22</f>
        <v>6</v>
      </c>
      <c r="CK5" s="110">
        <f>入会者!L22</f>
        <v>2</v>
      </c>
      <c r="CL5" s="110">
        <v>8</v>
      </c>
      <c r="CM5" s="110"/>
      <c r="CN5" s="110"/>
      <c r="CO5" s="110"/>
      <c r="CP5" s="110"/>
      <c r="CQ5" s="110"/>
      <c r="CR5" s="110"/>
    </row>
    <row r="6" spans="1:98">
      <c r="B6" s="120" t="s">
        <v>8562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10"/>
      <c r="P6" s="110"/>
      <c r="Q6" s="137"/>
      <c r="R6" s="149" t="s">
        <v>8562</v>
      </c>
      <c r="S6" s="150">
        <v>11</v>
      </c>
      <c r="T6" s="150">
        <v>4</v>
      </c>
      <c r="U6" s="150">
        <v>4</v>
      </c>
      <c r="V6" s="150">
        <v>1</v>
      </c>
      <c r="W6" s="150">
        <v>10</v>
      </c>
      <c r="X6" s="150">
        <v>7</v>
      </c>
      <c r="Y6" s="150">
        <v>4</v>
      </c>
      <c r="Z6" s="150">
        <v>8</v>
      </c>
      <c r="AA6" s="150">
        <v>4</v>
      </c>
      <c r="AB6" s="151">
        <v>1</v>
      </c>
      <c r="AC6" s="151">
        <v>2</v>
      </c>
      <c r="AD6" s="152">
        <v>0</v>
      </c>
      <c r="AE6" s="150">
        <v>1</v>
      </c>
      <c r="AF6" s="150">
        <v>1</v>
      </c>
      <c r="AG6" s="151">
        <v>0</v>
      </c>
      <c r="AH6" s="151">
        <v>0</v>
      </c>
      <c r="AI6" s="150">
        <v>0</v>
      </c>
      <c r="AJ6" s="153">
        <v>1</v>
      </c>
      <c r="AK6" s="153">
        <v>0</v>
      </c>
      <c r="AL6" s="153">
        <v>0</v>
      </c>
      <c r="AM6" s="153">
        <v>0</v>
      </c>
      <c r="AN6" s="153">
        <v>0</v>
      </c>
      <c r="AO6" s="153">
        <v>0</v>
      </c>
      <c r="AP6" s="153">
        <v>0</v>
      </c>
      <c r="AQ6" s="158">
        <v>0</v>
      </c>
      <c r="AR6" s="158">
        <v>0</v>
      </c>
      <c r="AS6" s="158">
        <v>0</v>
      </c>
      <c r="AT6" s="159">
        <v>0</v>
      </c>
      <c r="AU6" s="158">
        <v>0</v>
      </c>
      <c r="AV6" s="158">
        <v>0</v>
      </c>
      <c r="AW6" s="158">
        <v>0</v>
      </c>
      <c r="AX6" s="160">
        <v>0</v>
      </c>
      <c r="AY6" s="160">
        <v>0</v>
      </c>
      <c r="AZ6" s="161">
        <v>0</v>
      </c>
      <c r="BA6" s="160">
        <v>0</v>
      </c>
      <c r="BB6" s="160">
        <v>0</v>
      </c>
      <c r="BC6" s="158">
        <v>0</v>
      </c>
      <c r="BD6" s="162">
        <v>0</v>
      </c>
      <c r="BE6" s="158"/>
      <c r="BF6" s="159"/>
      <c r="BG6" s="158"/>
      <c r="BH6" s="158"/>
      <c r="BI6" s="158"/>
      <c r="BJ6" s="160"/>
      <c r="BK6" s="160"/>
      <c r="BL6" s="163"/>
      <c r="BM6" s="160"/>
      <c r="BN6" s="164"/>
      <c r="BO6" s="161"/>
      <c r="BP6" s="161"/>
      <c r="BQ6" s="161"/>
      <c r="BR6" s="161"/>
      <c r="BS6" s="161"/>
      <c r="BT6" s="161"/>
      <c r="BU6" s="161"/>
      <c r="BV6" s="161"/>
      <c r="BW6" s="161"/>
      <c r="BX6" s="161"/>
      <c r="BY6" s="161"/>
      <c r="BZ6" s="161"/>
      <c r="CA6" s="188">
        <v>0</v>
      </c>
      <c r="CB6" s="188">
        <v>0</v>
      </c>
      <c r="CC6" s="161">
        <v>0</v>
      </c>
      <c r="CD6" s="110">
        <v>0</v>
      </c>
      <c r="CE6" s="161">
        <v>0</v>
      </c>
      <c r="CF6" s="161">
        <v>0</v>
      </c>
      <c r="CG6" s="161">
        <v>0</v>
      </c>
      <c r="CH6" s="161"/>
      <c r="CI6" s="161"/>
      <c r="CJ6" s="110">
        <f>入会者!K23</f>
        <v>0</v>
      </c>
      <c r="CK6" s="110">
        <f>入会者!L23</f>
        <v>0</v>
      </c>
      <c r="CL6" s="161">
        <v>0</v>
      </c>
      <c r="CM6" s="161"/>
      <c r="CN6" s="161"/>
      <c r="CO6" s="161"/>
      <c r="CP6" s="161"/>
      <c r="CQ6" s="161"/>
      <c r="CR6" s="161"/>
    </row>
    <row r="7" spans="1:98">
      <c r="B7" s="120" t="s">
        <v>8563</v>
      </c>
      <c r="C7" s="110">
        <v>2</v>
      </c>
      <c r="D7" s="110">
        <v>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37"/>
      <c r="R7" s="149" t="s">
        <v>8563</v>
      </c>
      <c r="S7" s="150">
        <v>0</v>
      </c>
      <c r="T7" s="150">
        <v>0</v>
      </c>
      <c r="U7" s="150">
        <v>0</v>
      </c>
      <c r="V7" s="150">
        <v>0</v>
      </c>
      <c r="W7" s="150">
        <v>0</v>
      </c>
      <c r="X7" s="150">
        <v>0</v>
      </c>
      <c r="Y7" s="150">
        <v>0</v>
      </c>
      <c r="Z7" s="150">
        <v>1</v>
      </c>
      <c r="AA7" s="150">
        <v>0</v>
      </c>
      <c r="AB7" s="151">
        <v>0</v>
      </c>
      <c r="AC7" s="151">
        <v>0</v>
      </c>
      <c r="AD7" s="152">
        <v>0</v>
      </c>
      <c r="AE7" s="150">
        <v>0</v>
      </c>
      <c r="AF7" s="150">
        <v>0</v>
      </c>
      <c r="AG7" s="151">
        <v>0</v>
      </c>
      <c r="AH7" s="151">
        <v>0</v>
      </c>
      <c r="AI7" s="150">
        <v>0</v>
      </c>
      <c r="AJ7" s="153">
        <v>0</v>
      </c>
      <c r="AK7" s="153">
        <v>0</v>
      </c>
      <c r="AL7" s="153">
        <v>0</v>
      </c>
      <c r="AM7" s="153">
        <v>0</v>
      </c>
      <c r="AN7" s="153">
        <v>1</v>
      </c>
      <c r="AO7" s="153">
        <v>0</v>
      </c>
      <c r="AP7" s="153">
        <v>0</v>
      </c>
      <c r="AQ7" s="150">
        <v>0</v>
      </c>
      <c r="AR7" s="150">
        <v>0</v>
      </c>
      <c r="AS7" s="150">
        <v>0</v>
      </c>
      <c r="AT7" s="151">
        <v>0</v>
      </c>
      <c r="AU7" s="150">
        <v>0</v>
      </c>
      <c r="AV7" s="150">
        <v>0</v>
      </c>
      <c r="AW7" s="150">
        <v>0</v>
      </c>
      <c r="AX7" s="153">
        <v>0</v>
      </c>
      <c r="AY7" s="153">
        <v>0</v>
      </c>
      <c r="AZ7" s="120">
        <v>2</v>
      </c>
      <c r="BA7" s="153">
        <v>0</v>
      </c>
      <c r="BB7" s="153">
        <v>0</v>
      </c>
      <c r="BC7" s="150">
        <v>0</v>
      </c>
      <c r="BD7" s="152">
        <v>0</v>
      </c>
      <c r="BE7" s="150"/>
      <c r="BF7" s="151"/>
      <c r="BG7" s="150"/>
      <c r="BH7" s="150"/>
      <c r="BI7" s="150"/>
      <c r="BJ7" s="153"/>
      <c r="BK7" s="153"/>
      <c r="BL7" s="156"/>
      <c r="BM7" s="153">
        <v>1</v>
      </c>
      <c r="BN7" s="157"/>
      <c r="BO7" s="120"/>
      <c r="BP7" s="120"/>
      <c r="BQ7" s="120">
        <v>1</v>
      </c>
      <c r="BR7" s="120"/>
      <c r="BS7" s="120"/>
      <c r="BT7" s="120"/>
      <c r="BU7" s="120"/>
      <c r="BV7" s="120"/>
      <c r="BW7" s="120"/>
      <c r="BX7" s="120"/>
      <c r="BY7" s="120"/>
      <c r="BZ7" s="120">
        <v>1</v>
      </c>
      <c r="CA7" s="110">
        <v>0</v>
      </c>
      <c r="CB7" s="110">
        <v>0</v>
      </c>
      <c r="CC7" s="110">
        <v>0</v>
      </c>
      <c r="CD7" s="110">
        <v>2</v>
      </c>
      <c r="CE7" s="110">
        <v>1</v>
      </c>
      <c r="CF7" s="110">
        <v>1</v>
      </c>
      <c r="CG7" s="110">
        <v>0</v>
      </c>
      <c r="CH7" s="110"/>
      <c r="CI7" s="110"/>
      <c r="CJ7" s="110">
        <f>入会者!K24</f>
        <v>0</v>
      </c>
      <c r="CK7" s="110">
        <f>入会者!L24</f>
        <v>1</v>
      </c>
      <c r="CL7" s="110">
        <v>0</v>
      </c>
      <c r="CM7" s="110"/>
      <c r="CN7" s="110"/>
      <c r="CO7" s="110"/>
      <c r="CP7" s="110"/>
      <c r="CQ7" s="110"/>
      <c r="CR7" s="110"/>
    </row>
    <row r="8" spans="1:98" ht="13.8" thickBot="1">
      <c r="B8" s="120" t="s">
        <v>8604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10"/>
      <c r="P8" s="110"/>
      <c r="Q8" s="137"/>
      <c r="R8" s="165" t="s">
        <v>8605</v>
      </c>
      <c r="S8" s="150">
        <v>0</v>
      </c>
      <c r="T8" s="150">
        <v>0</v>
      </c>
      <c r="U8" s="150">
        <v>1</v>
      </c>
      <c r="V8" s="166">
        <v>0</v>
      </c>
      <c r="W8" s="166">
        <v>0</v>
      </c>
      <c r="X8" s="166">
        <v>1</v>
      </c>
      <c r="Y8" s="166">
        <v>0</v>
      </c>
      <c r="Z8" s="166">
        <v>0</v>
      </c>
      <c r="AA8" s="166">
        <v>0</v>
      </c>
      <c r="AB8" s="167">
        <v>0</v>
      </c>
      <c r="AC8" s="167">
        <v>2</v>
      </c>
      <c r="AD8" s="168">
        <v>1</v>
      </c>
      <c r="AE8" s="166">
        <v>0</v>
      </c>
      <c r="AF8" s="169">
        <v>0</v>
      </c>
      <c r="AG8" s="151">
        <v>1</v>
      </c>
      <c r="AH8" s="170">
        <v>1</v>
      </c>
      <c r="AI8" s="169">
        <v>0</v>
      </c>
      <c r="AJ8" s="171">
        <v>0</v>
      </c>
      <c r="AK8" s="171">
        <v>0</v>
      </c>
      <c r="AL8" s="171">
        <v>0</v>
      </c>
      <c r="AM8" s="171">
        <v>1</v>
      </c>
      <c r="AN8" s="171">
        <v>1</v>
      </c>
      <c r="AO8" s="171">
        <v>0</v>
      </c>
      <c r="AP8" s="171">
        <v>0</v>
      </c>
      <c r="AQ8" s="166">
        <v>0</v>
      </c>
      <c r="AR8" s="169">
        <v>0</v>
      </c>
      <c r="AS8" s="151">
        <v>2</v>
      </c>
      <c r="AT8" s="170">
        <v>1</v>
      </c>
      <c r="AU8" s="169">
        <v>0</v>
      </c>
      <c r="AV8" s="169">
        <v>0</v>
      </c>
      <c r="AW8" s="169">
        <v>1</v>
      </c>
      <c r="AX8" s="171">
        <v>3</v>
      </c>
      <c r="AY8" s="171">
        <v>0</v>
      </c>
      <c r="AZ8" s="171">
        <v>2</v>
      </c>
      <c r="BA8" s="171">
        <v>0</v>
      </c>
      <c r="BB8" s="171">
        <v>1</v>
      </c>
      <c r="BC8" s="166">
        <v>0</v>
      </c>
      <c r="BD8" s="168">
        <v>1</v>
      </c>
      <c r="BE8" s="167">
        <v>1</v>
      </c>
      <c r="BF8" s="167"/>
      <c r="BG8" s="166"/>
      <c r="BH8" s="166">
        <v>1</v>
      </c>
      <c r="BI8" s="166"/>
      <c r="BJ8" s="172"/>
      <c r="BK8" s="172"/>
      <c r="BL8" s="172">
        <v>1</v>
      </c>
      <c r="BM8" s="172">
        <v>1</v>
      </c>
      <c r="BN8" s="173">
        <v>1</v>
      </c>
      <c r="BO8" s="174"/>
      <c r="BP8" s="174"/>
      <c r="BQ8" s="174">
        <v>1</v>
      </c>
      <c r="BR8" s="174"/>
      <c r="BS8" s="174">
        <v>1</v>
      </c>
      <c r="BT8" s="174"/>
      <c r="BU8" s="174"/>
      <c r="BV8" s="174"/>
      <c r="BW8" s="174">
        <v>1</v>
      </c>
      <c r="BX8" s="174">
        <v>1</v>
      </c>
      <c r="BY8" s="174">
        <v>2</v>
      </c>
      <c r="BZ8" s="174"/>
      <c r="CA8" s="175">
        <v>0</v>
      </c>
      <c r="CB8" s="175">
        <v>1</v>
      </c>
      <c r="CC8" s="175">
        <v>1</v>
      </c>
      <c r="CD8" s="110">
        <v>0</v>
      </c>
      <c r="CE8" s="175">
        <v>0</v>
      </c>
      <c r="CF8" s="175">
        <v>0</v>
      </c>
      <c r="CG8" s="175">
        <v>0</v>
      </c>
      <c r="CH8" s="175">
        <v>2</v>
      </c>
      <c r="CI8" s="175">
        <v>1</v>
      </c>
      <c r="CJ8" s="110">
        <f>入会者!K25</f>
        <v>1</v>
      </c>
      <c r="CK8" s="110">
        <f>入会者!L25</f>
        <v>1</v>
      </c>
      <c r="CL8" s="175">
        <v>0</v>
      </c>
      <c r="CM8" s="175"/>
      <c r="CN8" s="175"/>
      <c r="CO8" s="175"/>
      <c r="CP8" s="175"/>
      <c r="CQ8" s="175"/>
      <c r="CR8" s="175"/>
    </row>
    <row r="9" spans="1:98" ht="38.1" customHeight="1" thickTop="1">
      <c r="B9" s="110" t="s">
        <v>8565</v>
      </c>
      <c r="C9" s="110">
        <f>SUM(C3:C8)</f>
        <v>19</v>
      </c>
      <c r="D9" s="110">
        <f t="shared" ref="D9:P9" si="0">SUM(D3:D8)</f>
        <v>14</v>
      </c>
      <c r="E9" s="110">
        <f t="shared" si="0"/>
        <v>6</v>
      </c>
      <c r="F9" s="110">
        <f t="shared" si="0"/>
        <v>9</v>
      </c>
      <c r="G9" s="110">
        <f t="shared" si="0"/>
        <v>8</v>
      </c>
      <c r="H9" s="110">
        <f t="shared" si="0"/>
        <v>6</v>
      </c>
      <c r="I9" s="110">
        <f t="shared" si="0"/>
        <v>1</v>
      </c>
      <c r="J9" s="110">
        <f t="shared" si="0"/>
        <v>3</v>
      </c>
      <c r="K9" s="110">
        <f t="shared" si="0"/>
        <v>2</v>
      </c>
      <c r="L9" s="110">
        <f t="shared" si="0"/>
        <v>10</v>
      </c>
      <c r="M9" s="110">
        <f t="shared" si="0"/>
        <v>2</v>
      </c>
      <c r="N9" s="110">
        <f t="shared" si="0"/>
        <v>0</v>
      </c>
      <c r="O9" s="110">
        <f t="shared" si="0"/>
        <v>3</v>
      </c>
      <c r="P9" s="110">
        <f t="shared" si="0"/>
        <v>2</v>
      </c>
      <c r="Q9" s="137"/>
      <c r="R9" s="176" t="s">
        <v>8565</v>
      </c>
      <c r="S9" s="177">
        <f t="shared" ref="S9:AN9" si="1">SUM(S4:S8)</f>
        <v>22</v>
      </c>
      <c r="T9" s="177">
        <f t="shared" si="1"/>
        <v>7</v>
      </c>
      <c r="U9" s="177">
        <f t="shared" si="1"/>
        <v>7</v>
      </c>
      <c r="V9" s="177">
        <f t="shared" si="1"/>
        <v>5</v>
      </c>
      <c r="W9" s="177">
        <f t="shared" si="1"/>
        <v>16</v>
      </c>
      <c r="X9" s="177">
        <f t="shared" si="1"/>
        <v>14</v>
      </c>
      <c r="Y9" s="177">
        <f t="shared" si="1"/>
        <v>11</v>
      </c>
      <c r="Z9" s="177">
        <f t="shared" si="1"/>
        <v>17</v>
      </c>
      <c r="AA9" s="177">
        <f t="shared" si="1"/>
        <v>8</v>
      </c>
      <c r="AB9" s="177">
        <f t="shared" si="1"/>
        <v>10</v>
      </c>
      <c r="AC9" s="178">
        <f t="shared" si="1"/>
        <v>10</v>
      </c>
      <c r="AD9" s="179">
        <f t="shared" si="1"/>
        <v>9</v>
      </c>
      <c r="AE9" s="179">
        <f t="shared" si="1"/>
        <v>6</v>
      </c>
      <c r="AF9" s="179">
        <f t="shared" si="1"/>
        <v>6</v>
      </c>
      <c r="AG9" s="180">
        <f t="shared" si="1"/>
        <v>10</v>
      </c>
      <c r="AH9" s="180">
        <f t="shared" si="1"/>
        <v>9</v>
      </c>
      <c r="AI9" s="179">
        <f t="shared" si="1"/>
        <v>2</v>
      </c>
      <c r="AJ9" s="179">
        <f t="shared" si="1"/>
        <v>7</v>
      </c>
      <c r="AK9" s="179">
        <f t="shared" si="1"/>
        <v>5</v>
      </c>
      <c r="AL9" s="179">
        <f t="shared" si="1"/>
        <v>5</v>
      </c>
      <c r="AM9" s="179">
        <f t="shared" si="1"/>
        <v>10</v>
      </c>
      <c r="AN9" s="179">
        <f t="shared" si="1"/>
        <v>8</v>
      </c>
      <c r="AO9" s="154">
        <v>0</v>
      </c>
      <c r="AP9" s="154">
        <v>3</v>
      </c>
      <c r="AQ9" s="179">
        <f t="shared" ref="AQ9:BD9" si="2">SUM(AQ4:AQ8)</f>
        <v>6</v>
      </c>
      <c r="AR9" s="179">
        <f t="shared" si="2"/>
        <v>3</v>
      </c>
      <c r="AS9" s="179">
        <f t="shared" si="2"/>
        <v>7</v>
      </c>
      <c r="AT9" s="179">
        <f t="shared" si="2"/>
        <v>6</v>
      </c>
      <c r="AU9" s="179">
        <f t="shared" si="2"/>
        <v>6</v>
      </c>
      <c r="AV9" s="179">
        <f t="shared" si="2"/>
        <v>4</v>
      </c>
      <c r="AW9" s="179">
        <f t="shared" si="2"/>
        <v>4</v>
      </c>
      <c r="AX9" s="179">
        <f t="shared" si="2"/>
        <v>11</v>
      </c>
      <c r="AY9" s="179">
        <f t="shared" si="2"/>
        <v>4</v>
      </c>
      <c r="AZ9" s="179">
        <f t="shared" si="2"/>
        <v>9</v>
      </c>
      <c r="BA9" s="179">
        <f t="shared" si="2"/>
        <v>8</v>
      </c>
      <c r="BB9" s="179">
        <f t="shared" si="2"/>
        <v>6</v>
      </c>
      <c r="BC9" s="179">
        <f t="shared" si="2"/>
        <v>7</v>
      </c>
      <c r="BD9" s="179">
        <f t="shared" si="2"/>
        <v>9</v>
      </c>
      <c r="BE9" s="181">
        <f t="shared" ref="BE9:BN9" si="3">SUM(BE3:BE8)</f>
        <v>15</v>
      </c>
      <c r="BF9" s="181">
        <f t="shared" si="3"/>
        <v>8</v>
      </c>
      <c r="BG9" s="181">
        <f t="shared" si="3"/>
        <v>9</v>
      </c>
      <c r="BH9" s="181">
        <f t="shared" si="3"/>
        <v>10</v>
      </c>
      <c r="BI9" s="181">
        <f t="shared" si="3"/>
        <v>4</v>
      </c>
      <c r="BJ9" s="181">
        <f t="shared" si="3"/>
        <v>7</v>
      </c>
      <c r="BK9" s="181">
        <f t="shared" si="3"/>
        <v>11</v>
      </c>
      <c r="BL9" s="181">
        <f t="shared" si="3"/>
        <v>10</v>
      </c>
      <c r="BM9" s="181">
        <f t="shared" si="3"/>
        <v>6</v>
      </c>
      <c r="BN9" s="182">
        <f t="shared" si="3"/>
        <v>6</v>
      </c>
      <c r="BO9" s="183">
        <v>9</v>
      </c>
      <c r="BP9" s="183">
        <v>9</v>
      </c>
      <c r="BQ9" s="183">
        <v>8</v>
      </c>
      <c r="BR9" s="183">
        <v>11</v>
      </c>
      <c r="BS9" s="183">
        <v>6</v>
      </c>
      <c r="BT9" s="183">
        <v>2</v>
      </c>
      <c r="BU9" s="183">
        <v>3</v>
      </c>
      <c r="BV9" s="183">
        <v>5</v>
      </c>
      <c r="BW9" s="183">
        <v>4</v>
      </c>
      <c r="BX9" s="183">
        <v>3</v>
      </c>
      <c r="BY9" s="183">
        <v>6</v>
      </c>
      <c r="BZ9" s="183">
        <v>8</v>
      </c>
      <c r="CA9" s="184">
        <f t="shared" ref="CA9:CB9" si="4">SUM(CA4:CA8)</f>
        <v>7</v>
      </c>
      <c r="CB9" s="184">
        <f t="shared" si="4"/>
        <v>10</v>
      </c>
      <c r="CC9" s="184">
        <f t="shared" ref="CC9:CL9" si="5">SUM(CC3:CC8)</f>
        <v>11</v>
      </c>
      <c r="CD9" s="184">
        <f t="shared" si="5"/>
        <v>7</v>
      </c>
      <c r="CE9" s="184">
        <f t="shared" si="5"/>
        <v>8</v>
      </c>
      <c r="CF9" s="184">
        <f t="shared" si="5"/>
        <v>10</v>
      </c>
      <c r="CG9" s="184">
        <f t="shared" si="5"/>
        <v>10</v>
      </c>
      <c r="CH9" s="184">
        <f t="shared" si="5"/>
        <v>4</v>
      </c>
      <c r="CI9" s="184">
        <f t="shared" si="5"/>
        <v>8</v>
      </c>
      <c r="CJ9" s="184">
        <f t="shared" si="5"/>
        <v>9</v>
      </c>
      <c r="CK9" s="184">
        <f t="shared" si="5"/>
        <v>7</v>
      </c>
      <c r="CL9" s="184">
        <f t="shared" si="5"/>
        <v>10</v>
      </c>
      <c r="CM9" s="184"/>
      <c r="CN9" s="184"/>
      <c r="CO9" s="184"/>
      <c r="CP9" s="184"/>
      <c r="CQ9" s="184"/>
      <c r="CR9" s="184"/>
    </row>
    <row r="10" spans="1:98">
      <c r="AP10" s="185">
        <f>SUM(AE9:AP9)</f>
        <v>71</v>
      </c>
      <c r="BB10" s="132">
        <f>SUM(AQ9:BB9)</f>
        <v>74</v>
      </c>
      <c r="BN10" s="185">
        <f>SUM(BC9:BN9)</f>
        <v>102</v>
      </c>
      <c r="BZ10" s="132">
        <f>SUM(BO9:BZ9)</f>
        <v>74</v>
      </c>
      <c r="CB10" t="s">
        <v>8978</v>
      </c>
      <c r="CC10" t="s">
        <v>8977</v>
      </c>
      <c r="CD10" t="s">
        <v>9309</v>
      </c>
      <c r="CL10" s="185">
        <f>SUM(CA9:CL9)</f>
        <v>101</v>
      </c>
    </row>
    <row r="11" spans="1:98">
      <c r="C11" s="278" t="s">
        <v>8595</v>
      </c>
      <c r="D11" s="279"/>
      <c r="E11" s="279"/>
      <c r="F11" s="279"/>
      <c r="G11" s="279"/>
      <c r="H11" s="279"/>
      <c r="I11" s="279"/>
      <c r="J11" s="279"/>
      <c r="K11" s="280"/>
      <c r="L11" s="135" t="s">
        <v>8596</v>
      </c>
      <c r="M11" s="136"/>
      <c r="N11" s="136"/>
      <c r="O11" s="136"/>
      <c r="P11" s="136"/>
      <c r="Q11" s="136"/>
    </row>
    <row r="12" spans="1:98">
      <c r="C12" s="175" t="s">
        <v>8597</v>
      </c>
      <c r="D12" s="175" t="s">
        <v>8519</v>
      </c>
      <c r="E12" s="175" t="s">
        <v>8518</v>
      </c>
      <c r="F12" s="175" t="s">
        <v>8517</v>
      </c>
      <c r="G12" s="175" t="s">
        <v>8516</v>
      </c>
      <c r="H12" s="175" t="s">
        <v>8515</v>
      </c>
      <c r="I12" s="175" t="s">
        <v>8514</v>
      </c>
      <c r="J12" s="175" t="s">
        <v>8513</v>
      </c>
      <c r="K12" s="175" t="s">
        <v>8512</v>
      </c>
      <c r="L12" s="175" t="s">
        <v>8557</v>
      </c>
      <c r="M12" s="175" t="s">
        <v>8522</v>
      </c>
      <c r="N12" s="175" t="s">
        <v>8521</v>
      </c>
      <c r="O12" s="175" t="s">
        <v>8520</v>
      </c>
      <c r="P12" s="175" t="s">
        <v>8519</v>
      </c>
      <c r="Q12" s="186"/>
      <c r="R12" s="187"/>
      <c r="S12" s="107" t="s">
        <v>8598</v>
      </c>
      <c r="AE12" t="s">
        <v>8599</v>
      </c>
      <c r="AQ12" t="s">
        <v>8600</v>
      </c>
      <c r="BC12" t="s">
        <v>8601</v>
      </c>
      <c r="BO12" t="s">
        <v>8572</v>
      </c>
      <c r="CA12" t="s">
        <v>8602</v>
      </c>
    </row>
    <row r="13" spans="1:98" ht="17.399999999999999">
      <c r="A13" t="s">
        <v>8606</v>
      </c>
      <c r="B13" s="120" t="s">
        <v>8607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88"/>
      <c r="P13" s="188"/>
      <c r="Q13" s="137"/>
      <c r="R13" s="189" t="s">
        <v>8558</v>
      </c>
      <c r="S13" s="190" t="s">
        <v>8518</v>
      </c>
      <c r="T13" s="190" t="s">
        <v>8517</v>
      </c>
      <c r="U13" s="190" t="s">
        <v>8516</v>
      </c>
      <c r="V13" s="190" t="s">
        <v>8515</v>
      </c>
      <c r="W13" s="190" t="s">
        <v>8514</v>
      </c>
      <c r="X13" s="190" t="s">
        <v>8513</v>
      </c>
      <c r="Y13" s="190" t="s">
        <v>8512</v>
      </c>
      <c r="Z13" s="190" t="s">
        <v>8557</v>
      </c>
      <c r="AA13" s="190" t="s">
        <v>8522</v>
      </c>
      <c r="AB13" s="190" t="s">
        <v>8521</v>
      </c>
      <c r="AC13" s="190" t="s">
        <v>8520</v>
      </c>
      <c r="AD13" s="140" t="s">
        <v>8519</v>
      </c>
      <c r="AE13" s="147" t="s">
        <v>8608</v>
      </c>
      <c r="AF13" s="139" t="s">
        <v>8517</v>
      </c>
      <c r="AG13" s="139" t="s">
        <v>8516</v>
      </c>
      <c r="AH13" s="139" t="s">
        <v>8515</v>
      </c>
      <c r="AI13" s="139" t="s">
        <v>8514</v>
      </c>
      <c r="AJ13" s="139" t="s">
        <v>8513</v>
      </c>
      <c r="AK13" s="139" t="s">
        <v>8512</v>
      </c>
      <c r="AL13" s="139" t="s">
        <v>8557</v>
      </c>
      <c r="AM13" s="139" t="s">
        <v>8522</v>
      </c>
      <c r="AN13" s="139" t="s">
        <v>8521</v>
      </c>
      <c r="AO13" s="139" t="s">
        <v>8520</v>
      </c>
      <c r="AP13" s="140" t="s">
        <v>8519</v>
      </c>
      <c r="AQ13" s="191" t="s">
        <v>8609</v>
      </c>
      <c r="AR13" s="143" t="s">
        <v>8517</v>
      </c>
      <c r="AS13" s="143" t="s">
        <v>8516</v>
      </c>
      <c r="AT13" s="143" t="s">
        <v>8515</v>
      </c>
      <c r="AU13" s="143" t="s">
        <v>8514</v>
      </c>
      <c r="AV13" s="143" t="s">
        <v>8513</v>
      </c>
      <c r="AW13" s="143" t="s">
        <v>8512</v>
      </c>
      <c r="AX13" s="143" t="s">
        <v>8557</v>
      </c>
      <c r="AY13" s="143" t="s">
        <v>8522</v>
      </c>
      <c r="AZ13" s="143" t="s">
        <v>8521</v>
      </c>
      <c r="BA13" s="143" t="s">
        <v>8520</v>
      </c>
      <c r="BB13" s="144" t="s">
        <v>8519</v>
      </c>
      <c r="BC13" s="147" t="s">
        <v>8609</v>
      </c>
      <c r="BD13" s="145" t="s">
        <v>8517</v>
      </c>
      <c r="BE13" s="145" t="s">
        <v>8516</v>
      </c>
      <c r="BF13" s="145" t="s">
        <v>8515</v>
      </c>
      <c r="BG13" s="145" t="s">
        <v>8514</v>
      </c>
      <c r="BH13" s="145" t="s">
        <v>8513</v>
      </c>
      <c r="BI13" s="145" t="s">
        <v>8512</v>
      </c>
      <c r="BJ13" s="145" t="s">
        <v>8557</v>
      </c>
      <c r="BK13" s="145" t="s">
        <v>8522</v>
      </c>
      <c r="BL13" s="145" t="s">
        <v>8521</v>
      </c>
      <c r="BM13" s="145" t="s">
        <v>8520</v>
      </c>
      <c r="BN13" s="148" t="s">
        <v>8519</v>
      </c>
      <c r="BO13" s="192" t="s">
        <v>8559</v>
      </c>
      <c r="BP13" s="192" t="s">
        <v>8517</v>
      </c>
      <c r="BQ13" s="192" t="s">
        <v>8516</v>
      </c>
      <c r="BR13" s="192" t="s">
        <v>8515</v>
      </c>
      <c r="BS13" s="192" t="s">
        <v>8514</v>
      </c>
      <c r="BT13" s="192" t="s">
        <v>8513</v>
      </c>
      <c r="BU13" s="192" t="s">
        <v>8512</v>
      </c>
      <c r="BV13" s="192" t="s">
        <v>8557</v>
      </c>
      <c r="BW13" s="192" t="s">
        <v>8522</v>
      </c>
      <c r="BX13" s="192" t="s">
        <v>8521</v>
      </c>
      <c r="BY13" s="192" t="s">
        <v>8520</v>
      </c>
      <c r="BZ13" s="192" t="s">
        <v>8519</v>
      </c>
      <c r="CA13" s="147" t="s">
        <v>8559</v>
      </c>
      <c r="CB13" s="145" t="s">
        <v>8517</v>
      </c>
      <c r="CC13" s="145" t="s">
        <v>8516</v>
      </c>
      <c r="CD13" s="145" t="s">
        <v>8515</v>
      </c>
      <c r="CE13" s="145" t="s">
        <v>8514</v>
      </c>
      <c r="CF13" s="145" t="s">
        <v>8513</v>
      </c>
      <c r="CG13" s="145" t="s">
        <v>8512</v>
      </c>
      <c r="CH13" s="145" t="s">
        <v>8557</v>
      </c>
      <c r="CI13" s="145" t="s">
        <v>8522</v>
      </c>
      <c r="CJ13" s="145" t="s">
        <v>8521</v>
      </c>
      <c r="CK13" s="145" t="s">
        <v>8520</v>
      </c>
      <c r="CL13" s="148" t="s">
        <v>8519</v>
      </c>
      <c r="CM13" s="148" t="s">
        <v>8518</v>
      </c>
      <c r="CN13" s="148" t="s">
        <v>8517</v>
      </c>
      <c r="CO13" s="148" t="s">
        <v>8516</v>
      </c>
      <c r="CP13" s="148" t="s">
        <v>8515</v>
      </c>
      <c r="CQ13" s="148" t="s">
        <v>8514</v>
      </c>
      <c r="CR13" s="148" t="s">
        <v>8513</v>
      </c>
    </row>
    <row r="14" spans="1:98">
      <c r="B14" s="120" t="s">
        <v>8560</v>
      </c>
      <c r="C14" s="110"/>
      <c r="D14" s="110"/>
      <c r="E14" s="110"/>
      <c r="F14" s="110"/>
      <c r="G14" s="110"/>
      <c r="H14" s="110">
        <v>2</v>
      </c>
      <c r="I14" s="110"/>
      <c r="J14" s="110"/>
      <c r="K14" s="110">
        <v>2</v>
      </c>
      <c r="L14" s="110">
        <v>1</v>
      </c>
      <c r="M14" s="110">
        <v>1</v>
      </c>
      <c r="N14" s="110"/>
      <c r="O14" s="110"/>
      <c r="P14" s="110"/>
      <c r="Q14" s="137"/>
      <c r="R14" s="149" t="s">
        <v>8610</v>
      </c>
      <c r="S14" s="110"/>
      <c r="T14" s="110"/>
      <c r="U14" s="110"/>
      <c r="V14" s="110"/>
      <c r="W14" s="110"/>
      <c r="X14" s="110">
        <v>1</v>
      </c>
      <c r="Y14" s="110"/>
      <c r="Z14" s="110"/>
      <c r="AA14" s="110"/>
      <c r="AB14" s="110"/>
      <c r="AC14" s="110"/>
      <c r="AD14" s="110">
        <v>2</v>
      </c>
      <c r="AE14" s="110">
        <v>1</v>
      </c>
      <c r="AF14" s="110"/>
      <c r="AG14" s="110">
        <v>1</v>
      </c>
      <c r="AH14" s="110">
        <v>0</v>
      </c>
      <c r="AI14" s="110">
        <v>0</v>
      </c>
      <c r="AJ14" s="110"/>
      <c r="AK14" s="110">
        <v>1</v>
      </c>
      <c r="AL14" s="110">
        <v>1</v>
      </c>
      <c r="AM14" s="110"/>
      <c r="AN14" s="110"/>
      <c r="AO14" s="110"/>
      <c r="AP14" s="110">
        <v>3</v>
      </c>
      <c r="AQ14" s="110"/>
      <c r="AR14" s="110"/>
      <c r="AS14" s="110">
        <v>2</v>
      </c>
      <c r="AT14" s="110">
        <v>3</v>
      </c>
      <c r="AU14" s="110">
        <v>0</v>
      </c>
      <c r="AV14" s="110">
        <v>0</v>
      </c>
      <c r="AW14" s="110">
        <v>0</v>
      </c>
      <c r="AX14" s="110">
        <v>1</v>
      </c>
      <c r="AY14" s="110">
        <v>0</v>
      </c>
      <c r="AZ14" s="110">
        <v>0</v>
      </c>
      <c r="BA14" s="110"/>
      <c r="BB14" s="110"/>
      <c r="BC14" s="110"/>
      <c r="BD14" s="110"/>
      <c r="BE14" s="110"/>
      <c r="BF14" s="110"/>
      <c r="BG14" s="110"/>
      <c r="BH14" s="110">
        <v>2</v>
      </c>
      <c r="BI14" s="110"/>
      <c r="BJ14" s="110">
        <v>1</v>
      </c>
      <c r="BK14" s="110">
        <v>1</v>
      </c>
      <c r="BL14" s="110">
        <v>2</v>
      </c>
      <c r="BM14" s="110">
        <v>0</v>
      </c>
      <c r="BN14" s="110"/>
      <c r="BO14" s="120">
        <v>1</v>
      </c>
      <c r="BP14" s="120">
        <v>3</v>
      </c>
      <c r="BQ14" s="120"/>
      <c r="BR14" s="120"/>
      <c r="BS14" s="120">
        <v>1</v>
      </c>
      <c r="BT14" s="120"/>
      <c r="BU14" s="120"/>
      <c r="BV14" s="120"/>
      <c r="BW14" s="120"/>
      <c r="BX14" s="120">
        <v>2</v>
      </c>
      <c r="BY14" s="120">
        <v>1</v>
      </c>
      <c r="BZ14" s="120">
        <v>1</v>
      </c>
      <c r="CA14" s="110">
        <v>0</v>
      </c>
      <c r="CB14" s="110">
        <v>0</v>
      </c>
      <c r="CC14" s="110">
        <v>0</v>
      </c>
      <c r="CD14" s="110">
        <v>1</v>
      </c>
      <c r="CE14" s="110">
        <v>0</v>
      </c>
      <c r="CF14" s="110">
        <v>0</v>
      </c>
      <c r="CG14" s="110">
        <v>0</v>
      </c>
      <c r="CH14" s="110">
        <v>0</v>
      </c>
      <c r="CI14" s="110">
        <v>0</v>
      </c>
      <c r="CJ14" s="110">
        <f>退会者!K20</f>
        <v>0</v>
      </c>
      <c r="CK14" s="110">
        <f>退会者!L20</f>
        <v>0</v>
      </c>
      <c r="CL14" s="110">
        <f>退会者!M20</f>
        <v>0</v>
      </c>
      <c r="CM14" s="110">
        <f>退会者!N20</f>
        <v>0</v>
      </c>
      <c r="CN14" s="110">
        <f>退会者!O20</f>
        <v>0</v>
      </c>
      <c r="CO14" s="110">
        <f>退会者!P20</f>
        <v>0</v>
      </c>
      <c r="CP14" s="110">
        <f>退会者!Q20</f>
        <v>0</v>
      </c>
      <c r="CQ14" s="110">
        <f>退会者!R20</f>
        <v>0</v>
      </c>
      <c r="CR14" s="110">
        <f>退会者!S20</f>
        <v>0</v>
      </c>
    </row>
    <row r="15" spans="1:98">
      <c r="B15" s="120" t="s">
        <v>8611</v>
      </c>
      <c r="C15" s="110"/>
      <c r="D15" s="110">
        <v>1</v>
      </c>
      <c r="E15" s="110"/>
      <c r="F15" s="110"/>
      <c r="G15" s="110"/>
      <c r="H15" s="110">
        <v>3</v>
      </c>
      <c r="I15" s="110">
        <v>3</v>
      </c>
      <c r="J15" s="110"/>
      <c r="K15" s="110">
        <v>5</v>
      </c>
      <c r="L15" s="110">
        <v>5</v>
      </c>
      <c r="M15" s="110">
        <v>2</v>
      </c>
      <c r="N15" s="110">
        <v>7</v>
      </c>
      <c r="O15" s="110">
        <v>2</v>
      </c>
      <c r="P15" s="110">
        <v>4</v>
      </c>
      <c r="Q15" s="137"/>
      <c r="R15" s="149" t="s">
        <v>8561</v>
      </c>
      <c r="S15" s="110">
        <v>2</v>
      </c>
      <c r="T15" s="110">
        <v>1</v>
      </c>
      <c r="U15" s="110">
        <v>2</v>
      </c>
      <c r="V15" s="110">
        <v>2</v>
      </c>
      <c r="W15" s="110">
        <v>2</v>
      </c>
      <c r="X15" s="110">
        <v>1</v>
      </c>
      <c r="Y15" s="110">
        <v>1</v>
      </c>
      <c r="Z15" s="110">
        <v>4</v>
      </c>
      <c r="AA15" s="110">
        <v>2</v>
      </c>
      <c r="AB15" s="110">
        <v>3</v>
      </c>
      <c r="AC15" s="110">
        <v>4</v>
      </c>
      <c r="AD15" s="110">
        <v>3</v>
      </c>
      <c r="AE15" s="110">
        <v>4</v>
      </c>
      <c r="AF15" s="110">
        <v>5</v>
      </c>
      <c r="AG15" s="110">
        <v>5</v>
      </c>
      <c r="AH15" s="110">
        <v>4</v>
      </c>
      <c r="AI15" s="110">
        <v>6</v>
      </c>
      <c r="AJ15" s="110">
        <v>1</v>
      </c>
      <c r="AK15" s="110">
        <v>3</v>
      </c>
      <c r="AL15" s="110">
        <v>2</v>
      </c>
      <c r="AM15" s="110">
        <v>3</v>
      </c>
      <c r="AN15" s="110">
        <v>2</v>
      </c>
      <c r="AO15" s="110">
        <v>6</v>
      </c>
      <c r="AP15" s="110">
        <v>6</v>
      </c>
      <c r="AQ15" s="110">
        <v>4</v>
      </c>
      <c r="AR15" s="110">
        <v>5</v>
      </c>
      <c r="AS15" s="110">
        <v>7</v>
      </c>
      <c r="AT15" s="110">
        <v>2</v>
      </c>
      <c r="AU15" s="110">
        <v>2</v>
      </c>
      <c r="AV15" s="110">
        <v>4</v>
      </c>
      <c r="AW15" s="110">
        <v>0</v>
      </c>
      <c r="AX15" s="110">
        <v>3</v>
      </c>
      <c r="AY15" s="110">
        <v>3</v>
      </c>
      <c r="AZ15" s="110">
        <v>4</v>
      </c>
      <c r="BA15" s="110">
        <v>8</v>
      </c>
      <c r="BB15" s="110"/>
      <c r="BC15" s="110">
        <v>5</v>
      </c>
      <c r="BD15" s="110">
        <v>2</v>
      </c>
      <c r="BE15" s="110">
        <v>3</v>
      </c>
      <c r="BF15" s="110">
        <v>5</v>
      </c>
      <c r="BG15" s="110">
        <v>4</v>
      </c>
      <c r="BH15" s="110">
        <v>6</v>
      </c>
      <c r="BI15" s="110">
        <v>7</v>
      </c>
      <c r="BJ15" s="110">
        <v>3</v>
      </c>
      <c r="BK15" s="110">
        <v>5</v>
      </c>
      <c r="BL15" s="110">
        <v>5</v>
      </c>
      <c r="BM15" s="110">
        <v>1</v>
      </c>
      <c r="BN15" s="110">
        <v>9</v>
      </c>
      <c r="BO15" s="120">
        <v>7</v>
      </c>
      <c r="BP15" s="120">
        <v>3</v>
      </c>
      <c r="BQ15" s="120">
        <v>6</v>
      </c>
      <c r="BR15" s="120">
        <v>8</v>
      </c>
      <c r="BS15" s="120">
        <v>4</v>
      </c>
      <c r="BT15" s="120">
        <v>7</v>
      </c>
      <c r="BU15" s="120">
        <v>1</v>
      </c>
      <c r="BV15" s="120">
        <v>5</v>
      </c>
      <c r="BW15" s="120">
        <v>5</v>
      </c>
      <c r="BX15" s="120">
        <v>3</v>
      </c>
      <c r="BY15" s="120">
        <v>10</v>
      </c>
      <c r="BZ15" s="120">
        <v>3</v>
      </c>
      <c r="CA15" s="110">
        <v>4</v>
      </c>
      <c r="CB15" s="110">
        <v>6</v>
      </c>
      <c r="CC15" s="110">
        <v>3</v>
      </c>
      <c r="CD15" s="110">
        <v>6</v>
      </c>
      <c r="CE15" s="110">
        <v>4</v>
      </c>
      <c r="CF15" s="110">
        <v>4</v>
      </c>
      <c r="CG15" s="110">
        <v>6</v>
      </c>
      <c r="CH15" s="110">
        <v>4</v>
      </c>
      <c r="CI15" s="110">
        <v>3</v>
      </c>
      <c r="CJ15" s="110">
        <f>退会者!K21</f>
        <v>5</v>
      </c>
      <c r="CK15" s="110">
        <f>退会者!L21</f>
        <v>2</v>
      </c>
      <c r="CL15" s="110">
        <f>退会者!M21</f>
        <v>6</v>
      </c>
      <c r="CM15" s="110">
        <f>退会者!N21</f>
        <v>0</v>
      </c>
      <c r="CN15" s="110">
        <f>退会者!O21</f>
        <v>0</v>
      </c>
      <c r="CO15" s="110">
        <f>退会者!P21</f>
        <v>0</v>
      </c>
      <c r="CP15" s="110">
        <f>退会者!Q21</f>
        <v>0</v>
      </c>
      <c r="CQ15" s="110">
        <f>退会者!R21</f>
        <v>0</v>
      </c>
      <c r="CR15" s="110">
        <f>退会者!S21</f>
        <v>0</v>
      </c>
    </row>
    <row r="16" spans="1:98">
      <c r="B16" s="120" t="s">
        <v>8562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10"/>
      <c r="P16" s="110"/>
      <c r="Q16" s="137"/>
      <c r="R16" s="149" t="s">
        <v>8562</v>
      </c>
      <c r="S16" s="110"/>
      <c r="T16" s="110"/>
      <c r="U16" s="110">
        <v>1</v>
      </c>
      <c r="V16" s="110"/>
      <c r="W16" s="110"/>
      <c r="X16" s="110"/>
      <c r="Y16" s="110">
        <v>3</v>
      </c>
      <c r="Z16" s="110"/>
      <c r="AA16" s="110"/>
      <c r="AB16" s="110">
        <v>2</v>
      </c>
      <c r="AC16" s="110">
        <v>6</v>
      </c>
      <c r="AD16" s="110"/>
      <c r="AE16" s="110"/>
      <c r="AF16" s="110">
        <v>3</v>
      </c>
      <c r="AG16" s="110">
        <v>1</v>
      </c>
      <c r="AH16" s="110">
        <v>1</v>
      </c>
      <c r="AI16" s="110">
        <v>4</v>
      </c>
      <c r="AJ16" s="110">
        <v>2</v>
      </c>
      <c r="AK16" s="110">
        <v>2</v>
      </c>
      <c r="AL16" s="110">
        <v>1</v>
      </c>
      <c r="AM16" s="110"/>
      <c r="AN16" s="110"/>
      <c r="AO16" s="110">
        <v>1</v>
      </c>
      <c r="AP16" s="110">
        <v>2</v>
      </c>
      <c r="AQ16" s="110"/>
      <c r="AR16" s="110">
        <v>1</v>
      </c>
      <c r="AS16" s="110">
        <v>3</v>
      </c>
      <c r="AT16" s="110"/>
      <c r="AU16" s="110">
        <v>1</v>
      </c>
      <c r="AV16" s="110">
        <v>0</v>
      </c>
      <c r="AW16" s="110">
        <v>0</v>
      </c>
      <c r="AX16" s="110">
        <v>0</v>
      </c>
      <c r="AY16" s="110">
        <v>0</v>
      </c>
      <c r="AZ16" s="110">
        <v>0</v>
      </c>
      <c r="BA16" s="110"/>
      <c r="BB16" s="110"/>
      <c r="BC16" s="110">
        <v>1</v>
      </c>
      <c r="BD16" s="110">
        <v>1</v>
      </c>
      <c r="BE16" s="110"/>
      <c r="BF16" s="110"/>
      <c r="BG16" s="110"/>
      <c r="BH16" s="110">
        <v>1</v>
      </c>
      <c r="BI16" s="110">
        <v>2</v>
      </c>
      <c r="BJ16" s="110"/>
      <c r="BK16" s="110"/>
      <c r="BL16" s="110"/>
      <c r="BM16" s="110"/>
      <c r="BN16" s="11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10">
        <v>0</v>
      </c>
      <c r="CB16" s="110">
        <v>0</v>
      </c>
      <c r="CC16" s="110">
        <v>0</v>
      </c>
      <c r="CD16" s="110">
        <v>0</v>
      </c>
      <c r="CE16" s="110">
        <v>1</v>
      </c>
      <c r="CF16" s="110">
        <v>0</v>
      </c>
      <c r="CG16" s="110">
        <v>1</v>
      </c>
      <c r="CH16" s="110">
        <v>0</v>
      </c>
      <c r="CI16" s="110">
        <v>0</v>
      </c>
      <c r="CJ16" s="110">
        <f>退会者!K22</f>
        <v>0</v>
      </c>
      <c r="CK16" s="110">
        <f>退会者!L22</f>
        <v>0</v>
      </c>
      <c r="CL16" s="110">
        <f>退会者!M22</f>
        <v>0</v>
      </c>
      <c r="CM16" s="110">
        <f>退会者!N22</f>
        <v>0</v>
      </c>
      <c r="CN16" s="110">
        <f>退会者!O22</f>
        <v>0</v>
      </c>
      <c r="CO16" s="110">
        <f>退会者!P22</f>
        <v>0</v>
      </c>
      <c r="CP16" s="110">
        <f>退会者!Q22</f>
        <v>0</v>
      </c>
      <c r="CQ16" s="110">
        <f>退会者!R22</f>
        <v>0</v>
      </c>
      <c r="CR16" s="110">
        <f>退会者!S22</f>
        <v>0</v>
      </c>
    </row>
    <row r="17" spans="1:96">
      <c r="B17" s="120" t="s">
        <v>8563</v>
      </c>
      <c r="C17" s="110"/>
      <c r="D17" s="110"/>
      <c r="E17" s="110"/>
      <c r="F17" s="110"/>
      <c r="G17" s="110">
        <v>1</v>
      </c>
      <c r="H17" s="110"/>
      <c r="I17" s="110"/>
      <c r="J17" s="110"/>
      <c r="K17" s="110">
        <v>1</v>
      </c>
      <c r="L17" s="110"/>
      <c r="M17" s="110"/>
      <c r="N17" s="110">
        <v>1</v>
      </c>
      <c r="O17" s="110"/>
      <c r="P17" s="110"/>
      <c r="Q17" s="137"/>
      <c r="R17" s="149" t="s">
        <v>8563</v>
      </c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>
        <v>0</v>
      </c>
      <c r="AJ17" s="110"/>
      <c r="AK17" s="110"/>
      <c r="AL17" s="110"/>
      <c r="AM17" s="110"/>
      <c r="AN17" s="110"/>
      <c r="AO17" s="110"/>
      <c r="AP17" s="110">
        <v>0</v>
      </c>
      <c r="AQ17" s="110">
        <v>1</v>
      </c>
      <c r="AR17" s="110"/>
      <c r="AS17" s="110"/>
      <c r="AT17" s="110"/>
      <c r="AU17" s="110"/>
      <c r="AV17" s="110">
        <v>0</v>
      </c>
      <c r="AW17" s="110">
        <v>0</v>
      </c>
      <c r="AX17" s="110">
        <v>0</v>
      </c>
      <c r="AY17" s="110">
        <v>0</v>
      </c>
      <c r="AZ17" s="110">
        <v>0</v>
      </c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>
        <v>1</v>
      </c>
      <c r="BN17" s="110">
        <v>1</v>
      </c>
      <c r="BO17" s="120"/>
      <c r="BP17" s="120"/>
      <c r="BQ17" s="120">
        <v>1</v>
      </c>
      <c r="BR17" s="120"/>
      <c r="BS17" s="120"/>
      <c r="BT17" s="120"/>
      <c r="BU17" s="120">
        <v>1</v>
      </c>
      <c r="BV17" s="120"/>
      <c r="BW17" s="120"/>
      <c r="BX17" s="120"/>
      <c r="BY17" s="120"/>
      <c r="BZ17" s="120"/>
      <c r="CA17" s="110">
        <v>0</v>
      </c>
      <c r="CB17" s="110">
        <v>0</v>
      </c>
      <c r="CC17" s="110">
        <v>0</v>
      </c>
      <c r="CD17" s="110">
        <v>0</v>
      </c>
      <c r="CE17" s="110">
        <v>0</v>
      </c>
      <c r="CF17" s="110">
        <v>0</v>
      </c>
      <c r="CG17" s="110">
        <v>1</v>
      </c>
      <c r="CH17" s="110">
        <v>0</v>
      </c>
      <c r="CI17" s="110">
        <v>0</v>
      </c>
      <c r="CJ17" s="110">
        <f>退会者!K23</f>
        <v>0</v>
      </c>
      <c r="CK17" s="110">
        <f>退会者!L23</f>
        <v>0</v>
      </c>
      <c r="CL17" s="110">
        <f>退会者!M23</f>
        <v>0</v>
      </c>
      <c r="CM17" s="110">
        <f>退会者!N23</f>
        <v>0</v>
      </c>
      <c r="CN17" s="110">
        <f>退会者!O23</f>
        <v>0</v>
      </c>
      <c r="CO17" s="110">
        <f>退会者!P23</f>
        <v>0</v>
      </c>
      <c r="CP17" s="110">
        <f>退会者!Q23</f>
        <v>0</v>
      </c>
      <c r="CQ17" s="110">
        <f>退会者!R23</f>
        <v>0</v>
      </c>
      <c r="CR17" s="110">
        <f>退会者!S23</f>
        <v>0</v>
      </c>
    </row>
    <row r="18" spans="1:96" ht="13.8" thickBot="1">
      <c r="B18" s="120" t="s">
        <v>8564</v>
      </c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10"/>
      <c r="P18" s="110"/>
      <c r="Q18" s="137"/>
      <c r="R18" s="165" t="s">
        <v>8564</v>
      </c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>
        <v>1</v>
      </c>
      <c r="AF18" s="175"/>
      <c r="AG18" s="175"/>
      <c r="AH18" s="175">
        <v>2</v>
      </c>
      <c r="AI18" s="175">
        <v>0</v>
      </c>
      <c r="AJ18" s="175"/>
      <c r="AK18" s="175">
        <v>2</v>
      </c>
      <c r="AL18" s="175"/>
      <c r="AM18" s="175"/>
      <c r="AN18" s="175"/>
      <c r="AO18" s="175">
        <v>1</v>
      </c>
      <c r="AP18" s="175">
        <v>1</v>
      </c>
      <c r="AQ18" s="175"/>
      <c r="AR18" s="175"/>
      <c r="AS18" s="175"/>
      <c r="AT18" s="175"/>
      <c r="AU18" s="175"/>
      <c r="AV18" s="175"/>
      <c r="AW18" s="175">
        <v>0</v>
      </c>
      <c r="AX18" s="175">
        <v>0</v>
      </c>
      <c r="AY18" s="175">
        <v>0</v>
      </c>
      <c r="AZ18" s="175">
        <v>1</v>
      </c>
      <c r="BA18" s="175"/>
      <c r="BB18" s="175">
        <v>1</v>
      </c>
      <c r="BC18" s="175"/>
      <c r="BD18" s="175"/>
      <c r="BE18" s="175"/>
      <c r="BF18" s="175"/>
      <c r="BG18" s="175"/>
      <c r="BH18" s="175"/>
      <c r="BI18" s="175">
        <v>0</v>
      </c>
      <c r="BJ18" s="175">
        <v>1</v>
      </c>
      <c r="BK18" s="175">
        <v>2</v>
      </c>
      <c r="BL18" s="175">
        <v>1</v>
      </c>
      <c r="BM18" s="175">
        <v>2</v>
      </c>
      <c r="BN18" s="175">
        <v>1</v>
      </c>
      <c r="BO18" s="193">
        <v>1</v>
      </c>
      <c r="BP18" s="193"/>
      <c r="BQ18" s="193"/>
      <c r="BR18" s="193"/>
      <c r="BS18" s="193">
        <v>1</v>
      </c>
      <c r="BT18" s="193">
        <v>1</v>
      </c>
      <c r="BU18" s="193"/>
      <c r="BV18" s="193">
        <v>1</v>
      </c>
      <c r="BW18" s="193">
        <v>1</v>
      </c>
      <c r="BX18" s="193"/>
      <c r="BY18" s="193"/>
      <c r="BZ18" s="193"/>
      <c r="CA18" s="175">
        <v>1</v>
      </c>
      <c r="CB18" s="175">
        <v>0</v>
      </c>
      <c r="CC18" s="175">
        <v>2</v>
      </c>
      <c r="CD18" s="175">
        <v>2</v>
      </c>
      <c r="CE18" s="175">
        <v>0</v>
      </c>
      <c r="CF18" s="175">
        <v>0</v>
      </c>
      <c r="CG18" s="175">
        <v>0</v>
      </c>
      <c r="CH18" s="175">
        <v>0</v>
      </c>
      <c r="CI18" s="175">
        <v>0</v>
      </c>
      <c r="CJ18" s="110">
        <f>退会者!K24</f>
        <v>0</v>
      </c>
      <c r="CK18" s="110">
        <f>退会者!L24</f>
        <v>0</v>
      </c>
      <c r="CL18" s="110">
        <f>退会者!M24</f>
        <v>0</v>
      </c>
      <c r="CM18" s="110">
        <f>退会者!N24</f>
        <v>0</v>
      </c>
      <c r="CN18" s="110">
        <f>退会者!O24</f>
        <v>0</v>
      </c>
      <c r="CO18" s="110">
        <f>退会者!P24</f>
        <v>0</v>
      </c>
      <c r="CP18" s="110">
        <f>退会者!Q24</f>
        <v>0</v>
      </c>
      <c r="CQ18" s="110">
        <f>退会者!R24</f>
        <v>0</v>
      </c>
      <c r="CR18" s="110">
        <f>退会者!S24</f>
        <v>0</v>
      </c>
    </row>
    <row r="19" spans="1:96" ht="13.8" thickTop="1">
      <c r="B19" s="110" t="s">
        <v>8565</v>
      </c>
      <c r="C19" s="110">
        <f t="shared" ref="C19:BM19" si="6">SUM(C13:C18)</f>
        <v>0</v>
      </c>
      <c r="D19" s="110">
        <f t="shared" si="6"/>
        <v>1</v>
      </c>
      <c r="E19" s="110">
        <f t="shared" si="6"/>
        <v>0</v>
      </c>
      <c r="F19" s="110">
        <f t="shared" si="6"/>
        <v>0</v>
      </c>
      <c r="G19" s="110">
        <f t="shared" si="6"/>
        <v>1</v>
      </c>
      <c r="H19" s="110">
        <f t="shared" si="6"/>
        <v>5</v>
      </c>
      <c r="I19" s="110">
        <f t="shared" si="6"/>
        <v>3</v>
      </c>
      <c r="J19" s="110">
        <f t="shared" si="6"/>
        <v>0</v>
      </c>
      <c r="K19" s="110">
        <f t="shared" si="6"/>
        <v>8</v>
      </c>
      <c r="L19" s="110">
        <f t="shared" si="6"/>
        <v>6</v>
      </c>
      <c r="M19" s="110">
        <f t="shared" si="6"/>
        <v>3</v>
      </c>
      <c r="N19" s="110">
        <f t="shared" si="6"/>
        <v>8</v>
      </c>
      <c r="O19" s="110">
        <f t="shared" si="6"/>
        <v>2</v>
      </c>
      <c r="P19" s="110">
        <f t="shared" si="6"/>
        <v>4</v>
      </c>
      <c r="Q19" s="137"/>
      <c r="R19" s="194" t="s">
        <v>8565</v>
      </c>
      <c r="S19" s="184">
        <f t="shared" si="6"/>
        <v>2</v>
      </c>
      <c r="T19" s="184">
        <f t="shared" si="6"/>
        <v>1</v>
      </c>
      <c r="U19" s="184">
        <f t="shared" si="6"/>
        <v>3</v>
      </c>
      <c r="V19" s="184">
        <f t="shared" si="6"/>
        <v>2</v>
      </c>
      <c r="W19" s="184">
        <f t="shared" si="6"/>
        <v>2</v>
      </c>
      <c r="X19" s="184">
        <f t="shared" si="6"/>
        <v>2</v>
      </c>
      <c r="Y19" s="184">
        <f t="shared" si="6"/>
        <v>4</v>
      </c>
      <c r="Z19" s="184">
        <f t="shared" si="6"/>
        <v>4</v>
      </c>
      <c r="AA19" s="184">
        <f t="shared" si="6"/>
        <v>2</v>
      </c>
      <c r="AB19" s="184">
        <f t="shared" si="6"/>
        <v>5</v>
      </c>
      <c r="AC19" s="184">
        <f t="shared" si="6"/>
        <v>10</v>
      </c>
      <c r="AD19" s="184">
        <f t="shared" si="6"/>
        <v>5</v>
      </c>
      <c r="AE19" s="184">
        <f t="shared" si="6"/>
        <v>6</v>
      </c>
      <c r="AF19" s="184">
        <f t="shared" si="6"/>
        <v>8</v>
      </c>
      <c r="AG19" s="184">
        <f t="shared" si="6"/>
        <v>7</v>
      </c>
      <c r="AH19" s="184">
        <f t="shared" si="6"/>
        <v>7</v>
      </c>
      <c r="AI19" s="184">
        <f t="shared" si="6"/>
        <v>10</v>
      </c>
      <c r="AJ19" s="184">
        <f t="shared" si="6"/>
        <v>3</v>
      </c>
      <c r="AK19" s="184">
        <f t="shared" si="6"/>
        <v>8</v>
      </c>
      <c r="AL19" s="184">
        <f t="shared" si="6"/>
        <v>4</v>
      </c>
      <c r="AM19" s="184">
        <f t="shared" si="6"/>
        <v>3</v>
      </c>
      <c r="AN19" s="184">
        <f t="shared" si="6"/>
        <v>2</v>
      </c>
      <c r="AO19" s="184">
        <f t="shared" si="6"/>
        <v>8</v>
      </c>
      <c r="AP19" s="184">
        <f t="shared" si="6"/>
        <v>12</v>
      </c>
      <c r="AQ19" s="184">
        <f t="shared" si="6"/>
        <v>5</v>
      </c>
      <c r="AR19" s="184">
        <f t="shared" si="6"/>
        <v>6</v>
      </c>
      <c r="AS19" s="184">
        <f t="shared" si="6"/>
        <v>12</v>
      </c>
      <c r="AT19" s="184">
        <f t="shared" si="6"/>
        <v>5</v>
      </c>
      <c r="AU19" s="184">
        <f t="shared" si="6"/>
        <v>3</v>
      </c>
      <c r="AV19" s="184">
        <f t="shared" si="6"/>
        <v>4</v>
      </c>
      <c r="AW19" s="184">
        <f t="shared" si="6"/>
        <v>0</v>
      </c>
      <c r="AX19" s="184">
        <f t="shared" si="6"/>
        <v>4</v>
      </c>
      <c r="AY19" s="184">
        <f t="shared" si="6"/>
        <v>3</v>
      </c>
      <c r="AZ19" s="184">
        <f t="shared" si="6"/>
        <v>5</v>
      </c>
      <c r="BA19" s="184">
        <f t="shared" si="6"/>
        <v>8</v>
      </c>
      <c r="BB19" s="184">
        <f t="shared" si="6"/>
        <v>1</v>
      </c>
      <c r="BC19" s="184">
        <f t="shared" si="6"/>
        <v>6</v>
      </c>
      <c r="BD19" s="184">
        <f t="shared" si="6"/>
        <v>3</v>
      </c>
      <c r="BE19" s="184">
        <f t="shared" si="6"/>
        <v>3</v>
      </c>
      <c r="BF19" s="184">
        <f t="shared" si="6"/>
        <v>5</v>
      </c>
      <c r="BG19" s="184">
        <f t="shared" si="6"/>
        <v>4</v>
      </c>
      <c r="BH19" s="184">
        <f t="shared" si="6"/>
        <v>9</v>
      </c>
      <c r="BI19" s="184">
        <f t="shared" si="6"/>
        <v>9</v>
      </c>
      <c r="BJ19" s="184">
        <f t="shared" si="6"/>
        <v>5</v>
      </c>
      <c r="BK19" s="184">
        <f t="shared" si="6"/>
        <v>8</v>
      </c>
      <c r="BL19" s="184">
        <f t="shared" si="6"/>
        <v>8</v>
      </c>
      <c r="BM19" s="184">
        <f t="shared" si="6"/>
        <v>4</v>
      </c>
      <c r="BN19" s="184">
        <f t="shared" ref="BN19" si="7">SUM(BN13:BN18)</f>
        <v>11</v>
      </c>
      <c r="BO19" s="183">
        <v>9</v>
      </c>
      <c r="BP19" s="183">
        <v>6</v>
      </c>
      <c r="BQ19" s="183">
        <v>7</v>
      </c>
      <c r="BR19" s="183">
        <v>8</v>
      </c>
      <c r="BS19" s="183">
        <v>6</v>
      </c>
      <c r="BT19" s="183">
        <v>8</v>
      </c>
      <c r="BU19" s="183">
        <v>2</v>
      </c>
      <c r="BV19" s="183">
        <v>6</v>
      </c>
      <c r="BW19" s="183">
        <v>6</v>
      </c>
      <c r="BX19" s="183">
        <v>5</v>
      </c>
      <c r="BY19" s="183">
        <v>11</v>
      </c>
      <c r="BZ19" s="183">
        <v>4</v>
      </c>
      <c r="CA19" s="184">
        <f t="shared" ref="CA19:CK19" si="8">SUM(CA13:CA18)</f>
        <v>5</v>
      </c>
      <c r="CB19" s="184">
        <f t="shared" si="8"/>
        <v>6</v>
      </c>
      <c r="CC19" s="184">
        <f t="shared" si="8"/>
        <v>5</v>
      </c>
      <c r="CD19" s="184">
        <f t="shared" si="8"/>
        <v>9</v>
      </c>
      <c r="CE19" s="184">
        <f t="shared" si="8"/>
        <v>5</v>
      </c>
      <c r="CF19" s="184">
        <f t="shared" si="8"/>
        <v>4</v>
      </c>
      <c r="CG19" s="184">
        <f t="shared" si="8"/>
        <v>8</v>
      </c>
      <c r="CH19" s="184">
        <f t="shared" si="8"/>
        <v>4</v>
      </c>
      <c r="CI19" s="184">
        <f t="shared" si="8"/>
        <v>3</v>
      </c>
      <c r="CJ19" s="184">
        <f t="shared" si="8"/>
        <v>5</v>
      </c>
      <c r="CK19" s="184">
        <f t="shared" si="8"/>
        <v>2</v>
      </c>
      <c r="CL19" s="184">
        <f t="shared" ref="CL19:CR19" si="9">SUM(CL13:CL18)</f>
        <v>6</v>
      </c>
      <c r="CM19" s="184">
        <f t="shared" si="9"/>
        <v>0</v>
      </c>
      <c r="CN19" s="184">
        <f t="shared" si="9"/>
        <v>0</v>
      </c>
      <c r="CO19" s="184">
        <f t="shared" si="9"/>
        <v>0</v>
      </c>
      <c r="CP19" s="184">
        <f t="shared" si="9"/>
        <v>0</v>
      </c>
      <c r="CQ19" s="184">
        <f t="shared" si="9"/>
        <v>0</v>
      </c>
      <c r="CR19" s="184">
        <f t="shared" si="9"/>
        <v>0</v>
      </c>
    </row>
    <row r="20" spans="1:96">
      <c r="AD20" s="120">
        <f>SUM(S19:AD19)</f>
        <v>42</v>
      </c>
      <c r="AP20" s="185">
        <f>SUM(AE19:AP19)</f>
        <v>78</v>
      </c>
      <c r="BB20" s="132">
        <f>SUM(AQ19:BB19)</f>
        <v>56</v>
      </c>
      <c r="BG20" t="s">
        <v>8612</v>
      </c>
      <c r="BN20" s="185">
        <f>SUM(BC19:BN19)</f>
        <v>75</v>
      </c>
      <c r="BZ20" s="195">
        <f>SUM(BO19:BZ19)</f>
        <v>78</v>
      </c>
      <c r="CL20" s="185">
        <f>SUM(CA19:CL19)</f>
        <v>62</v>
      </c>
    </row>
    <row r="21" spans="1:96">
      <c r="C21" s="278" t="s">
        <v>8595</v>
      </c>
      <c r="D21" s="279"/>
      <c r="E21" s="279"/>
      <c r="F21" s="279"/>
      <c r="G21" s="279"/>
      <c r="H21" s="279"/>
      <c r="I21" s="279"/>
      <c r="J21" s="279"/>
      <c r="K21" s="280"/>
      <c r="L21" s="135" t="s">
        <v>8596</v>
      </c>
      <c r="M21" s="136"/>
      <c r="N21" s="136"/>
      <c r="O21" s="136"/>
      <c r="P21" s="136"/>
      <c r="Q21" s="136"/>
      <c r="BN21" t="s">
        <v>8613</v>
      </c>
    </row>
    <row r="22" spans="1:96">
      <c r="C22" s="110" t="s">
        <v>8597</v>
      </c>
      <c r="D22" s="110" t="s">
        <v>8519</v>
      </c>
      <c r="E22" s="110" t="s">
        <v>8518</v>
      </c>
      <c r="F22" s="110" t="s">
        <v>8517</v>
      </c>
      <c r="G22" s="110" t="s">
        <v>8516</v>
      </c>
      <c r="H22" s="110" t="s">
        <v>8515</v>
      </c>
      <c r="I22" s="110" t="s">
        <v>8514</v>
      </c>
      <c r="J22" s="110" t="s">
        <v>8513</v>
      </c>
      <c r="K22" s="110" t="s">
        <v>8512</v>
      </c>
      <c r="L22" s="110" t="s">
        <v>8557</v>
      </c>
      <c r="M22" s="110" t="s">
        <v>8522</v>
      </c>
      <c r="N22" s="110" t="s">
        <v>8521</v>
      </c>
      <c r="O22" s="110" t="s">
        <v>8520</v>
      </c>
      <c r="P22" s="110" t="s">
        <v>8519</v>
      </c>
      <c r="Q22" s="186"/>
      <c r="S22" s="107" t="s">
        <v>8598</v>
      </c>
      <c r="AE22" t="s">
        <v>8599</v>
      </c>
      <c r="AQ22" t="s">
        <v>8600</v>
      </c>
      <c r="BO22" t="s">
        <v>8572</v>
      </c>
      <c r="CA22" t="s">
        <v>8602</v>
      </c>
    </row>
    <row r="23" spans="1:96" ht="17.399999999999999">
      <c r="A23" t="s">
        <v>8614</v>
      </c>
      <c r="B23" s="120" t="s">
        <v>8615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88"/>
      <c r="P23" s="188"/>
      <c r="Q23" s="137"/>
      <c r="R23" s="196" t="s">
        <v>8616</v>
      </c>
      <c r="S23" s="197" t="s">
        <v>8518</v>
      </c>
      <c r="T23" s="197" t="s">
        <v>8517</v>
      </c>
      <c r="U23" s="197" t="s">
        <v>8516</v>
      </c>
      <c r="V23" s="197" t="s">
        <v>8515</v>
      </c>
      <c r="W23" s="197" t="s">
        <v>8514</v>
      </c>
      <c r="X23" s="197" t="s">
        <v>8513</v>
      </c>
      <c r="Y23" s="197" t="s">
        <v>8512</v>
      </c>
      <c r="Z23" s="197" t="s">
        <v>8557</v>
      </c>
      <c r="AA23" s="197" t="s">
        <v>8522</v>
      </c>
      <c r="AB23" s="197" t="s">
        <v>8521</v>
      </c>
      <c r="AC23" s="197" t="s">
        <v>8520</v>
      </c>
      <c r="AD23" s="147" t="s">
        <v>8519</v>
      </c>
      <c r="AE23" s="147" t="s">
        <v>8608</v>
      </c>
      <c r="AF23" s="145" t="s">
        <v>8517</v>
      </c>
      <c r="AG23" s="145" t="s">
        <v>8516</v>
      </c>
      <c r="AH23" s="145" t="s">
        <v>8515</v>
      </c>
      <c r="AI23" s="145" t="s">
        <v>8514</v>
      </c>
      <c r="AJ23" s="145" t="s">
        <v>8513</v>
      </c>
      <c r="AK23" s="145" t="s">
        <v>8512</v>
      </c>
      <c r="AL23" s="145" t="s">
        <v>8557</v>
      </c>
      <c r="AM23" s="145" t="s">
        <v>8522</v>
      </c>
      <c r="AN23" s="145" t="s">
        <v>8521</v>
      </c>
      <c r="AO23" s="145" t="s">
        <v>8520</v>
      </c>
      <c r="AP23" s="148" t="s">
        <v>8519</v>
      </c>
      <c r="AQ23" s="191" t="s">
        <v>8559</v>
      </c>
      <c r="AR23" s="198" t="s">
        <v>8517</v>
      </c>
      <c r="AS23" s="198" t="s">
        <v>8516</v>
      </c>
      <c r="AT23" s="198" t="s">
        <v>8515</v>
      </c>
      <c r="AU23" s="198" t="s">
        <v>8514</v>
      </c>
      <c r="AV23" s="198" t="s">
        <v>8513</v>
      </c>
      <c r="AW23" s="198" t="s">
        <v>8512</v>
      </c>
      <c r="AX23" s="198" t="s">
        <v>8557</v>
      </c>
      <c r="AY23" s="198" t="s">
        <v>8522</v>
      </c>
      <c r="AZ23" s="198" t="s">
        <v>8521</v>
      </c>
      <c r="BA23" s="198" t="s">
        <v>8520</v>
      </c>
      <c r="BB23" s="199" t="s">
        <v>8519</v>
      </c>
      <c r="BC23" s="147" t="s">
        <v>8559</v>
      </c>
      <c r="BD23" s="145" t="s">
        <v>8517</v>
      </c>
      <c r="BE23" s="145" t="s">
        <v>8516</v>
      </c>
      <c r="BF23" s="145" t="s">
        <v>8515</v>
      </c>
      <c r="BG23" s="145" t="s">
        <v>8514</v>
      </c>
      <c r="BH23" s="145" t="s">
        <v>8513</v>
      </c>
      <c r="BI23" s="145" t="s">
        <v>8512</v>
      </c>
      <c r="BJ23" s="145" t="s">
        <v>8557</v>
      </c>
      <c r="BK23" s="145" t="s">
        <v>8522</v>
      </c>
      <c r="BL23" s="145" t="s">
        <v>8521</v>
      </c>
      <c r="BM23" s="145" t="s">
        <v>8520</v>
      </c>
      <c r="BN23" s="148" t="s">
        <v>8519</v>
      </c>
      <c r="BO23" s="119" t="s">
        <v>8608</v>
      </c>
      <c r="BP23" s="119" t="s">
        <v>8517</v>
      </c>
      <c r="BQ23" s="119" t="s">
        <v>8516</v>
      </c>
      <c r="BR23" s="119" t="s">
        <v>8515</v>
      </c>
      <c r="BS23" s="119" t="s">
        <v>8514</v>
      </c>
      <c r="BT23" s="119" t="s">
        <v>8513</v>
      </c>
      <c r="BU23" s="119" t="s">
        <v>8512</v>
      </c>
      <c r="BV23" s="119" t="s">
        <v>8557</v>
      </c>
      <c r="BW23" s="119" t="s">
        <v>8522</v>
      </c>
      <c r="BX23" s="119" t="s">
        <v>8521</v>
      </c>
      <c r="BY23" s="119" t="s">
        <v>8520</v>
      </c>
      <c r="BZ23" s="119" t="s">
        <v>8519</v>
      </c>
      <c r="CA23" s="147" t="s">
        <v>8559</v>
      </c>
      <c r="CB23" s="145" t="s">
        <v>8517</v>
      </c>
      <c r="CC23" s="145" t="s">
        <v>8516</v>
      </c>
      <c r="CD23" s="145" t="s">
        <v>8515</v>
      </c>
      <c r="CE23" s="145" t="s">
        <v>8514</v>
      </c>
      <c r="CF23" s="145" t="s">
        <v>8513</v>
      </c>
      <c r="CG23" s="145" t="s">
        <v>8512</v>
      </c>
      <c r="CH23" s="145" t="s">
        <v>8557</v>
      </c>
      <c r="CI23" s="145" t="s">
        <v>8522</v>
      </c>
      <c r="CJ23" s="145" t="s">
        <v>8521</v>
      </c>
      <c r="CK23" s="145" t="s">
        <v>8520</v>
      </c>
      <c r="CL23" s="148" t="s">
        <v>8519</v>
      </c>
      <c r="CM23" s="148" t="s">
        <v>8518</v>
      </c>
      <c r="CN23" s="148" t="s">
        <v>8517</v>
      </c>
      <c r="CO23" s="148" t="s">
        <v>8516</v>
      </c>
      <c r="CP23" s="148" t="s">
        <v>8515</v>
      </c>
      <c r="CQ23" s="148" t="s">
        <v>8514</v>
      </c>
      <c r="CR23" s="148" t="s">
        <v>8513</v>
      </c>
    </row>
    <row r="24" spans="1:96">
      <c r="B24" s="120" t="s">
        <v>8617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>
        <v>1</v>
      </c>
      <c r="M24" s="110"/>
      <c r="N24" s="110"/>
      <c r="O24" s="110"/>
      <c r="P24" s="110"/>
      <c r="Q24" s="137"/>
      <c r="R24" s="149" t="s">
        <v>8560</v>
      </c>
      <c r="S24" s="110"/>
      <c r="T24" s="110"/>
      <c r="U24" s="110"/>
      <c r="V24" s="110"/>
      <c r="W24" s="110"/>
      <c r="X24" s="110"/>
      <c r="Y24" s="110"/>
      <c r="Z24" s="110"/>
      <c r="AA24" s="110"/>
      <c r="AB24" s="110">
        <v>-1</v>
      </c>
      <c r="AC24" s="110">
        <v>2</v>
      </c>
      <c r="AD24" s="120"/>
      <c r="AE24" s="120"/>
      <c r="AF24" s="120">
        <v>1</v>
      </c>
      <c r="AG24" s="120"/>
      <c r="AH24" s="120"/>
      <c r="AI24" s="120"/>
      <c r="AJ24" s="120"/>
      <c r="AK24" s="120"/>
      <c r="AL24" s="120">
        <v>1</v>
      </c>
      <c r="AM24" s="120"/>
      <c r="AN24" s="120"/>
      <c r="AO24" s="120">
        <v>2</v>
      </c>
      <c r="AP24" s="120"/>
      <c r="AQ24" s="120"/>
      <c r="AR24" s="120"/>
      <c r="AS24" s="120"/>
      <c r="AT24" s="120"/>
      <c r="AU24" s="120"/>
      <c r="AV24" s="120">
        <v>1</v>
      </c>
      <c r="AW24" s="120">
        <v>1</v>
      </c>
      <c r="AX24" s="120"/>
      <c r="AY24" s="120"/>
      <c r="AZ24" s="120"/>
      <c r="BA24" s="120">
        <v>1</v>
      </c>
      <c r="BB24" s="120"/>
      <c r="BC24" s="120">
        <v>3</v>
      </c>
      <c r="BD24" s="120">
        <v>-1</v>
      </c>
      <c r="BE24" s="120">
        <v>1</v>
      </c>
      <c r="BF24" s="120"/>
      <c r="BG24" s="120"/>
      <c r="BH24" s="120">
        <v>1</v>
      </c>
      <c r="BI24" s="120"/>
      <c r="BJ24" s="120"/>
      <c r="BK24" s="120">
        <v>1</v>
      </c>
      <c r="BL24" s="120"/>
      <c r="BM24" s="120">
        <v>-1</v>
      </c>
      <c r="BN24" s="120">
        <v>1</v>
      </c>
      <c r="BO24" s="120"/>
      <c r="BP24" s="120"/>
      <c r="BQ24" s="120"/>
      <c r="BR24" s="120">
        <v>-1</v>
      </c>
      <c r="BS24" s="120"/>
      <c r="BT24" s="120"/>
      <c r="BU24" s="120">
        <v>-1</v>
      </c>
      <c r="BV24" s="120"/>
      <c r="BW24" s="120">
        <v>-2</v>
      </c>
      <c r="BX24" s="120">
        <v>-3</v>
      </c>
      <c r="BY24" s="120">
        <v>1</v>
      </c>
      <c r="BZ24" s="120"/>
      <c r="CA24" s="120">
        <v>0</v>
      </c>
      <c r="CB24" s="120">
        <v>0</v>
      </c>
      <c r="CC24" s="120">
        <v>0</v>
      </c>
      <c r="CD24" s="120">
        <v>0</v>
      </c>
      <c r="CE24" s="120">
        <v>-2</v>
      </c>
      <c r="CF24" s="120">
        <v>1</v>
      </c>
      <c r="CG24" s="120">
        <v>0</v>
      </c>
      <c r="CH24" s="120"/>
      <c r="CI24" s="120">
        <v>1</v>
      </c>
      <c r="CJ24" s="120">
        <v>-1</v>
      </c>
      <c r="CK24" s="120">
        <v>1</v>
      </c>
      <c r="CL24" s="120"/>
      <c r="CM24" s="120"/>
      <c r="CN24" s="120"/>
      <c r="CO24" s="120"/>
      <c r="CP24" s="120"/>
      <c r="CQ24" s="120"/>
      <c r="CR24" s="120"/>
    </row>
    <row r="25" spans="1:96">
      <c r="B25" s="120" t="s">
        <v>8561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>
        <v>-1</v>
      </c>
      <c r="M25" s="110"/>
      <c r="N25" s="110"/>
      <c r="O25" s="110"/>
      <c r="P25" s="110">
        <v>-1</v>
      </c>
      <c r="Q25" s="137"/>
      <c r="R25" s="149" t="s">
        <v>8611</v>
      </c>
      <c r="S25" s="110">
        <v>-3</v>
      </c>
      <c r="T25" s="110">
        <v>2</v>
      </c>
      <c r="U25" s="110"/>
      <c r="V25" s="110"/>
      <c r="W25" s="110"/>
      <c r="X25" s="110"/>
      <c r="Y25" s="110"/>
      <c r="Z25" s="110">
        <v>1</v>
      </c>
      <c r="AA25" s="110"/>
      <c r="AB25" s="110"/>
      <c r="AC25" s="110">
        <v>-2</v>
      </c>
      <c r="AD25" s="120"/>
      <c r="AE25" s="120">
        <v>1</v>
      </c>
      <c r="AF25" s="120">
        <v>-1</v>
      </c>
      <c r="AG25" s="120">
        <v>1</v>
      </c>
      <c r="AH25" s="120"/>
      <c r="AI25" s="120">
        <v>-1</v>
      </c>
      <c r="AJ25" s="120">
        <v>-1</v>
      </c>
      <c r="AK25" s="120"/>
      <c r="AL25" s="120">
        <v>0</v>
      </c>
      <c r="AM25" s="120"/>
      <c r="AN25" s="120"/>
      <c r="AO25" s="120">
        <v>-2</v>
      </c>
      <c r="AP25" s="120"/>
      <c r="AQ25" s="120"/>
      <c r="AR25" s="120"/>
      <c r="AS25" s="120"/>
      <c r="AT25" s="120"/>
      <c r="AU25" s="120">
        <v>1</v>
      </c>
      <c r="AV25" s="120">
        <v>-1</v>
      </c>
      <c r="AW25" s="120">
        <v>-1</v>
      </c>
      <c r="AX25" s="120"/>
      <c r="AY25" s="120"/>
      <c r="AZ25" s="120"/>
      <c r="BA25" s="120">
        <v>-1</v>
      </c>
      <c r="BB25" s="120"/>
      <c r="BC25" s="120">
        <v>4</v>
      </c>
      <c r="BD25" s="120">
        <v>1</v>
      </c>
      <c r="BE25" s="120">
        <v>-1</v>
      </c>
      <c r="BF25" s="120">
        <v>2</v>
      </c>
      <c r="BG25" s="120"/>
      <c r="BH25" s="120">
        <v>-1</v>
      </c>
      <c r="BI25" s="120"/>
      <c r="BJ25" s="120"/>
      <c r="BK25" s="120">
        <v>-1</v>
      </c>
      <c r="BL25" s="120"/>
      <c r="BM25" s="120">
        <v>2</v>
      </c>
      <c r="BN25" s="120">
        <v>-1</v>
      </c>
      <c r="BO25" s="120"/>
      <c r="BP25" s="120"/>
      <c r="BQ25" s="120"/>
      <c r="BR25" s="120">
        <v>-1</v>
      </c>
      <c r="BS25" s="120"/>
      <c r="BT25" s="120"/>
      <c r="BU25" s="120">
        <v>1</v>
      </c>
      <c r="BV25" s="120"/>
      <c r="BW25" s="120">
        <v>2</v>
      </c>
      <c r="BX25" s="120">
        <v>2</v>
      </c>
      <c r="BY25" s="120"/>
      <c r="BZ25" s="120">
        <v>-1</v>
      </c>
      <c r="CA25" s="120">
        <v>-1</v>
      </c>
      <c r="CB25" s="120">
        <v>-2</v>
      </c>
      <c r="CC25" s="120">
        <v>0</v>
      </c>
      <c r="CD25" s="120">
        <v>0</v>
      </c>
      <c r="CE25" s="120">
        <v>2</v>
      </c>
      <c r="CF25" s="120">
        <v>-1</v>
      </c>
      <c r="CG25" s="120">
        <v>0</v>
      </c>
      <c r="CH25" s="120">
        <v>-1</v>
      </c>
      <c r="CI25" s="120">
        <v>-1</v>
      </c>
      <c r="CJ25" s="120">
        <v>1</v>
      </c>
      <c r="CK25" s="120">
        <v>-1</v>
      </c>
      <c r="CL25" s="120">
        <v>-1</v>
      </c>
      <c r="CM25" s="120"/>
      <c r="CN25" s="120"/>
      <c r="CO25" s="120"/>
      <c r="CP25" s="120"/>
      <c r="CQ25" s="120"/>
      <c r="CR25" s="120"/>
    </row>
    <row r="26" spans="1:96">
      <c r="B26" s="120" t="s">
        <v>8618</v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10"/>
      <c r="P26" s="110">
        <v>1</v>
      </c>
      <c r="Q26" s="137"/>
      <c r="R26" s="149" t="s">
        <v>8618</v>
      </c>
      <c r="S26" s="110">
        <v>3</v>
      </c>
      <c r="T26" s="110">
        <v>-2</v>
      </c>
      <c r="U26" s="110"/>
      <c r="V26" s="110"/>
      <c r="W26" s="110"/>
      <c r="X26" s="110"/>
      <c r="Y26" s="110"/>
      <c r="Z26" s="110">
        <v>-1</v>
      </c>
      <c r="AA26" s="110"/>
      <c r="AB26" s="110">
        <v>1</v>
      </c>
      <c r="AC26" s="110"/>
      <c r="AD26" s="120"/>
      <c r="AE26" s="120">
        <v>-1</v>
      </c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>
        <v>-1</v>
      </c>
      <c r="AV26" s="120"/>
      <c r="AW26" s="120"/>
      <c r="AX26" s="120"/>
      <c r="AY26" s="120"/>
      <c r="AZ26" s="120"/>
      <c r="BA26" s="120"/>
      <c r="BB26" s="120"/>
      <c r="BC26" s="120">
        <v>-7</v>
      </c>
      <c r="BD26" s="120">
        <v>-1</v>
      </c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>
        <v>0</v>
      </c>
      <c r="CB26" s="120">
        <v>0</v>
      </c>
      <c r="CC26" s="120">
        <v>0</v>
      </c>
      <c r="CD26" s="120">
        <v>0</v>
      </c>
      <c r="CE26" s="120">
        <v>0</v>
      </c>
      <c r="CF26" s="120">
        <v>0</v>
      </c>
      <c r="CG26" s="120">
        <v>0</v>
      </c>
      <c r="CH26" s="120"/>
      <c r="CI26" s="120"/>
      <c r="CJ26" s="120"/>
      <c r="CK26" s="120"/>
      <c r="CL26" s="120"/>
      <c r="CM26" s="120"/>
      <c r="CN26" s="120"/>
      <c r="CO26" s="120"/>
      <c r="CP26" s="120"/>
      <c r="CQ26" s="120"/>
      <c r="CR26" s="120"/>
    </row>
    <row r="27" spans="1:96">
      <c r="B27" s="120" t="s">
        <v>8563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37"/>
      <c r="R27" s="149" t="s">
        <v>8563</v>
      </c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>
        <v>-1</v>
      </c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>
        <v>1</v>
      </c>
      <c r="CB27" s="120">
        <v>1</v>
      </c>
      <c r="CC27" s="120">
        <v>0</v>
      </c>
      <c r="CD27" s="120">
        <v>0</v>
      </c>
      <c r="CE27" s="120">
        <v>0</v>
      </c>
      <c r="CF27" s="120">
        <v>0</v>
      </c>
      <c r="CG27" s="120">
        <v>0</v>
      </c>
      <c r="CH27" s="120"/>
      <c r="CI27" s="120"/>
      <c r="CJ27" s="120"/>
      <c r="CK27" s="120"/>
      <c r="CL27" s="120">
        <v>-1</v>
      </c>
      <c r="CM27" s="120"/>
      <c r="CN27" s="120"/>
      <c r="CO27" s="120"/>
      <c r="CP27" s="120"/>
      <c r="CQ27" s="120"/>
      <c r="CR27" s="120"/>
    </row>
    <row r="28" spans="1:96" ht="13.8" thickBot="1">
      <c r="B28" s="120" t="s">
        <v>8564</v>
      </c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10"/>
      <c r="P28" s="110"/>
      <c r="Q28" s="137"/>
      <c r="R28" s="165" t="s">
        <v>8564</v>
      </c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4"/>
      <c r="AE28" s="174"/>
      <c r="AF28" s="174"/>
      <c r="AG28" s="174">
        <v>-1</v>
      </c>
      <c r="AH28" s="174"/>
      <c r="AI28" s="174">
        <v>1</v>
      </c>
      <c r="AJ28" s="174">
        <v>1</v>
      </c>
      <c r="AK28" s="174"/>
      <c r="AL28" s="174">
        <v>-1</v>
      </c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>
        <v>1</v>
      </c>
      <c r="BE28" s="174"/>
      <c r="BF28" s="174">
        <v>-2</v>
      </c>
      <c r="BG28" s="174"/>
      <c r="BH28" s="174"/>
      <c r="BI28" s="174"/>
      <c r="BJ28" s="174"/>
      <c r="BK28" s="174"/>
      <c r="BL28" s="174"/>
      <c r="BM28" s="174"/>
      <c r="BN28" s="174"/>
      <c r="BO28" s="174"/>
      <c r="BP28" s="174"/>
      <c r="BQ28" s="174"/>
      <c r="BR28" s="174">
        <v>2</v>
      </c>
      <c r="BS28" s="174"/>
      <c r="BT28" s="174"/>
      <c r="BU28" s="174"/>
      <c r="BV28" s="174"/>
      <c r="BW28" s="174"/>
      <c r="BX28" s="174">
        <v>1</v>
      </c>
      <c r="BY28" s="174">
        <v>-1</v>
      </c>
      <c r="BZ28" s="174">
        <v>1</v>
      </c>
      <c r="CA28" s="174">
        <v>0</v>
      </c>
      <c r="CB28" s="174">
        <v>0</v>
      </c>
      <c r="CC28" s="174">
        <v>0</v>
      </c>
      <c r="CD28" s="174">
        <v>0</v>
      </c>
      <c r="CE28" s="174">
        <v>0</v>
      </c>
      <c r="CF28" s="174">
        <v>0</v>
      </c>
      <c r="CG28" s="174">
        <v>0</v>
      </c>
      <c r="CH28" s="174">
        <v>1</v>
      </c>
      <c r="CI28" s="174"/>
      <c r="CJ28" s="174"/>
      <c r="CK28" s="174"/>
      <c r="CL28" s="174">
        <v>2</v>
      </c>
      <c r="CM28" s="174"/>
      <c r="CN28" s="174"/>
      <c r="CO28" s="174"/>
      <c r="CP28" s="174"/>
      <c r="CQ28" s="174"/>
      <c r="CR28" s="174"/>
    </row>
    <row r="29" spans="1:96" ht="34.200000000000003" customHeight="1" thickTop="1">
      <c r="B29" s="110" t="s">
        <v>8565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86"/>
      <c r="R29" s="176" t="s">
        <v>8565</v>
      </c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0"/>
      <c r="BF29" s="201"/>
      <c r="BG29" s="201"/>
      <c r="BH29" s="201"/>
      <c r="BI29" s="201"/>
      <c r="BJ29" s="201"/>
      <c r="BK29" s="201"/>
      <c r="BL29" s="201"/>
      <c r="BM29" s="200"/>
      <c r="BN29" s="201"/>
      <c r="BO29" s="201"/>
      <c r="BP29" s="201"/>
      <c r="BQ29" s="201"/>
      <c r="BR29" s="201"/>
      <c r="BS29" s="201"/>
      <c r="BT29" s="201"/>
      <c r="BU29" s="201"/>
      <c r="BV29" s="201"/>
      <c r="BW29" s="201"/>
      <c r="BX29" s="201"/>
      <c r="BY29" s="201"/>
      <c r="BZ29" s="201"/>
      <c r="CA29" s="201"/>
      <c r="CB29" s="201"/>
      <c r="CC29" s="200"/>
      <c r="CD29" s="201"/>
      <c r="CE29" s="201"/>
      <c r="CF29" s="201"/>
      <c r="CG29" s="201"/>
      <c r="CH29" s="201"/>
      <c r="CI29" s="201"/>
      <c r="CJ29" s="201"/>
      <c r="CK29" s="200"/>
      <c r="CL29" s="201"/>
    </row>
    <row r="30" spans="1:96" ht="34.200000000000003" customHeight="1">
      <c r="B30" s="107"/>
      <c r="R30" s="202"/>
      <c r="BE30" s="107"/>
      <c r="BM30" s="107"/>
      <c r="CC30" s="107"/>
      <c r="CK30" s="107"/>
    </row>
    <row r="31" spans="1:96">
      <c r="R31" s="203"/>
      <c r="BO31" t="s">
        <v>8572</v>
      </c>
      <c r="CA31" t="s">
        <v>8602</v>
      </c>
    </row>
    <row r="32" spans="1:96" ht="20.100000000000001" customHeight="1">
      <c r="A32" t="s">
        <v>8619</v>
      </c>
      <c r="B32" s="120" t="s">
        <v>8607</v>
      </c>
      <c r="C32" s="110">
        <f>SUM(C3,-C13,C23)</f>
        <v>0</v>
      </c>
      <c r="D32" s="110">
        <f t="shared" ref="D32:N34" si="10">SUM(C32,D3,-D13,D23)</f>
        <v>0</v>
      </c>
      <c r="E32" s="110">
        <f t="shared" si="10"/>
        <v>0</v>
      </c>
      <c r="F32" s="110">
        <f t="shared" si="10"/>
        <v>0</v>
      </c>
      <c r="G32" s="110">
        <f t="shared" si="10"/>
        <v>0</v>
      </c>
      <c r="H32" s="110">
        <f t="shared" si="10"/>
        <v>0</v>
      </c>
      <c r="I32" s="110">
        <f t="shared" si="10"/>
        <v>0</v>
      </c>
      <c r="J32" s="110">
        <f t="shared" si="10"/>
        <v>0</v>
      </c>
      <c r="K32" s="110">
        <f t="shared" si="10"/>
        <v>0</v>
      </c>
      <c r="L32" s="110">
        <f t="shared" si="10"/>
        <v>0</v>
      </c>
      <c r="M32" s="110">
        <f t="shared" si="10"/>
        <v>0</v>
      </c>
      <c r="N32" s="110">
        <f t="shared" si="10"/>
        <v>0</v>
      </c>
      <c r="O32" s="188"/>
      <c r="P32" s="188"/>
      <c r="Q32" s="186"/>
      <c r="R32" s="196" t="s">
        <v>8620</v>
      </c>
      <c r="S32" s="204" t="s">
        <v>8518</v>
      </c>
      <c r="T32" s="204" t="s">
        <v>8517</v>
      </c>
      <c r="U32" s="204" t="s">
        <v>8516</v>
      </c>
      <c r="V32" s="204" t="s">
        <v>8515</v>
      </c>
      <c r="W32" s="204" t="s">
        <v>8514</v>
      </c>
      <c r="X32" s="204" t="s">
        <v>8513</v>
      </c>
      <c r="Y32" s="204" t="s">
        <v>8512</v>
      </c>
      <c r="Z32" s="204" t="s">
        <v>8557</v>
      </c>
      <c r="AA32" s="204" t="s">
        <v>8522</v>
      </c>
      <c r="AB32" s="204" t="s">
        <v>8521</v>
      </c>
      <c r="AC32" s="204" t="s">
        <v>8520</v>
      </c>
      <c r="AD32" s="141" t="s">
        <v>8519</v>
      </c>
      <c r="AE32" s="141" t="s">
        <v>8559</v>
      </c>
      <c r="AF32" s="145" t="s">
        <v>8517</v>
      </c>
      <c r="AG32" s="145" t="s">
        <v>8516</v>
      </c>
      <c r="AH32" s="145" t="s">
        <v>8515</v>
      </c>
      <c r="AI32" s="145" t="s">
        <v>8514</v>
      </c>
      <c r="AJ32" s="145" t="s">
        <v>8513</v>
      </c>
      <c r="AK32" s="145" t="s">
        <v>8512</v>
      </c>
      <c r="AL32" s="145" t="s">
        <v>8557</v>
      </c>
      <c r="AM32" s="145" t="s">
        <v>8522</v>
      </c>
      <c r="AN32" s="145" t="s">
        <v>8521</v>
      </c>
      <c r="AO32" s="145" t="s">
        <v>8520</v>
      </c>
      <c r="AP32" s="148" t="s">
        <v>8519</v>
      </c>
      <c r="AQ32" s="142" t="s">
        <v>8559</v>
      </c>
      <c r="AR32" s="198" t="s">
        <v>8517</v>
      </c>
      <c r="AS32" s="198" t="s">
        <v>8516</v>
      </c>
      <c r="AT32" s="198" t="s">
        <v>8515</v>
      </c>
      <c r="AU32" s="198" t="s">
        <v>8514</v>
      </c>
      <c r="AV32" s="198" t="s">
        <v>8513</v>
      </c>
      <c r="AW32" s="198" t="s">
        <v>8512</v>
      </c>
      <c r="AX32" s="198" t="s">
        <v>8557</v>
      </c>
      <c r="AY32" s="198" t="s">
        <v>8522</v>
      </c>
      <c r="AZ32" s="198" t="s">
        <v>8521</v>
      </c>
      <c r="BA32" s="198" t="s">
        <v>8520</v>
      </c>
      <c r="BB32" s="199" t="s">
        <v>8519</v>
      </c>
      <c r="BC32" s="141" t="s">
        <v>8559</v>
      </c>
      <c r="BD32" s="145" t="s">
        <v>8517</v>
      </c>
      <c r="BE32" s="145" t="s">
        <v>8516</v>
      </c>
      <c r="BF32" s="145" t="s">
        <v>8515</v>
      </c>
      <c r="BG32" s="145" t="s">
        <v>8514</v>
      </c>
      <c r="BH32" s="145" t="s">
        <v>8513</v>
      </c>
      <c r="BI32" s="145" t="s">
        <v>8512</v>
      </c>
      <c r="BJ32" s="145" t="s">
        <v>8557</v>
      </c>
      <c r="BK32" s="145" t="s">
        <v>8522</v>
      </c>
      <c r="BL32" s="145" t="s">
        <v>8521</v>
      </c>
      <c r="BM32" s="145" t="s">
        <v>8520</v>
      </c>
      <c r="BN32" s="146" t="s">
        <v>8519</v>
      </c>
      <c r="BO32" s="119" t="s">
        <v>8559</v>
      </c>
      <c r="BP32" s="119" t="s">
        <v>8517</v>
      </c>
      <c r="BQ32" s="119" t="s">
        <v>8516</v>
      </c>
      <c r="BR32" s="119" t="s">
        <v>8515</v>
      </c>
      <c r="BS32" s="119" t="s">
        <v>8514</v>
      </c>
      <c r="BT32" s="119" t="s">
        <v>8513</v>
      </c>
      <c r="BU32" s="119" t="s">
        <v>8512</v>
      </c>
      <c r="BV32" s="119" t="s">
        <v>8557</v>
      </c>
      <c r="BW32" s="119" t="s">
        <v>8522</v>
      </c>
      <c r="BX32" s="119" t="s">
        <v>8521</v>
      </c>
      <c r="BY32" s="119" t="s">
        <v>8520</v>
      </c>
      <c r="BZ32" s="119" t="s">
        <v>8519</v>
      </c>
      <c r="CA32" s="147" t="s">
        <v>8559</v>
      </c>
      <c r="CB32" s="145" t="s">
        <v>8517</v>
      </c>
      <c r="CC32" s="145" t="s">
        <v>8516</v>
      </c>
      <c r="CD32" s="145" t="s">
        <v>8515</v>
      </c>
      <c r="CE32" s="145" t="s">
        <v>8514</v>
      </c>
      <c r="CF32" s="145" t="s">
        <v>8513</v>
      </c>
      <c r="CG32" s="145" t="s">
        <v>8512</v>
      </c>
      <c r="CH32" s="145" t="s">
        <v>8557</v>
      </c>
      <c r="CI32" s="145" t="s">
        <v>8522</v>
      </c>
      <c r="CJ32" s="145" t="s">
        <v>8521</v>
      </c>
      <c r="CK32" s="145" t="s">
        <v>8520</v>
      </c>
      <c r="CL32" s="148" t="s">
        <v>8519</v>
      </c>
      <c r="CM32" s="148" t="s">
        <v>8518</v>
      </c>
      <c r="CN32" s="148" t="s">
        <v>8517</v>
      </c>
      <c r="CO32" s="148" t="s">
        <v>8516</v>
      </c>
      <c r="CP32" s="148" t="s">
        <v>8515</v>
      </c>
      <c r="CQ32" s="148" t="s">
        <v>8514</v>
      </c>
      <c r="CR32" s="148" t="s">
        <v>8513</v>
      </c>
    </row>
    <row r="33" spans="1:96" ht="20.100000000000001" customHeight="1">
      <c r="B33" s="120" t="s">
        <v>8560</v>
      </c>
      <c r="C33" s="110">
        <f>SUM(C4,-C14,C24)</f>
        <v>3</v>
      </c>
      <c r="D33" s="110">
        <f t="shared" si="10"/>
        <v>3</v>
      </c>
      <c r="E33" s="110">
        <f t="shared" si="10"/>
        <v>4</v>
      </c>
      <c r="F33" s="110">
        <f t="shared" si="10"/>
        <v>7</v>
      </c>
      <c r="G33" s="110">
        <f t="shared" si="10"/>
        <v>7</v>
      </c>
      <c r="H33" s="110">
        <f t="shared" si="10"/>
        <v>5</v>
      </c>
      <c r="I33" s="110">
        <f t="shared" si="10"/>
        <v>5</v>
      </c>
      <c r="J33" s="110">
        <f t="shared" si="10"/>
        <v>5</v>
      </c>
      <c r="K33" s="110">
        <f t="shared" si="10"/>
        <v>3</v>
      </c>
      <c r="L33" s="110">
        <f t="shared" si="10"/>
        <v>3</v>
      </c>
      <c r="M33" s="110">
        <f t="shared" si="10"/>
        <v>2</v>
      </c>
      <c r="N33" s="110">
        <f t="shared" si="10"/>
        <v>2</v>
      </c>
      <c r="O33" s="110">
        <f t="shared" ref="O33:P36" si="11">SUM(N33,O4,-O14,O24)</f>
        <v>2</v>
      </c>
      <c r="P33" s="110">
        <f t="shared" si="11"/>
        <v>2</v>
      </c>
      <c r="Q33" s="137"/>
      <c r="R33" s="149" t="s">
        <v>8617</v>
      </c>
      <c r="S33" s="150">
        <f>SUM(P33,S4,-S14,S24)</f>
        <v>3</v>
      </c>
      <c r="T33" s="150">
        <f t="shared" ref="T33:AD37" si="12">SUM(S33,T4,-T14,T24)</f>
        <v>3</v>
      </c>
      <c r="U33" s="150">
        <f t="shared" si="12"/>
        <v>4</v>
      </c>
      <c r="V33" s="150">
        <f t="shared" si="12"/>
        <v>6</v>
      </c>
      <c r="W33" s="150">
        <f t="shared" si="12"/>
        <v>7</v>
      </c>
      <c r="X33" s="150">
        <f t="shared" si="12"/>
        <v>8</v>
      </c>
      <c r="Y33" s="150">
        <f t="shared" si="12"/>
        <v>8</v>
      </c>
      <c r="Z33" s="150">
        <f t="shared" si="12"/>
        <v>10</v>
      </c>
      <c r="AA33" s="150">
        <f t="shared" si="12"/>
        <v>11</v>
      </c>
      <c r="AB33" s="151">
        <f t="shared" si="12"/>
        <v>10</v>
      </c>
      <c r="AC33" s="151">
        <f t="shared" si="12"/>
        <v>12</v>
      </c>
      <c r="AD33" s="151">
        <f t="shared" si="12"/>
        <v>10</v>
      </c>
      <c r="AE33" s="151">
        <f>SUM(9,AE4,-AE14,AE24)</f>
        <v>8</v>
      </c>
      <c r="AF33" s="151">
        <f t="shared" ref="AF33:AP37" si="13">SUM(AE33,AF4,-AF14,AF24)</f>
        <v>9</v>
      </c>
      <c r="AG33" s="151">
        <f t="shared" si="13"/>
        <v>10</v>
      </c>
      <c r="AH33" s="151">
        <f t="shared" si="13"/>
        <v>11</v>
      </c>
      <c r="AI33" s="151">
        <f t="shared" si="13"/>
        <v>11</v>
      </c>
      <c r="AJ33" s="151">
        <f t="shared" si="13"/>
        <v>11</v>
      </c>
      <c r="AK33" s="151">
        <f t="shared" si="13"/>
        <v>12</v>
      </c>
      <c r="AL33" s="151">
        <f t="shared" si="13"/>
        <v>13</v>
      </c>
      <c r="AM33" s="151">
        <f t="shared" si="13"/>
        <v>14</v>
      </c>
      <c r="AN33" s="151">
        <f t="shared" si="13"/>
        <v>15</v>
      </c>
      <c r="AO33" s="151">
        <f t="shared" si="13"/>
        <v>17</v>
      </c>
      <c r="AP33" s="151">
        <f t="shared" si="13"/>
        <v>17</v>
      </c>
      <c r="AQ33" s="151">
        <v>13</v>
      </c>
      <c r="AR33" s="151">
        <f t="shared" ref="AR33:BZ37" si="14">SUM(AQ33,AR4,-AR14,AR24)</f>
        <v>13</v>
      </c>
      <c r="AS33" s="151">
        <f t="shared" si="14"/>
        <v>11</v>
      </c>
      <c r="AT33" s="151">
        <f t="shared" si="14"/>
        <v>8</v>
      </c>
      <c r="AU33" s="151">
        <f t="shared" si="14"/>
        <v>8</v>
      </c>
      <c r="AV33" s="151">
        <f t="shared" si="14"/>
        <v>10</v>
      </c>
      <c r="AW33" s="151">
        <f t="shared" si="14"/>
        <v>12</v>
      </c>
      <c r="AX33" s="151">
        <f t="shared" si="14"/>
        <v>11</v>
      </c>
      <c r="AY33" s="151">
        <f t="shared" si="14"/>
        <v>11</v>
      </c>
      <c r="AZ33" s="151">
        <f t="shared" si="14"/>
        <v>11</v>
      </c>
      <c r="BA33" s="151">
        <f t="shared" si="14"/>
        <v>12</v>
      </c>
      <c r="BB33" s="151">
        <f t="shared" si="14"/>
        <v>12</v>
      </c>
      <c r="BC33" s="151">
        <f t="shared" si="14"/>
        <v>16</v>
      </c>
      <c r="BD33" s="151">
        <f t="shared" si="14"/>
        <v>18</v>
      </c>
      <c r="BE33" s="151">
        <f t="shared" si="14"/>
        <v>21</v>
      </c>
      <c r="BF33" s="151">
        <f t="shared" si="14"/>
        <v>21</v>
      </c>
      <c r="BG33" s="151">
        <f t="shared" si="14"/>
        <v>21</v>
      </c>
      <c r="BH33" s="151">
        <f t="shared" si="14"/>
        <v>21</v>
      </c>
      <c r="BI33" s="151">
        <f t="shared" si="14"/>
        <v>21</v>
      </c>
      <c r="BJ33" s="151">
        <f t="shared" si="14"/>
        <v>21</v>
      </c>
      <c r="BK33" s="151">
        <f t="shared" si="14"/>
        <v>22</v>
      </c>
      <c r="BL33" s="151">
        <f t="shared" si="14"/>
        <v>20</v>
      </c>
      <c r="BM33" s="151">
        <f t="shared" si="14"/>
        <v>19</v>
      </c>
      <c r="BN33" s="205">
        <f t="shared" si="14"/>
        <v>20</v>
      </c>
      <c r="BO33" s="120">
        <f>SUM(BN33,BO4,-BO14,BO24)</f>
        <v>23</v>
      </c>
      <c r="BP33" s="120">
        <f t="shared" si="14"/>
        <v>22</v>
      </c>
      <c r="BQ33" s="120">
        <f t="shared" si="14"/>
        <v>22</v>
      </c>
      <c r="BR33" s="120">
        <f t="shared" si="14"/>
        <v>23</v>
      </c>
      <c r="BS33" s="120">
        <f t="shared" si="14"/>
        <v>22</v>
      </c>
      <c r="BT33" s="120">
        <f t="shared" si="14"/>
        <v>22</v>
      </c>
      <c r="BU33" s="120">
        <f t="shared" si="14"/>
        <v>21</v>
      </c>
      <c r="BV33" s="120">
        <f t="shared" si="14"/>
        <v>22</v>
      </c>
      <c r="BW33" s="120">
        <f t="shared" si="14"/>
        <v>20</v>
      </c>
      <c r="BX33" s="120">
        <v>17</v>
      </c>
      <c r="BY33" s="120">
        <v>18</v>
      </c>
      <c r="BZ33" s="120">
        <v>18</v>
      </c>
      <c r="CA33" s="110">
        <v>19</v>
      </c>
      <c r="CB33" s="110">
        <v>19</v>
      </c>
      <c r="CC33" s="110">
        <v>19</v>
      </c>
      <c r="CD33" s="110">
        <v>18</v>
      </c>
      <c r="CE33" s="110">
        <f>CD33+CE24-CE14+CE4</f>
        <v>16</v>
      </c>
      <c r="CF33" s="110">
        <f>CE33+CF24-CF14+CF4</f>
        <v>18</v>
      </c>
      <c r="CG33" s="110">
        <f>CF33+CG24-CG14+CG4</f>
        <v>20</v>
      </c>
      <c r="CH33" s="110">
        <f>CG33+CH24-CH14+CH4</f>
        <v>21</v>
      </c>
      <c r="CI33" s="110">
        <f>CH33+CI24-CI14+CI4</f>
        <v>25</v>
      </c>
      <c r="CJ33" s="110">
        <f t="shared" ref="CJ33:CL37" si="15">CI33+CJ24-CJ14+CJ4</f>
        <v>26</v>
      </c>
      <c r="CK33" s="110">
        <f t="shared" si="15"/>
        <v>30</v>
      </c>
      <c r="CL33" s="110">
        <f t="shared" si="15"/>
        <v>32</v>
      </c>
      <c r="CM33" s="110"/>
      <c r="CN33" s="110"/>
      <c r="CO33" s="110"/>
      <c r="CP33" s="110"/>
      <c r="CQ33" s="110"/>
      <c r="CR33" s="110"/>
    </row>
    <row r="34" spans="1:96" ht="20.100000000000001" customHeight="1">
      <c r="B34" s="120" t="s">
        <v>8561</v>
      </c>
      <c r="C34" s="110">
        <f>SUM(C5,-C15,C25)</f>
        <v>14</v>
      </c>
      <c r="D34" s="110">
        <f t="shared" si="10"/>
        <v>26</v>
      </c>
      <c r="E34" s="110">
        <f t="shared" si="10"/>
        <v>31</v>
      </c>
      <c r="F34" s="110">
        <f t="shared" si="10"/>
        <v>37</v>
      </c>
      <c r="G34" s="110">
        <f t="shared" si="10"/>
        <v>45</v>
      </c>
      <c r="H34" s="110">
        <f t="shared" si="10"/>
        <v>48</v>
      </c>
      <c r="I34" s="110">
        <f t="shared" si="10"/>
        <v>46</v>
      </c>
      <c r="J34" s="110">
        <f t="shared" si="10"/>
        <v>49</v>
      </c>
      <c r="K34" s="110">
        <f t="shared" si="10"/>
        <v>46</v>
      </c>
      <c r="L34" s="110">
        <f t="shared" si="10"/>
        <v>50</v>
      </c>
      <c r="M34" s="110">
        <f t="shared" si="10"/>
        <v>50</v>
      </c>
      <c r="N34" s="110">
        <f t="shared" si="10"/>
        <v>43</v>
      </c>
      <c r="O34" s="110">
        <f t="shared" si="11"/>
        <v>44</v>
      </c>
      <c r="P34" s="110">
        <f t="shared" si="11"/>
        <v>41</v>
      </c>
      <c r="Q34" s="137"/>
      <c r="R34" s="149" t="s">
        <v>8561</v>
      </c>
      <c r="S34" s="150">
        <f>SUM(P34,S5,-S15,S25)</f>
        <v>46</v>
      </c>
      <c r="T34" s="150">
        <f t="shared" si="12"/>
        <v>50</v>
      </c>
      <c r="U34" s="150">
        <f t="shared" si="12"/>
        <v>49</v>
      </c>
      <c r="V34" s="150">
        <f t="shared" si="12"/>
        <v>49</v>
      </c>
      <c r="W34" s="150">
        <f t="shared" si="12"/>
        <v>52</v>
      </c>
      <c r="X34" s="150">
        <f t="shared" si="12"/>
        <v>55</v>
      </c>
      <c r="Y34" s="150">
        <f t="shared" si="12"/>
        <v>61</v>
      </c>
      <c r="Z34" s="150">
        <f t="shared" si="12"/>
        <v>64</v>
      </c>
      <c r="AA34" s="150">
        <f t="shared" si="12"/>
        <v>65</v>
      </c>
      <c r="AB34" s="151">
        <f t="shared" si="12"/>
        <v>71</v>
      </c>
      <c r="AC34" s="151">
        <f t="shared" si="12"/>
        <v>71</v>
      </c>
      <c r="AD34" s="151">
        <f t="shared" si="12"/>
        <v>76</v>
      </c>
      <c r="AE34" s="151">
        <f>SUM(73,AE5,-AE15,AE25)</f>
        <v>75</v>
      </c>
      <c r="AF34" s="151">
        <f t="shared" si="13"/>
        <v>74</v>
      </c>
      <c r="AG34" s="151">
        <f t="shared" si="13"/>
        <v>77</v>
      </c>
      <c r="AH34" s="151">
        <f t="shared" si="13"/>
        <v>80</v>
      </c>
      <c r="AI34" s="151">
        <f t="shared" si="13"/>
        <v>75</v>
      </c>
      <c r="AJ34" s="151">
        <f t="shared" si="13"/>
        <v>79</v>
      </c>
      <c r="AK34" s="151">
        <f t="shared" si="13"/>
        <v>79</v>
      </c>
      <c r="AL34" s="151">
        <f t="shared" si="13"/>
        <v>81</v>
      </c>
      <c r="AM34" s="151">
        <f t="shared" si="13"/>
        <v>86</v>
      </c>
      <c r="AN34" s="151">
        <f t="shared" si="13"/>
        <v>89</v>
      </c>
      <c r="AO34" s="151">
        <f t="shared" si="13"/>
        <v>81</v>
      </c>
      <c r="AP34" s="151">
        <f t="shared" si="13"/>
        <v>76</v>
      </c>
      <c r="AQ34" s="151">
        <v>85</v>
      </c>
      <c r="AR34" s="151">
        <f t="shared" si="14"/>
        <v>83</v>
      </c>
      <c r="AS34" s="151">
        <f t="shared" si="14"/>
        <v>81</v>
      </c>
      <c r="AT34" s="151">
        <f t="shared" si="14"/>
        <v>84</v>
      </c>
      <c r="AU34" s="151">
        <f t="shared" si="14"/>
        <v>89</v>
      </c>
      <c r="AV34" s="151">
        <f t="shared" si="14"/>
        <v>87</v>
      </c>
      <c r="AW34" s="151">
        <f t="shared" si="14"/>
        <v>88</v>
      </c>
      <c r="AX34" s="151">
        <f t="shared" si="14"/>
        <v>93</v>
      </c>
      <c r="AY34" s="151">
        <f t="shared" si="14"/>
        <v>94</v>
      </c>
      <c r="AZ34" s="151">
        <f t="shared" si="14"/>
        <v>95</v>
      </c>
      <c r="BA34" s="151">
        <f t="shared" si="14"/>
        <v>94</v>
      </c>
      <c r="BB34" s="151">
        <f t="shared" si="14"/>
        <v>99</v>
      </c>
      <c r="BC34" s="151">
        <f t="shared" si="14"/>
        <v>104</v>
      </c>
      <c r="BD34" s="151">
        <f t="shared" si="14"/>
        <v>108</v>
      </c>
      <c r="BE34" s="151">
        <f t="shared" si="14"/>
        <v>116</v>
      </c>
      <c r="BF34" s="151">
        <f t="shared" si="14"/>
        <v>121</v>
      </c>
      <c r="BG34" s="151">
        <f t="shared" si="14"/>
        <v>126</v>
      </c>
      <c r="BH34" s="151">
        <f t="shared" si="14"/>
        <v>127</v>
      </c>
      <c r="BI34" s="151">
        <f t="shared" si="14"/>
        <v>124</v>
      </c>
      <c r="BJ34" s="151">
        <f t="shared" si="14"/>
        <v>127</v>
      </c>
      <c r="BK34" s="151">
        <f t="shared" si="14"/>
        <v>131</v>
      </c>
      <c r="BL34" s="151">
        <f t="shared" si="14"/>
        <v>135</v>
      </c>
      <c r="BM34" s="151">
        <f t="shared" si="14"/>
        <v>140</v>
      </c>
      <c r="BN34" s="205">
        <f t="shared" si="14"/>
        <v>135</v>
      </c>
      <c r="BO34" s="120">
        <f>SUM(BN34,BO5,-BO15,BO25)</f>
        <v>133</v>
      </c>
      <c r="BP34" s="120">
        <f t="shared" si="14"/>
        <v>137</v>
      </c>
      <c r="BQ34" s="120">
        <f t="shared" si="14"/>
        <v>137</v>
      </c>
      <c r="BR34" s="120">
        <f t="shared" si="14"/>
        <v>137</v>
      </c>
      <c r="BS34" s="120">
        <f t="shared" si="14"/>
        <v>138</v>
      </c>
      <c r="BT34" s="120">
        <f t="shared" si="14"/>
        <v>133</v>
      </c>
      <c r="BU34" s="120">
        <f t="shared" si="14"/>
        <v>136</v>
      </c>
      <c r="BV34" s="120">
        <f t="shared" si="14"/>
        <v>135</v>
      </c>
      <c r="BW34" s="120">
        <f t="shared" si="14"/>
        <v>135</v>
      </c>
      <c r="BX34" s="120">
        <f t="shared" si="14"/>
        <v>136</v>
      </c>
      <c r="BY34" s="120">
        <f t="shared" si="14"/>
        <v>129</v>
      </c>
      <c r="BZ34" s="120">
        <f t="shared" si="14"/>
        <v>131</v>
      </c>
      <c r="CA34" s="110">
        <v>132</v>
      </c>
      <c r="CB34" s="110">
        <v>134</v>
      </c>
      <c r="CC34" s="110">
        <v>141</v>
      </c>
      <c r="CD34" s="110">
        <v>140</v>
      </c>
      <c r="CE34" s="110">
        <f>CD34+CE25-CE15+CE5</f>
        <v>145</v>
      </c>
      <c r="CF34" s="110">
        <f t="shared" ref="CF34:CJ37" si="16">CE34+CF25-CF15+CF5</f>
        <v>148</v>
      </c>
      <c r="CG34" s="110">
        <f t="shared" si="16"/>
        <v>150</v>
      </c>
      <c r="CH34" s="110">
        <f t="shared" si="16"/>
        <v>146</v>
      </c>
      <c r="CI34" s="110">
        <f t="shared" si="16"/>
        <v>146</v>
      </c>
      <c r="CJ34" s="110">
        <f t="shared" si="16"/>
        <v>148</v>
      </c>
      <c r="CK34" s="110">
        <f t="shared" si="15"/>
        <v>147</v>
      </c>
      <c r="CL34" s="110">
        <f t="shared" si="15"/>
        <v>148</v>
      </c>
      <c r="CM34" s="110"/>
      <c r="CN34" s="110"/>
      <c r="CO34" s="110"/>
      <c r="CP34" s="110"/>
      <c r="CQ34" s="110"/>
      <c r="CR34" s="110"/>
    </row>
    <row r="35" spans="1:96" ht="20.100000000000001" customHeight="1">
      <c r="B35" s="120" t="s">
        <v>8562</v>
      </c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10">
        <f t="shared" si="11"/>
        <v>0</v>
      </c>
      <c r="P35" s="110">
        <f t="shared" si="11"/>
        <v>1</v>
      </c>
      <c r="Q35" s="137"/>
      <c r="R35" s="149" t="s">
        <v>8562</v>
      </c>
      <c r="S35" s="150">
        <f>SUM(P35,S6,-S16,S26)</f>
        <v>15</v>
      </c>
      <c r="T35" s="150">
        <f t="shared" si="12"/>
        <v>17</v>
      </c>
      <c r="U35" s="150">
        <f t="shared" si="12"/>
        <v>20</v>
      </c>
      <c r="V35" s="150">
        <f t="shared" si="12"/>
        <v>21</v>
      </c>
      <c r="W35" s="150">
        <f t="shared" si="12"/>
        <v>31</v>
      </c>
      <c r="X35" s="150">
        <f t="shared" si="12"/>
        <v>38</v>
      </c>
      <c r="Y35" s="150">
        <f t="shared" si="12"/>
        <v>39</v>
      </c>
      <c r="Z35" s="150">
        <f t="shared" si="12"/>
        <v>46</v>
      </c>
      <c r="AA35" s="150">
        <f t="shared" si="12"/>
        <v>50</v>
      </c>
      <c r="AB35" s="151">
        <f t="shared" si="12"/>
        <v>50</v>
      </c>
      <c r="AC35" s="151">
        <f t="shared" si="12"/>
        <v>46</v>
      </c>
      <c r="AD35" s="151">
        <f t="shared" si="12"/>
        <v>46</v>
      </c>
      <c r="AE35" s="151">
        <f>SUM(AD35,AE6,-AE16,AE26)</f>
        <v>46</v>
      </c>
      <c r="AF35" s="151">
        <f t="shared" si="13"/>
        <v>44</v>
      </c>
      <c r="AG35" s="151">
        <f t="shared" si="13"/>
        <v>43</v>
      </c>
      <c r="AH35" s="151">
        <f t="shared" si="13"/>
        <v>42</v>
      </c>
      <c r="AI35" s="151">
        <f t="shared" si="13"/>
        <v>38</v>
      </c>
      <c r="AJ35" s="151">
        <f t="shared" si="13"/>
        <v>37</v>
      </c>
      <c r="AK35" s="151">
        <f t="shared" si="13"/>
        <v>35</v>
      </c>
      <c r="AL35" s="151">
        <f t="shared" si="13"/>
        <v>34</v>
      </c>
      <c r="AM35" s="151">
        <f t="shared" si="13"/>
        <v>34</v>
      </c>
      <c r="AN35" s="151">
        <f t="shared" si="13"/>
        <v>34</v>
      </c>
      <c r="AO35" s="151">
        <f t="shared" si="13"/>
        <v>33</v>
      </c>
      <c r="AP35" s="151">
        <f t="shared" si="13"/>
        <v>31</v>
      </c>
      <c r="AQ35" s="151">
        <f>SUM(AP35,AQ6,-AQ16,AQ26)</f>
        <v>31</v>
      </c>
      <c r="AR35" s="151">
        <f t="shared" si="14"/>
        <v>30</v>
      </c>
      <c r="AS35" s="151">
        <f t="shared" si="14"/>
        <v>27</v>
      </c>
      <c r="AT35" s="151">
        <f t="shared" si="14"/>
        <v>27</v>
      </c>
      <c r="AU35" s="151">
        <f t="shared" si="14"/>
        <v>25</v>
      </c>
      <c r="AV35" s="151">
        <f t="shared" si="14"/>
        <v>25</v>
      </c>
      <c r="AW35" s="151">
        <f t="shared" si="14"/>
        <v>25</v>
      </c>
      <c r="AX35" s="151">
        <f t="shared" si="14"/>
        <v>25</v>
      </c>
      <c r="AY35" s="151">
        <f t="shared" si="14"/>
        <v>25</v>
      </c>
      <c r="AZ35" s="151">
        <f t="shared" si="14"/>
        <v>25</v>
      </c>
      <c r="BA35" s="151">
        <f t="shared" si="14"/>
        <v>25</v>
      </c>
      <c r="BB35" s="151">
        <f t="shared" si="14"/>
        <v>25</v>
      </c>
      <c r="BC35" s="151">
        <f t="shared" si="14"/>
        <v>17</v>
      </c>
      <c r="BD35" s="151">
        <f t="shared" si="14"/>
        <v>15</v>
      </c>
      <c r="BE35" s="151">
        <f t="shared" si="14"/>
        <v>15</v>
      </c>
      <c r="BF35" s="151">
        <f t="shared" si="14"/>
        <v>15</v>
      </c>
      <c r="BG35" s="151">
        <f t="shared" si="14"/>
        <v>15</v>
      </c>
      <c r="BH35" s="151">
        <f t="shared" si="14"/>
        <v>14</v>
      </c>
      <c r="BI35" s="151">
        <f t="shared" si="14"/>
        <v>12</v>
      </c>
      <c r="BJ35" s="151">
        <f t="shared" si="14"/>
        <v>12</v>
      </c>
      <c r="BK35" s="151">
        <f t="shared" si="14"/>
        <v>12</v>
      </c>
      <c r="BL35" s="151">
        <f t="shared" si="14"/>
        <v>12</v>
      </c>
      <c r="BM35" s="151">
        <f t="shared" si="14"/>
        <v>12</v>
      </c>
      <c r="BN35" s="205">
        <f t="shared" si="14"/>
        <v>12</v>
      </c>
      <c r="BO35" s="120">
        <f>SUM(BN35,BO6,-BO16,BO26)</f>
        <v>12</v>
      </c>
      <c r="BP35" s="120">
        <f t="shared" si="14"/>
        <v>12</v>
      </c>
      <c r="BQ35" s="120">
        <f t="shared" si="14"/>
        <v>12</v>
      </c>
      <c r="BR35" s="120">
        <f t="shared" si="14"/>
        <v>12</v>
      </c>
      <c r="BS35" s="120">
        <f t="shared" si="14"/>
        <v>12</v>
      </c>
      <c r="BT35" s="120">
        <f t="shared" si="14"/>
        <v>12</v>
      </c>
      <c r="BU35" s="120">
        <f t="shared" si="14"/>
        <v>12</v>
      </c>
      <c r="BV35" s="120">
        <f t="shared" si="14"/>
        <v>12</v>
      </c>
      <c r="BW35" s="120">
        <f t="shared" si="14"/>
        <v>12</v>
      </c>
      <c r="BX35" s="120">
        <f t="shared" si="14"/>
        <v>12</v>
      </c>
      <c r="BY35" s="120">
        <f t="shared" si="14"/>
        <v>12</v>
      </c>
      <c r="BZ35" s="120">
        <f t="shared" si="14"/>
        <v>12</v>
      </c>
      <c r="CA35" s="110">
        <v>11</v>
      </c>
      <c r="CB35" s="110">
        <v>11</v>
      </c>
      <c r="CC35" s="110">
        <v>11</v>
      </c>
      <c r="CD35" s="110">
        <v>11</v>
      </c>
      <c r="CE35" s="110">
        <f t="shared" ref="CE35:CE37" si="17">CD35+CE26-CE16+CE6</f>
        <v>10</v>
      </c>
      <c r="CF35" s="110">
        <f t="shared" si="16"/>
        <v>10</v>
      </c>
      <c r="CG35" s="110">
        <f t="shared" si="16"/>
        <v>9</v>
      </c>
      <c r="CH35" s="110">
        <f t="shared" si="16"/>
        <v>9</v>
      </c>
      <c r="CI35" s="110">
        <f t="shared" si="16"/>
        <v>9</v>
      </c>
      <c r="CJ35" s="110">
        <f t="shared" si="16"/>
        <v>9</v>
      </c>
      <c r="CK35" s="110">
        <f t="shared" si="15"/>
        <v>9</v>
      </c>
      <c r="CL35" s="110">
        <f t="shared" si="15"/>
        <v>9</v>
      </c>
      <c r="CM35" s="110"/>
      <c r="CN35" s="110"/>
      <c r="CO35" s="110"/>
      <c r="CP35" s="110"/>
      <c r="CQ35" s="110"/>
      <c r="CR35" s="110"/>
    </row>
    <row r="36" spans="1:96" ht="20.100000000000001" customHeight="1">
      <c r="B36" s="120" t="s">
        <v>8563</v>
      </c>
      <c r="C36" s="110">
        <f>SUM(C7,-C17,C27)</f>
        <v>2</v>
      </c>
      <c r="D36" s="110">
        <f t="shared" ref="D36:N36" si="18">SUM(C36,D7,-D17,D27)</f>
        <v>3</v>
      </c>
      <c r="E36" s="110">
        <f t="shared" si="18"/>
        <v>3</v>
      </c>
      <c r="F36" s="110">
        <f t="shared" si="18"/>
        <v>3</v>
      </c>
      <c r="G36" s="110">
        <f t="shared" si="18"/>
        <v>2</v>
      </c>
      <c r="H36" s="110">
        <f t="shared" si="18"/>
        <v>2</v>
      </c>
      <c r="I36" s="110">
        <f t="shared" si="18"/>
        <v>2</v>
      </c>
      <c r="J36" s="110">
        <f t="shared" si="18"/>
        <v>2</v>
      </c>
      <c r="K36" s="110">
        <f t="shared" si="18"/>
        <v>1</v>
      </c>
      <c r="L36" s="110">
        <f t="shared" si="18"/>
        <v>1</v>
      </c>
      <c r="M36" s="110">
        <f t="shared" si="18"/>
        <v>1</v>
      </c>
      <c r="N36" s="110">
        <f t="shared" si="18"/>
        <v>0</v>
      </c>
      <c r="O36" s="110">
        <f t="shared" si="11"/>
        <v>0</v>
      </c>
      <c r="P36" s="110">
        <f t="shared" si="11"/>
        <v>0</v>
      </c>
      <c r="Q36" s="137"/>
      <c r="R36" s="149" t="s">
        <v>8563</v>
      </c>
      <c r="S36" s="150">
        <f>SUM(P36,S7,-S17,S27)</f>
        <v>0</v>
      </c>
      <c r="T36" s="150">
        <f t="shared" si="12"/>
        <v>0</v>
      </c>
      <c r="U36" s="150">
        <f t="shared" si="12"/>
        <v>0</v>
      </c>
      <c r="V36" s="150">
        <f t="shared" si="12"/>
        <v>0</v>
      </c>
      <c r="W36" s="150">
        <f t="shared" si="12"/>
        <v>0</v>
      </c>
      <c r="X36" s="150">
        <f t="shared" si="12"/>
        <v>0</v>
      </c>
      <c r="Y36" s="150">
        <f t="shared" si="12"/>
        <v>0</v>
      </c>
      <c r="Z36" s="150">
        <f t="shared" si="12"/>
        <v>1</v>
      </c>
      <c r="AA36" s="150">
        <f t="shared" si="12"/>
        <v>1</v>
      </c>
      <c r="AB36" s="151">
        <f t="shared" si="12"/>
        <v>1</v>
      </c>
      <c r="AC36" s="151">
        <f t="shared" si="12"/>
        <v>1</v>
      </c>
      <c r="AD36" s="151">
        <f t="shared" si="12"/>
        <v>1</v>
      </c>
      <c r="AE36" s="151">
        <f>SUM(AD36,AE7,-AE17,AE27)</f>
        <v>1</v>
      </c>
      <c r="AF36" s="151">
        <f t="shared" si="13"/>
        <v>1</v>
      </c>
      <c r="AG36" s="151">
        <f t="shared" si="13"/>
        <v>1</v>
      </c>
      <c r="AH36" s="151">
        <f t="shared" si="13"/>
        <v>1</v>
      </c>
      <c r="AI36" s="151">
        <f t="shared" si="13"/>
        <v>1</v>
      </c>
      <c r="AJ36" s="151">
        <f t="shared" si="13"/>
        <v>1</v>
      </c>
      <c r="AK36" s="151">
        <f t="shared" si="13"/>
        <v>1</v>
      </c>
      <c r="AL36" s="151">
        <f t="shared" si="13"/>
        <v>1</v>
      </c>
      <c r="AM36" s="151">
        <f t="shared" si="13"/>
        <v>1</v>
      </c>
      <c r="AN36" s="151">
        <f t="shared" si="13"/>
        <v>2</v>
      </c>
      <c r="AO36" s="151">
        <f t="shared" si="13"/>
        <v>2</v>
      </c>
      <c r="AP36" s="151">
        <f t="shared" si="13"/>
        <v>2</v>
      </c>
      <c r="AQ36" s="151">
        <f>SUM(AP36,AQ7,-AQ17,AQ27)</f>
        <v>1</v>
      </c>
      <c r="AR36" s="151">
        <f t="shared" si="14"/>
        <v>1</v>
      </c>
      <c r="AS36" s="151">
        <f t="shared" si="14"/>
        <v>1</v>
      </c>
      <c r="AT36" s="151">
        <f t="shared" si="14"/>
        <v>1</v>
      </c>
      <c r="AU36" s="151">
        <f t="shared" si="14"/>
        <v>1</v>
      </c>
      <c r="AV36" s="151">
        <f t="shared" si="14"/>
        <v>1</v>
      </c>
      <c r="AW36" s="151">
        <f t="shared" si="14"/>
        <v>1</v>
      </c>
      <c r="AX36" s="151">
        <f t="shared" si="14"/>
        <v>1</v>
      </c>
      <c r="AY36" s="151">
        <f t="shared" si="14"/>
        <v>1</v>
      </c>
      <c r="AZ36" s="151">
        <f t="shared" si="14"/>
        <v>3</v>
      </c>
      <c r="BA36" s="151">
        <f t="shared" si="14"/>
        <v>3</v>
      </c>
      <c r="BB36" s="151">
        <f t="shared" si="14"/>
        <v>3</v>
      </c>
      <c r="BC36" s="151">
        <f t="shared" si="14"/>
        <v>3</v>
      </c>
      <c r="BD36" s="151">
        <f t="shared" si="14"/>
        <v>3</v>
      </c>
      <c r="BE36" s="151">
        <f t="shared" si="14"/>
        <v>3</v>
      </c>
      <c r="BF36" s="151">
        <f t="shared" si="14"/>
        <v>3</v>
      </c>
      <c r="BG36" s="151">
        <f t="shared" si="14"/>
        <v>3</v>
      </c>
      <c r="BH36" s="151">
        <f t="shared" si="14"/>
        <v>3</v>
      </c>
      <c r="BI36" s="151">
        <f t="shared" si="14"/>
        <v>3</v>
      </c>
      <c r="BJ36" s="151">
        <f t="shared" si="14"/>
        <v>3</v>
      </c>
      <c r="BK36" s="151">
        <f t="shared" si="14"/>
        <v>3</v>
      </c>
      <c r="BL36" s="151">
        <f t="shared" si="14"/>
        <v>3</v>
      </c>
      <c r="BM36" s="151">
        <f t="shared" si="14"/>
        <v>2</v>
      </c>
      <c r="BN36" s="205">
        <f t="shared" si="14"/>
        <v>1</v>
      </c>
      <c r="BO36" s="120">
        <f>SUM(BN36,BO7,-BO17,BO27)</f>
        <v>1</v>
      </c>
      <c r="BP36" s="120">
        <f t="shared" si="14"/>
        <v>1</v>
      </c>
      <c r="BQ36" s="120">
        <f t="shared" si="14"/>
        <v>1</v>
      </c>
      <c r="BR36" s="120">
        <f t="shared" si="14"/>
        <v>1</v>
      </c>
      <c r="BS36" s="120">
        <f t="shared" si="14"/>
        <v>1</v>
      </c>
      <c r="BT36" s="120">
        <f t="shared" si="14"/>
        <v>1</v>
      </c>
      <c r="BU36" s="120">
        <f t="shared" si="14"/>
        <v>0</v>
      </c>
      <c r="BV36" s="120">
        <f t="shared" si="14"/>
        <v>0</v>
      </c>
      <c r="BW36" s="120">
        <f t="shared" si="14"/>
        <v>0</v>
      </c>
      <c r="BX36" s="120">
        <f t="shared" si="14"/>
        <v>0</v>
      </c>
      <c r="BY36" s="120">
        <f t="shared" si="14"/>
        <v>0</v>
      </c>
      <c r="BZ36" s="120">
        <f t="shared" si="14"/>
        <v>1</v>
      </c>
      <c r="CA36" s="110">
        <v>2</v>
      </c>
      <c r="CB36" s="110">
        <v>3</v>
      </c>
      <c r="CC36" s="110">
        <v>3</v>
      </c>
      <c r="CD36" s="110">
        <v>4</v>
      </c>
      <c r="CE36" s="110">
        <f t="shared" si="17"/>
        <v>5</v>
      </c>
      <c r="CF36" s="110">
        <f t="shared" si="16"/>
        <v>6</v>
      </c>
      <c r="CG36" s="110">
        <f t="shared" si="16"/>
        <v>5</v>
      </c>
      <c r="CH36" s="110">
        <f t="shared" si="16"/>
        <v>5</v>
      </c>
      <c r="CI36" s="110">
        <f t="shared" si="16"/>
        <v>5</v>
      </c>
      <c r="CJ36" s="110">
        <f t="shared" si="16"/>
        <v>5</v>
      </c>
      <c r="CK36" s="110">
        <f t="shared" si="15"/>
        <v>6</v>
      </c>
      <c r="CL36" s="110">
        <f t="shared" si="15"/>
        <v>5</v>
      </c>
      <c r="CM36" s="110"/>
      <c r="CN36" s="110"/>
      <c r="CO36" s="110"/>
      <c r="CP36" s="110"/>
      <c r="CQ36" s="110"/>
      <c r="CR36" s="110"/>
    </row>
    <row r="37" spans="1:96" ht="20.100000000000001" customHeight="1" thickBot="1">
      <c r="B37" s="120" t="s">
        <v>8621</v>
      </c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10"/>
      <c r="P37" s="110"/>
      <c r="Q37" s="137"/>
      <c r="R37" s="165" t="s">
        <v>8564</v>
      </c>
      <c r="S37" s="150">
        <f>SUM(P37,S8,-S18,S28)</f>
        <v>0</v>
      </c>
      <c r="T37" s="150">
        <f t="shared" si="12"/>
        <v>0</v>
      </c>
      <c r="U37" s="150">
        <f t="shared" si="12"/>
        <v>1</v>
      </c>
      <c r="V37" s="150">
        <f t="shared" si="12"/>
        <v>1</v>
      </c>
      <c r="W37" s="150">
        <f t="shared" si="12"/>
        <v>1</v>
      </c>
      <c r="X37" s="150">
        <f t="shared" si="12"/>
        <v>2</v>
      </c>
      <c r="Y37" s="150">
        <f t="shared" si="12"/>
        <v>2</v>
      </c>
      <c r="Z37" s="150">
        <f t="shared" si="12"/>
        <v>2</v>
      </c>
      <c r="AA37" s="150">
        <f t="shared" si="12"/>
        <v>2</v>
      </c>
      <c r="AB37" s="151">
        <f t="shared" si="12"/>
        <v>2</v>
      </c>
      <c r="AC37" s="151">
        <f t="shared" si="12"/>
        <v>4</v>
      </c>
      <c r="AD37" s="151">
        <f t="shared" si="12"/>
        <v>5</v>
      </c>
      <c r="AE37" s="151">
        <f>SUM(8,AE8,-AE18,AE28)</f>
        <v>7</v>
      </c>
      <c r="AF37" s="151">
        <f t="shared" si="13"/>
        <v>7</v>
      </c>
      <c r="AG37" s="151">
        <f t="shared" si="13"/>
        <v>7</v>
      </c>
      <c r="AH37" s="151">
        <f t="shared" si="13"/>
        <v>6</v>
      </c>
      <c r="AI37" s="151">
        <f t="shared" si="13"/>
        <v>7</v>
      </c>
      <c r="AJ37" s="151">
        <f t="shared" si="13"/>
        <v>8</v>
      </c>
      <c r="AK37" s="151">
        <f t="shared" si="13"/>
        <v>6</v>
      </c>
      <c r="AL37" s="151">
        <f t="shared" si="13"/>
        <v>5</v>
      </c>
      <c r="AM37" s="151">
        <f t="shared" si="13"/>
        <v>6</v>
      </c>
      <c r="AN37" s="151">
        <f t="shared" si="13"/>
        <v>7</v>
      </c>
      <c r="AO37" s="151">
        <f t="shared" si="13"/>
        <v>6</v>
      </c>
      <c r="AP37" s="151">
        <f t="shared" si="13"/>
        <v>5</v>
      </c>
      <c r="AQ37" s="151">
        <v>2</v>
      </c>
      <c r="AR37" s="151">
        <f t="shared" si="14"/>
        <v>2</v>
      </c>
      <c r="AS37" s="151">
        <f t="shared" si="14"/>
        <v>4</v>
      </c>
      <c r="AT37" s="151">
        <f t="shared" si="14"/>
        <v>5</v>
      </c>
      <c r="AU37" s="151">
        <f t="shared" si="14"/>
        <v>5</v>
      </c>
      <c r="AV37" s="151">
        <f t="shared" si="14"/>
        <v>5</v>
      </c>
      <c r="AW37" s="151">
        <f t="shared" si="14"/>
        <v>6</v>
      </c>
      <c r="AX37" s="151">
        <f t="shared" si="14"/>
        <v>9</v>
      </c>
      <c r="AY37" s="151">
        <f t="shared" si="14"/>
        <v>9</v>
      </c>
      <c r="AZ37" s="151">
        <f t="shared" si="14"/>
        <v>10</v>
      </c>
      <c r="BA37" s="151">
        <f t="shared" si="14"/>
        <v>10</v>
      </c>
      <c r="BB37" s="151">
        <f t="shared" si="14"/>
        <v>10</v>
      </c>
      <c r="BC37" s="151">
        <f t="shared" si="14"/>
        <v>10</v>
      </c>
      <c r="BD37" s="151">
        <f t="shared" si="14"/>
        <v>12</v>
      </c>
      <c r="BE37" s="151">
        <f t="shared" si="14"/>
        <v>13</v>
      </c>
      <c r="BF37" s="151">
        <f t="shared" si="14"/>
        <v>11</v>
      </c>
      <c r="BG37" s="151">
        <f t="shared" si="14"/>
        <v>11</v>
      </c>
      <c r="BH37" s="151">
        <f t="shared" si="14"/>
        <v>12</v>
      </c>
      <c r="BI37" s="151">
        <f t="shared" si="14"/>
        <v>12</v>
      </c>
      <c r="BJ37" s="151">
        <f t="shared" si="14"/>
        <v>11</v>
      </c>
      <c r="BK37" s="151">
        <f t="shared" si="14"/>
        <v>9</v>
      </c>
      <c r="BL37" s="151">
        <f t="shared" si="14"/>
        <v>9</v>
      </c>
      <c r="BM37" s="151">
        <f t="shared" si="14"/>
        <v>8</v>
      </c>
      <c r="BN37" s="205">
        <f t="shared" si="14"/>
        <v>8</v>
      </c>
      <c r="BO37" s="174">
        <f>SUM(BN37,BO8,-BO18,BO28)</f>
        <v>7</v>
      </c>
      <c r="BP37" s="174">
        <f t="shared" si="14"/>
        <v>7</v>
      </c>
      <c r="BQ37" s="174">
        <f t="shared" si="14"/>
        <v>8</v>
      </c>
      <c r="BR37" s="174">
        <f t="shared" si="14"/>
        <v>10</v>
      </c>
      <c r="BS37" s="174">
        <f t="shared" si="14"/>
        <v>10</v>
      </c>
      <c r="BT37" s="174">
        <f t="shared" si="14"/>
        <v>9</v>
      </c>
      <c r="BU37" s="174">
        <f t="shared" si="14"/>
        <v>9</v>
      </c>
      <c r="BV37" s="174">
        <f t="shared" si="14"/>
        <v>8</v>
      </c>
      <c r="BW37" s="174">
        <f t="shared" si="14"/>
        <v>8</v>
      </c>
      <c r="BX37" s="174">
        <f t="shared" si="14"/>
        <v>10</v>
      </c>
      <c r="BY37" s="174">
        <f t="shared" si="14"/>
        <v>11</v>
      </c>
      <c r="BZ37" s="174">
        <f t="shared" si="14"/>
        <v>12</v>
      </c>
      <c r="CA37" s="110">
        <v>12</v>
      </c>
      <c r="CB37" s="110">
        <v>12</v>
      </c>
      <c r="CC37" s="175">
        <v>11</v>
      </c>
      <c r="CD37" s="175">
        <v>9</v>
      </c>
      <c r="CE37" s="110">
        <f t="shared" si="17"/>
        <v>9</v>
      </c>
      <c r="CF37" s="110">
        <f t="shared" si="16"/>
        <v>9</v>
      </c>
      <c r="CG37" s="110">
        <f t="shared" si="16"/>
        <v>9</v>
      </c>
      <c r="CH37" s="110">
        <f t="shared" si="16"/>
        <v>12</v>
      </c>
      <c r="CI37" s="110">
        <f t="shared" si="16"/>
        <v>13</v>
      </c>
      <c r="CJ37" s="110">
        <f t="shared" si="16"/>
        <v>14</v>
      </c>
      <c r="CK37" s="110">
        <f t="shared" si="15"/>
        <v>15</v>
      </c>
      <c r="CL37" s="110">
        <f t="shared" si="15"/>
        <v>17</v>
      </c>
      <c r="CM37" s="110"/>
      <c r="CN37" s="110"/>
      <c r="CO37" s="110"/>
      <c r="CP37" s="110"/>
      <c r="CQ37" s="110"/>
      <c r="CR37" s="110"/>
    </row>
    <row r="38" spans="1:96" ht="33" customHeight="1" thickTop="1">
      <c r="B38" s="110" t="s">
        <v>8565</v>
      </c>
      <c r="C38" s="110">
        <f>SUM(C32:C37)</f>
        <v>19</v>
      </c>
      <c r="D38" s="110">
        <f>SUM(D32:D37)</f>
        <v>32</v>
      </c>
      <c r="E38" s="110">
        <f t="shared" ref="E38:P38" si="19">SUM(E32:E37)</f>
        <v>38</v>
      </c>
      <c r="F38" s="110">
        <f t="shared" si="19"/>
        <v>47</v>
      </c>
      <c r="G38" s="110">
        <f t="shared" si="19"/>
        <v>54</v>
      </c>
      <c r="H38" s="110">
        <f t="shared" si="19"/>
        <v>55</v>
      </c>
      <c r="I38" s="110">
        <f t="shared" si="19"/>
        <v>53</v>
      </c>
      <c r="J38" s="110">
        <f t="shared" si="19"/>
        <v>56</v>
      </c>
      <c r="K38" s="110">
        <f t="shared" si="19"/>
        <v>50</v>
      </c>
      <c r="L38" s="110">
        <f t="shared" si="19"/>
        <v>54</v>
      </c>
      <c r="M38" s="110">
        <f t="shared" si="19"/>
        <v>53</v>
      </c>
      <c r="N38" s="110">
        <f t="shared" si="19"/>
        <v>45</v>
      </c>
      <c r="O38" s="110">
        <f t="shared" si="19"/>
        <v>46</v>
      </c>
      <c r="P38" s="110">
        <f t="shared" si="19"/>
        <v>44</v>
      </c>
      <c r="Q38" s="186"/>
      <c r="R38" s="176" t="s">
        <v>8565</v>
      </c>
      <c r="S38" s="177">
        <f t="shared" ref="S38:BN38" si="20">SUM(S33:S37)</f>
        <v>64</v>
      </c>
      <c r="T38" s="177">
        <f t="shared" si="20"/>
        <v>70</v>
      </c>
      <c r="U38" s="177">
        <f t="shared" si="20"/>
        <v>74</v>
      </c>
      <c r="V38" s="177">
        <f t="shared" si="20"/>
        <v>77</v>
      </c>
      <c r="W38" s="177">
        <f t="shared" si="20"/>
        <v>91</v>
      </c>
      <c r="X38" s="177">
        <f t="shared" si="20"/>
        <v>103</v>
      </c>
      <c r="Y38" s="177">
        <f t="shared" si="20"/>
        <v>110</v>
      </c>
      <c r="Z38" s="177">
        <f t="shared" si="20"/>
        <v>123</v>
      </c>
      <c r="AA38" s="177">
        <f t="shared" si="20"/>
        <v>129</v>
      </c>
      <c r="AB38" s="178">
        <f t="shared" si="20"/>
        <v>134</v>
      </c>
      <c r="AC38" s="178">
        <f t="shared" si="20"/>
        <v>134</v>
      </c>
      <c r="AD38" s="178">
        <f t="shared" si="20"/>
        <v>138</v>
      </c>
      <c r="AE38" s="178">
        <f t="shared" si="20"/>
        <v>137</v>
      </c>
      <c r="AF38" s="178">
        <f t="shared" si="20"/>
        <v>135</v>
      </c>
      <c r="AG38" s="178">
        <f t="shared" si="20"/>
        <v>138</v>
      </c>
      <c r="AH38" s="178">
        <f t="shared" si="20"/>
        <v>140</v>
      </c>
      <c r="AI38" s="178">
        <f t="shared" si="20"/>
        <v>132</v>
      </c>
      <c r="AJ38" s="178">
        <f t="shared" si="20"/>
        <v>136</v>
      </c>
      <c r="AK38" s="178">
        <f t="shared" si="20"/>
        <v>133</v>
      </c>
      <c r="AL38" s="178">
        <f t="shared" si="20"/>
        <v>134</v>
      </c>
      <c r="AM38" s="178">
        <f t="shared" si="20"/>
        <v>141</v>
      </c>
      <c r="AN38" s="178">
        <f t="shared" si="20"/>
        <v>147</v>
      </c>
      <c r="AO38" s="178">
        <f t="shared" si="20"/>
        <v>139</v>
      </c>
      <c r="AP38" s="178">
        <f t="shared" si="20"/>
        <v>131</v>
      </c>
      <c r="AQ38" s="178">
        <f t="shared" si="20"/>
        <v>132</v>
      </c>
      <c r="AR38" s="178">
        <f t="shared" si="20"/>
        <v>129</v>
      </c>
      <c r="AS38" s="178">
        <f t="shared" si="20"/>
        <v>124</v>
      </c>
      <c r="AT38" s="178">
        <f t="shared" si="20"/>
        <v>125</v>
      </c>
      <c r="AU38" s="178">
        <f t="shared" si="20"/>
        <v>128</v>
      </c>
      <c r="AV38" s="178">
        <f t="shared" si="20"/>
        <v>128</v>
      </c>
      <c r="AW38" s="178">
        <f t="shared" si="20"/>
        <v>132</v>
      </c>
      <c r="AX38" s="178">
        <f t="shared" si="20"/>
        <v>139</v>
      </c>
      <c r="AY38" s="178">
        <f t="shared" si="20"/>
        <v>140</v>
      </c>
      <c r="AZ38" s="178">
        <f t="shared" si="20"/>
        <v>144</v>
      </c>
      <c r="BA38" s="178">
        <f t="shared" si="20"/>
        <v>144</v>
      </c>
      <c r="BB38" s="178">
        <f t="shared" si="20"/>
        <v>149</v>
      </c>
      <c r="BC38" s="178">
        <f t="shared" si="20"/>
        <v>150</v>
      </c>
      <c r="BD38" s="178">
        <f t="shared" si="20"/>
        <v>156</v>
      </c>
      <c r="BE38" s="178">
        <f t="shared" si="20"/>
        <v>168</v>
      </c>
      <c r="BF38" s="178">
        <f t="shared" si="20"/>
        <v>171</v>
      </c>
      <c r="BG38" s="178">
        <f t="shared" si="20"/>
        <v>176</v>
      </c>
      <c r="BH38" s="178">
        <f t="shared" si="20"/>
        <v>177</v>
      </c>
      <c r="BI38" s="178">
        <f t="shared" si="20"/>
        <v>172</v>
      </c>
      <c r="BJ38" s="178">
        <f t="shared" si="20"/>
        <v>174</v>
      </c>
      <c r="BK38" s="178">
        <f t="shared" si="20"/>
        <v>177</v>
      </c>
      <c r="BL38" s="178">
        <f t="shared" si="20"/>
        <v>179</v>
      </c>
      <c r="BM38" s="178">
        <f t="shared" si="20"/>
        <v>181</v>
      </c>
      <c r="BN38" s="180">
        <f t="shared" si="20"/>
        <v>176</v>
      </c>
      <c r="BO38" s="183">
        <f t="shared" ref="BO38:BZ38" si="21">SUM(BO33:BO37)</f>
        <v>176</v>
      </c>
      <c r="BP38" s="183">
        <f t="shared" si="21"/>
        <v>179</v>
      </c>
      <c r="BQ38" s="183">
        <f t="shared" si="21"/>
        <v>180</v>
      </c>
      <c r="BR38" s="183">
        <f t="shared" si="21"/>
        <v>183</v>
      </c>
      <c r="BS38" s="183">
        <f t="shared" si="21"/>
        <v>183</v>
      </c>
      <c r="BT38" s="183">
        <f t="shared" si="21"/>
        <v>177</v>
      </c>
      <c r="BU38" s="183">
        <f t="shared" si="21"/>
        <v>178</v>
      </c>
      <c r="BV38" s="183">
        <f t="shared" si="21"/>
        <v>177</v>
      </c>
      <c r="BW38" s="183">
        <f t="shared" si="21"/>
        <v>175</v>
      </c>
      <c r="BX38" s="183">
        <f t="shared" si="21"/>
        <v>175</v>
      </c>
      <c r="BY38" s="183">
        <f t="shared" si="21"/>
        <v>170</v>
      </c>
      <c r="BZ38" s="183">
        <f t="shared" si="21"/>
        <v>174</v>
      </c>
      <c r="CA38" s="184">
        <v>176</v>
      </c>
      <c r="CB38" s="184">
        <v>179</v>
      </c>
      <c r="CC38" s="184">
        <v>185</v>
      </c>
      <c r="CD38" s="184">
        <f t="shared" ref="CD38:CL38" si="22">SUM(CD33:CD37)</f>
        <v>182</v>
      </c>
      <c r="CE38" s="184">
        <f t="shared" si="22"/>
        <v>185</v>
      </c>
      <c r="CF38" s="184">
        <f t="shared" si="22"/>
        <v>191</v>
      </c>
      <c r="CG38" s="184">
        <f>SUM(CG33:CG37)</f>
        <v>193</v>
      </c>
      <c r="CH38" s="184">
        <f>SUM(CH33:CH37)</f>
        <v>193</v>
      </c>
      <c r="CI38" s="184">
        <f>SUM(CI33:CI37)</f>
        <v>198</v>
      </c>
      <c r="CJ38" s="184">
        <f t="shared" si="22"/>
        <v>202</v>
      </c>
      <c r="CK38" s="184">
        <f t="shared" si="22"/>
        <v>207</v>
      </c>
      <c r="CL38" s="184">
        <f t="shared" si="22"/>
        <v>211</v>
      </c>
      <c r="CM38" s="184"/>
      <c r="CN38" s="184"/>
      <c r="CO38" s="184"/>
      <c r="CP38" s="184"/>
      <c r="CQ38" s="184"/>
      <c r="CR38" s="184"/>
    </row>
    <row r="39" spans="1:96" ht="33" customHeight="1">
      <c r="B39" s="107"/>
      <c r="R39" s="206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7"/>
      <c r="AY39" s="207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</row>
    <row r="40" spans="1:96" ht="17.399999999999999">
      <c r="AQ40" t="s">
        <v>8622</v>
      </c>
      <c r="AR40" t="s">
        <v>8623</v>
      </c>
      <c r="BO40" t="s">
        <v>8572</v>
      </c>
      <c r="BY40" s="247" t="s">
        <v>8641</v>
      </c>
      <c r="BZ40" s="247">
        <f>SUM(BO47:BZ47)</f>
        <v>56</v>
      </c>
      <c r="CA40" t="s">
        <v>8602</v>
      </c>
    </row>
    <row r="41" spans="1:96" ht="17.399999999999999">
      <c r="A41" t="s">
        <v>8624</v>
      </c>
      <c r="B41" s="120" t="s">
        <v>8607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88"/>
      <c r="P41" s="188"/>
      <c r="Q41" s="137"/>
      <c r="R41" s="245" t="s">
        <v>8625</v>
      </c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40"/>
      <c r="AE41" s="147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40"/>
      <c r="AQ41" s="191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4"/>
      <c r="BC41" s="147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8"/>
      <c r="BO41" s="119" t="s">
        <v>8608</v>
      </c>
      <c r="BP41" s="119" t="s">
        <v>8517</v>
      </c>
      <c r="BQ41" s="119" t="s">
        <v>8516</v>
      </c>
      <c r="BR41" s="119" t="s">
        <v>8515</v>
      </c>
      <c r="BS41" s="119" t="s">
        <v>8514</v>
      </c>
      <c r="BT41" s="119" t="s">
        <v>8513</v>
      </c>
      <c r="BU41" s="119" t="s">
        <v>8512</v>
      </c>
      <c r="BV41" s="119" t="s">
        <v>8557</v>
      </c>
      <c r="BW41" s="119" t="s">
        <v>8522</v>
      </c>
      <c r="BX41" s="119" t="s">
        <v>8521</v>
      </c>
      <c r="BY41" s="246" t="s">
        <v>8520</v>
      </c>
      <c r="BZ41" s="246" t="s">
        <v>8519</v>
      </c>
      <c r="CA41" s="141" t="s">
        <v>8608</v>
      </c>
      <c r="CB41" s="145" t="s">
        <v>8517</v>
      </c>
      <c r="CC41" s="145" t="s">
        <v>8516</v>
      </c>
      <c r="CD41" s="145" t="s">
        <v>8515</v>
      </c>
      <c r="CE41" s="145" t="s">
        <v>8514</v>
      </c>
      <c r="CF41" s="145" t="s">
        <v>8513</v>
      </c>
      <c r="CG41" s="145" t="s">
        <v>8512</v>
      </c>
      <c r="CH41" s="145" t="s">
        <v>8557</v>
      </c>
      <c r="CI41" s="145" t="s">
        <v>8522</v>
      </c>
      <c r="CJ41" s="145" t="s">
        <v>8521</v>
      </c>
      <c r="CK41" s="145" t="s">
        <v>8520</v>
      </c>
      <c r="CL41" s="146" t="s">
        <v>8519</v>
      </c>
    </row>
    <row r="42" spans="1:96">
      <c r="B42" s="120" t="s">
        <v>8617</v>
      </c>
      <c r="C42" s="110"/>
      <c r="D42" s="110"/>
      <c r="E42" s="110"/>
      <c r="F42" s="110"/>
      <c r="G42" s="110"/>
      <c r="H42" s="110">
        <v>2</v>
      </c>
      <c r="I42" s="110"/>
      <c r="J42" s="110"/>
      <c r="K42" s="110">
        <v>2</v>
      </c>
      <c r="L42" s="110">
        <v>1</v>
      </c>
      <c r="M42" s="110">
        <v>1</v>
      </c>
      <c r="N42" s="110"/>
      <c r="O42" s="110"/>
      <c r="P42" s="110"/>
      <c r="Q42" s="137"/>
      <c r="R42" s="149" t="s">
        <v>8617</v>
      </c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20">
        <v>1</v>
      </c>
      <c r="BP42" s="120"/>
      <c r="BQ42" s="120"/>
      <c r="BR42" s="120"/>
      <c r="BS42" s="120">
        <v>1</v>
      </c>
      <c r="BT42" s="120"/>
      <c r="BU42" s="120"/>
      <c r="BV42" s="120">
        <v>1</v>
      </c>
      <c r="BW42" s="120">
        <v>1</v>
      </c>
      <c r="BX42" s="120">
        <v>1</v>
      </c>
      <c r="BY42" s="120">
        <v>1</v>
      </c>
      <c r="BZ42" s="120"/>
      <c r="CA42" s="110"/>
      <c r="CB42" s="110"/>
      <c r="CC42" s="110"/>
      <c r="CD42" s="110">
        <v>1</v>
      </c>
      <c r="CE42" s="110"/>
      <c r="CF42" s="110"/>
      <c r="CG42" s="110"/>
      <c r="CH42" s="110"/>
      <c r="CI42" s="110"/>
      <c r="CJ42" s="110"/>
      <c r="CK42" s="110"/>
      <c r="CL42" s="110"/>
    </row>
    <row r="43" spans="1:96">
      <c r="B43" s="120" t="s">
        <v>8561</v>
      </c>
      <c r="C43" s="110"/>
      <c r="D43" s="110">
        <v>1</v>
      </c>
      <c r="E43" s="110"/>
      <c r="F43" s="110"/>
      <c r="G43" s="110"/>
      <c r="H43" s="110">
        <v>3</v>
      </c>
      <c r="I43" s="110">
        <v>3</v>
      </c>
      <c r="J43" s="110"/>
      <c r="K43" s="110">
        <v>5</v>
      </c>
      <c r="L43" s="110">
        <v>5</v>
      </c>
      <c r="M43" s="110">
        <v>2</v>
      </c>
      <c r="N43" s="110">
        <v>7</v>
      </c>
      <c r="O43" s="110">
        <v>2</v>
      </c>
      <c r="P43" s="110">
        <v>4</v>
      </c>
      <c r="Q43" s="137"/>
      <c r="R43" s="149" t="s">
        <v>8611</v>
      </c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20">
        <v>8</v>
      </c>
      <c r="BP43" s="120">
        <v>7</v>
      </c>
      <c r="BQ43" s="120">
        <v>5</v>
      </c>
      <c r="BR43" s="120">
        <v>3</v>
      </c>
      <c r="BS43" s="120">
        <v>2</v>
      </c>
      <c r="BT43" s="120">
        <v>3</v>
      </c>
      <c r="BU43" s="120">
        <v>5</v>
      </c>
      <c r="BV43" s="120">
        <v>4</v>
      </c>
      <c r="BW43" s="120">
        <v>4</v>
      </c>
      <c r="BX43" s="120">
        <v>3</v>
      </c>
      <c r="BY43" s="120">
        <v>3</v>
      </c>
      <c r="BZ43" s="120">
        <v>2</v>
      </c>
      <c r="CA43" s="110"/>
      <c r="CB43" s="110"/>
      <c r="CC43" s="110"/>
      <c r="CD43" s="110">
        <v>1</v>
      </c>
      <c r="CE43" s="110"/>
      <c r="CF43" s="110"/>
      <c r="CG43" s="110"/>
      <c r="CH43" s="110"/>
      <c r="CI43" s="110"/>
      <c r="CJ43" s="110"/>
      <c r="CK43" s="110"/>
      <c r="CL43" s="110"/>
    </row>
    <row r="44" spans="1:96">
      <c r="B44" s="120" t="s">
        <v>8562</v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10"/>
      <c r="P44" s="110"/>
      <c r="Q44" s="137"/>
      <c r="R44" s="149" t="s">
        <v>8618</v>
      </c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  <c r="BN44" s="11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10"/>
      <c r="CB44" s="110"/>
      <c r="CC44" s="110"/>
      <c r="CD44" s="110">
        <v>1</v>
      </c>
      <c r="CE44" s="110"/>
      <c r="CF44" s="110"/>
      <c r="CG44" s="110"/>
      <c r="CH44" s="110"/>
      <c r="CI44" s="110"/>
      <c r="CJ44" s="110"/>
      <c r="CK44" s="110"/>
      <c r="CL44" s="110"/>
    </row>
    <row r="45" spans="1:96">
      <c r="B45" s="120" t="s">
        <v>8563</v>
      </c>
      <c r="C45" s="110"/>
      <c r="D45" s="110"/>
      <c r="E45" s="110"/>
      <c r="F45" s="110"/>
      <c r="G45" s="110">
        <v>1</v>
      </c>
      <c r="H45" s="110"/>
      <c r="I45" s="110"/>
      <c r="J45" s="110"/>
      <c r="K45" s="110">
        <v>1</v>
      </c>
      <c r="L45" s="110"/>
      <c r="M45" s="110"/>
      <c r="N45" s="110">
        <v>1</v>
      </c>
      <c r="O45" s="110"/>
      <c r="P45" s="110"/>
      <c r="Q45" s="137"/>
      <c r="R45" s="149" t="s">
        <v>8563</v>
      </c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10"/>
      <c r="CB45" s="110"/>
      <c r="CC45" s="110"/>
      <c r="CD45" s="110">
        <v>0</v>
      </c>
      <c r="CE45" s="110"/>
      <c r="CF45" s="110"/>
      <c r="CG45" s="110"/>
      <c r="CH45" s="110"/>
      <c r="CI45" s="110"/>
      <c r="CJ45" s="110"/>
      <c r="CK45" s="110"/>
      <c r="CL45" s="110"/>
    </row>
    <row r="46" spans="1:96" ht="13.8" thickBot="1">
      <c r="B46" s="120" t="s">
        <v>8564</v>
      </c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10"/>
      <c r="P46" s="110"/>
      <c r="Q46" s="137"/>
      <c r="R46" s="165" t="s">
        <v>8564</v>
      </c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74"/>
      <c r="BP46" s="174"/>
      <c r="BQ46" s="174"/>
      <c r="BR46" s="174"/>
      <c r="BS46" s="174"/>
      <c r="BT46" s="174"/>
      <c r="BU46" s="174"/>
      <c r="BV46" s="174">
        <v>1</v>
      </c>
      <c r="BW46" s="174"/>
      <c r="BX46" s="174"/>
      <c r="BY46" s="174"/>
      <c r="BZ46" s="174"/>
      <c r="CA46" s="175"/>
      <c r="CB46" s="175"/>
      <c r="CC46" s="175"/>
      <c r="CD46" s="175">
        <v>0</v>
      </c>
      <c r="CE46" s="175"/>
      <c r="CF46" s="175"/>
      <c r="CG46" s="175"/>
      <c r="CH46" s="175"/>
      <c r="CI46" s="175"/>
      <c r="CJ46" s="175"/>
      <c r="CK46" s="175"/>
      <c r="CL46" s="175"/>
    </row>
    <row r="47" spans="1:96" ht="13.8" thickTop="1">
      <c r="B47" s="110" t="s">
        <v>8565</v>
      </c>
      <c r="C47" s="110">
        <f t="shared" ref="C47:P47" si="23">SUM(C41:C46)</f>
        <v>0</v>
      </c>
      <c r="D47" s="110">
        <f t="shared" si="23"/>
        <v>1</v>
      </c>
      <c r="E47" s="110">
        <f t="shared" si="23"/>
        <v>0</v>
      </c>
      <c r="F47" s="110">
        <f t="shared" si="23"/>
        <v>0</v>
      </c>
      <c r="G47" s="110">
        <f t="shared" si="23"/>
        <v>1</v>
      </c>
      <c r="H47" s="110">
        <f t="shared" si="23"/>
        <v>5</v>
      </c>
      <c r="I47" s="110">
        <f t="shared" si="23"/>
        <v>3</v>
      </c>
      <c r="J47" s="110">
        <f t="shared" si="23"/>
        <v>0</v>
      </c>
      <c r="K47" s="110">
        <f t="shared" si="23"/>
        <v>8</v>
      </c>
      <c r="L47" s="110">
        <f t="shared" si="23"/>
        <v>6</v>
      </c>
      <c r="M47" s="110">
        <f t="shared" si="23"/>
        <v>3</v>
      </c>
      <c r="N47" s="110">
        <f t="shared" si="23"/>
        <v>8</v>
      </c>
      <c r="O47" s="110">
        <f t="shared" si="23"/>
        <v>2</v>
      </c>
      <c r="P47" s="110">
        <f t="shared" si="23"/>
        <v>4</v>
      </c>
      <c r="Q47" s="137"/>
      <c r="R47" s="176" t="s">
        <v>8565</v>
      </c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83">
        <f>SUM(BO42:BO46)</f>
        <v>9</v>
      </c>
      <c r="BP47" s="183">
        <f t="shared" ref="BP47:BZ47" si="24">SUM(BP42:BP46)</f>
        <v>7</v>
      </c>
      <c r="BQ47" s="183">
        <f t="shared" si="24"/>
        <v>5</v>
      </c>
      <c r="BR47" s="183">
        <f t="shared" si="24"/>
        <v>3</v>
      </c>
      <c r="BS47" s="183">
        <f t="shared" si="24"/>
        <v>3</v>
      </c>
      <c r="BT47" s="183">
        <f t="shared" si="24"/>
        <v>3</v>
      </c>
      <c r="BU47" s="183">
        <f t="shared" si="24"/>
        <v>5</v>
      </c>
      <c r="BV47" s="183">
        <f t="shared" si="24"/>
        <v>6</v>
      </c>
      <c r="BW47" s="183">
        <f t="shared" si="24"/>
        <v>5</v>
      </c>
      <c r="BX47" s="183">
        <f t="shared" si="24"/>
        <v>4</v>
      </c>
      <c r="BY47" s="183">
        <f t="shared" si="24"/>
        <v>4</v>
      </c>
      <c r="BZ47" s="183">
        <f t="shared" si="24"/>
        <v>2</v>
      </c>
      <c r="CA47" s="184">
        <f t="shared" ref="CA47:CK47" si="25">SUM(CA41:CA46)</f>
        <v>0</v>
      </c>
      <c r="CB47" s="184">
        <f t="shared" si="25"/>
        <v>0</v>
      </c>
      <c r="CC47" s="184">
        <f t="shared" si="25"/>
        <v>0</v>
      </c>
      <c r="CD47" s="184">
        <f t="shared" si="25"/>
        <v>3</v>
      </c>
      <c r="CE47" s="184">
        <f t="shared" si="25"/>
        <v>0</v>
      </c>
      <c r="CF47" s="184">
        <f t="shared" si="25"/>
        <v>0</v>
      </c>
      <c r="CG47" s="184">
        <f t="shared" si="25"/>
        <v>0</v>
      </c>
      <c r="CH47" s="184">
        <f t="shared" si="25"/>
        <v>0</v>
      </c>
      <c r="CI47" s="184">
        <f t="shared" si="25"/>
        <v>0</v>
      </c>
      <c r="CJ47" s="184">
        <f t="shared" si="25"/>
        <v>0</v>
      </c>
      <c r="CK47" s="184">
        <f t="shared" si="25"/>
        <v>0</v>
      </c>
      <c r="CL47" s="184">
        <f t="shared" ref="CL47" si="26">SUM(CL41:CL46)</f>
        <v>0</v>
      </c>
    </row>
    <row r="48" spans="1:96">
      <c r="B48" s="107"/>
      <c r="R48" s="248" t="s">
        <v>8642</v>
      </c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249">
        <f>BO47/BO38</f>
        <v>5.113636363636364E-2</v>
      </c>
      <c r="BP48" s="249">
        <f t="shared" ref="BP48:BZ48" si="27">BP47/BP38</f>
        <v>3.9106145251396648E-2</v>
      </c>
      <c r="BQ48" s="249">
        <f t="shared" si="27"/>
        <v>2.7777777777777776E-2</v>
      </c>
      <c r="BR48" s="249">
        <f t="shared" si="27"/>
        <v>1.6393442622950821E-2</v>
      </c>
      <c r="BS48" s="249">
        <f t="shared" si="27"/>
        <v>1.6393442622950821E-2</v>
      </c>
      <c r="BT48" s="249">
        <f t="shared" si="27"/>
        <v>1.6949152542372881E-2</v>
      </c>
      <c r="BU48" s="249">
        <f t="shared" si="27"/>
        <v>2.8089887640449437E-2</v>
      </c>
      <c r="BV48" s="249">
        <f t="shared" si="27"/>
        <v>3.3898305084745763E-2</v>
      </c>
      <c r="BW48" s="249">
        <f t="shared" si="27"/>
        <v>2.8571428571428571E-2</v>
      </c>
      <c r="BX48" s="249">
        <f t="shared" si="27"/>
        <v>2.2857142857142857E-2</v>
      </c>
      <c r="BY48" s="249">
        <f t="shared" si="27"/>
        <v>2.3529411764705882E-2</v>
      </c>
      <c r="BZ48" s="249">
        <f t="shared" si="27"/>
        <v>1.1494252873563218E-2</v>
      </c>
      <c r="CL48" s="185">
        <f>SUM(CA47:CL47)</f>
        <v>3</v>
      </c>
    </row>
    <row r="49" spans="2:90">
      <c r="B49" s="107"/>
      <c r="R49" s="202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CA49" s="107"/>
      <c r="CB49" s="107"/>
      <c r="CC49" s="107"/>
      <c r="CD49" s="107"/>
      <c r="CE49" s="107"/>
      <c r="CF49" s="107"/>
      <c r="CG49" s="107"/>
      <c r="CH49" s="107"/>
      <c r="CI49" s="107"/>
      <c r="CJ49" s="107"/>
      <c r="CK49" s="107"/>
      <c r="CL49" s="107"/>
    </row>
    <row r="50" spans="2:90">
      <c r="BO50" t="s">
        <v>8572</v>
      </c>
      <c r="CA50" t="s">
        <v>8602</v>
      </c>
    </row>
    <row r="51" spans="2:90" ht="17.399999999999999">
      <c r="BM51" s="209"/>
      <c r="BN51" s="210" t="s">
        <v>8638</v>
      </c>
      <c r="BO51" s="119" t="s">
        <v>8608</v>
      </c>
      <c r="BP51" s="119" t="s">
        <v>8517</v>
      </c>
      <c r="BQ51" s="119" t="s">
        <v>8516</v>
      </c>
      <c r="BR51" s="119" t="s">
        <v>8515</v>
      </c>
      <c r="BS51" s="119" t="s">
        <v>8514</v>
      </c>
      <c r="BT51" s="119" t="s">
        <v>8513</v>
      </c>
      <c r="BU51" s="119" t="s">
        <v>8512</v>
      </c>
      <c r="BV51" s="119" t="s">
        <v>8557</v>
      </c>
      <c r="BW51" s="119" t="s">
        <v>8522</v>
      </c>
      <c r="BX51" s="119" t="s">
        <v>8521</v>
      </c>
      <c r="BY51" s="119" t="s">
        <v>8520</v>
      </c>
      <c r="BZ51" s="119" t="s">
        <v>8519</v>
      </c>
      <c r="CA51" s="141" t="s">
        <v>8608</v>
      </c>
      <c r="CB51" s="145" t="s">
        <v>8517</v>
      </c>
      <c r="CC51" s="145" t="s">
        <v>8516</v>
      </c>
      <c r="CD51" s="145" t="s">
        <v>8515</v>
      </c>
      <c r="CE51" s="145" t="s">
        <v>8514</v>
      </c>
      <c r="CF51" s="145" t="s">
        <v>8513</v>
      </c>
      <c r="CG51" s="145" t="s">
        <v>8512</v>
      </c>
      <c r="CH51" s="145" t="s">
        <v>8557</v>
      </c>
      <c r="CI51" s="145" t="s">
        <v>8522</v>
      </c>
      <c r="CJ51" s="145" t="s">
        <v>8521</v>
      </c>
      <c r="CK51" s="145" t="s">
        <v>8520</v>
      </c>
      <c r="CL51" s="146" t="s">
        <v>8519</v>
      </c>
    </row>
    <row r="52" spans="2:90">
      <c r="BM52" s="209"/>
      <c r="BN52" s="210" t="s">
        <v>8626</v>
      </c>
      <c r="BO52" s="120">
        <v>12</v>
      </c>
      <c r="BP52" s="120">
        <v>5</v>
      </c>
      <c r="BQ52" s="120">
        <v>11</v>
      </c>
      <c r="BR52" s="120">
        <v>5</v>
      </c>
      <c r="BS52" s="120">
        <v>2</v>
      </c>
      <c r="BT52" s="120">
        <v>3</v>
      </c>
      <c r="BU52" s="120">
        <v>5</v>
      </c>
      <c r="BV52" s="120">
        <v>9</v>
      </c>
      <c r="BW52" s="120">
        <v>3</v>
      </c>
      <c r="BX52" s="120">
        <v>8</v>
      </c>
      <c r="BY52" s="120">
        <v>14</v>
      </c>
      <c r="BZ52" s="120">
        <v>5</v>
      </c>
      <c r="CA52" s="110">
        <v>0</v>
      </c>
      <c r="CB52" s="110">
        <v>0</v>
      </c>
      <c r="CC52" s="110">
        <v>0</v>
      </c>
      <c r="CD52" s="110">
        <v>21</v>
      </c>
      <c r="CE52" s="110"/>
      <c r="CF52" s="110"/>
      <c r="CG52" s="110"/>
      <c r="CH52" s="110"/>
      <c r="CI52" s="110"/>
      <c r="CJ52" s="110"/>
      <c r="CK52" s="110"/>
      <c r="CL52" s="110"/>
    </row>
    <row r="53" spans="2:90">
      <c r="BM53" s="209"/>
      <c r="BN53" s="210" t="s">
        <v>8627</v>
      </c>
      <c r="BO53" s="120">
        <v>8</v>
      </c>
      <c r="BP53" s="120">
        <v>3</v>
      </c>
      <c r="BQ53" s="120">
        <v>4</v>
      </c>
      <c r="BR53" s="120">
        <v>3</v>
      </c>
      <c r="BS53" s="120">
        <v>1</v>
      </c>
      <c r="BT53" s="120">
        <v>1</v>
      </c>
      <c r="BU53" s="120">
        <v>3</v>
      </c>
      <c r="BV53" s="120">
        <v>4</v>
      </c>
      <c r="BW53" s="120">
        <v>0</v>
      </c>
      <c r="BX53" s="120">
        <v>3</v>
      </c>
      <c r="BY53" s="120">
        <v>5</v>
      </c>
      <c r="BZ53" s="120">
        <v>4</v>
      </c>
      <c r="CA53" s="110">
        <v>0</v>
      </c>
      <c r="CB53" s="110">
        <v>0</v>
      </c>
      <c r="CC53" s="110">
        <v>0</v>
      </c>
      <c r="CD53" s="110">
        <v>5</v>
      </c>
      <c r="CE53" s="110"/>
      <c r="CF53" s="110"/>
      <c r="CG53" s="110"/>
      <c r="CH53" s="110"/>
      <c r="CI53" s="110"/>
      <c r="CJ53" s="110"/>
      <c r="CK53" s="110"/>
      <c r="CL53" s="110"/>
    </row>
    <row r="54" spans="2:90">
      <c r="BM54" s="209"/>
      <c r="BN54" s="210" t="s">
        <v>8628</v>
      </c>
      <c r="BO54" s="211">
        <f t="shared" ref="BO54:BZ54" si="28">SUM(BO53/BO52*100)</f>
        <v>66.666666666666657</v>
      </c>
      <c r="BP54" s="211">
        <f t="shared" si="28"/>
        <v>60</v>
      </c>
      <c r="BQ54" s="211">
        <f t="shared" si="28"/>
        <v>36.363636363636367</v>
      </c>
      <c r="BR54" s="211">
        <f t="shared" si="28"/>
        <v>60</v>
      </c>
      <c r="BS54" s="211">
        <f t="shared" si="28"/>
        <v>50</v>
      </c>
      <c r="BT54" s="211">
        <f t="shared" si="28"/>
        <v>33.333333333333329</v>
      </c>
      <c r="BU54" s="211">
        <f t="shared" si="28"/>
        <v>60</v>
      </c>
      <c r="BV54" s="211">
        <f t="shared" si="28"/>
        <v>44.444444444444443</v>
      </c>
      <c r="BW54" s="211">
        <f t="shared" si="28"/>
        <v>0</v>
      </c>
      <c r="BX54" s="211">
        <f t="shared" si="28"/>
        <v>37.5</v>
      </c>
      <c r="BY54" s="211">
        <f t="shared" si="28"/>
        <v>35.714285714285715</v>
      </c>
      <c r="BZ54" s="211">
        <f t="shared" si="28"/>
        <v>80</v>
      </c>
      <c r="CA54" s="211" t="e">
        <f t="shared" ref="CA54:CD54" si="29">SUM(CA53/CA52*100)</f>
        <v>#DIV/0!</v>
      </c>
      <c r="CB54" s="211" t="e">
        <f t="shared" si="29"/>
        <v>#DIV/0!</v>
      </c>
      <c r="CC54" s="211" t="e">
        <f t="shared" si="29"/>
        <v>#DIV/0!</v>
      </c>
      <c r="CD54" s="211">
        <f t="shared" si="29"/>
        <v>23.809523809523807</v>
      </c>
      <c r="CE54" s="211"/>
      <c r="CF54" s="211"/>
      <c r="CG54" s="211"/>
      <c r="CH54" s="211"/>
      <c r="CI54" s="211"/>
      <c r="CJ54" s="211"/>
      <c r="CK54" s="211"/>
      <c r="CL54" s="211"/>
    </row>
    <row r="55" spans="2:90">
      <c r="BM55" s="212"/>
      <c r="BN55" s="213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136"/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</row>
    <row r="56" spans="2:90">
      <c r="BM56" s="209"/>
      <c r="BN56" s="210" t="s">
        <v>8629</v>
      </c>
      <c r="BO56" s="120">
        <v>3</v>
      </c>
      <c r="BP56" s="120">
        <v>6</v>
      </c>
      <c r="BQ56" s="120">
        <v>5</v>
      </c>
      <c r="BR56" s="120">
        <v>2</v>
      </c>
      <c r="BS56" s="120">
        <v>3</v>
      </c>
      <c r="BT56" s="120">
        <v>4</v>
      </c>
      <c r="BU56" s="120">
        <v>1</v>
      </c>
      <c r="BV56" s="120">
        <v>1</v>
      </c>
      <c r="BW56" s="120">
        <v>1</v>
      </c>
      <c r="BX56" s="120">
        <v>0</v>
      </c>
      <c r="BY56" s="120">
        <v>8</v>
      </c>
      <c r="BZ56" s="120">
        <v>4</v>
      </c>
      <c r="CA56" s="110"/>
      <c r="CB56" s="110"/>
      <c r="CC56" s="110"/>
      <c r="CD56" s="110">
        <v>1</v>
      </c>
      <c r="CE56" s="110"/>
      <c r="CF56" s="110"/>
      <c r="CG56" s="110"/>
      <c r="CH56" s="110"/>
      <c r="CI56" s="110"/>
      <c r="CJ56" s="110"/>
      <c r="CK56" s="110"/>
      <c r="CL56" s="110"/>
    </row>
    <row r="57" spans="2:90">
      <c r="BM57" s="209"/>
      <c r="BN57" s="210" t="s">
        <v>8630</v>
      </c>
      <c r="BO57" s="120">
        <v>0</v>
      </c>
      <c r="BP57" s="120">
        <v>1</v>
      </c>
      <c r="BQ57" s="120">
        <v>1</v>
      </c>
      <c r="BR57" s="120">
        <v>2</v>
      </c>
      <c r="BS57" s="120">
        <v>0</v>
      </c>
      <c r="BT57" s="120">
        <v>0</v>
      </c>
      <c r="BU57" s="120">
        <v>0</v>
      </c>
      <c r="BV57" s="120">
        <v>0</v>
      </c>
      <c r="BW57" s="120">
        <v>0</v>
      </c>
      <c r="BX57" s="120">
        <v>0</v>
      </c>
      <c r="BY57" s="120">
        <v>0</v>
      </c>
      <c r="BZ57" s="120">
        <v>1</v>
      </c>
      <c r="CA57" s="110"/>
      <c r="CB57" s="110"/>
      <c r="CC57" s="110"/>
      <c r="CD57" s="110">
        <v>0</v>
      </c>
      <c r="CE57" s="110"/>
      <c r="CF57" s="110"/>
      <c r="CG57" s="110"/>
      <c r="CH57" s="110"/>
      <c r="CI57" s="110"/>
      <c r="CJ57" s="110"/>
      <c r="CK57" s="110"/>
      <c r="CL57" s="110"/>
    </row>
    <row r="58" spans="2:90">
      <c r="BM58" s="209"/>
      <c r="BN58" s="210" t="s">
        <v>8628</v>
      </c>
      <c r="BO58" s="211">
        <f>SUM(BO57/BO56*100)</f>
        <v>0</v>
      </c>
      <c r="BP58" s="211">
        <f t="shared" ref="BP58:CD58" si="30">SUM(BP57/BP56*100)</f>
        <v>16.666666666666664</v>
      </c>
      <c r="BQ58" s="211">
        <f t="shared" si="30"/>
        <v>20</v>
      </c>
      <c r="BR58" s="211">
        <f t="shared" si="30"/>
        <v>100</v>
      </c>
      <c r="BS58" s="211">
        <f t="shared" si="30"/>
        <v>0</v>
      </c>
      <c r="BT58" s="211">
        <f t="shared" si="30"/>
        <v>0</v>
      </c>
      <c r="BU58" s="211">
        <f t="shared" si="30"/>
        <v>0</v>
      </c>
      <c r="BV58" s="211">
        <f t="shared" si="30"/>
        <v>0</v>
      </c>
      <c r="BW58" s="211">
        <f t="shared" si="30"/>
        <v>0</v>
      </c>
      <c r="BX58" s="211" t="e">
        <f>SUM(BX57/BX56*100)</f>
        <v>#DIV/0!</v>
      </c>
      <c r="BY58" s="211">
        <f t="shared" si="30"/>
        <v>0</v>
      </c>
      <c r="BZ58" s="211">
        <f t="shared" si="30"/>
        <v>25</v>
      </c>
      <c r="CA58" s="211" t="e">
        <f t="shared" si="30"/>
        <v>#DIV/0!</v>
      </c>
      <c r="CB58" s="211" t="e">
        <f t="shared" si="30"/>
        <v>#DIV/0!</v>
      </c>
      <c r="CC58" s="211" t="e">
        <f t="shared" si="30"/>
        <v>#DIV/0!</v>
      </c>
      <c r="CD58" s="211">
        <f t="shared" si="30"/>
        <v>0</v>
      </c>
      <c r="CE58" s="211"/>
      <c r="CF58" s="211"/>
      <c r="CG58" s="211"/>
      <c r="CH58" s="211"/>
      <c r="CI58" s="211"/>
      <c r="CJ58" s="211"/>
      <c r="CK58" s="211"/>
      <c r="CL58" s="211"/>
    </row>
  </sheetData>
  <mergeCells count="3">
    <mergeCell ref="C1:K1"/>
    <mergeCell ref="C11:K11"/>
    <mergeCell ref="C21:K21"/>
  </mergeCells>
  <phoneticPr fontId="1"/>
  <pageMargins left="0.70866141732283472" right="0.70866141732283472" top="0.74803149606299213" bottom="0.74803149606299213" header="0.31496062992125984" footer="0.31496062992125984"/>
  <pageSetup paperSize="9" scale="65" orientation="portrait" r:id="rId1"/>
  <colBreaks count="2" manualBreakCount="2">
    <brk id="14" max="45" man="1"/>
    <brk id="34" max="45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C3"/>
  <sheetViews>
    <sheetView workbookViewId="0">
      <selection activeCell="A4" sqref="A4"/>
    </sheetView>
  </sheetViews>
  <sheetFormatPr defaultRowHeight="13.2"/>
  <cols>
    <col min="1" max="1" width="11.88671875" customWidth="1"/>
  </cols>
  <sheetData>
    <row r="1" spans="1:3">
      <c r="A1" t="s">
        <v>1812</v>
      </c>
    </row>
    <row r="3" spans="1:3">
      <c r="A3" t="s">
        <v>1815</v>
      </c>
      <c r="B3" t="s">
        <v>1813</v>
      </c>
      <c r="C3" t="s">
        <v>1814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一時利用顧客名簿 </vt:lpstr>
      <vt:lpstr>Sheet1</vt:lpstr>
      <vt:lpstr>入会者</vt:lpstr>
      <vt:lpstr>退会者</vt:lpstr>
      <vt:lpstr>体験利用者数</vt:lpstr>
      <vt:lpstr>フィッティング者数</vt:lpstr>
      <vt:lpstr>月初報告</vt:lpstr>
      <vt:lpstr>月別会員数</vt:lpstr>
      <vt:lpstr>プロ紹介管理表</vt:lpstr>
      <vt:lpstr>'一時利用顧客名簿 '!Print_Area</vt:lpstr>
      <vt:lpstr>月別会員数!Print_Area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</dc:creator>
  <cp:lastModifiedBy>HIRONOBU FURUKAWA</cp:lastModifiedBy>
  <cp:lastPrinted>2026-04-18T06:00:52Z</cp:lastPrinted>
  <dcterms:created xsi:type="dcterms:W3CDTF">2019-04-27T05:13:55Z</dcterms:created>
  <dcterms:modified xsi:type="dcterms:W3CDTF">2026-07-06T04:51:38Z</dcterms:modified>
</cp:coreProperties>
</file>